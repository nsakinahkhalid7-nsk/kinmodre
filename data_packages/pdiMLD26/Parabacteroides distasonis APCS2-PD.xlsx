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yProjects\kinmodre\data_packages\pdiMLD26\"/>
    </mc:Choice>
  </mc:AlternateContent>
  <xr:revisionPtr revIDLastSave="0" documentId="13_ncr:1_{2E453388-0590-46F8-9B23-EB61526FC560}" xr6:coauthVersionLast="47" xr6:coauthVersionMax="47" xr10:uidLastSave="{00000000-0000-0000-0000-000000000000}"/>
  <bookViews>
    <workbookView xWindow="-110" yWindow="-110" windowWidth="19420" windowHeight="10300" activeTab="4" xr2:uid="{20B2A298-BA01-BB4B-9792-4FD55C57824E}"/>
  </bookViews>
  <sheets>
    <sheet name="Info" sheetId="2" r:id="rId1"/>
    <sheet name="peptides" sheetId="3" r:id="rId2"/>
    <sheet name="EC number" sheetId="1" r:id="rId3"/>
    <sheet name="enzymes" sheetId="4" r:id="rId4"/>
    <sheet name="metabolites" sheetId="7" r:id="rId5"/>
    <sheet name="reactions" sheetId="5" r:id="rId6"/>
  </sheets>
  <definedNames>
    <definedName name="_xlnm._FilterDatabase" localSheetId="3" hidden="1">enzymes!$B$1:$B$292</definedName>
    <definedName name="_xlnm._FilterDatabase" localSheetId="4" hidden="1">metabolites!$D$2:$D$3811</definedName>
    <definedName name="_xlnm._FilterDatabase" localSheetId="5" hidden="1">reactions!$B$1:$B$4963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7" l="1"/>
  <c r="C102" i="7"/>
  <c r="C77" i="7"/>
  <c r="C58" i="7"/>
  <c r="C54" i="7"/>
  <c r="C53" i="7"/>
  <c r="C41" i="7"/>
  <c r="C39" i="7"/>
  <c r="C35" i="7"/>
  <c r="C33" i="7"/>
  <c r="C29" i="7"/>
  <c r="C23" i="7"/>
  <c r="C15" i="7"/>
  <c r="C14" i="7"/>
  <c r="C12" i="7"/>
  <c r="C13" i="7"/>
  <c r="C16" i="7"/>
  <c r="C17" i="7"/>
  <c r="C18" i="7"/>
  <c r="C19" i="7"/>
  <c r="C20" i="7"/>
  <c r="C21" i="7"/>
  <c r="C22" i="7"/>
  <c r="C24" i="7"/>
  <c r="C25" i="7"/>
  <c r="C26" i="7"/>
  <c r="C27" i="7"/>
  <c r="C28" i="7"/>
  <c r="C30" i="7"/>
  <c r="C31" i="7"/>
  <c r="C32" i="7"/>
  <c r="C34" i="7"/>
  <c r="C36" i="7"/>
  <c r="C37" i="7"/>
  <c r="C38" i="7"/>
  <c r="C40" i="7"/>
  <c r="C42" i="7"/>
  <c r="C43" i="7"/>
  <c r="C44" i="7"/>
  <c r="C45" i="7"/>
  <c r="C46" i="7"/>
  <c r="C47" i="7"/>
  <c r="C48" i="7"/>
  <c r="C49" i="7"/>
  <c r="C50" i="7"/>
  <c r="C51" i="7"/>
  <c r="C52" i="7"/>
  <c r="C55" i="7"/>
  <c r="C56" i="7"/>
  <c r="C57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3" i="7"/>
  <c r="C104" i="7"/>
  <c r="C105" i="7"/>
  <c r="C106" i="7"/>
  <c r="C107" i="7"/>
  <c r="C108" i="7"/>
  <c r="C109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11" i="7"/>
  <c r="C10" i="7"/>
  <c r="C9" i="7"/>
  <c r="C8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3" i="7"/>
  <c r="C4" i="7"/>
  <c r="C5" i="7"/>
  <c r="C6" i="7"/>
  <c r="C7" i="7"/>
  <c r="C2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" i="7"/>
  <c r="E2341" i="1" l="1"/>
  <c r="E2333" i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3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" i="4"/>
  <c r="C285" i="4"/>
  <c r="C284" i="4"/>
  <c r="C278" i="4"/>
  <c r="C277" i="4"/>
  <c r="C276" i="4"/>
  <c r="C270" i="4"/>
  <c r="C269" i="4"/>
  <c r="C268" i="4"/>
  <c r="C262" i="4"/>
  <c r="C261" i="4"/>
  <c r="C260" i="4"/>
  <c r="C254" i="4"/>
  <c r="C253" i="4"/>
  <c r="C252" i="4"/>
  <c r="C246" i="4"/>
  <c r="C245" i="4"/>
  <c r="C244" i="4"/>
  <c r="C238" i="4"/>
  <c r="C237" i="4"/>
  <c r="C236" i="4"/>
  <c r="C230" i="4"/>
  <c r="C229" i="4"/>
  <c r="C228" i="4"/>
  <c r="C222" i="4"/>
  <c r="C221" i="4"/>
  <c r="C220" i="4"/>
  <c r="C214" i="4"/>
  <c r="C213" i="4"/>
  <c r="C212" i="4"/>
  <c r="C206" i="4"/>
  <c r="C205" i="4"/>
  <c r="C204" i="4"/>
  <c r="C198" i="4"/>
  <c r="C197" i="4"/>
  <c r="C196" i="4"/>
  <c r="C190" i="4"/>
  <c r="C189" i="4"/>
  <c r="C188" i="4"/>
  <c r="C182" i="4"/>
  <c r="C181" i="4"/>
  <c r="C180" i="4"/>
  <c r="C174" i="4"/>
  <c r="C173" i="4"/>
  <c r="C172" i="4"/>
  <c r="C166" i="4"/>
  <c r="C165" i="4"/>
  <c r="C164" i="4"/>
  <c r="C158" i="4"/>
  <c r="C157" i="4"/>
  <c r="C156" i="4"/>
  <c r="C150" i="4"/>
  <c r="C149" i="4"/>
  <c r="C148" i="4"/>
  <c r="C142" i="4"/>
  <c r="C141" i="4"/>
  <c r="C140" i="4"/>
  <c r="C134" i="4"/>
  <c r="C133" i="4"/>
  <c r="C132" i="4"/>
  <c r="C126" i="4"/>
  <c r="C125" i="4"/>
  <c r="C124" i="4"/>
  <c r="C118" i="4"/>
  <c r="C117" i="4"/>
  <c r="C116" i="4"/>
  <c r="C110" i="4"/>
  <c r="C109" i="4"/>
  <c r="C108" i="4"/>
  <c r="C102" i="4"/>
  <c r="C101" i="4"/>
  <c r="C100" i="4"/>
  <c r="C94" i="4"/>
  <c r="C93" i="4"/>
  <c r="C92" i="4"/>
  <c r="C86" i="4"/>
  <c r="C85" i="4"/>
  <c r="C84" i="4"/>
  <c r="C78" i="4"/>
  <c r="C77" i="4"/>
  <c r="C76" i="4"/>
  <c r="C70" i="4"/>
  <c r="C69" i="4"/>
  <c r="C68" i="4"/>
  <c r="C62" i="4"/>
  <c r="C61" i="4"/>
  <c r="C60" i="4"/>
  <c r="C54" i="4"/>
  <c r="C53" i="4"/>
  <c r="C52" i="4"/>
  <c r="C46" i="4"/>
  <c r="C45" i="4"/>
  <c r="C44" i="4"/>
  <c r="C38" i="4"/>
  <c r="C37" i="4"/>
  <c r="C36" i="4"/>
  <c r="C30" i="4"/>
  <c r="C29" i="4"/>
  <c r="C28" i="4"/>
  <c r="C22" i="4"/>
  <c r="C21" i="4"/>
  <c r="C20" i="4"/>
  <c r="C14" i="4"/>
  <c r="C13" i="4"/>
  <c r="C12" i="4"/>
  <c r="C6" i="4"/>
  <c r="C5" i="4"/>
  <c r="C4" i="4"/>
  <c r="D6" i="4"/>
  <c r="D7" i="4"/>
  <c r="C7" i="4" s="1"/>
  <c r="D8" i="4"/>
  <c r="C8" i="4" s="1"/>
  <c r="D9" i="4"/>
  <c r="C9" i="4" s="1"/>
  <c r="D10" i="4"/>
  <c r="C10" i="4" s="1"/>
  <c r="D11" i="4"/>
  <c r="C11" i="4" s="1"/>
  <c r="D12" i="4"/>
  <c r="D13" i="4"/>
  <c r="D14" i="4"/>
  <c r="D15" i="4"/>
  <c r="C15" i="4" s="1"/>
  <c r="D16" i="4"/>
  <c r="C16" i="4" s="1"/>
  <c r="D17" i="4"/>
  <c r="C17" i="4" s="1"/>
  <c r="D18" i="4"/>
  <c r="C18" i="4" s="1"/>
  <c r="D19" i="4"/>
  <c r="C19" i="4" s="1"/>
  <c r="D20" i="4"/>
  <c r="D21" i="4"/>
  <c r="D22" i="4"/>
  <c r="D23" i="4"/>
  <c r="C23" i="4" s="1"/>
  <c r="D24" i="4"/>
  <c r="C24" i="4" s="1"/>
  <c r="D25" i="4"/>
  <c r="C25" i="4" s="1"/>
  <c r="D26" i="4"/>
  <c r="C26" i="4" s="1"/>
  <c r="D27" i="4"/>
  <c r="C27" i="4" s="1"/>
  <c r="D28" i="4"/>
  <c r="D29" i="4"/>
  <c r="D30" i="4"/>
  <c r="D31" i="4"/>
  <c r="C31" i="4" s="1"/>
  <c r="D32" i="4"/>
  <c r="C32" i="4" s="1"/>
  <c r="D33" i="4"/>
  <c r="C33" i="4" s="1"/>
  <c r="D34" i="4"/>
  <c r="C34" i="4" s="1"/>
  <c r="D35" i="4"/>
  <c r="C35" i="4" s="1"/>
  <c r="D36" i="4"/>
  <c r="D37" i="4"/>
  <c r="D38" i="4"/>
  <c r="D39" i="4"/>
  <c r="C39" i="4" s="1"/>
  <c r="D40" i="4"/>
  <c r="C40" i="4" s="1"/>
  <c r="D41" i="4"/>
  <c r="C41" i="4" s="1"/>
  <c r="D42" i="4"/>
  <c r="C42" i="4" s="1"/>
  <c r="D43" i="4"/>
  <c r="C43" i="4" s="1"/>
  <c r="D44" i="4"/>
  <c r="D45" i="4"/>
  <c r="D46" i="4"/>
  <c r="D47" i="4"/>
  <c r="C47" i="4" s="1"/>
  <c r="D48" i="4"/>
  <c r="C48" i="4" s="1"/>
  <c r="D49" i="4"/>
  <c r="C49" i="4" s="1"/>
  <c r="D50" i="4"/>
  <c r="C50" i="4" s="1"/>
  <c r="D51" i="4"/>
  <c r="C51" i="4" s="1"/>
  <c r="D52" i="4"/>
  <c r="D53" i="4"/>
  <c r="D54" i="4"/>
  <c r="D55" i="4"/>
  <c r="C55" i="4" s="1"/>
  <c r="D56" i="4"/>
  <c r="C56" i="4" s="1"/>
  <c r="D57" i="4"/>
  <c r="C57" i="4" s="1"/>
  <c r="D58" i="4"/>
  <c r="C58" i="4" s="1"/>
  <c r="D59" i="4"/>
  <c r="C59" i="4" s="1"/>
  <c r="D60" i="4"/>
  <c r="D61" i="4"/>
  <c r="D62" i="4"/>
  <c r="D63" i="4"/>
  <c r="C63" i="4" s="1"/>
  <c r="D64" i="4"/>
  <c r="C64" i="4" s="1"/>
  <c r="D65" i="4"/>
  <c r="C65" i="4" s="1"/>
  <c r="D66" i="4"/>
  <c r="C66" i="4" s="1"/>
  <c r="D67" i="4"/>
  <c r="C67" i="4" s="1"/>
  <c r="D68" i="4"/>
  <c r="D69" i="4"/>
  <c r="D70" i="4"/>
  <c r="D71" i="4"/>
  <c r="C71" i="4" s="1"/>
  <c r="D72" i="4"/>
  <c r="C72" i="4" s="1"/>
  <c r="D73" i="4"/>
  <c r="C73" i="4" s="1"/>
  <c r="D74" i="4"/>
  <c r="C74" i="4" s="1"/>
  <c r="D75" i="4"/>
  <c r="C75" i="4" s="1"/>
  <c r="D76" i="4"/>
  <c r="D77" i="4"/>
  <c r="D78" i="4"/>
  <c r="D79" i="4"/>
  <c r="C79" i="4" s="1"/>
  <c r="D80" i="4"/>
  <c r="C80" i="4" s="1"/>
  <c r="D81" i="4"/>
  <c r="C81" i="4" s="1"/>
  <c r="D82" i="4"/>
  <c r="C82" i="4" s="1"/>
  <c r="D83" i="4"/>
  <c r="C83" i="4" s="1"/>
  <c r="D84" i="4"/>
  <c r="D85" i="4"/>
  <c r="D86" i="4"/>
  <c r="D87" i="4"/>
  <c r="C87" i="4" s="1"/>
  <c r="D88" i="4"/>
  <c r="C88" i="4" s="1"/>
  <c r="D89" i="4"/>
  <c r="C89" i="4" s="1"/>
  <c r="D90" i="4"/>
  <c r="C90" i="4" s="1"/>
  <c r="D91" i="4"/>
  <c r="C91" i="4" s="1"/>
  <c r="D92" i="4"/>
  <c r="D93" i="4"/>
  <c r="D94" i="4"/>
  <c r="D95" i="4"/>
  <c r="C95" i="4" s="1"/>
  <c r="D96" i="4"/>
  <c r="C96" i="4" s="1"/>
  <c r="D97" i="4"/>
  <c r="C97" i="4" s="1"/>
  <c r="D98" i="4"/>
  <c r="C98" i="4" s="1"/>
  <c r="D99" i="4"/>
  <c r="C99" i="4" s="1"/>
  <c r="D100" i="4"/>
  <c r="D101" i="4"/>
  <c r="D102" i="4"/>
  <c r="D103" i="4"/>
  <c r="C103" i="4" s="1"/>
  <c r="D104" i="4"/>
  <c r="C104" i="4" s="1"/>
  <c r="D105" i="4"/>
  <c r="C105" i="4" s="1"/>
  <c r="D106" i="4"/>
  <c r="C106" i="4" s="1"/>
  <c r="D107" i="4"/>
  <c r="C107" i="4" s="1"/>
  <c r="D108" i="4"/>
  <c r="D109" i="4"/>
  <c r="D110" i="4"/>
  <c r="D111" i="4"/>
  <c r="C111" i="4" s="1"/>
  <c r="D112" i="4"/>
  <c r="C112" i="4" s="1"/>
  <c r="D113" i="4"/>
  <c r="C113" i="4" s="1"/>
  <c r="D114" i="4"/>
  <c r="C114" i="4" s="1"/>
  <c r="D115" i="4"/>
  <c r="C115" i="4" s="1"/>
  <c r="D116" i="4"/>
  <c r="D117" i="4"/>
  <c r="D118" i="4"/>
  <c r="D119" i="4"/>
  <c r="C119" i="4" s="1"/>
  <c r="D120" i="4"/>
  <c r="C120" i="4" s="1"/>
  <c r="D121" i="4"/>
  <c r="C121" i="4" s="1"/>
  <c r="D122" i="4"/>
  <c r="C122" i="4" s="1"/>
  <c r="D123" i="4"/>
  <c r="C123" i="4" s="1"/>
  <c r="D124" i="4"/>
  <c r="D125" i="4"/>
  <c r="D126" i="4"/>
  <c r="D127" i="4"/>
  <c r="C127" i="4" s="1"/>
  <c r="D128" i="4"/>
  <c r="C128" i="4" s="1"/>
  <c r="D129" i="4"/>
  <c r="C129" i="4" s="1"/>
  <c r="D130" i="4"/>
  <c r="C130" i="4" s="1"/>
  <c r="D131" i="4"/>
  <c r="C131" i="4" s="1"/>
  <c r="D132" i="4"/>
  <c r="D133" i="4"/>
  <c r="D134" i="4"/>
  <c r="D135" i="4"/>
  <c r="C135" i="4" s="1"/>
  <c r="D136" i="4"/>
  <c r="C136" i="4" s="1"/>
  <c r="D137" i="4"/>
  <c r="C137" i="4" s="1"/>
  <c r="D138" i="4"/>
  <c r="C138" i="4" s="1"/>
  <c r="D139" i="4"/>
  <c r="C139" i="4" s="1"/>
  <c r="D140" i="4"/>
  <c r="D141" i="4"/>
  <c r="D142" i="4"/>
  <c r="D143" i="4"/>
  <c r="C143" i="4" s="1"/>
  <c r="D144" i="4"/>
  <c r="C144" i="4" s="1"/>
  <c r="D145" i="4"/>
  <c r="C145" i="4" s="1"/>
  <c r="D146" i="4"/>
  <c r="C146" i="4" s="1"/>
  <c r="D147" i="4"/>
  <c r="C147" i="4" s="1"/>
  <c r="D148" i="4"/>
  <c r="D149" i="4"/>
  <c r="D150" i="4"/>
  <c r="D151" i="4"/>
  <c r="C151" i="4" s="1"/>
  <c r="D152" i="4"/>
  <c r="C152" i="4" s="1"/>
  <c r="D153" i="4"/>
  <c r="C153" i="4" s="1"/>
  <c r="D154" i="4"/>
  <c r="C154" i="4" s="1"/>
  <c r="D155" i="4"/>
  <c r="C155" i="4" s="1"/>
  <c r="D156" i="4"/>
  <c r="D157" i="4"/>
  <c r="D158" i="4"/>
  <c r="D159" i="4"/>
  <c r="C159" i="4" s="1"/>
  <c r="D160" i="4"/>
  <c r="C160" i="4" s="1"/>
  <c r="D161" i="4"/>
  <c r="C161" i="4" s="1"/>
  <c r="D162" i="4"/>
  <c r="C162" i="4" s="1"/>
  <c r="D163" i="4"/>
  <c r="C163" i="4" s="1"/>
  <c r="D164" i="4"/>
  <c r="D165" i="4"/>
  <c r="D166" i="4"/>
  <c r="D167" i="4"/>
  <c r="C167" i="4" s="1"/>
  <c r="D168" i="4"/>
  <c r="C168" i="4" s="1"/>
  <c r="D169" i="4"/>
  <c r="C169" i="4" s="1"/>
  <c r="D170" i="4"/>
  <c r="C170" i="4" s="1"/>
  <c r="D171" i="4"/>
  <c r="C171" i="4" s="1"/>
  <c r="D172" i="4"/>
  <c r="D173" i="4"/>
  <c r="D174" i="4"/>
  <c r="D175" i="4"/>
  <c r="C175" i="4" s="1"/>
  <c r="D176" i="4"/>
  <c r="C176" i="4" s="1"/>
  <c r="D177" i="4"/>
  <c r="C177" i="4" s="1"/>
  <c r="D178" i="4"/>
  <c r="C178" i="4" s="1"/>
  <c r="D179" i="4"/>
  <c r="C179" i="4" s="1"/>
  <c r="D180" i="4"/>
  <c r="D181" i="4"/>
  <c r="D182" i="4"/>
  <c r="D183" i="4"/>
  <c r="C183" i="4" s="1"/>
  <c r="D184" i="4"/>
  <c r="C184" i="4" s="1"/>
  <c r="D185" i="4"/>
  <c r="C185" i="4" s="1"/>
  <c r="D186" i="4"/>
  <c r="C186" i="4" s="1"/>
  <c r="D187" i="4"/>
  <c r="C187" i="4" s="1"/>
  <c r="D188" i="4"/>
  <c r="D189" i="4"/>
  <c r="D190" i="4"/>
  <c r="D191" i="4"/>
  <c r="C191" i="4" s="1"/>
  <c r="D192" i="4"/>
  <c r="C192" i="4" s="1"/>
  <c r="D193" i="4"/>
  <c r="C193" i="4" s="1"/>
  <c r="D194" i="4"/>
  <c r="C194" i="4" s="1"/>
  <c r="D195" i="4"/>
  <c r="C195" i="4" s="1"/>
  <c r="D196" i="4"/>
  <c r="D197" i="4"/>
  <c r="D198" i="4"/>
  <c r="D199" i="4"/>
  <c r="C199" i="4" s="1"/>
  <c r="D200" i="4"/>
  <c r="C200" i="4" s="1"/>
  <c r="D201" i="4"/>
  <c r="C201" i="4" s="1"/>
  <c r="D202" i="4"/>
  <c r="C202" i="4" s="1"/>
  <c r="D203" i="4"/>
  <c r="C203" i="4" s="1"/>
  <c r="D204" i="4"/>
  <c r="D205" i="4"/>
  <c r="D206" i="4"/>
  <c r="D207" i="4"/>
  <c r="C207" i="4" s="1"/>
  <c r="D208" i="4"/>
  <c r="C208" i="4" s="1"/>
  <c r="D209" i="4"/>
  <c r="C209" i="4" s="1"/>
  <c r="D210" i="4"/>
  <c r="C210" i="4" s="1"/>
  <c r="D211" i="4"/>
  <c r="C211" i="4" s="1"/>
  <c r="D212" i="4"/>
  <c r="D213" i="4"/>
  <c r="D214" i="4"/>
  <c r="D215" i="4"/>
  <c r="C215" i="4" s="1"/>
  <c r="D216" i="4"/>
  <c r="C216" i="4" s="1"/>
  <c r="D217" i="4"/>
  <c r="C217" i="4" s="1"/>
  <c r="D218" i="4"/>
  <c r="C218" i="4" s="1"/>
  <c r="D219" i="4"/>
  <c r="C219" i="4" s="1"/>
  <c r="D220" i="4"/>
  <c r="D221" i="4"/>
  <c r="D222" i="4"/>
  <c r="D223" i="4"/>
  <c r="C223" i="4" s="1"/>
  <c r="D224" i="4"/>
  <c r="C224" i="4" s="1"/>
  <c r="D225" i="4"/>
  <c r="C225" i="4" s="1"/>
  <c r="D226" i="4"/>
  <c r="C226" i="4" s="1"/>
  <c r="D227" i="4"/>
  <c r="C227" i="4" s="1"/>
  <c r="D228" i="4"/>
  <c r="D229" i="4"/>
  <c r="D230" i="4"/>
  <c r="D231" i="4"/>
  <c r="C231" i="4" s="1"/>
  <c r="D232" i="4"/>
  <c r="C232" i="4" s="1"/>
  <c r="D233" i="4"/>
  <c r="C233" i="4" s="1"/>
  <c r="D234" i="4"/>
  <c r="C234" i="4" s="1"/>
  <c r="D235" i="4"/>
  <c r="C235" i="4" s="1"/>
  <c r="D236" i="4"/>
  <c r="D237" i="4"/>
  <c r="D238" i="4"/>
  <c r="D239" i="4"/>
  <c r="C239" i="4" s="1"/>
  <c r="D240" i="4"/>
  <c r="C240" i="4" s="1"/>
  <c r="D241" i="4"/>
  <c r="C241" i="4" s="1"/>
  <c r="D242" i="4"/>
  <c r="C242" i="4" s="1"/>
  <c r="D243" i="4"/>
  <c r="C243" i="4" s="1"/>
  <c r="D244" i="4"/>
  <c r="D245" i="4"/>
  <c r="D246" i="4"/>
  <c r="D247" i="4"/>
  <c r="C247" i="4" s="1"/>
  <c r="D248" i="4"/>
  <c r="C248" i="4" s="1"/>
  <c r="D249" i="4"/>
  <c r="C249" i="4" s="1"/>
  <c r="D250" i="4"/>
  <c r="C250" i="4" s="1"/>
  <c r="D251" i="4"/>
  <c r="C251" i="4" s="1"/>
  <c r="D252" i="4"/>
  <c r="D253" i="4"/>
  <c r="D254" i="4"/>
  <c r="D255" i="4"/>
  <c r="C255" i="4" s="1"/>
  <c r="D256" i="4"/>
  <c r="C256" i="4" s="1"/>
  <c r="D257" i="4"/>
  <c r="C257" i="4" s="1"/>
  <c r="D258" i="4"/>
  <c r="C258" i="4" s="1"/>
  <c r="D259" i="4"/>
  <c r="C259" i="4" s="1"/>
  <c r="D260" i="4"/>
  <c r="D261" i="4"/>
  <c r="D262" i="4"/>
  <c r="D263" i="4"/>
  <c r="C263" i="4" s="1"/>
  <c r="D264" i="4"/>
  <c r="C264" i="4" s="1"/>
  <c r="D265" i="4"/>
  <c r="C265" i="4" s="1"/>
  <c r="D266" i="4"/>
  <c r="C266" i="4" s="1"/>
  <c r="D267" i="4"/>
  <c r="C267" i="4" s="1"/>
  <c r="D268" i="4"/>
  <c r="D269" i="4"/>
  <c r="D270" i="4"/>
  <c r="D271" i="4"/>
  <c r="C271" i="4" s="1"/>
  <c r="D272" i="4"/>
  <c r="C272" i="4" s="1"/>
  <c r="D273" i="4"/>
  <c r="C273" i="4" s="1"/>
  <c r="D274" i="4"/>
  <c r="C274" i="4" s="1"/>
  <c r="D275" i="4"/>
  <c r="C275" i="4" s="1"/>
  <c r="D276" i="4"/>
  <c r="D277" i="4"/>
  <c r="D278" i="4"/>
  <c r="D279" i="4"/>
  <c r="C279" i="4" s="1"/>
  <c r="D280" i="4"/>
  <c r="C280" i="4" s="1"/>
  <c r="D281" i="4"/>
  <c r="C281" i="4" s="1"/>
  <c r="D282" i="4"/>
  <c r="C282" i="4" s="1"/>
  <c r="D283" i="4"/>
  <c r="C283" i="4" s="1"/>
  <c r="D284" i="4"/>
  <c r="D285" i="4"/>
  <c r="D286" i="4"/>
  <c r="C286" i="4" s="1"/>
  <c r="D287" i="4"/>
  <c r="C287" i="4" s="1"/>
  <c r="D288" i="4"/>
  <c r="C288" i="4" s="1"/>
  <c r="D289" i="4"/>
  <c r="C289" i="4" s="1"/>
  <c r="D290" i="4"/>
  <c r="C290" i="4" s="1"/>
  <c r="D291" i="4"/>
  <c r="C291" i="4" s="1"/>
  <c r="D3" i="4"/>
  <c r="C3" i="4" s="1"/>
  <c r="D4" i="4"/>
  <c r="D5" i="4"/>
  <c r="D2" i="4"/>
  <c r="C2" i="4" s="1"/>
  <c r="D283" i="5" l="1"/>
  <c r="E90" i="1"/>
  <c r="I283" i="5" l="1"/>
  <c r="J283" i="5" s="1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32" i="5"/>
  <c r="D133" i="5"/>
  <c r="D134" i="5"/>
  <c r="D135" i="5"/>
  <c r="D136" i="5"/>
  <c r="D137" i="5"/>
  <c r="D138" i="5"/>
  <c r="D139" i="5"/>
  <c r="D140" i="5"/>
  <c r="D141" i="5"/>
  <c r="D142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2" i="5"/>
  <c r="I2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I127" i="5" l="1"/>
  <c r="J127" i="5" s="1"/>
  <c r="J55" i="5"/>
  <c r="I55" i="5"/>
  <c r="I145" i="5"/>
  <c r="J145" i="5" s="1"/>
  <c r="J734" i="5"/>
  <c r="I734" i="5"/>
  <c r="I590" i="5"/>
  <c r="J590" i="5" s="1"/>
  <c r="J124" i="5"/>
  <c r="I124" i="5"/>
  <c r="I116" i="5"/>
  <c r="J116" i="5" s="1"/>
  <c r="J108" i="5"/>
  <c r="I108" i="5"/>
  <c r="I100" i="5"/>
  <c r="J100" i="5" s="1"/>
  <c r="J92" i="5"/>
  <c r="I92" i="5"/>
  <c r="I84" i="5"/>
  <c r="J84" i="5" s="1"/>
  <c r="J76" i="5"/>
  <c r="I76" i="5"/>
  <c r="I68" i="5"/>
  <c r="J68" i="5" s="1"/>
  <c r="J60" i="5"/>
  <c r="I60" i="5"/>
  <c r="I52" i="5"/>
  <c r="J52" i="5" s="1"/>
  <c r="J44" i="5"/>
  <c r="I44" i="5"/>
  <c r="I36" i="5"/>
  <c r="J36" i="5" s="1"/>
  <c r="J28" i="5"/>
  <c r="I28" i="5"/>
  <c r="I135" i="5"/>
  <c r="J135" i="5" s="1"/>
  <c r="J158" i="5"/>
  <c r="I158" i="5"/>
  <c r="I150" i="5"/>
  <c r="J150" i="5" s="1"/>
  <c r="J183" i="5"/>
  <c r="I183" i="5"/>
  <c r="I175" i="5"/>
  <c r="J175" i="5" s="1"/>
  <c r="J167" i="5"/>
  <c r="I167" i="5"/>
  <c r="I209" i="5"/>
  <c r="J209" i="5" s="1"/>
  <c r="J201" i="5"/>
  <c r="I201" i="5"/>
  <c r="I193" i="5"/>
  <c r="J193" i="5" s="1"/>
  <c r="J185" i="5"/>
  <c r="I185" i="5"/>
  <c r="I747" i="5"/>
  <c r="J747" i="5" s="1"/>
  <c r="J739" i="5"/>
  <c r="I739" i="5"/>
  <c r="I731" i="5"/>
  <c r="J731" i="5" s="1"/>
  <c r="J723" i="5"/>
  <c r="I723" i="5"/>
  <c r="I715" i="5"/>
  <c r="J715" i="5" s="1"/>
  <c r="J707" i="5"/>
  <c r="I707" i="5"/>
  <c r="I699" i="5"/>
  <c r="J699" i="5" s="1"/>
  <c r="J691" i="5"/>
  <c r="I691" i="5"/>
  <c r="I683" i="5"/>
  <c r="J683" i="5" s="1"/>
  <c r="J675" i="5"/>
  <c r="I675" i="5"/>
  <c r="I667" i="5"/>
  <c r="J667" i="5" s="1"/>
  <c r="J659" i="5"/>
  <c r="I659" i="5"/>
  <c r="I651" i="5"/>
  <c r="J651" i="5" s="1"/>
  <c r="J643" i="5"/>
  <c r="I643" i="5"/>
  <c r="I635" i="5"/>
  <c r="J635" i="5" s="1"/>
  <c r="J627" i="5"/>
  <c r="I627" i="5"/>
  <c r="I619" i="5"/>
  <c r="J619" i="5" s="1"/>
  <c r="J611" i="5"/>
  <c r="I611" i="5"/>
  <c r="I603" i="5"/>
  <c r="J603" i="5" s="1"/>
  <c r="J595" i="5"/>
  <c r="I595" i="5"/>
  <c r="I587" i="5"/>
  <c r="J587" i="5" s="1"/>
  <c r="J579" i="5"/>
  <c r="I579" i="5"/>
  <c r="I571" i="5"/>
  <c r="J571" i="5" s="1"/>
  <c r="J563" i="5"/>
  <c r="I563" i="5"/>
  <c r="I555" i="5"/>
  <c r="J555" i="5" s="1"/>
  <c r="J547" i="5"/>
  <c r="I547" i="5"/>
  <c r="I539" i="5"/>
  <c r="J539" i="5" s="1"/>
  <c r="J531" i="5"/>
  <c r="I531" i="5"/>
  <c r="I523" i="5"/>
  <c r="J523" i="5" s="1"/>
  <c r="J515" i="5"/>
  <c r="I515" i="5"/>
  <c r="I507" i="5"/>
  <c r="J507" i="5" s="1"/>
  <c r="J499" i="5"/>
  <c r="I499" i="5"/>
  <c r="I491" i="5"/>
  <c r="J491" i="5" s="1"/>
  <c r="J483" i="5"/>
  <c r="I483" i="5"/>
  <c r="I475" i="5"/>
  <c r="J475" i="5" s="1"/>
  <c r="J467" i="5"/>
  <c r="I467" i="5"/>
  <c r="I459" i="5"/>
  <c r="J459" i="5" s="1"/>
  <c r="J451" i="5"/>
  <c r="I451" i="5"/>
  <c r="I443" i="5"/>
  <c r="J443" i="5" s="1"/>
  <c r="J435" i="5"/>
  <c r="I435" i="5"/>
  <c r="I427" i="5"/>
  <c r="J427" i="5" s="1"/>
  <c r="J419" i="5"/>
  <c r="I419" i="5"/>
  <c r="I411" i="5"/>
  <c r="J411" i="5" s="1"/>
  <c r="J403" i="5"/>
  <c r="I403" i="5"/>
  <c r="I395" i="5"/>
  <c r="J395" i="5" s="1"/>
  <c r="J387" i="5"/>
  <c r="I387" i="5"/>
  <c r="I379" i="5"/>
  <c r="J379" i="5" s="1"/>
  <c r="J371" i="5"/>
  <c r="I371" i="5"/>
  <c r="I363" i="5"/>
  <c r="J363" i="5" s="1"/>
  <c r="J355" i="5"/>
  <c r="I355" i="5"/>
  <c r="I347" i="5"/>
  <c r="J347" i="5" s="1"/>
  <c r="J339" i="5"/>
  <c r="I339" i="5"/>
  <c r="I331" i="5"/>
  <c r="J331" i="5" s="1"/>
  <c r="J323" i="5"/>
  <c r="I323" i="5"/>
  <c r="I315" i="5"/>
  <c r="J315" i="5" s="1"/>
  <c r="J307" i="5"/>
  <c r="I307" i="5"/>
  <c r="I299" i="5"/>
  <c r="J299" i="5" s="1"/>
  <c r="J291" i="5"/>
  <c r="I291" i="5"/>
  <c r="I282" i="5"/>
  <c r="J282" i="5" s="1"/>
  <c r="J274" i="5"/>
  <c r="I274" i="5"/>
  <c r="I266" i="5"/>
  <c r="J266" i="5" s="1"/>
  <c r="J258" i="5"/>
  <c r="I258" i="5"/>
  <c r="I250" i="5"/>
  <c r="J250" i="5" s="1"/>
  <c r="J242" i="5"/>
  <c r="I242" i="5"/>
  <c r="I234" i="5"/>
  <c r="J234" i="5" s="1"/>
  <c r="J226" i="5"/>
  <c r="I226" i="5"/>
  <c r="I218" i="5"/>
  <c r="J218" i="5" s="1"/>
  <c r="J13" i="5"/>
  <c r="I13" i="5"/>
  <c r="I79" i="5"/>
  <c r="J79" i="5" s="1"/>
  <c r="J138" i="5"/>
  <c r="I138" i="5"/>
  <c r="I204" i="5"/>
  <c r="J204" i="5" s="1"/>
  <c r="J718" i="5"/>
  <c r="I718" i="5"/>
  <c r="I662" i="5"/>
  <c r="J662" i="5" s="1"/>
  <c r="J598" i="5"/>
  <c r="I598" i="5"/>
  <c r="I526" i="5"/>
  <c r="J526" i="5" s="1"/>
  <c r="J18" i="5"/>
  <c r="I18" i="5"/>
  <c r="I25" i="5"/>
  <c r="J25" i="5" s="1"/>
  <c r="J17" i="5"/>
  <c r="I17" i="5"/>
  <c r="I9" i="5"/>
  <c r="J9" i="5" s="1"/>
  <c r="J131" i="5"/>
  <c r="I131" i="5"/>
  <c r="I123" i="5"/>
  <c r="J123" i="5" s="1"/>
  <c r="J115" i="5"/>
  <c r="I115" i="5"/>
  <c r="I107" i="5"/>
  <c r="J107" i="5" s="1"/>
  <c r="J99" i="5"/>
  <c r="I99" i="5"/>
  <c r="I91" i="5"/>
  <c r="J91" i="5" s="1"/>
  <c r="J83" i="5"/>
  <c r="I83" i="5"/>
  <c r="I75" i="5"/>
  <c r="J75" i="5" s="1"/>
  <c r="J67" i="5"/>
  <c r="I67" i="5"/>
  <c r="I59" i="5"/>
  <c r="J59" i="5" s="1"/>
  <c r="J51" i="5"/>
  <c r="I51" i="5"/>
  <c r="I43" i="5"/>
  <c r="J43" i="5" s="1"/>
  <c r="J35" i="5"/>
  <c r="I35" i="5"/>
  <c r="I142" i="5"/>
  <c r="J142" i="5" s="1"/>
  <c r="J134" i="5"/>
  <c r="I134" i="5"/>
  <c r="I157" i="5"/>
  <c r="J157" i="5" s="1"/>
  <c r="J149" i="5"/>
  <c r="I149" i="5"/>
  <c r="I182" i="5"/>
  <c r="J182" i="5" s="1"/>
  <c r="J174" i="5"/>
  <c r="I174" i="5"/>
  <c r="I166" i="5"/>
  <c r="J166" i="5" s="1"/>
  <c r="J208" i="5"/>
  <c r="I208" i="5"/>
  <c r="I200" i="5"/>
  <c r="J200" i="5" s="1"/>
  <c r="J192" i="5"/>
  <c r="I192" i="5"/>
  <c r="I184" i="5"/>
  <c r="J184" i="5" s="1"/>
  <c r="J746" i="5"/>
  <c r="I746" i="5"/>
  <c r="I738" i="5"/>
  <c r="J738" i="5" s="1"/>
  <c r="J730" i="5"/>
  <c r="I730" i="5"/>
  <c r="I722" i="5"/>
  <c r="J722" i="5" s="1"/>
  <c r="J714" i="5"/>
  <c r="I714" i="5"/>
  <c r="I706" i="5"/>
  <c r="J706" i="5" s="1"/>
  <c r="J698" i="5"/>
  <c r="I698" i="5"/>
  <c r="I690" i="5"/>
  <c r="J690" i="5" s="1"/>
  <c r="J682" i="5"/>
  <c r="I682" i="5"/>
  <c r="I674" i="5"/>
  <c r="J674" i="5" s="1"/>
  <c r="J666" i="5"/>
  <c r="I666" i="5"/>
  <c r="I658" i="5"/>
  <c r="J658" i="5" s="1"/>
  <c r="J650" i="5"/>
  <c r="I650" i="5"/>
  <c r="I642" i="5"/>
  <c r="J642" i="5" s="1"/>
  <c r="J634" i="5"/>
  <c r="I634" i="5"/>
  <c r="I626" i="5"/>
  <c r="J626" i="5" s="1"/>
  <c r="J618" i="5"/>
  <c r="I618" i="5"/>
  <c r="I610" i="5"/>
  <c r="J610" i="5" s="1"/>
  <c r="J602" i="5"/>
  <c r="I602" i="5"/>
  <c r="I594" i="5"/>
  <c r="J594" i="5" s="1"/>
  <c r="J586" i="5"/>
  <c r="I586" i="5"/>
  <c r="I578" i="5"/>
  <c r="J578" i="5" s="1"/>
  <c r="J570" i="5"/>
  <c r="I570" i="5"/>
  <c r="I562" i="5"/>
  <c r="J562" i="5" s="1"/>
  <c r="J554" i="5"/>
  <c r="I554" i="5"/>
  <c r="I546" i="5"/>
  <c r="J546" i="5" s="1"/>
  <c r="J538" i="5"/>
  <c r="I538" i="5"/>
  <c r="I530" i="5"/>
  <c r="J530" i="5" s="1"/>
  <c r="J522" i="5"/>
  <c r="I522" i="5"/>
  <c r="I514" i="5"/>
  <c r="J514" i="5" s="1"/>
  <c r="J506" i="5"/>
  <c r="I506" i="5"/>
  <c r="I498" i="5"/>
  <c r="J498" i="5" s="1"/>
  <c r="J490" i="5"/>
  <c r="I490" i="5"/>
  <c r="I482" i="5"/>
  <c r="J482" i="5" s="1"/>
  <c r="J474" i="5"/>
  <c r="I474" i="5"/>
  <c r="I466" i="5"/>
  <c r="J466" i="5" s="1"/>
  <c r="J458" i="5"/>
  <c r="I458" i="5"/>
  <c r="I450" i="5"/>
  <c r="J450" i="5" s="1"/>
  <c r="J442" i="5"/>
  <c r="I442" i="5"/>
  <c r="I434" i="5"/>
  <c r="J434" i="5" s="1"/>
  <c r="J426" i="5"/>
  <c r="I426" i="5"/>
  <c r="I418" i="5"/>
  <c r="J418" i="5" s="1"/>
  <c r="J410" i="5"/>
  <c r="I410" i="5"/>
  <c r="I402" i="5"/>
  <c r="J402" i="5" s="1"/>
  <c r="J394" i="5"/>
  <c r="I394" i="5"/>
  <c r="I386" i="5"/>
  <c r="J386" i="5" s="1"/>
  <c r="J378" i="5"/>
  <c r="I378" i="5"/>
  <c r="I370" i="5"/>
  <c r="J370" i="5" s="1"/>
  <c r="J362" i="5"/>
  <c r="I362" i="5"/>
  <c r="I354" i="5"/>
  <c r="J354" i="5" s="1"/>
  <c r="J346" i="5"/>
  <c r="I346" i="5"/>
  <c r="I338" i="5"/>
  <c r="J338" i="5" s="1"/>
  <c r="J330" i="5"/>
  <c r="I330" i="5"/>
  <c r="I322" i="5"/>
  <c r="J322" i="5" s="1"/>
  <c r="J314" i="5"/>
  <c r="I314" i="5"/>
  <c r="I306" i="5"/>
  <c r="J306" i="5" s="1"/>
  <c r="J298" i="5"/>
  <c r="I298" i="5"/>
  <c r="I290" i="5"/>
  <c r="J290" i="5" s="1"/>
  <c r="J281" i="5"/>
  <c r="I281" i="5"/>
  <c r="I273" i="5"/>
  <c r="J273" i="5" s="1"/>
  <c r="J265" i="5"/>
  <c r="I265" i="5"/>
  <c r="I257" i="5"/>
  <c r="J257" i="5" s="1"/>
  <c r="I249" i="5"/>
  <c r="J249" i="5" s="1"/>
  <c r="I241" i="5"/>
  <c r="J241" i="5" s="1"/>
  <c r="I233" i="5"/>
  <c r="J233" i="5" s="1"/>
  <c r="I225" i="5"/>
  <c r="J225" i="5" s="1"/>
  <c r="I217" i="5"/>
  <c r="J217" i="5" s="1"/>
  <c r="I111" i="5"/>
  <c r="J111" i="5" s="1"/>
  <c r="J47" i="5"/>
  <c r="I47" i="5"/>
  <c r="I196" i="5"/>
  <c r="J196" i="5" s="1"/>
  <c r="I710" i="5"/>
  <c r="J710" i="5" s="1"/>
  <c r="I654" i="5"/>
  <c r="J654" i="5" s="1"/>
  <c r="I606" i="5"/>
  <c r="J606" i="5" s="1"/>
  <c r="I550" i="5"/>
  <c r="J550" i="5" s="1"/>
  <c r="I10" i="5"/>
  <c r="J10" i="5" s="1"/>
  <c r="I24" i="5"/>
  <c r="J24" i="5" s="1"/>
  <c r="J16" i="5"/>
  <c r="I16" i="5"/>
  <c r="I8" i="5"/>
  <c r="J8" i="5" s="1"/>
  <c r="I130" i="5"/>
  <c r="J130" i="5" s="1"/>
  <c r="I122" i="5"/>
  <c r="J122" i="5" s="1"/>
  <c r="I114" i="5"/>
  <c r="J114" i="5" s="1"/>
  <c r="I106" i="5"/>
  <c r="J106" i="5" s="1"/>
  <c r="I98" i="5"/>
  <c r="J98" i="5" s="1"/>
  <c r="I90" i="5"/>
  <c r="J90" i="5" s="1"/>
  <c r="J82" i="5"/>
  <c r="I82" i="5"/>
  <c r="I74" i="5"/>
  <c r="J74" i="5" s="1"/>
  <c r="I66" i="5"/>
  <c r="J66" i="5" s="1"/>
  <c r="I58" i="5"/>
  <c r="J58" i="5" s="1"/>
  <c r="I50" i="5"/>
  <c r="J50" i="5" s="1"/>
  <c r="I42" i="5"/>
  <c r="J42" i="5" s="1"/>
  <c r="I34" i="5"/>
  <c r="J34" i="5" s="1"/>
  <c r="I141" i="5"/>
  <c r="J141" i="5" s="1"/>
  <c r="J133" i="5"/>
  <c r="I133" i="5"/>
  <c r="I156" i="5"/>
  <c r="J156" i="5" s="1"/>
  <c r="I148" i="5"/>
  <c r="J148" i="5" s="1"/>
  <c r="I181" i="5"/>
  <c r="J181" i="5" s="1"/>
  <c r="I173" i="5"/>
  <c r="J173" i="5" s="1"/>
  <c r="I165" i="5"/>
  <c r="J165" i="5" s="1"/>
  <c r="I207" i="5"/>
  <c r="J207" i="5" s="1"/>
  <c r="I199" i="5"/>
  <c r="J199" i="5" s="1"/>
  <c r="J191" i="5"/>
  <c r="I191" i="5"/>
  <c r="I753" i="5"/>
  <c r="J753" i="5" s="1"/>
  <c r="I745" i="5"/>
  <c r="J745" i="5" s="1"/>
  <c r="I737" i="5"/>
  <c r="J737" i="5" s="1"/>
  <c r="I729" i="5"/>
  <c r="J729" i="5" s="1"/>
  <c r="I721" i="5"/>
  <c r="J721" i="5" s="1"/>
  <c r="I713" i="5"/>
  <c r="J713" i="5" s="1"/>
  <c r="I705" i="5"/>
  <c r="J705" i="5" s="1"/>
  <c r="J697" i="5"/>
  <c r="I697" i="5"/>
  <c r="I689" i="5"/>
  <c r="J689" i="5" s="1"/>
  <c r="I681" i="5"/>
  <c r="J681" i="5" s="1"/>
  <c r="I673" i="5"/>
  <c r="J673" i="5" s="1"/>
  <c r="I665" i="5"/>
  <c r="J665" i="5" s="1"/>
  <c r="I657" i="5"/>
  <c r="J657" i="5" s="1"/>
  <c r="I649" i="5"/>
  <c r="J649" i="5" s="1"/>
  <c r="I641" i="5"/>
  <c r="J641" i="5" s="1"/>
  <c r="J633" i="5"/>
  <c r="I633" i="5"/>
  <c r="I625" i="5"/>
  <c r="J625" i="5" s="1"/>
  <c r="I617" i="5"/>
  <c r="J617" i="5" s="1"/>
  <c r="I609" i="5"/>
  <c r="J609" i="5" s="1"/>
  <c r="I601" i="5"/>
  <c r="J601" i="5" s="1"/>
  <c r="I593" i="5"/>
  <c r="J593" i="5" s="1"/>
  <c r="I585" i="5"/>
  <c r="J585" i="5" s="1"/>
  <c r="I577" i="5"/>
  <c r="J577" i="5" s="1"/>
  <c r="J569" i="5"/>
  <c r="I569" i="5"/>
  <c r="I561" i="5"/>
  <c r="J561" i="5" s="1"/>
  <c r="I553" i="5"/>
  <c r="J553" i="5" s="1"/>
  <c r="I545" i="5"/>
  <c r="J545" i="5" s="1"/>
  <c r="I537" i="5"/>
  <c r="J537" i="5" s="1"/>
  <c r="I529" i="5"/>
  <c r="J529" i="5" s="1"/>
  <c r="I521" i="5"/>
  <c r="J521" i="5" s="1"/>
  <c r="I513" i="5"/>
  <c r="J513" i="5" s="1"/>
  <c r="J505" i="5"/>
  <c r="I505" i="5"/>
  <c r="I497" i="5"/>
  <c r="J497" i="5" s="1"/>
  <c r="I489" i="5"/>
  <c r="J489" i="5" s="1"/>
  <c r="I481" i="5"/>
  <c r="J481" i="5" s="1"/>
  <c r="I473" i="5"/>
  <c r="J473" i="5" s="1"/>
  <c r="I465" i="5"/>
  <c r="J465" i="5" s="1"/>
  <c r="I457" i="5"/>
  <c r="J457" i="5" s="1"/>
  <c r="I449" i="5"/>
  <c r="J449" i="5" s="1"/>
  <c r="J441" i="5"/>
  <c r="I441" i="5"/>
  <c r="I433" i="5"/>
  <c r="J433" i="5" s="1"/>
  <c r="I425" i="5"/>
  <c r="J425" i="5" s="1"/>
  <c r="I417" i="5"/>
  <c r="J417" i="5" s="1"/>
  <c r="I409" i="5"/>
  <c r="J409" i="5" s="1"/>
  <c r="I401" i="5"/>
  <c r="J401" i="5" s="1"/>
  <c r="I393" i="5"/>
  <c r="J393" i="5" s="1"/>
  <c r="I385" i="5"/>
  <c r="J385" i="5" s="1"/>
  <c r="J377" i="5"/>
  <c r="I377" i="5"/>
  <c r="I369" i="5"/>
  <c r="J369" i="5" s="1"/>
  <c r="I361" i="5"/>
  <c r="J361" i="5" s="1"/>
  <c r="I353" i="5"/>
  <c r="J353" i="5" s="1"/>
  <c r="I345" i="5"/>
  <c r="J345" i="5" s="1"/>
  <c r="I337" i="5"/>
  <c r="J337" i="5" s="1"/>
  <c r="I329" i="5"/>
  <c r="J329" i="5" s="1"/>
  <c r="I321" i="5"/>
  <c r="J321" i="5" s="1"/>
  <c r="J313" i="5"/>
  <c r="I313" i="5"/>
  <c r="I305" i="5"/>
  <c r="J305" i="5" s="1"/>
  <c r="I297" i="5"/>
  <c r="J297" i="5" s="1"/>
  <c r="I289" i="5"/>
  <c r="J289" i="5" s="1"/>
  <c r="I280" i="5"/>
  <c r="J280" i="5" s="1"/>
  <c r="I272" i="5"/>
  <c r="J272" i="5" s="1"/>
  <c r="I264" i="5"/>
  <c r="J264" i="5" s="1"/>
  <c r="I256" i="5"/>
  <c r="J256" i="5" s="1"/>
  <c r="J248" i="5"/>
  <c r="I248" i="5"/>
  <c r="I240" i="5"/>
  <c r="J240" i="5" s="1"/>
  <c r="I232" i="5"/>
  <c r="J232" i="5" s="1"/>
  <c r="I224" i="5"/>
  <c r="J224" i="5" s="1"/>
  <c r="I216" i="5"/>
  <c r="J216" i="5" s="1"/>
  <c r="I21" i="5"/>
  <c r="J21" i="5" s="1"/>
  <c r="I95" i="5"/>
  <c r="J95" i="5" s="1"/>
  <c r="I31" i="5"/>
  <c r="J31" i="5" s="1"/>
  <c r="J212" i="5"/>
  <c r="I212" i="5"/>
  <c r="I702" i="5"/>
  <c r="J702" i="5" s="1"/>
  <c r="I646" i="5"/>
  <c r="J646" i="5" s="1"/>
  <c r="I614" i="5"/>
  <c r="J614" i="5" s="1"/>
  <c r="I542" i="5"/>
  <c r="J542" i="5" s="1"/>
  <c r="I26" i="5"/>
  <c r="J26" i="5" s="1"/>
  <c r="I23" i="5"/>
  <c r="J23" i="5" s="1"/>
  <c r="I15" i="5"/>
  <c r="J15" i="5" s="1"/>
  <c r="J7" i="5"/>
  <c r="I7" i="5"/>
  <c r="I129" i="5"/>
  <c r="J129" i="5" s="1"/>
  <c r="I121" i="5"/>
  <c r="J121" i="5" s="1"/>
  <c r="I113" i="5"/>
  <c r="J113" i="5" s="1"/>
  <c r="I105" i="5"/>
  <c r="J105" i="5" s="1"/>
  <c r="I97" i="5"/>
  <c r="J97" i="5" s="1"/>
  <c r="I89" i="5"/>
  <c r="J89" i="5" s="1"/>
  <c r="I81" i="5"/>
  <c r="J81" i="5" s="1"/>
  <c r="J73" i="5"/>
  <c r="I73" i="5"/>
  <c r="I65" i="5"/>
  <c r="J65" i="5" s="1"/>
  <c r="I57" i="5"/>
  <c r="J57" i="5" s="1"/>
  <c r="I49" i="5"/>
  <c r="J49" i="5" s="1"/>
  <c r="I41" i="5"/>
  <c r="J41" i="5" s="1"/>
  <c r="I33" i="5"/>
  <c r="J33" i="5" s="1"/>
  <c r="I140" i="5"/>
  <c r="J140" i="5" s="1"/>
  <c r="I132" i="5"/>
  <c r="J132" i="5" s="1"/>
  <c r="J155" i="5"/>
  <c r="I155" i="5"/>
  <c r="I147" i="5"/>
  <c r="J147" i="5" s="1"/>
  <c r="I180" i="5"/>
  <c r="J180" i="5" s="1"/>
  <c r="I172" i="5"/>
  <c r="J172" i="5" s="1"/>
  <c r="I164" i="5"/>
  <c r="J164" i="5" s="1"/>
  <c r="I206" i="5"/>
  <c r="J206" i="5" s="1"/>
  <c r="I198" i="5"/>
  <c r="J198" i="5" s="1"/>
  <c r="I190" i="5"/>
  <c r="J190" i="5" s="1"/>
  <c r="J752" i="5"/>
  <c r="I752" i="5"/>
  <c r="I744" i="5"/>
  <c r="J744" i="5" s="1"/>
  <c r="I736" i="5"/>
  <c r="J736" i="5" s="1"/>
  <c r="I728" i="5"/>
  <c r="J728" i="5" s="1"/>
  <c r="I720" i="5"/>
  <c r="J720" i="5" s="1"/>
  <c r="I712" i="5"/>
  <c r="J712" i="5" s="1"/>
  <c r="I704" i="5"/>
  <c r="J704" i="5" s="1"/>
  <c r="I696" i="5"/>
  <c r="J696" i="5" s="1"/>
  <c r="J688" i="5"/>
  <c r="I688" i="5"/>
  <c r="I680" i="5"/>
  <c r="J680" i="5" s="1"/>
  <c r="I672" i="5"/>
  <c r="J672" i="5" s="1"/>
  <c r="I664" i="5"/>
  <c r="J664" i="5" s="1"/>
  <c r="I656" i="5"/>
  <c r="J656" i="5" s="1"/>
  <c r="I648" i="5"/>
  <c r="J648" i="5" s="1"/>
  <c r="I640" i="5"/>
  <c r="J640" i="5" s="1"/>
  <c r="I632" i="5"/>
  <c r="J632" i="5" s="1"/>
  <c r="J624" i="5"/>
  <c r="I624" i="5"/>
  <c r="I616" i="5"/>
  <c r="J616" i="5" s="1"/>
  <c r="I608" i="5"/>
  <c r="J608" i="5" s="1"/>
  <c r="I600" i="5"/>
  <c r="J600" i="5" s="1"/>
  <c r="I592" i="5"/>
  <c r="J592" i="5" s="1"/>
  <c r="I584" i="5"/>
  <c r="J584" i="5" s="1"/>
  <c r="I576" i="5"/>
  <c r="J576" i="5" s="1"/>
  <c r="I568" i="5"/>
  <c r="J568" i="5" s="1"/>
  <c r="J560" i="5"/>
  <c r="I560" i="5"/>
  <c r="I552" i="5"/>
  <c r="J552" i="5" s="1"/>
  <c r="I544" i="5"/>
  <c r="J544" i="5" s="1"/>
  <c r="I536" i="5"/>
  <c r="J536" i="5" s="1"/>
  <c r="I528" i="5"/>
  <c r="J528" i="5" s="1"/>
  <c r="I520" i="5"/>
  <c r="J520" i="5" s="1"/>
  <c r="I512" i="5"/>
  <c r="J512" i="5" s="1"/>
  <c r="I504" i="5"/>
  <c r="J504" i="5" s="1"/>
  <c r="J496" i="5"/>
  <c r="I496" i="5"/>
  <c r="I488" i="5"/>
  <c r="J488" i="5" s="1"/>
  <c r="I480" i="5"/>
  <c r="J480" i="5" s="1"/>
  <c r="I472" i="5"/>
  <c r="J472" i="5" s="1"/>
  <c r="I464" i="5"/>
  <c r="J464" i="5" s="1"/>
  <c r="I456" i="5"/>
  <c r="J456" i="5" s="1"/>
  <c r="I448" i="5"/>
  <c r="J448" i="5" s="1"/>
  <c r="I440" i="5"/>
  <c r="J440" i="5" s="1"/>
  <c r="J432" i="5"/>
  <c r="I432" i="5"/>
  <c r="I424" i="5"/>
  <c r="J424" i="5" s="1"/>
  <c r="I416" i="5"/>
  <c r="J416" i="5" s="1"/>
  <c r="I408" i="5"/>
  <c r="J408" i="5" s="1"/>
  <c r="I400" i="5"/>
  <c r="J400" i="5" s="1"/>
  <c r="I392" i="5"/>
  <c r="J392" i="5" s="1"/>
  <c r="I384" i="5"/>
  <c r="J384" i="5" s="1"/>
  <c r="I376" i="5"/>
  <c r="J376" i="5" s="1"/>
  <c r="J368" i="5"/>
  <c r="I368" i="5"/>
  <c r="I360" i="5"/>
  <c r="J360" i="5" s="1"/>
  <c r="I352" i="5"/>
  <c r="J352" i="5" s="1"/>
  <c r="I344" i="5"/>
  <c r="J344" i="5" s="1"/>
  <c r="I336" i="5"/>
  <c r="J336" i="5" s="1"/>
  <c r="I328" i="5"/>
  <c r="J328" i="5" s="1"/>
  <c r="I320" i="5"/>
  <c r="J320" i="5" s="1"/>
  <c r="I312" i="5"/>
  <c r="J312" i="5" s="1"/>
  <c r="J304" i="5"/>
  <c r="I304" i="5"/>
  <c r="I296" i="5"/>
  <c r="J296" i="5" s="1"/>
  <c r="I288" i="5"/>
  <c r="J288" i="5" s="1"/>
  <c r="I279" i="5"/>
  <c r="J279" i="5" s="1"/>
  <c r="I271" i="5"/>
  <c r="J271" i="5" s="1"/>
  <c r="I263" i="5"/>
  <c r="J263" i="5" s="1"/>
  <c r="I255" i="5"/>
  <c r="J255" i="5" s="1"/>
  <c r="I247" i="5"/>
  <c r="J247" i="5" s="1"/>
  <c r="J239" i="5"/>
  <c r="I239" i="5"/>
  <c r="I231" i="5"/>
  <c r="J231" i="5" s="1"/>
  <c r="I223" i="5"/>
  <c r="J223" i="5" s="1"/>
  <c r="I215" i="5"/>
  <c r="J215" i="5" s="1"/>
  <c r="I87" i="5"/>
  <c r="J87" i="5" s="1"/>
  <c r="I161" i="5"/>
  <c r="J161" i="5" s="1"/>
  <c r="I188" i="5"/>
  <c r="J188" i="5" s="1"/>
  <c r="I686" i="5"/>
  <c r="J686" i="5" s="1"/>
  <c r="J574" i="5"/>
  <c r="I574" i="5"/>
  <c r="I22" i="5"/>
  <c r="J22" i="5" s="1"/>
  <c r="I14" i="5"/>
  <c r="J14" i="5" s="1"/>
  <c r="I6" i="5"/>
  <c r="J6" i="5" s="1"/>
  <c r="I128" i="5"/>
  <c r="J128" i="5" s="1"/>
  <c r="I120" i="5"/>
  <c r="J120" i="5" s="1"/>
  <c r="I112" i="5"/>
  <c r="J112" i="5" s="1"/>
  <c r="I104" i="5"/>
  <c r="J104" i="5" s="1"/>
  <c r="J96" i="5"/>
  <c r="I96" i="5"/>
  <c r="I88" i="5"/>
  <c r="J88" i="5" s="1"/>
  <c r="I80" i="5"/>
  <c r="J80" i="5" s="1"/>
  <c r="I72" i="5"/>
  <c r="J72" i="5" s="1"/>
  <c r="I64" i="5"/>
  <c r="J64" i="5" s="1"/>
  <c r="I56" i="5"/>
  <c r="J56" i="5" s="1"/>
  <c r="I48" i="5"/>
  <c r="J48" i="5" s="1"/>
  <c r="I40" i="5"/>
  <c r="J40" i="5" s="1"/>
  <c r="J32" i="5"/>
  <c r="I32" i="5"/>
  <c r="I139" i="5"/>
  <c r="J139" i="5" s="1"/>
  <c r="I162" i="5"/>
  <c r="J162" i="5" s="1"/>
  <c r="I154" i="5"/>
  <c r="J154" i="5" s="1"/>
  <c r="I146" i="5"/>
  <c r="J146" i="5" s="1"/>
  <c r="I179" i="5"/>
  <c r="J179" i="5" s="1"/>
  <c r="I171" i="5"/>
  <c r="J171" i="5" s="1"/>
  <c r="I163" i="5"/>
  <c r="J163" i="5" s="1"/>
  <c r="J205" i="5"/>
  <c r="I205" i="5"/>
  <c r="I197" i="5"/>
  <c r="J197" i="5" s="1"/>
  <c r="I189" i="5"/>
  <c r="J189" i="5" s="1"/>
  <c r="I751" i="5"/>
  <c r="J751" i="5" s="1"/>
  <c r="I743" i="5"/>
  <c r="J743" i="5" s="1"/>
  <c r="I735" i="5"/>
  <c r="J735" i="5" s="1"/>
  <c r="I727" i="5"/>
  <c r="J727" i="5" s="1"/>
  <c r="I719" i="5"/>
  <c r="J719" i="5" s="1"/>
  <c r="J711" i="5"/>
  <c r="I711" i="5"/>
  <c r="I703" i="5"/>
  <c r="J703" i="5" s="1"/>
  <c r="I695" i="5"/>
  <c r="J695" i="5" s="1"/>
  <c r="I687" i="5"/>
  <c r="J687" i="5" s="1"/>
  <c r="I679" i="5"/>
  <c r="J679" i="5" s="1"/>
  <c r="I671" i="5"/>
  <c r="J671" i="5" s="1"/>
  <c r="I663" i="5"/>
  <c r="J663" i="5" s="1"/>
  <c r="I655" i="5"/>
  <c r="J655" i="5" s="1"/>
  <c r="J647" i="5"/>
  <c r="I647" i="5"/>
  <c r="I639" i="5"/>
  <c r="J639" i="5" s="1"/>
  <c r="I631" i="5"/>
  <c r="J631" i="5" s="1"/>
  <c r="I623" i="5"/>
  <c r="J623" i="5" s="1"/>
  <c r="I615" i="5"/>
  <c r="J615" i="5" s="1"/>
  <c r="I607" i="5"/>
  <c r="J607" i="5" s="1"/>
  <c r="I599" i="5"/>
  <c r="J599" i="5" s="1"/>
  <c r="I591" i="5"/>
  <c r="J591" i="5" s="1"/>
  <c r="J583" i="5"/>
  <c r="I583" i="5"/>
  <c r="I575" i="5"/>
  <c r="J575" i="5" s="1"/>
  <c r="I567" i="5"/>
  <c r="J567" i="5" s="1"/>
  <c r="I559" i="5"/>
  <c r="J559" i="5" s="1"/>
  <c r="I551" i="5"/>
  <c r="J551" i="5" s="1"/>
  <c r="I543" i="5"/>
  <c r="J543" i="5" s="1"/>
  <c r="I535" i="5"/>
  <c r="J535" i="5" s="1"/>
  <c r="I527" i="5"/>
  <c r="J527" i="5" s="1"/>
  <c r="J519" i="5"/>
  <c r="I519" i="5"/>
  <c r="I511" i="5"/>
  <c r="J511" i="5" s="1"/>
  <c r="I503" i="5"/>
  <c r="J503" i="5" s="1"/>
  <c r="I495" i="5"/>
  <c r="J495" i="5" s="1"/>
  <c r="I487" i="5"/>
  <c r="J487" i="5" s="1"/>
  <c r="I479" i="5"/>
  <c r="J479" i="5" s="1"/>
  <c r="I471" i="5"/>
  <c r="J471" i="5" s="1"/>
  <c r="I463" i="5"/>
  <c r="J463" i="5" s="1"/>
  <c r="J455" i="5"/>
  <c r="I455" i="5"/>
  <c r="I447" i="5"/>
  <c r="J447" i="5" s="1"/>
  <c r="I439" i="5"/>
  <c r="J439" i="5" s="1"/>
  <c r="I431" i="5"/>
  <c r="J431" i="5" s="1"/>
  <c r="I423" i="5"/>
  <c r="J423" i="5" s="1"/>
  <c r="I415" i="5"/>
  <c r="J415" i="5" s="1"/>
  <c r="I407" i="5"/>
  <c r="J407" i="5" s="1"/>
  <c r="I399" i="5"/>
  <c r="J399" i="5" s="1"/>
  <c r="J391" i="5"/>
  <c r="I391" i="5"/>
  <c r="I383" i="5"/>
  <c r="J383" i="5" s="1"/>
  <c r="I375" i="5"/>
  <c r="J375" i="5" s="1"/>
  <c r="I367" i="5"/>
  <c r="J367" i="5" s="1"/>
  <c r="I359" i="5"/>
  <c r="J359" i="5" s="1"/>
  <c r="I351" i="5"/>
  <c r="J351" i="5" s="1"/>
  <c r="I343" i="5"/>
  <c r="J343" i="5" s="1"/>
  <c r="I335" i="5"/>
  <c r="J335" i="5" s="1"/>
  <c r="J327" i="5"/>
  <c r="I327" i="5"/>
  <c r="I319" i="5"/>
  <c r="J319" i="5" s="1"/>
  <c r="I311" i="5"/>
  <c r="J311" i="5" s="1"/>
  <c r="I303" i="5"/>
  <c r="J303" i="5" s="1"/>
  <c r="I295" i="5"/>
  <c r="J295" i="5" s="1"/>
  <c r="I287" i="5"/>
  <c r="J287" i="5" s="1"/>
  <c r="I278" i="5"/>
  <c r="J278" i="5" s="1"/>
  <c r="I270" i="5"/>
  <c r="J270" i="5" s="1"/>
  <c r="J262" i="5"/>
  <c r="I262" i="5"/>
  <c r="I254" i="5"/>
  <c r="J254" i="5" s="1"/>
  <c r="I246" i="5"/>
  <c r="J246" i="5" s="1"/>
  <c r="I238" i="5"/>
  <c r="J238" i="5" s="1"/>
  <c r="I230" i="5"/>
  <c r="J230" i="5" s="1"/>
  <c r="I222" i="5"/>
  <c r="J222" i="5" s="1"/>
  <c r="I214" i="5"/>
  <c r="J214" i="5" s="1"/>
  <c r="I119" i="5"/>
  <c r="J119" i="5" s="1"/>
  <c r="J71" i="5"/>
  <c r="I71" i="5"/>
  <c r="I153" i="5"/>
  <c r="J153" i="5" s="1"/>
  <c r="I750" i="5"/>
  <c r="J750" i="5" s="1"/>
  <c r="I694" i="5"/>
  <c r="J694" i="5" s="1"/>
  <c r="I638" i="5"/>
  <c r="J638" i="5" s="1"/>
  <c r="I582" i="5"/>
  <c r="J582" i="5" s="1"/>
  <c r="I566" i="5"/>
  <c r="J566" i="5" s="1"/>
  <c r="I558" i="5"/>
  <c r="J558" i="5" s="1"/>
  <c r="J534" i="5"/>
  <c r="I534" i="5"/>
  <c r="I518" i="5"/>
  <c r="J518" i="5" s="1"/>
  <c r="I502" i="5"/>
  <c r="J502" i="5" s="1"/>
  <c r="I486" i="5"/>
  <c r="J486" i="5" s="1"/>
  <c r="I478" i="5"/>
  <c r="J478" i="5" s="1"/>
  <c r="I470" i="5"/>
  <c r="J470" i="5" s="1"/>
  <c r="I462" i="5"/>
  <c r="J462" i="5" s="1"/>
  <c r="I454" i="5"/>
  <c r="J454" i="5" s="1"/>
  <c r="J446" i="5"/>
  <c r="I446" i="5"/>
  <c r="I438" i="5"/>
  <c r="J438" i="5" s="1"/>
  <c r="I430" i="5"/>
  <c r="J430" i="5" s="1"/>
  <c r="I422" i="5"/>
  <c r="J422" i="5" s="1"/>
  <c r="I414" i="5"/>
  <c r="J414" i="5" s="1"/>
  <c r="I406" i="5"/>
  <c r="J406" i="5" s="1"/>
  <c r="I398" i="5"/>
  <c r="J398" i="5" s="1"/>
  <c r="I390" i="5"/>
  <c r="J390" i="5" s="1"/>
  <c r="J382" i="5"/>
  <c r="I382" i="5"/>
  <c r="I374" i="5"/>
  <c r="J374" i="5" s="1"/>
  <c r="I366" i="5"/>
  <c r="J366" i="5" s="1"/>
  <c r="I358" i="5"/>
  <c r="J358" i="5" s="1"/>
  <c r="I350" i="5"/>
  <c r="J350" i="5" s="1"/>
  <c r="I342" i="5"/>
  <c r="J342" i="5" s="1"/>
  <c r="I334" i="5"/>
  <c r="J334" i="5" s="1"/>
  <c r="I326" i="5"/>
  <c r="J326" i="5" s="1"/>
  <c r="J318" i="5"/>
  <c r="I318" i="5"/>
  <c r="I310" i="5"/>
  <c r="J310" i="5" s="1"/>
  <c r="I302" i="5"/>
  <c r="J302" i="5" s="1"/>
  <c r="I294" i="5"/>
  <c r="J294" i="5" s="1"/>
  <c r="I286" i="5"/>
  <c r="J286" i="5" s="1"/>
  <c r="I277" i="5"/>
  <c r="J277" i="5" s="1"/>
  <c r="I269" i="5"/>
  <c r="J269" i="5" s="1"/>
  <c r="I261" i="5"/>
  <c r="J261" i="5" s="1"/>
  <c r="J253" i="5"/>
  <c r="I253" i="5"/>
  <c r="I245" i="5"/>
  <c r="J245" i="5" s="1"/>
  <c r="I237" i="5"/>
  <c r="J237" i="5" s="1"/>
  <c r="I229" i="5"/>
  <c r="J229" i="5" s="1"/>
  <c r="I221" i="5"/>
  <c r="J221" i="5" s="1"/>
  <c r="I213" i="5"/>
  <c r="J213" i="5" s="1"/>
  <c r="I103" i="5"/>
  <c r="J103" i="5" s="1"/>
  <c r="I39" i="5"/>
  <c r="J39" i="5" s="1"/>
  <c r="J170" i="5"/>
  <c r="I170" i="5"/>
  <c r="I726" i="5"/>
  <c r="J726" i="5" s="1"/>
  <c r="I678" i="5"/>
  <c r="J678" i="5" s="1"/>
  <c r="I630" i="5"/>
  <c r="J630" i="5" s="1"/>
  <c r="I494" i="5"/>
  <c r="J494" i="5" s="1"/>
  <c r="I20" i="5"/>
  <c r="J20" i="5" s="1"/>
  <c r="I12" i="5"/>
  <c r="J12" i="5" s="1"/>
  <c r="I4" i="5"/>
  <c r="J4" i="5" s="1"/>
  <c r="J126" i="5"/>
  <c r="I126" i="5"/>
  <c r="I118" i="5"/>
  <c r="J118" i="5" s="1"/>
  <c r="I110" i="5"/>
  <c r="J110" i="5" s="1"/>
  <c r="I102" i="5"/>
  <c r="J102" i="5" s="1"/>
  <c r="I94" i="5"/>
  <c r="J94" i="5" s="1"/>
  <c r="I86" i="5"/>
  <c r="J86" i="5" s="1"/>
  <c r="I78" i="5"/>
  <c r="J78" i="5" s="1"/>
  <c r="I70" i="5"/>
  <c r="J70" i="5" s="1"/>
  <c r="J62" i="5"/>
  <c r="I62" i="5"/>
  <c r="I54" i="5"/>
  <c r="J54" i="5" s="1"/>
  <c r="I46" i="5"/>
  <c r="J46" i="5" s="1"/>
  <c r="I38" i="5"/>
  <c r="J38" i="5" s="1"/>
  <c r="I30" i="5"/>
  <c r="J30" i="5" s="1"/>
  <c r="I137" i="5"/>
  <c r="J137" i="5" s="1"/>
  <c r="I160" i="5"/>
  <c r="J160" i="5" s="1"/>
  <c r="I152" i="5"/>
  <c r="J152" i="5" s="1"/>
  <c r="J144" i="5"/>
  <c r="I144" i="5"/>
  <c r="I177" i="5"/>
  <c r="J177" i="5" s="1"/>
  <c r="I169" i="5"/>
  <c r="J169" i="5" s="1"/>
  <c r="I211" i="5"/>
  <c r="J211" i="5" s="1"/>
  <c r="I203" i="5"/>
  <c r="J203" i="5" s="1"/>
  <c r="I195" i="5"/>
  <c r="J195" i="5" s="1"/>
  <c r="I187" i="5"/>
  <c r="J187" i="5" s="1"/>
  <c r="I749" i="5"/>
  <c r="J749" i="5" s="1"/>
  <c r="J741" i="5"/>
  <c r="I741" i="5"/>
  <c r="I733" i="5"/>
  <c r="J733" i="5" s="1"/>
  <c r="I725" i="5"/>
  <c r="J725" i="5" s="1"/>
  <c r="I717" i="5"/>
  <c r="J717" i="5" s="1"/>
  <c r="I709" i="5"/>
  <c r="J709" i="5" s="1"/>
  <c r="I701" i="5"/>
  <c r="J701" i="5" s="1"/>
  <c r="I693" i="5"/>
  <c r="J693" i="5" s="1"/>
  <c r="I685" i="5"/>
  <c r="J685" i="5" s="1"/>
  <c r="J677" i="5"/>
  <c r="I677" i="5"/>
  <c r="I669" i="5"/>
  <c r="J669" i="5" s="1"/>
  <c r="I661" i="5"/>
  <c r="J661" i="5" s="1"/>
  <c r="I653" i="5"/>
  <c r="J653" i="5" s="1"/>
  <c r="I645" i="5"/>
  <c r="J645" i="5" s="1"/>
  <c r="I637" i="5"/>
  <c r="J637" i="5" s="1"/>
  <c r="I629" i="5"/>
  <c r="J629" i="5" s="1"/>
  <c r="I621" i="5"/>
  <c r="J621" i="5" s="1"/>
  <c r="J613" i="5"/>
  <c r="I613" i="5"/>
  <c r="I605" i="5"/>
  <c r="J605" i="5" s="1"/>
  <c r="I597" i="5"/>
  <c r="J597" i="5" s="1"/>
  <c r="I589" i="5"/>
  <c r="J589" i="5" s="1"/>
  <c r="I581" i="5"/>
  <c r="J581" i="5" s="1"/>
  <c r="I573" i="5"/>
  <c r="J573" i="5" s="1"/>
  <c r="I565" i="5"/>
  <c r="J565" i="5" s="1"/>
  <c r="I557" i="5"/>
  <c r="J557" i="5" s="1"/>
  <c r="J549" i="5"/>
  <c r="I549" i="5"/>
  <c r="I541" i="5"/>
  <c r="J541" i="5" s="1"/>
  <c r="I533" i="5"/>
  <c r="J533" i="5" s="1"/>
  <c r="I525" i="5"/>
  <c r="J525" i="5" s="1"/>
  <c r="I517" i="5"/>
  <c r="J517" i="5" s="1"/>
  <c r="I509" i="5"/>
  <c r="J509" i="5" s="1"/>
  <c r="I501" i="5"/>
  <c r="J501" i="5" s="1"/>
  <c r="I493" i="5"/>
  <c r="J493" i="5" s="1"/>
  <c r="J485" i="5"/>
  <c r="I485" i="5"/>
  <c r="I477" i="5"/>
  <c r="J477" i="5" s="1"/>
  <c r="I469" i="5"/>
  <c r="J469" i="5" s="1"/>
  <c r="I461" i="5"/>
  <c r="J461" i="5" s="1"/>
  <c r="I453" i="5"/>
  <c r="J453" i="5" s="1"/>
  <c r="I445" i="5"/>
  <c r="J445" i="5" s="1"/>
  <c r="I437" i="5"/>
  <c r="J437" i="5" s="1"/>
  <c r="I429" i="5"/>
  <c r="J429" i="5" s="1"/>
  <c r="J421" i="5"/>
  <c r="I421" i="5"/>
  <c r="I413" i="5"/>
  <c r="J413" i="5" s="1"/>
  <c r="I405" i="5"/>
  <c r="J405" i="5" s="1"/>
  <c r="I397" i="5"/>
  <c r="J397" i="5" s="1"/>
  <c r="I389" i="5"/>
  <c r="J389" i="5" s="1"/>
  <c r="I381" i="5"/>
  <c r="J381" i="5" s="1"/>
  <c r="I373" i="5"/>
  <c r="J373" i="5" s="1"/>
  <c r="I365" i="5"/>
  <c r="J365" i="5" s="1"/>
  <c r="J357" i="5"/>
  <c r="I357" i="5"/>
  <c r="I349" i="5"/>
  <c r="J349" i="5" s="1"/>
  <c r="I341" i="5"/>
  <c r="J341" i="5" s="1"/>
  <c r="I333" i="5"/>
  <c r="J333" i="5" s="1"/>
  <c r="I325" i="5"/>
  <c r="J325" i="5" s="1"/>
  <c r="I317" i="5"/>
  <c r="J317" i="5" s="1"/>
  <c r="I309" i="5"/>
  <c r="J309" i="5" s="1"/>
  <c r="I301" i="5"/>
  <c r="J301" i="5" s="1"/>
  <c r="J293" i="5"/>
  <c r="I293" i="5"/>
  <c r="I285" i="5"/>
  <c r="J285" i="5" s="1"/>
  <c r="I276" i="5"/>
  <c r="J276" i="5" s="1"/>
  <c r="I268" i="5"/>
  <c r="J268" i="5" s="1"/>
  <c r="I260" i="5"/>
  <c r="J260" i="5" s="1"/>
  <c r="I252" i="5"/>
  <c r="J252" i="5" s="1"/>
  <c r="I244" i="5"/>
  <c r="J244" i="5" s="1"/>
  <c r="I236" i="5"/>
  <c r="J236" i="5" s="1"/>
  <c r="J228" i="5"/>
  <c r="I228" i="5"/>
  <c r="I220" i="5"/>
  <c r="J220" i="5" s="1"/>
  <c r="I5" i="5"/>
  <c r="J5" i="5" s="1"/>
  <c r="I63" i="5"/>
  <c r="J63" i="5" s="1"/>
  <c r="I178" i="5"/>
  <c r="J178" i="5" s="1"/>
  <c r="I742" i="5"/>
  <c r="J742" i="5" s="1"/>
  <c r="I670" i="5"/>
  <c r="J670" i="5" s="1"/>
  <c r="I622" i="5"/>
  <c r="J622" i="5" s="1"/>
  <c r="J510" i="5"/>
  <c r="I510" i="5"/>
  <c r="I27" i="5"/>
  <c r="J27" i="5" s="1"/>
  <c r="I19" i="5"/>
  <c r="J19" i="5" s="1"/>
  <c r="I11" i="5"/>
  <c r="J11" i="5" s="1"/>
  <c r="I3" i="5"/>
  <c r="J3" i="5" s="1"/>
  <c r="I125" i="5"/>
  <c r="J125" i="5" s="1"/>
  <c r="I117" i="5"/>
  <c r="J117" i="5" s="1"/>
  <c r="I109" i="5"/>
  <c r="J109" i="5" s="1"/>
  <c r="J101" i="5"/>
  <c r="I101" i="5"/>
  <c r="I93" i="5"/>
  <c r="J93" i="5" s="1"/>
  <c r="I85" i="5"/>
  <c r="J85" i="5" s="1"/>
  <c r="I77" i="5"/>
  <c r="J77" i="5" s="1"/>
  <c r="I69" i="5"/>
  <c r="J69" i="5" s="1"/>
  <c r="I61" i="5"/>
  <c r="J61" i="5" s="1"/>
  <c r="I53" i="5"/>
  <c r="J53" i="5" s="1"/>
  <c r="I45" i="5"/>
  <c r="J45" i="5" s="1"/>
  <c r="J37" i="5"/>
  <c r="I37" i="5"/>
  <c r="I29" i="5"/>
  <c r="J29" i="5" s="1"/>
  <c r="I136" i="5"/>
  <c r="J136" i="5" s="1"/>
  <c r="I159" i="5"/>
  <c r="J159" i="5" s="1"/>
  <c r="I151" i="5"/>
  <c r="J151" i="5" s="1"/>
  <c r="J143" i="5"/>
  <c r="I143" i="5"/>
  <c r="I176" i="5"/>
  <c r="J176" i="5" s="1"/>
  <c r="I168" i="5"/>
  <c r="J168" i="5" s="1"/>
  <c r="I210" i="5"/>
  <c r="J210" i="5" s="1"/>
  <c r="I202" i="5"/>
  <c r="J202" i="5" s="1"/>
  <c r="I194" i="5"/>
  <c r="J194" i="5" s="1"/>
  <c r="I186" i="5"/>
  <c r="J186" i="5" s="1"/>
  <c r="I748" i="5"/>
  <c r="J748" i="5" s="1"/>
  <c r="I740" i="5"/>
  <c r="J740" i="5" s="1"/>
  <c r="I732" i="5"/>
  <c r="J732" i="5" s="1"/>
  <c r="I724" i="5"/>
  <c r="J724" i="5" s="1"/>
  <c r="I716" i="5"/>
  <c r="J716" i="5" s="1"/>
  <c r="I708" i="5"/>
  <c r="J708" i="5" s="1"/>
  <c r="I700" i="5"/>
  <c r="J700" i="5" s="1"/>
  <c r="I692" i="5"/>
  <c r="J692" i="5" s="1"/>
  <c r="I684" i="5"/>
  <c r="J684" i="5" s="1"/>
  <c r="I676" i="5"/>
  <c r="J676" i="5" s="1"/>
  <c r="I668" i="5"/>
  <c r="J668" i="5" s="1"/>
  <c r="I660" i="5"/>
  <c r="J660" i="5" s="1"/>
  <c r="I652" i="5"/>
  <c r="J652" i="5" s="1"/>
  <c r="I644" i="5"/>
  <c r="J644" i="5" s="1"/>
  <c r="I636" i="5"/>
  <c r="J636" i="5" s="1"/>
  <c r="I628" i="5"/>
  <c r="J628" i="5" s="1"/>
  <c r="I620" i="5"/>
  <c r="J620" i="5" s="1"/>
  <c r="I612" i="5"/>
  <c r="J612" i="5" s="1"/>
  <c r="I604" i="5"/>
  <c r="J604" i="5" s="1"/>
  <c r="I596" i="5"/>
  <c r="J596" i="5" s="1"/>
  <c r="I588" i="5"/>
  <c r="J588" i="5" s="1"/>
  <c r="I580" i="5"/>
  <c r="J580" i="5" s="1"/>
  <c r="I572" i="5"/>
  <c r="J572" i="5" s="1"/>
  <c r="I564" i="5"/>
  <c r="J564" i="5" s="1"/>
  <c r="I556" i="5"/>
  <c r="J556" i="5" s="1"/>
  <c r="I548" i="5"/>
  <c r="J548" i="5" s="1"/>
  <c r="I540" i="5"/>
  <c r="J540" i="5" s="1"/>
  <c r="I532" i="5"/>
  <c r="J532" i="5" s="1"/>
  <c r="I524" i="5"/>
  <c r="J524" i="5" s="1"/>
  <c r="I516" i="5"/>
  <c r="J516" i="5" s="1"/>
  <c r="I508" i="5"/>
  <c r="J508" i="5" s="1"/>
  <c r="I500" i="5"/>
  <c r="J500" i="5" s="1"/>
  <c r="I492" i="5"/>
  <c r="J492" i="5" s="1"/>
  <c r="I484" i="5"/>
  <c r="J484" i="5" s="1"/>
  <c r="I476" i="5"/>
  <c r="J476" i="5" s="1"/>
  <c r="I468" i="5"/>
  <c r="J468" i="5" s="1"/>
  <c r="I460" i="5"/>
  <c r="J460" i="5" s="1"/>
  <c r="I452" i="5"/>
  <c r="J452" i="5" s="1"/>
  <c r="I444" i="5"/>
  <c r="J444" i="5" s="1"/>
  <c r="I436" i="5"/>
  <c r="J436" i="5" s="1"/>
  <c r="I428" i="5"/>
  <c r="J428" i="5" s="1"/>
  <c r="I420" i="5"/>
  <c r="J420" i="5" s="1"/>
  <c r="I412" i="5"/>
  <c r="J412" i="5" s="1"/>
  <c r="I404" i="5"/>
  <c r="J404" i="5" s="1"/>
  <c r="I396" i="5"/>
  <c r="J396" i="5" s="1"/>
  <c r="I388" i="5"/>
  <c r="J388" i="5" s="1"/>
  <c r="I380" i="5"/>
  <c r="J380" i="5" s="1"/>
  <c r="I372" i="5"/>
  <c r="J372" i="5" s="1"/>
  <c r="I364" i="5"/>
  <c r="J364" i="5" s="1"/>
  <c r="I356" i="5"/>
  <c r="J356" i="5" s="1"/>
  <c r="I348" i="5"/>
  <c r="J348" i="5" s="1"/>
  <c r="I340" i="5"/>
  <c r="J340" i="5" s="1"/>
  <c r="I332" i="5"/>
  <c r="J332" i="5" s="1"/>
  <c r="I324" i="5"/>
  <c r="J324" i="5" s="1"/>
  <c r="I316" i="5"/>
  <c r="J316" i="5" s="1"/>
  <c r="I308" i="5"/>
  <c r="J308" i="5" s="1"/>
  <c r="I300" i="5"/>
  <c r="J300" i="5" s="1"/>
  <c r="I292" i="5"/>
  <c r="J292" i="5" s="1"/>
  <c r="I284" i="5"/>
  <c r="J284" i="5" s="1"/>
  <c r="I275" i="5"/>
  <c r="J275" i="5" s="1"/>
  <c r="I267" i="5"/>
  <c r="J267" i="5" s="1"/>
  <c r="I259" i="5"/>
  <c r="J259" i="5" s="1"/>
  <c r="I251" i="5"/>
  <c r="J251" i="5" s="1"/>
  <c r="I243" i="5"/>
  <c r="J243" i="5" s="1"/>
  <c r="I235" i="5"/>
  <c r="J235" i="5" s="1"/>
  <c r="I227" i="5"/>
  <c r="J227" i="5" s="1"/>
  <c r="I219" i="5"/>
  <c r="J219" i="5" s="1"/>
  <c r="J2" i="5"/>
  <c r="E4929" i="1"/>
  <c r="E4918" i="1"/>
  <c r="E4859" i="1"/>
  <c r="E4860" i="1"/>
  <c r="E4856" i="1"/>
  <c r="E4857" i="1"/>
  <c r="E4855" i="1"/>
  <c r="E4850" i="1"/>
  <c r="E4851" i="1"/>
  <c r="E4852" i="1"/>
  <c r="E4756" i="1"/>
  <c r="E4750" i="1"/>
  <c r="E4742" i="1"/>
  <c r="E4743" i="1"/>
  <c r="E4744" i="1"/>
  <c r="E4745" i="1"/>
  <c r="E4746" i="1"/>
  <c r="E4747" i="1"/>
  <c r="E4748" i="1"/>
  <c r="E4739" i="1"/>
  <c r="E4740" i="1"/>
  <c r="E4706" i="1"/>
  <c r="E4668" i="1"/>
  <c r="E4656" i="1"/>
  <c r="E4632" i="1"/>
  <c r="E4633" i="1"/>
  <c r="E4626" i="1"/>
  <c r="E4627" i="1"/>
  <c r="E4419" i="1"/>
  <c r="E4395" i="1"/>
  <c r="E4396" i="1"/>
  <c r="E4397" i="1"/>
  <c r="E4398" i="1"/>
  <c r="E4331" i="1"/>
  <c r="E4245" i="1"/>
  <c r="E4246" i="1"/>
  <c r="E4247" i="1"/>
  <c r="E4227" i="1"/>
  <c r="E4228" i="1"/>
  <c r="E4229" i="1"/>
  <c r="E4230" i="1"/>
  <c r="E4213" i="1"/>
  <c r="E4185" i="1"/>
  <c r="E4114" i="1"/>
  <c r="E4113" i="1"/>
  <c r="E4112" i="1"/>
  <c r="E4111" i="1"/>
  <c r="E4110" i="1"/>
  <c r="E4109" i="1"/>
  <c r="E4108" i="1"/>
  <c r="E4107" i="1"/>
  <c r="E4106" i="1"/>
  <c r="E4105" i="1"/>
  <c r="E4104" i="1"/>
  <c r="E4115" i="1"/>
  <c r="E4117" i="1"/>
  <c r="E4116" i="1"/>
  <c r="E4118" i="1"/>
  <c r="E4067" i="1"/>
  <c r="E4044" i="1"/>
  <c r="E4045" i="1"/>
  <c r="E4033" i="1"/>
  <c r="E4034" i="1"/>
  <c r="E4027" i="1"/>
  <c r="E4002" i="1"/>
  <c r="E4003" i="1"/>
  <c r="E4004" i="1"/>
  <c r="E3976" i="1"/>
  <c r="E3941" i="1"/>
  <c r="E3924" i="1"/>
  <c r="E3925" i="1"/>
  <c r="E3926" i="1"/>
  <c r="E3911" i="1"/>
  <c r="E3908" i="1"/>
  <c r="E3819" i="1"/>
  <c r="E3820" i="1"/>
  <c r="E3821" i="1"/>
  <c r="E3815" i="1"/>
  <c r="E3816" i="1"/>
  <c r="E3817" i="1"/>
  <c r="E3818" i="1"/>
  <c r="E3653" i="1"/>
  <c r="E3654" i="1"/>
  <c r="E3600" i="1"/>
  <c r="E3581" i="1"/>
  <c r="E3536" i="1"/>
  <c r="E3533" i="1"/>
  <c r="E3534" i="1"/>
  <c r="E3512" i="1"/>
  <c r="E3473" i="1"/>
  <c r="E3474" i="1"/>
  <c r="E3475" i="1"/>
  <c r="E3409" i="1"/>
  <c r="E3410" i="1"/>
  <c r="E3395" i="1"/>
  <c r="E3331" i="1"/>
  <c r="E3328" i="1"/>
  <c r="E3288" i="1"/>
  <c r="E3259" i="1"/>
  <c r="E3260" i="1"/>
  <c r="E3234" i="1"/>
  <c r="E3224" i="1"/>
  <c r="E3225" i="1"/>
  <c r="E3221" i="1"/>
  <c r="E3211" i="1"/>
  <c r="E3206" i="1"/>
  <c r="E3207" i="1"/>
  <c r="E3208" i="1"/>
  <c r="E3209" i="1"/>
  <c r="E3031" i="1"/>
  <c r="E3032" i="1"/>
  <c r="E3033" i="1"/>
  <c r="E3034" i="1"/>
  <c r="E3035" i="1"/>
  <c r="E3036" i="1"/>
  <c r="E3037" i="1"/>
  <c r="E2731" i="1"/>
  <c r="E2732" i="1"/>
  <c r="E2709" i="1"/>
  <c r="E2710" i="1"/>
  <c r="E2694" i="1"/>
  <c r="E2695" i="1"/>
  <c r="E2696" i="1"/>
  <c r="E2697" i="1"/>
  <c r="E2698" i="1"/>
  <c r="E2699" i="1"/>
  <c r="E2700" i="1"/>
  <c r="E2701" i="1"/>
  <c r="E2702" i="1"/>
  <c r="E2703" i="1"/>
  <c r="E2637" i="1"/>
  <c r="E2635" i="1"/>
  <c r="E2619" i="1"/>
  <c r="E2620" i="1"/>
  <c r="E2588" i="1"/>
  <c r="E3413" i="1"/>
  <c r="E3414" i="1"/>
  <c r="E2577" i="1"/>
  <c r="E2578" i="1"/>
  <c r="E2544" i="1"/>
  <c r="E2540" i="1"/>
  <c r="E2389" i="1"/>
  <c r="E2390" i="1"/>
  <c r="E2391" i="1"/>
  <c r="E2387" i="1"/>
  <c r="E2639" i="1"/>
  <c r="E2640" i="1"/>
  <c r="E2641" i="1"/>
  <c r="E2642" i="1"/>
  <c r="E2643" i="1"/>
  <c r="E2644" i="1"/>
  <c r="E2645" i="1"/>
  <c r="E2646" i="1"/>
  <c r="E2647" i="1"/>
  <c r="E2375" i="1"/>
  <c r="E2376" i="1"/>
  <c r="E2377" i="1"/>
  <c r="E2378" i="1"/>
  <c r="E2379" i="1"/>
  <c r="E2380" i="1"/>
  <c r="E2381" i="1"/>
  <c r="E2382" i="1"/>
  <c r="E2383" i="1"/>
  <c r="E4693" i="1"/>
  <c r="E4694" i="1"/>
  <c r="E4695" i="1"/>
  <c r="E4696" i="1"/>
  <c r="E4697" i="1"/>
  <c r="E4123" i="1"/>
  <c r="E4124" i="1"/>
  <c r="E4125" i="1"/>
  <c r="E4126" i="1"/>
  <c r="E4127" i="1"/>
  <c r="E2342" i="1"/>
  <c r="E2343" i="1"/>
  <c r="E2344" i="1"/>
  <c r="E2345" i="1"/>
  <c r="E670" i="1"/>
  <c r="E671" i="1"/>
  <c r="E672" i="1"/>
  <c r="E673" i="1"/>
  <c r="E674" i="1"/>
  <c r="E2247" i="1"/>
  <c r="E2248" i="1"/>
  <c r="E2249" i="1"/>
  <c r="E2250" i="1"/>
  <c r="E2104" i="1"/>
  <c r="E2105" i="1"/>
  <c r="E2106" i="1"/>
  <c r="E2107" i="1"/>
  <c r="E2072" i="1"/>
  <c r="E2073" i="1"/>
  <c r="E2074" i="1"/>
  <c r="E2075" i="1"/>
  <c r="E2076" i="1"/>
  <c r="E2077" i="1"/>
  <c r="E2078" i="1"/>
  <c r="E2217" i="1"/>
  <c r="E2213" i="1"/>
  <c r="E2187" i="1"/>
  <c r="E2184" i="1"/>
  <c r="E1993" i="1"/>
  <c r="E1981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1864" i="1"/>
  <c r="E1863" i="1"/>
  <c r="E1862" i="1"/>
  <c r="E1861" i="1"/>
  <c r="E1860" i="1"/>
  <c r="E1859" i="1"/>
  <c r="E1858" i="1"/>
  <c r="E1857" i="1"/>
  <c r="E1856" i="1"/>
  <c r="E1855" i="1"/>
  <c r="E1865" i="1"/>
  <c r="E1866" i="1"/>
  <c r="E1867" i="1"/>
  <c r="E1868" i="1"/>
  <c r="E1869" i="1"/>
  <c r="E1870" i="1"/>
  <c r="E1871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17" i="1"/>
  <c r="E1816" i="1"/>
  <c r="E1815" i="1"/>
  <c r="E1786" i="1"/>
  <c r="E1747" i="1"/>
  <c r="E1731" i="1"/>
  <c r="E1730" i="1"/>
  <c r="E1729" i="1"/>
  <c r="E1728" i="1"/>
  <c r="E1727" i="1"/>
  <c r="E1610" i="1"/>
  <c r="E1528" i="1"/>
  <c r="E1529" i="1"/>
  <c r="E1530" i="1"/>
  <c r="E1531" i="1"/>
  <c r="E1532" i="1"/>
  <c r="E1533" i="1"/>
  <c r="E1534" i="1"/>
  <c r="E1535" i="1"/>
  <c r="E1536" i="1"/>
  <c r="E1537" i="1"/>
  <c r="E1538" i="1"/>
  <c r="E1491" i="1"/>
  <c r="E1492" i="1"/>
  <c r="E1450" i="1"/>
  <c r="E1451" i="1"/>
  <c r="E1452" i="1"/>
  <c r="E1453" i="1"/>
  <c r="E1381" i="1"/>
  <c r="E1382" i="1"/>
  <c r="E1383" i="1"/>
  <c r="E1384" i="1"/>
  <c r="E1347" i="1"/>
  <c r="E1348" i="1"/>
  <c r="E1281" i="1"/>
  <c r="E1282" i="1"/>
  <c r="E1280" i="1"/>
  <c r="E1225" i="1"/>
  <c r="E1226" i="1"/>
  <c r="E1142" i="1"/>
  <c r="E1134" i="1"/>
  <c r="E1135" i="1"/>
  <c r="E1136" i="1"/>
  <c r="E1137" i="1"/>
  <c r="E1044" i="1"/>
  <c r="E2594" i="1"/>
  <c r="E3122" i="1"/>
  <c r="E1034" i="1"/>
  <c r="E988" i="1"/>
  <c r="E989" i="1"/>
  <c r="E990" i="1"/>
  <c r="E991" i="1"/>
  <c r="E992" i="1"/>
  <c r="E985" i="1"/>
  <c r="E933" i="1"/>
  <c r="E934" i="1"/>
  <c r="E898" i="1"/>
  <c r="E899" i="1"/>
  <c r="E900" i="1"/>
  <c r="E901" i="1"/>
  <c r="E902" i="1"/>
  <c r="E892" i="1"/>
  <c r="E893" i="1"/>
  <c r="E894" i="1"/>
  <c r="E895" i="1"/>
  <c r="E896" i="1"/>
  <c r="E888" i="1"/>
  <c r="E874" i="1"/>
  <c r="E875" i="1"/>
  <c r="E876" i="1"/>
  <c r="E877" i="1"/>
  <c r="E878" i="1"/>
  <c r="E879" i="1"/>
  <c r="E3471" i="1"/>
  <c r="E869" i="1"/>
  <c r="E870" i="1"/>
  <c r="E871" i="1"/>
  <c r="E791" i="1"/>
  <c r="E790" i="1"/>
  <c r="E3639" i="1"/>
  <c r="E709" i="1"/>
  <c r="E698" i="1"/>
  <c r="E695" i="1"/>
  <c r="E685" i="1"/>
  <c r="E686" i="1"/>
  <c r="E156" i="1"/>
  <c r="E155" i="1"/>
  <c r="E154" i="1"/>
  <c r="E153" i="1"/>
  <c r="E152" i="1"/>
  <c r="E659" i="1"/>
  <c r="E660" i="1"/>
  <c r="E652" i="1"/>
  <c r="E653" i="1"/>
  <c r="E654" i="1"/>
  <c r="E655" i="1"/>
  <c r="E656" i="1"/>
  <c r="E657" i="1"/>
  <c r="E645" i="1"/>
  <c r="E646" i="1"/>
  <c r="E647" i="1"/>
  <c r="E648" i="1"/>
  <c r="E649" i="1"/>
  <c r="E650" i="1"/>
  <c r="E644" i="1"/>
  <c r="E633" i="1"/>
  <c r="E634" i="1"/>
  <c r="E630" i="1"/>
  <c r="E631" i="1"/>
  <c r="E624" i="1"/>
  <c r="E625" i="1"/>
  <c r="E626" i="1"/>
  <c r="E627" i="1"/>
  <c r="E526" i="1"/>
  <c r="E527" i="1"/>
  <c r="E528" i="1"/>
  <c r="E529" i="1"/>
  <c r="E530" i="1"/>
  <c r="E467" i="1"/>
  <c r="E466" i="1"/>
  <c r="E461" i="1"/>
  <c r="E442" i="1"/>
  <c r="E443" i="1"/>
  <c r="E444" i="1"/>
  <c r="E445" i="1"/>
  <c r="E441" i="1"/>
  <c r="E439" i="1"/>
  <c r="E438" i="1"/>
  <c r="E419" i="1"/>
  <c r="E4261" i="1"/>
  <c r="E4260" i="1"/>
  <c r="E4100" i="1"/>
  <c r="E4101" i="1"/>
  <c r="E303" i="1"/>
  <c r="E304" i="1"/>
  <c r="E287" i="1"/>
  <c r="E286" i="1"/>
  <c r="E285" i="1"/>
  <c r="E284" i="1"/>
  <c r="E283" i="1"/>
  <c r="E276" i="1"/>
  <c r="E277" i="1"/>
  <c r="E278" i="1"/>
  <c r="E279" i="1"/>
  <c r="E280" i="1"/>
  <c r="E268" i="1"/>
  <c r="E269" i="1"/>
  <c r="E181" i="1"/>
  <c r="E261" i="1"/>
  <c r="E262" i="1"/>
  <c r="E255" i="1"/>
  <c r="E205" i="1"/>
  <c r="E199" i="1"/>
  <c r="E196" i="1"/>
  <c r="E197" i="1"/>
  <c r="E192" i="1"/>
  <c r="E131" i="1"/>
  <c r="E103" i="1"/>
  <c r="E88" i="1"/>
  <c r="E86" i="1"/>
  <c r="E69" i="1"/>
  <c r="F3378" i="1"/>
  <c r="F3377" i="1"/>
  <c r="E3377" i="1"/>
  <c r="F1485" i="1"/>
  <c r="F1484" i="1"/>
  <c r="E1484" i="1"/>
  <c r="E65" i="1"/>
  <c r="E59" i="1"/>
  <c r="E19" i="1"/>
  <c r="E986" i="1"/>
  <c r="E993" i="1"/>
  <c r="E999" i="1"/>
  <c r="E1033" i="1"/>
  <c r="E1038" i="1"/>
  <c r="E1045" i="1"/>
  <c r="E1047" i="1"/>
  <c r="E1048" i="1"/>
  <c r="E1049" i="1"/>
  <c r="E1133" i="1"/>
  <c r="E1138" i="1"/>
  <c r="E1140" i="1"/>
  <c r="E1141" i="1"/>
  <c r="E1143" i="1"/>
  <c r="E1158" i="1"/>
  <c r="E1163" i="1"/>
  <c r="E1176" i="1"/>
  <c r="E1184" i="1"/>
  <c r="E1185" i="1"/>
  <c r="E1227" i="1"/>
  <c r="E1234" i="1"/>
  <c r="E1240" i="1"/>
  <c r="E1283" i="1"/>
  <c r="E1308" i="1"/>
  <c r="E1324" i="1"/>
  <c r="E1330" i="1"/>
  <c r="E1338" i="1"/>
  <c r="E1346" i="1"/>
  <c r="E1349" i="1"/>
  <c r="E1358" i="1"/>
  <c r="E1385" i="1"/>
  <c r="E1387" i="1"/>
  <c r="E1392" i="1"/>
  <c r="E1393" i="1"/>
  <c r="E1454" i="1"/>
  <c r="E1473" i="1"/>
  <c r="E1485" i="1"/>
  <c r="E1504" i="1"/>
  <c r="E1508" i="1"/>
  <c r="E1539" i="1"/>
  <c r="E1550" i="1"/>
  <c r="E1611" i="1"/>
  <c r="E1613" i="1"/>
  <c r="E1615" i="1"/>
  <c r="E1616" i="1"/>
  <c r="E1671" i="1"/>
  <c r="E1720" i="1"/>
  <c r="E1722" i="1"/>
  <c r="E1724" i="1"/>
  <c r="E1726" i="1"/>
  <c r="E1748" i="1"/>
  <c r="E1757" i="1"/>
  <c r="E1787" i="1"/>
  <c r="E1814" i="1"/>
  <c r="E1820" i="1"/>
  <c r="E1823" i="1"/>
  <c r="E1854" i="1"/>
  <c r="E1872" i="1"/>
  <c r="E1883" i="1"/>
  <c r="E1901" i="1"/>
  <c r="E1907" i="1"/>
  <c r="E1908" i="1"/>
  <c r="E1954" i="1"/>
  <c r="E1976" i="1"/>
  <c r="E1977" i="1"/>
  <c r="E1982" i="1"/>
  <c r="E1994" i="1"/>
  <c r="E2012" i="1"/>
  <c r="E2037" i="1"/>
  <c r="E2053" i="1"/>
  <c r="E2071" i="1"/>
  <c r="E2079" i="1"/>
  <c r="E2108" i="1"/>
  <c r="E2139" i="1"/>
  <c r="E2149" i="1"/>
  <c r="E2185" i="1"/>
  <c r="E2188" i="1"/>
  <c r="E2192" i="1"/>
  <c r="E2214" i="1"/>
  <c r="E2215" i="1"/>
  <c r="E2218" i="1"/>
  <c r="E2219" i="1"/>
  <c r="E2251" i="1"/>
  <c r="E2261" i="1"/>
  <c r="E2291" i="1"/>
  <c r="E2303" i="1"/>
  <c r="E2346" i="1"/>
  <c r="E2355" i="1"/>
  <c r="E2356" i="1"/>
  <c r="E2371" i="1"/>
  <c r="E2384" i="1"/>
  <c r="E2388" i="1"/>
  <c r="E2392" i="1"/>
  <c r="E2419" i="1"/>
  <c r="E2435" i="1"/>
  <c r="E2465" i="1"/>
  <c r="E2468" i="1"/>
  <c r="E2478" i="1"/>
  <c r="E2500" i="1"/>
  <c r="E2521" i="1"/>
  <c r="E2539" i="1"/>
  <c r="E2541" i="1"/>
  <c r="E2542" i="1"/>
  <c r="E2545" i="1"/>
  <c r="E2548" i="1"/>
  <c r="E2579" i="1"/>
  <c r="E2586" i="1"/>
  <c r="E2589" i="1"/>
  <c r="E2593" i="1"/>
  <c r="E2601" i="1"/>
  <c r="E2612" i="1"/>
  <c r="E2613" i="1"/>
  <c r="E2621" i="1"/>
  <c r="E2623" i="1"/>
  <c r="E2636" i="1"/>
  <c r="E2638" i="1"/>
  <c r="E2648" i="1"/>
  <c r="E2651" i="1"/>
  <c r="E2656" i="1"/>
  <c r="E2673" i="1"/>
  <c r="E2680" i="1"/>
  <c r="E2684" i="1"/>
  <c r="E2686" i="1"/>
  <c r="E2704" i="1"/>
  <c r="E2707" i="1"/>
  <c r="E2711" i="1"/>
  <c r="E2730" i="1"/>
  <c r="E2733" i="1"/>
  <c r="E2934" i="1"/>
  <c r="E2965" i="1"/>
  <c r="E3001" i="1"/>
  <c r="E3002" i="1"/>
  <c r="E3015" i="1"/>
  <c r="E3038" i="1"/>
  <c r="E3041" i="1"/>
  <c r="E3073" i="1"/>
  <c r="E3100" i="1"/>
  <c r="E3107" i="1"/>
  <c r="E3111" i="1"/>
  <c r="E3123" i="1"/>
  <c r="E3142" i="1"/>
  <c r="E3144" i="1"/>
  <c r="E3210" i="1"/>
  <c r="E3212" i="1"/>
  <c r="E3213" i="1"/>
  <c r="E3222" i="1"/>
  <c r="E3226" i="1"/>
  <c r="E3235" i="1"/>
  <c r="E3261" i="1"/>
  <c r="E3275" i="1"/>
  <c r="E3279" i="1"/>
  <c r="E3289" i="1"/>
  <c r="E3292" i="1"/>
  <c r="E3311" i="1"/>
  <c r="E3312" i="1"/>
  <c r="E3313" i="1"/>
  <c r="E3329" i="1"/>
  <c r="E3330" i="1"/>
  <c r="E3332" i="1"/>
  <c r="E3333" i="1"/>
  <c r="E3358" i="1"/>
  <c r="E3359" i="1"/>
  <c r="E3378" i="1"/>
  <c r="E3394" i="1"/>
  <c r="E3396" i="1"/>
  <c r="E3402" i="1"/>
  <c r="E3406" i="1"/>
  <c r="E3407" i="1"/>
  <c r="E3411" i="1"/>
  <c r="E3415" i="1"/>
  <c r="E3421" i="1"/>
  <c r="E3443" i="1"/>
  <c r="E3472" i="1"/>
  <c r="E3476" i="1"/>
  <c r="E3491" i="1"/>
  <c r="E3535" i="1"/>
  <c r="E3537" i="1"/>
  <c r="E3582" i="1"/>
  <c r="E3601" i="1"/>
  <c r="E3611" i="1"/>
  <c r="E3615" i="1"/>
  <c r="E3640" i="1"/>
  <c r="E3643" i="1"/>
  <c r="E3661" i="1"/>
  <c r="E3761" i="1"/>
  <c r="E3796" i="1"/>
  <c r="E3797" i="1"/>
  <c r="E3822" i="1"/>
  <c r="E3824" i="1"/>
  <c r="E3834" i="1"/>
  <c r="E3881" i="1"/>
  <c r="E3901" i="1"/>
  <c r="E3909" i="1"/>
  <c r="E3912" i="1"/>
  <c r="E3927" i="1"/>
  <c r="E3942" i="1"/>
  <c r="E3965" i="1"/>
  <c r="E3987" i="1"/>
  <c r="E3996" i="1"/>
  <c r="E3999" i="1"/>
  <c r="E4005" i="1"/>
  <c r="E4010" i="1"/>
  <c r="E4028" i="1"/>
  <c r="E4035" i="1"/>
  <c r="E4046" i="1"/>
  <c r="E4049" i="1"/>
  <c r="E4056" i="1"/>
  <c r="E4060" i="1"/>
  <c r="E4068" i="1"/>
  <c r="E4099" i="1"/>
  <c r="E4102" i="1"/>
  <c r="E4119" i="1"/>
  <c r="E4128" i="1"/>
  <c r="E4149" i="1"/>
  <c r="E4156" i="1"/>
  <c r="E4158" i="1"/>
  <c r="E4186" i="1"/>
  <c r="E4214" i="1"/>
  <c r="E4235" i="1"/>
  <c r="E4248" i="1"/>
  <c r="E4253" i="1"/>
  <c r="E4262" i="1"/>
  <c r="E4280" i="1"/>
  <c r="E4328" i="1"/>
  <c r="E4399" i="1"/>
  <c r="E4417" i="1"/>
  <c r="E4420" i="1"/>
  <c r="E4442" i="1"/>
  <c r="E4489" i="1"/>
  <c r="E4504" i="1"/>
  <c r="E4569" i="1"/>
  <c r="E4571" i="1"/>
  <c r="E4573" i="1"/>
  <c r="E4608" i="1"/>
  <c r="E4620" i="1"/>
  <c r="E4628" i="1"/>
  <c r="E4634" i="1"/>
  <c r="E4642" i="1"/>
  <c r="E4653" i="1"/>
  <c r="E4657" i="1"/>
  <c r="E4669" i="1"/>
  <c r="E4670" i="1"/>
  <c r="E4671" i="1"/>
  <c r="E4678" i="1"/>
  <c r="E4692" i="1"/>
  <c r="E4698" i="1"/>
  <c r="E4701" i="1"/>
  <c r="E4702" i="1"/>
  <c r="E4707" i="1"/>
  <c r="E4741" i="1"/>
  <c r="E4749" i="1"/>
  <c r="E4751" i="1"/>
  <c r="E4757" i="1"/>
  <c r="E4759" i="1"/>
  <c r="E4762" i="1"/>
  <c r="E4763" i="1"/>
  <c r="E4765" i="1"/>
  <c r="E4766" i="1"/>
  <c r="E4794" i="1"/>
  <c r="E4795" i="1"/>
  <c r="E4830" i="1"/>
  <c r="E4831" i="1"/>
  <c r="E4853" i="1"/>
  <c r="E4854" i="1"/>
  <c r="E4858" i="1"/>
  <c r="E4861" i="1"/>
  <c r="E4862" i="1"/>
  <c r="E4914" i="1"/>
  <c r="E4919" i="1"/>
  <c r="E4930" i="1"/>
  <c r="E4937" i="1"/>
  <c r="E4952" i="1"/>
  <c r="E4957" i="1"/>
  <c r="E20" i="1"/>
  <c r="E35" i="1"/>
  <c r="E58" i="1"/>
  <c r="E66" i="1"/>
  <c r="E70" i="1"/>
  <c r="E81" i="1"/>
  <c r="E83" i="1"/>
  <c r="E87" i="1"/>
  <c r="E89" i="1"/>
  <c r="E91" i="1"/>
  <c r="E93" i="1"/>
  <c r="E102" i="1"/>
  <c r="E112" i="1"/>
  <c r="E139" i="1"/>
  <c r="E148" i="1"/>
  <c r="E149" i="1"/>
  <c r="E157" i="1"/>
  <c r="E162" i="1"/>
  <c r="E177" i="1"/>
  <c r="E201" i="1"/>
  <c r="E203" i="1"/>
  <c r="E207" i="1"/>
  <c r="E222" i="1"/>
  <c r="E256" i="1"/>
  <c r="E265" i="1"/>
  <c r="E266" i="1"/>
  <c r="E270" i="1"/>
  <c r="E281" i="1"/>
  <c r="E282" i="1"/>
  <c r="E293" i="1"/>
  <c r="E305" i="1"/>
  <c r="E412" i="1"/>
  <c r="E423" i="1"/>
  <c r="E424" i="1"/>
  <c r="E440" i="1"/>
  <c r="E446" i="1"/>
  <c r="E462" i="1"/>
  <c r="E465" i="1"/>
  <c r="E468" i="1"/>
  <c r="E486" i="1"/>
  <c r="E538" i="1"/>
  <c r="E568" i="1"/>
  <c r="E569" i="1"/>
  <c r="E570" i="1"/>
  <c r="E571" i="1"/>
  <c r="E573" i="1"/>
  <c r="E592" i="1"/>
  <c r="E594" i="1"/>
  <c r="E601" i="1"/>
  <c r="E628" i="1"/>
  <c r="E632" i="1"/>
  <c r="E635" i="1"/>
  <c r="E636" i="1"/>
  <c r="E643" i="1"/>
  <c r="E651" i="1"/>
  <c r="E658" i="1"/>
  <c r="E661" i="1"/>
  <c r="E664" i="1"/>
  <c r="E668" i="1"/>
  <c r="E675" i="1"/>
  <c r="E687" i="1"/>
  <c r="E694" i="1"/>
  <c r="E696" i="1"/>
  <c r="E699" i="1"/>
  <c r="E702" i="1"/>
  <c r="E710" i="1"/>
  <c r="E760" i="1"/>
  <c r="E787" i="1"/>
  <c r="E792" i="1"/>
  <c r="E872" i="1"/>
  <c r="E880" i="1"/>
  <c r="E885" i="1"/>
  <c r="E886" i="1"/>
  <c r="E897" i="1"/>
  <c r="E903" i="1"/>
  <c r="E919" i="1"/>
  <c r="E928" i="1"/>
  <c r="E935" i="1"/>
  <c r="E936" i="1"/>
  <c r="E937" i="1"/>
</calcChain>
</file>

<file path=xl/sharedStrings.xml><?xml version="1.0" encoding="utf-8"?>
<sst xmlns="http://schemas.openxmlformats.org/spreadsheetml/2006/main" count="46718" uniqueCount="25609">
  <si>
    <t>Protein accession</t>
  </si>
  <si>
    <t>Protein length</t>
  </si>
  <si>
    <t>Locus tag</t>
  </si>
  <si>
    <t>ec number</t>
  </si>
  <si>
    <t>QUR46829.1</t>
  </si>
  <si>
    <t>FQN59_00010</t>
  </si>
  <si>
    <t>QUR46830.1</t>
  </si>
  <si>
    <t>FQN59_00015</t>
  </si>
  <si>
    <t>QUR46831.1</t>
  </si>
  <si>
    <t>FQN59_00020</t>
  </si>
  <si>
    <t>QUR46832.1</t>
  </si>
  <si>
    <t>FQN59_00025</t>
  </si>
  <si>
    <t>QUR46833.1</t>
  </si>
  <si>
    <t>FQN59_00030</t>
  </si>
  <si>
    <t>QUR46834.1</t>
  </si>
  <si>
    <t>FQN59_00035</t>
  </si>
  <si>
    <t>QUR46835.1</t>
  </si>
  <si>
    <t>FQN59_00040</t>
  </si>
  <si>
    <t>QUR46828.1</t>
  </si>
  <si>
    <t>FQN59_00005</t>
  </si>
  <si>
    <t>QUR46836.1</t>
  </si>
  <si>
    <t>FQN59_00045</t>
  </si>
  <si>
    <t>FQN59_00050</t>
  </si>
  <si>
    <t>QUR46837.1</t>
  </si>
  <si>
    <t>FQN59_00055</t>
  </si>
  <si>
    <t>QUR46838.1</t>
  </si>
  <si>
    <t>FQN59_00060</t>
  </si>
  <si>
    <t>QUR46839.1</t>
  </si>
  <si>
    <t>FQN59_00065</t>
  </si>
  <si>
    <t>QUR46840.1</t>
  </si>
  <si>
    <t>FQN59_00070</t>
  </si>
  <si>
    <t>QUR46841.1</t>
  </si>
  <si>
    <t>FQN59_00075</t>
  </si>
  <si>
    <t>QUR46842.1</t>
  </si>
  <si>
    <t>FQN59_00080</t>
  </si>
  <si>
    <t>QUR46843.1</t>
  </si>
  <si>
    <t>FQN59_00085</t>
  </si>
  <si>
    <t>QUR46844.1</t>
  </si>
  <si>
    <t>FQN59_00090</t>
  </si>
  <si>
    <t>5.4.99.9</t>
  </si>
  <si>
    <t>QUR46845.1</t>
  </si>
  <si>
    <t>FQN59_00095</t>
  </si>
  <si>
    <t>QUR46846.1</t>
  </si>
  <si>
    <t>FQN59_00100</t>
  </si>
  <si>
    <t>QUR46847.1</t>
  </si>
  <si>
    <t>FQN59_00105</t>
  </si>
  <si>
    <t>QUR46848.1</t>
  </si>
  <si>
    <t>FQN59_00110</t>
  </si>
  <si>
    <t>QUR46849.1</t>
  </si>
  <si>
    <t>FQN59_00115</t>
  </si>
  <si>
    <t>QUR46850.1</t>
  </si>
  <si>
    <t>FQN59_00120</t>
  </si>
  <si>
    <t>QUR46851.1</t>
  </si>
  <si>
    <t>FQN59_00125</t>
  </si>
  <si>
    <t>QUR46852.1</t>
  </si>
  <si>
    <t>FQN59_00130</t>
  </si>
  <si>
    <t>QUR46853.1</t>
  </si>
  <si>
    <t>FQN59_00135</t>
  </si>
  <si>
    <t>QUR46854.1</t>
  </si>
  <si>
    <t>FQN59_00140</t>
  </si>
  <si>
    <t>QUR46855.1</t>
  </si>
  <si>
    <t>FQN59_00145</t>
  </si>
  <si>
    <t>QUR50987.1</t>
  </si>
  <si>
    <t>FQN59_00150</t>
  </si>
  <si>
    <t>QUR46856.1</t>
  </si>
  <si>
    <t>FQN59_00155</t>
  </si>
  <si>
    <t>QUR46857.1</t>
  </si>
  <si>
    <t>FQN59_00160</t>
  </si>
  <si>
    <t>QUR46858.1</t>
  </si>
  <si>
    <t>FQN59_00165</t>
  </si>
  <si>
    <t>2.7.10.2</t>
  </si>
  <si>
    <t>QUR46859.1</t>
  </si>
  <si>
    <t>FQN59_00170</t>
  </si>
  <si>
    <t>QUR46860.1</t>
  </si>
  <si>
    <t>FQN59_00175</t>
  </si>
  <si>
    <t>QUR46861.1</t>
  </si>
  <si>
    <t>FQN59_00180</t>
  </si>
  <si>
    <t>QUR46862.1</t>
  </si>
  <si>
    <t>FQN59_00185</t>
  </si>
  <si>
    <t>QUR46863.1</t>
  </si>
  <si>
    <t>FQN59_00190</t>
  </si>
  <si>
    <t>QUR46864.1</t>
  </si>
  <si>
    <t>FQN59_00195</t>
  </si>
  <si>
    <t>QUR46865.1</t>
  </si>
  <si>
    <t>FQN59_00200</t>
  </si>
  <si>
    <t>QUR50988.1</t>
  </si>
  <si>
    <t>FQN59_00205</t>
  </si>
  <si>
    <t>QUR46866.1</t>
  </si>
  <si>
    <t>FQN59_00210</t>
  </si>
  <si>
    <t>QUR46867.1</t>
  </si>
  <si>
    <t>FQN59_00215</t>
  </si>
  <si>
    <t>FQN59_00220</t>
  </si>
  <si>
    <t>QUR46868.1</t>
  </si>
  <si>
    <t>FQN59_00225</t>
  </si>
  <si>
    <t>QUR46869.1</t>
  </si>
  <si>
    <t>FQN59_00230</t>
  </si>
  <si>
    <t>QUR46870.1</t>
  </si>
  <si>
    <t>FQN59_00235</t>
  </si>
  <si>
    <t>QUR46871.1</t>
  </si>
  <si>
    <t>FQN59_00240</t>
  </si>
  <si>
    <t>QUR46872.1</t>
  </si>
  <si>
    <t>FQN59_00245</t>
  </si>
  <si>
    <t>QUR46873.1</t>
  </si>
  <si>
    <t>FQN59_00250</t>
  </si>
  <si>
    <t>QUR46874.1</t>
  </si>
  <si>
    <t>FQN59_00255</t>
  </si>
  <si>
    <t>QUR46875.1</t>
  </si>
  <si>
    <t>FQN59_00260</t>
  </si>
  <si>
    <t>QUR46876.1</t>
  </si>
  <si>
    <t>FQN59_00265</t>
  </si>
  <si>
    <t>FQN59_00270</t>
  </si>
  <si>
    <t>QUR46877.1</t>
  </si>
  <si>
    <t>FQN59_00275</t>
  </si>
  <si>
    <t>QUR46878.1</t>
  </si>
  <si>
    <t>FQN59_00280</t>
  </si>
  <si>
    <t>4.1.1.15</t>
  </si>
  <si>
    <t>QUR46879.1</t>
  </si>
  <si>
    <t>FQN59_00285</t>
  </si>
  <si>
    <t>QUR46880.1</t>
  </si>
  <si>
    <t>FQN59_00290</t>
  </si>
  <si>
    <t>QUR46881.1</t>
  </si>
  <si>
    <t>FQN59_00295</t>
  </si>
  <si>
    <t>QUR46882.1</t>
  </si>
  <si>
    <t>FQN59_00300</t>
  </si>
  <si>
    <t>QUR50989.1</t>
  </si>
  <si>
    <t>FQN59_00305</t>
  </si>
  <si>
    <t>QUR46883.1</t>
  </si>
  <si>
    <t>FQN59_00310</t>
  </si>
  <si>
    <t>2.7.1.48</t>
  </si>
  <si>
    <t>QUR46884.1</t>
  </si>
  <si>
    <t>FQN59_00315</t>
  </si>
  <si>
    <t>QUR46885.1</t>
  </si>
  <si>
    <t>FQN59_00320</t>
  </si>
  <si>
    <t>QUR46886.1</t>
  </si>
  <si>
    <t>FQN59_00325</t>
  </si>
  <si>
    <t>2.1.2.11</t>
  </si>
  <si>
    <t>QUR46887.1</t>
  </si>
  <si>
    <t>FQN59_00330</t>
  </si>
  <si>
    <t>QUR46888.1</t>
  </si>
  <si>
    <t>FQN59_00335</t>
  </si>
  <si>
    <t>QUR46889.1</t>
  </si>
  <si>
    <t>FQN59_00340</t>
  </si>
  <si>
    <t>QUR46890.1</t>
  </si>
  <si>
    <t>FQN59_00345</t>
  </si>
  <si>
    <t>QUR46891.1</t>
  </si>
  <si>
    <t>FQN59_00350</t>
  </si>
  <si>
    <t>QUR46892.1</t>
  </si>
  <si>
    <t>FQN59_00355</t>
  </si>
  <si>
    <t>QUR46893.1</t>
  </si>
  <si>
    <t>FQN59_00360</t>
  </si>
  <si>
    <t>QUR46894.1</t>
  </si>
  <si>
    <t>FQN59_00365</t>
  </si>
  <si>
    <t>QUR46895.1</t>
  </si>
  <si>
    <t>FQN59_00370</t>
  </si>
  <si>
    <t>QUR46896.1</t>
  </si>
  <si>
    <t>FQN59_00375</t>
  </si>
  <si>
    <t>QUR46897.1</t>
  </si>
  <si>
    <t>FQN59_00380</t>
  </si>
  <si>
    <t>4.3.3.7</t>
  </si>
  <si>
    <t>QUR46898.1</t>
  </si>
  <si>
    <t>FQN59_00385</t>
  </si>
  <si>
    <t>QUR46899.1</t>
  </si>
  <si>
    <t>FQN59_00390</t>
  </si>
  <si>
    <t>6.5.1.2</t>
  </si>
  <si>
    <t>QUR46900.1</t>
  </si>
  <si>
    <t>FQN59_00395</t>
  </si>
  <si>
    <t>QUR46901.1</t>
  </si>
  <si>
    <t>FQN59_00400</t>
  </si>
  <si>
    <t>QUR46902.1</t>
  </si>
  <si>
    <t>FQN59_00405</t>
  </si>
  <si>
    <t>2.7.7.4</t>
  </si>
  <si>
    <t>QUR46903.1</t>
  </si>
  <si>
    <t>FQN59_00410</t>
  </si>
  <si>
    <t>QUR46904.1</t>
  </si>
  <si>
    <t>FQN59_00415</t>
  </si>
  <si>
    <t>2.7.1.25</t>
  </si>
  <si>
    <t>QUR46905.1</t>
  </si>
  <si>
    <t>FQN59_00420</t>
  </si>
  <si>
    <t>QUR46906.1</t>
  </si>
  <si>
    <t>FQN59_00425</t>
  </si>
  <si>
    <t>QUR46907.1</t>
  </si>
  <si>
    <t>FQN59_00430</t>
  </si>
  <si>
    <t>QUR46908.1</t>
  </si>
  <si>
    <t>FQN59_00435</t>
  </si>
  <si>
    <t>QUR46909.1</t>
  </si>
  <si>
    <t>FQN59_00440</t>
  </si>
  <si>
    <t>QUR46910.1</t>
  </si>
  <si>
    <t>FQN59_00445</t>
  </si>
  <si>
    <t>QUR46911.1</t>
  </si>
  <si>
    <t>FQN59_00450</t>
  </si>
  <si>
    <t>QUR46912.1</t>
  </si>
  <si>
    <t>FQN59_00455</t>
  </si>
  <si>
    <t>QUR46913.1</t>
  </si>
  <si>
    <t>FQN59_00460</t>
  </si>
  <si>
    <t>QUR46914.1</t>
  </si>
  <si>
    <t>FQN59_00465</t>
  </si>
  <si>
    <t>QUR46915.1</t>
  </si>
  <si>
    <t>FQN59_00470</t>
  </si>
  <si>
    <t>5.3.1.5</t>
  </si>
  <si>
    <t>QUR46916.1</t>
  </si>
  <si>
    <t>FQN59_00475</t>
  </si>
  <si>
    <t>QUR46917.1</t>
  </si>
  <si>
    <t>FQN59_00480</t>
  </si>
  <si>
    <t>QUR46918.1</t>
  </si>
  <si>
    <t>FQN59_00485</t>
  </si>
  <si>
    <t>QUR46919.1</t>
  </si>
  <si>
    <t>FQN59_00490</t>
  </si>
  <si>
    <t>QUR46920.1</t>
  </si>
  <si>
    <t>FQN59_00495</t>
  </si>
  <si>
    <t>QUR46921.1</t>
  </si>
  <si>
    <t>FQN59_00500</t>
  </si>
  <si>
    <t>QUR46922.1</t>
  </si>
  <si>
    <t>FQN59_00505</t>
  </si>
  <si>
    <t>QUR46923.1</t>
  </si>
  <si>
    <t>FQN59_00510</t>
  </si>
  <si>
    <t>QUR46924.1</t>
  </si>
  <si>
    <t>FQN59_00515</t>
  </si>
  <si>
    <t>2.4.2.29</t>
  </si>
  <si>
    <t>QUR46925.1</t>
  </si>
  <si>
    <t>FQN59_00520</t>
  </si>
  <si>
    <t>QUR46926.1</t>
  </si>
  <si>
    <t>FQN59_00525</t>
  </si>
  <si>
    <t>QUR46927.1</t>
  </si>
  <si>
    <t>FQN59_00530</t>
  </si>
  <si>
    <t>QUR46928.1</t>
  </si>
  <si>
    <t>FQN59_00535</t>
  </si>
  <si>
    <t>QUR46929.1</t>
  </si>
  <si>
    <t>FQN59_00540</t>
  </si>
  <si>
    <t>QUR46930.1</t>
  </si>
  <si>
    <t>FQN59_00545</t>
  </si>
  <si>
    <t>FQN59_00550</t>
  </si>
  <si>
    <t>QUR46931.1</t>
  </si>
  <si>
    <t>FQN59_00555</t>
  </si>
  <si>
    <t>QUR46932.1</t>
  </si>
  <si>
    <t>FQN59_00560</t>
  </si>
  <si>
    <t>QUR46933.1</t>
  </si>
  <si>
    <t>FQN59_00565</t>
  </si>
  <si>
    <t>QUR46934.1</t>
  </si>
  <si>
    <t>FQN59_00570</t>
  </si>
  <si>
    <t>QUR46935.1</t>
  </si>
  <si>
    <t>FQN59_00575</t>
  </si>
  <si>
    <t>QUR46936.1</t>
  </si>
  <si>
    <t>FQN59_00580</t>
  </si>
  <si>
    <t>QUR46937.1</t>
  </si>
  <si>
    <t>FQN59_00585</t>
  </si>
  <si>
    <t>QUR46938.1</t>
  </si>
  <si>
    <t>FQN59_00590</t>
  </si>
  <si>
    <t>QUR46939.1</t>
  </si>
  <si>
    <t>FQN59_00595</t>
  </si>
  <si>
    <t>FQN59_00600</t>
  </si>
  <si>
    <t>QUR50990.1</t>
  </si>
  <si>
    <t>FQN59_00605</t>
  </si>
  <si>
    <t>QUR46940.1</t>
  </si>
  <si>
    <t>FQN59_00610</t>
  </si>
  <si>
    <t>2.7.1.148</t>
  </si>
  <si>
    <t>QUR46941.1</t>
  </si>
  <si>
    <t>FQN59_00615</t>
  </si>
  <si>
    <t>QUR46942.1</t>
  </si>
  <si>
    <t>FQN59_00620</t>
  </si>
  <si>
    <t>QUR46943.1</t>
  </si>
  <si>
    <t>FQN59_00625</t>
  </si>
  <si>
    <t>QUR46944.1</t>
  </si>
  <si>
    <t>FQN59_00630</t>
  </si>
  <si>
    <t>QUR46945.1</t>
  </si>
  <si>
    <t>FQN59_00635</t>
  </si>
  <si>
    <t>QUR46946.1</t>
  </si>
  <si>
    <t>FQN59_00640</t>
  </si>
  <si>
    <t>QUR46947.1</t>
  </si>
  <si>
    <t>FQN59_00645</t>
  </si>
  <si>
    <t>QUR46948.1</t>
  </si>
  <si>
    <t>FQN59_00650</t>
  </si>
  <si>
    <t>2.7.1.21</t>
  </si>
  <si>
    <t>QUR46949.1</t>
  </si>
  <si>
    <t>FQN59_00655</t>
  </si>
  <si>
    <t>QUR46950.1</t>
  </si>
  <si>
    <t>FQN59_00660</t>
  </si>
  <si>
    <t>QUR46951.1</t>
  </si>
  <si>
    <t>FQN59_00665</t>
  </si>
  <si>
    <t>QUR46952.1</t>
  </si>
  <si>
    <t>FQN59_00670</t>
  </si>
  <si>
    <t>QUR46953.1</t>
  </si>
  <si>
    <t>FQN59_00675</t>
  </si>
  <si>
    <t>QUR46954.1</t>
  </si>
  <si>
    <t>FQN59_00680</t>
  </si>
  <si>
    <t>QUR46955.1</t>
  </si>
  <si>
    <t>FQN59_00685</t>
  </si>
  <si>
    <t>QUR46956.1</t>
  </si>
  <si>
    <t>FQN59_00690</t>
  </si>
  <si>
    <t>QUR46957.1</t>
  </si>
  <si>
    <t>FQN59_00695</t>
  </si>
  <si>
    <t>4.1.1.36</t>
  </si>
  <si>
    <t>6.3.2.5</t>
  </si>
  <si>
    <t>QUR46958.1</t>
  </si>
  <si>
    <t>FQN59_00700</t>
  </si>
  <si>
    <t>QUR46959.1</t>
  </si>
  <si>
    <t>FQN59_00705</t>
  </si>
  <si>
    <t>QUR46960.1</t>
  </si>
  <si>
    <t>FQN59_00710</t>
  </si>
  <si>
    <t>2.7.7.7</t>
  </si>
  <si>
    <t>QUR46961.1</t>
  </si>
  <si>
    <t>FQN59_00715</t>
  </si>
  <si>
    <t>QUR46962.1</t>
  </si>
  <si>
    <t>FQN59_00720</t>
  </si>
  <si>
    <t>QUR46963.1</t>
  </si>
  <si>
    <t>FQN59_00725</t>
  </si>
  <si>
    <t>QUR46964.1</t>
  </si>
  <si>
    <t>FQN59_00730</t>
  </si>
  <si>
    <t>QUR46965.1</t>
  </si>
  <si>
    <t>FQN59_00735</t>
  </si>
  <si>
    <t>1.8.1.4</t>
  </si>
  <si>
    <t>QUR46966.1</t>
  </si>
  <si>
    <t>FQN59_00740</t>
  </si>
  <si>
    <t>QUR46967.1</t>
  </si>
  <si>
    <t>FQN59_00745</t>
  </si>
  <si>
    <t>QUR46968.1</t>
  </si>
  <si>
    <t>FQN59_00750</t>
  </si>
  <si>
    <t>QUR46969.1</t>
  </si>
  <si>
    <t>FQN59_00755</t>
  </si>
  <si>
    <t>QUR46970.1</t>
  </si>
  <si>
    <t>FQN59_00760</t>
  </si>
  <si>
    <t>QUR46971.1</t>
  </si>
  <si>
    <t>FQN59_00765</t>
  </si>
  <si>
    <t>QUR46972.1</t>
  </si>
  <si>
    <t>FQN59_00770</t>
  </si>
  <si>
    <t>QUR50991.1</t>
  </si>
  <si>
    <t>FQN59_00775</t>
  </si>
  <si>
    <t>QUR46973.1</t>
  </si>
  <si>
    <t>FQN59_00780</t>
  </si>
  <si>
    <t>QUR46974.1</t>
  </si>
  <si>
    <t>FQN59_00785</t>
  </si>
  <si>
    <t>QUR46975.1</t>
  </si>
  <si>
    <t>FQN59_00790</t>
  </si>
  <si>
    <t>FQN59_00795</t>
  </si>
  <si>
    <t>FQN59_00800</t>
  </si>
  <si>
    <t>FQN59_00805</t>
  </si>
  <si>
    <t>QUR46976.1</t>
  </si>
  <si>
    <t>FQN59_00810</t>
  </si>
  <si>
    <t>1.7.2.2</t>
  </si>
  <si>
    <t>QUR46977.1</t>
  </si>
  <si>
    <t>FQN59_00815</t>
  </si>
  <si>
    <t>QUR46978.1</t>
  </si>
  <si>
    <t>FQN59_00820</t>
  </si>
  <si>
    <t>QUR46979.1</t>
  </si>
  <si>
    <t>FQN59_00825</t>
  </si>
  <si>
    <t>QUR46980.1</t>
  </si>
  <si>
    <t>FQN59_00830</t>
  </si>
  <si>
    <t>3.2.1.41</t>
  </si>
  <si>
    <t>QUR46981.1</t>
  </si>
  <si>
    <t>FQN59_00835</t>
  </si>
  <si>
    <t>3.6.4.12</t>
  </si>
  <si>
    <t>QUR46982.1</t>
  </si>
  <si>
    <t>FQN59_00840</t>
  </si>
  <si>
    <t>QUR46983.1</t>
  </si>
  <si>
    <t>FQN59_00845</t>
  </si>
  <si>
    <t>QUR46984.1</t>
  </si>
  <si>
    <t>FQN59_00850</t>
  </si>
  <si>
    <t>QUR46985.1</t>
  </si>
  <si>
    <t>FQN59_00855</t>
  </si>
  <si>
    <t>QUR46986.1</t>
  </si>
  <si>
    <t>FQN59_00860</t>
  </si>
  <si>
    <t>FQN59_00865</t>
  </si>
  <si>
    <t>QUR46987.1</t>
  </si>
  <si>
    <t>FQN59_00870</t>
  </si>
  <si>
    <t>QUR46988.1</t>
  </si>
  <si>
    <t>FQN59_00875</t>
  </si>
  <si>
    <t>QUR46989.1</t>
  </si>
  <si>
    <t>FQN59_00880</t>
  </si>
  <si>
    <t>QUR46990.1</t>
  </si>
  <si>
    <t>FQN59_00885</t>
  </si>
  <si>
    <t>6.1.1.3</t>
  </si>
  <si>
    <t>QUR46991.1</t>
  </si>
  <si>
    <t>FQN59_00890</t>
  </si>
  <si>
    <t>QUR46992.1</t>
  </si>
  <si>
    <t>FQN59_00895</t>
  </si>
  <si>
    <t>QUR46993.1</t>
  </si>
  <si>
    <t>FQN59_00900</t>
  </si>
  <si>
    <t>QUR46994.1</t>
  </si>
  <si>
    <t>FQN59_00905</t>
  </si>
  <si>
    <t>3.5.1.88</t>
  </si>
  <si>
    <t>QUR46995.1</t>
  </si>
  <si>
    <t>FQN59_00910</t>
  </si>
  <si>
    <t>QUR46996.1</t>
  </si>
  <si>
    <t>FQN59_00915</t>
  </si>
  <si>
    <t>2.7.8.31</t>
  </si>
  <si>
    <t>QUR46997.1</t>
  </si>
  <si>
    <t>FQN59_00920</t>
  </si>
  <si>
    <t>QUR46998.1</t>
  </si>
  <si>
    <t>FQN59_00925</t>
  </si>
  <si>
    <t>4.2.1.47</t>
  </si>
  <si>
    <t>QUR46999.1</t>
  </si>
  <si>
    <t>FQN59_00930</t>
  </si>
  <si>
    <t>QUR47000.1</t>
  </si>
  <si>
    <t>FQN59_00935</t>
  </si>
  <si>
    <t>2.7.7.24</t>
  </si>
  <si>
    <t>QUR47001.1</t>
  </si>
  <si>
    <t>FQN59_00940</t>
  </si>
  <si>
    <t>QUR47002.1</t>
  </si>
  <si>
    <t>FQN59_00945</t>
  </si>
  <si>
    <t>3.1.1.31</t>
  </si>
  <si>
    <t>QUR47003.1</t>
  </si>
  <si>
    <t>FQN59_00950</t>
  </si>
  <si>
    <t>QUR47004.1</t>
  </si>
  <si>
    <t>FQN59_00955</t>
  </si>
  <si>
    <t>1.1.1.44</t>
  </si>
  <si>
    <t>QUR47005.1</t>
  </si>
  <si>
    <t>FQN59_00960</t>
  </si>
  <si>
    <t>QUR47006.1</t>
  </si>
  <si>
    <t>FQN59_00965</t>
  </si>
  <si>
    <t>QUR47007.1</t>
  </si>
  <si>
    <t>FQN59_00970</t>
  </si>
  <si>
    <t>QUR47008.1</t>
  </si>
  <si>
    <t>FQN59_00975</t>
  </si>
  <si>
    <t>QUR47009.1</t>
  </si>
  <si>
    <t>FQN59_00980</t>
  </si>
  <si>
    <t>QUR47010.1</t>
  </si>
  <si>
    <t>FQN59_00985</t>
  </si>
  <si>
    <t>QUR47011.1</t>
  </si>
  <si>
    <t>FQN59_00990</t>
  </si>
  <si>
    <t>QUR47012.1</t>
  </si>
  <si>
    <t>FQN59_00995</t>
  </si>
  <si>
    <t>FQN59_01000</t>
  </si>
  <si>
    <t>QUR50992.1</t>
  </si>
  <si>
    <t>FQN59_01005</t>
  </si>
  <si>
    <t>QUR47013.1</t>
  </si>
  <si>
    <t>FQN59_01010</t>
  </si>
  <si>
    <t>QUR47014.1</t>
  </si>
  <si>
    <t>FQN59_01015</t>
  </si>
  <si>
    <t>QUR47015.1</t>
  </si>
  <si>
    <t>FQN59_01020</t>
  </si>
  <si>
    <t>QUR47016.1</t>
  </si>
  <si>
    <t>FQN59_01025</t>
  </si>
  <si>
    <t>QUR47017.1</t>
  </si>
  <si>
    <t>FQN59_01030</t>
  </si>
  <si>
    <t>2.3.1.245</t>
  </si>
  <si>
    <t>QUR47018.1</t>
  </si>
  <si>
    <t>FQN59_01035</t>
  </si>
  <si>
    <t>QUR47019.1</t>
  </si>
  <si>
    <t>FQN59_01040</t>
  </si>
  <si>
    <t>QUR47020.1</t>
  </si>
  <si>
    <t>FQN59_01045</t>
  </si>
  <si>
    <t>QUR47021.1</t>
  </si>
  <si>
    <t>FQN59_01050</t>
  </si>
  <si>
    <t>QUR47022.1</t>
  </si>
  <si>
    <t>FQN59_01055</t>
  </si>
  <si>
    <t>QUR47023.1</t>
  </si>
  <si>
    <t>FQN59_01060</t>
  </si>
  <si>
    <t>QUR47024.1</t>
  </si>
  <si>
    <t>FQN59_01065</t>
  </si>
  <si>
    <t>QUR47025.1</t>
  </si>
  <si>
    <t>FQN59_01070</t>
  </si>
  <si>
    <t>QUR47026.1</t>
  </si>
  <si>
    <t>FQN59_01075</t>
  </si>
  <si>
    <t>QUR47027.1</t>
  </si>
  <si>
    <t>FQN59_01080</t>
  </si>
  <si>
    <t>QUR47028.1</t>
  </si>
  <si>
    <t>FQN59_01085</t>
  </si>
  <si>
    <t>QUR47029.1</t>
  </si>
  <si>
    <t>FQN59_01090</t>
  </si>
  <si>
    <t>QUR47030.1</t>
  </si>
  <si>
    <t>FQN59_01095</t>
  </si>
  <si>
    <t>5.4.2.11</t>
  </si>
  <si>
    <t>FQN59_01100</t>
  </si>
  <si>
    <t>QUR50993.1</t>
  </si>
  <si>
    <t>FQN59_01105</t>
  </si>
  <si>
    <t>QUR47031.1</t>
  </si>
  <si>
    <t>FQN59_01110</t>
  </si>
  <si>
    <t>QUR47032.1</t>
  </si>
  <si>
    <t>FQN59_01115</t>
  </si>
  <si>
    <t>QUR47033.1</t>
  </si>
  <si>
    <t>FQN59_01120</t>
  </si>
  <si>
    <t>4.2.1.20</t>
  </si>
  <si>
    <t>QUR47034.1</t>
  </si>
  <si>
    <t>FQN59_01125</t>
  </si>
  <si>
    <t>QUR47035.1</t>
  </si>
  <si>
    <t>FQN59_01130</t>
  </si>
  <si>
    <t>QUR47036.1</t>
  </si>
  <si>
    <t>FQN59_01135</t>
  </si>
  <si>
    <t>QUR47037.1</t>
  </si>
  <si>
    <t>FQN59_01140</t>
  </si>
  <si>
    <t>QUR47038.1</t>
  </si>
  <si>
    <t>FQN59_01145</t>
  </si>
  <si>
    <t>QUR47039.1</t>
  </si>
  <si>
    <t>FQN59_01150</t>
  </si>
  <si>
    <t>QUR47040.1</t>
  </si>
  <si>
    <t>FQN59_01155</t>
  </si>
  <si>
    <t>QUR47041.1</t>
  </si>
  <si>
    <t>FQN59_01160</t>
  </si>
  <si>
    <t>QUR47042.1</t>
  </si>
  <si>
    <t>FQN59_01165</t>
  </si>
  <si>
    <t>QUR47043.1</t>
  </si>
  <si>
    <t>FQN59_01170</t>
  </si>
  <si>
    <t>QUR47044.1</t>
  </si>
  <si>
    <t>FQN59_01175</t>
  </si>
  <si>
    <t>QUR47045.1</t>
  </si>
  <si>
    <t>FQN59_01180</t>
  </si>
  <si>
    <t>QUR47046.1</t>
  </si>
  <si>
    <t>FQN59_01185</t>
  </si>
  <si>
    <t>QUR47047.1</t>
  </si>
  <si>
    <t>FQN59_01190</t>
  </si>
  <si>
    <t>QUR47048.1</t>
  </si>
  <si>
    <t>FQN59_01195</t>
  </si>
  <si>
    <t>QUR47049.1</t>
  </si>
  <si>
    <t>FQN59_01200</t>
  </si>
  <si>
    <t>QUR47050.1</t>
  </si>
  <si>
    <t>FQN59_01205</t>
  </si>
  <si>
    <t>QUR47051.1</t>
  </si>
  <si>
    <t>FQN59_01210</t>
  </si>
  <si>
    <t>FQN59_01215</t>
  </si>
  <si>
    <t>QUR47052.1</t>
  </si>
  <si>
    <t>FQN59_01220</t>
  </si>
  <si>
    <t>QUR47053.1</t>
  </si>
  <si>
    <t>FQN59_01225</t>
  </si>
  <si>
    <t>QUR47054.1</t>
  </si>
  <si>
    <t>FQN59_01230</t>
  </si>
  <si>
    <t>QUR47055.1</t>
  </si>
  <si>
    <t>FQN59_01235</t>
  </si>
  <si>
    <t>2.4.2.18</t>
  </si>
  <si>
    <t>QUR47056.1</t>
  </si>
  <si>
    <t>FQN59_01240</t>
  </si>
  <si>
    <t>4.1.1.48</t>
  </si>
  <si>
    <t>QUR47057.1</t>
  </si>
  <si>
    <t>FQN59_01245</t>
  </si>
  <si>
    <t>QUR47058.1</t>
  </si>
  <si>
    <t>FQN59_01250</t>
  </si>
  <si>
    <t>QUR47059.1</t>
  </si>
  <si>
    <t>FQN59_01255</t>
  </si>
  <si>
    <t>QUR47060.1</t>
  </si>
  <si>
    <t>FQN59_01260</t>
  </si>
  <si>
    <t>QUR47061.1</t>
  </si>
  <si>
    <t>FQN59_01265</t>
  </si>
  <si>
    <t>QUR47062.1</t>
  </si>
  <si>
    <t>FQN59_01270</t>
  </si>
  <si>
    <t>QUR47063.1</t>
  </si>
  <si>
    <t>FQN59_01275</t>
  </si>
  <si>
    <t>QUR47064.1</t>
  </si>
  <si>
    <t>FQN59_01280</t>
  </si>
  <si>
    <t>6.3.5.5</t>
  </si>
  <si>
    <t>QUR47065.1</t>
  </si>
  <si>
    <t>FQN59_01285</t>
  </si>
  <si>
    <t>QUR47066.1</t>
  </si>
  <si>
    <t>FQN59_01290</t>
  </si>
  <si>
    <t>QUR47067.1</t>
  </si>
  <si>
    <t>FQN59_01295</t>
  </si>
  <si>
    <t>QUR47068.1</t>
  </si>
  <si>
    <t>FQN59_01300</t>
  </si>
  <si>
    <t>QUR47069.1</t>
  </si>
  <si>
    <t>FQN59_01305</t>
  </si>
  <si>
    <t>QUR47070.1</t>
  </si>
  <si>
    <t>FQN59_01310</t>
  </si>
  <si>
    <t>QUR47071.1</t>
  </si>
  <si>
    <t>FQN59_01315</t>
  </si>
  <si>
    <t>QUR50994.1</t>
  </si>
  <si>
    <t>FQN59_01320</t>
  </si>
  <si>
    <t>QUR47072.1</t>
  </si>
  <si>
    <t>FQN59_01325</t>
  </si>
  <si>
    <t>QUR50995.1</t>
  </si>
  <si>
    <t>FQN59_01330</t>
  </si>
  <si>
    <t>QUR47073.1</t>
  </si>
  <si>
    <t>FQN59_01335</t>
  </si>
  <si>
    <t>QUR47074.1</t>
  </si>
  <si>
    <t>FQN59_01340</t>
  </si>
  <si>
    <t>QUR47075.1</t>
  </si>
  <si>
    <t>FQN59_01345</t>
  </si>
  <si>
    <t>QUR50996.1</t>
  </si>
  <si>
    <t>FQN59_01350</t>
  </si>
  <si>
    <t>QUR47076.1</t>
  </si>
  <si>
    <t>FQN59_01355</t>
  </si>
  <si>
    <t>FQN59_01360</t>
  </si>
  <si>
    <t>QUR47077.1</t>
  </si>
  <si>
    <t>FQN59_01365</t>
  </si>
  <si>
    <t>5.1.3.14</t>
  </si>
  <si>
    <t>QUR50997.1</t>
  </si>
  <si>
    <t>FQN59_01370</t>
  </si>
  <si>
    <t>QUR47078.1</t>
  </si>
  <si>
    <t>FQN59_01375</t>
  </si>
  <si>
    <t>QUR47079.1</t>
  </si>
  <si>
    <t>FQN59_01380</t>
  </si>
  <si>
    <t>QUR47080.1</t>
  </si>
  <si>
    <t>FQN59_01385</t>
  </si>
  <si>
    <t>QUR47081.1</t>
  </si>
  <si>
    <t>FQN59_01390</t>
  </si>
  <si>
    <t>QUR47082.1</t>
  </si>
  <si>
    <t>FQN59_01395</t>
  </si>
  <si>
    <t>QUR47083.1</t>
  </si>
  <si>
    <t>FQN59_01400</t>
  </si>
  <si>
    <t>QUR47084.1</t>
  </si>
  <si>
    <t>FQN59_01405</t>
  </si>
  <si>
    <t>QUR47085.1</t>
  </si>
  <si>
    <t>FQN59_01410</t>
  </si>
  <si>
    <t>FQN59_01415</t>
  </si>
  <si>
    <t>QUR47086.1</t>
  </si>
  <si>
    <t>FQN59_01420</t>
  </si>
  <si>
    <t>QUR47087.1</t>
  </si>
  <si>
    <t>FQN59_01425</t>
  </si>
  <si>
    <t>QUR47088.1</t>
  </si>
  <si>
    <t>FQN59_01430</t>
  </si>
  <si>
    <t>QUR47089.1</t>
  </si>
  <si>
    <t>FQN59_01435</t>
  </si>
  <si>
    <t>QUR47090.1</t>
  </si>
  <si>
    <t>FQN59_01440</t>
  </si>
  <si>
    <t>QUR47091.1</t>
  </si>
  <si>
    <t>FQN59_01445</t>
  </si>
  <si>
    <t>QUR47092.1</t>
  </si>
  <si>
    <t>FQN59_01450</t>
  </si>
  <si>
    <t>FQN59_01455</t>
  </si>
  <si>
    <t>QUR47093.1</t>
  </si>
  <si>
    <t>FQN59_01460</t>
  </si>
  <si>
    <t>QUR47094.1</t>
  </si>
  <si>
    <t>FQN59_01465</t>
  </si>
  <si>
    <t>QUR47095.1</t>
  </si>
  <si>
    <t>FQN59_01470</t>
  </si>
  <si>
    <t>QUR47096.1</t>
  </si>
  <si>
    <t>FQN59_01475</t>
  </si>
  <si>
    <t>QUR47097.1</t>
  </si>
  <si>
    <t>FQN59_01480</t>
  </si>
  <si>
    <t>QUR47098.1</t>
  </si>
  <si>
    <t>FQN59_01485</t>
  </si>
  <si>
    <t>QUR47099.1</t>
  </si>
  <si>
    <t>FQN59_01490</t>
  </si>
  <si>
    <t>QUR47100.1</t>
  </si>
  <si>
    <t>FQN59_01495</t>
  </si>
  <si>
    <t>QUR47101.1</t>
  </si>
  <si>
    <t>FQN59_01500</t>
  </si>
  <si>
    <t>QUR47102.1</t>
  </si>
  <si>
    <t>FQN59_01505</t>
  </si>
  <si>
    <t>QUR47103.1</t>
  </si>
  <si>
    <t>FQN59_01510</t>
  </si>
  <si>
    <t>QUR47104.1</t>
  </si>
  <si>
    <t>FQN59_01515</t>
  </si>
  <si>
    <t>QUR47105.1</t>
  </si>
  <si>
    <t>FQN59_01520</t>
  </si>
  <si>
    <t>QUR47106.1</t>
  </si>
  <si>
    <t>FQN59_01525</t>
  </si>
  <si>
    <t>FQN59_01530</t>
  </si>
  <si>
    <t>FQN59_01535</t>
  </si>
  <si>
    <t>QUR47107.1</t>
  </si>
  <si>
    <t>FQN59_01540</t>
  </si>
  <si>
    <t>QUR47108.1</t>
  </si>
  <si>
    <t>FQN59_01545</t>
  </si>
  <si>
    <t>QUR47109.1</t>
  </si>
  <si>
    <t>FQN59_01550</t>
  </si>
  <si>
    <t>QUR47110.1</t>
  </si>
  <si>
    <t>FQN59_01555</t>
  </si>
  <si>
    <t>QUR47111.1</t>
  </si>
  <si>
    <t>FQN59_01560</t>
  </si>
  <si>
    <t>QUR47112.1</t>
  </si>
  <si>
    <t>FQN59_01565</t>
  </si>
  <si>
    <t>QUR47113.1</t>
  </si>
  <si>
    <t>FQN59_01570</t>
  </si>
  <si>
    <t>FQN59_01575</t>
  </si>
  <si>
    <t>FQN59_01580</t>
  </si>
  <si>
    <t>QUR47114.1</t>
  </si>
  <si>
    <t>FQN59_01585</t>
  </si>
  <si>
    <t>QUR47115.1</t>
  </si>
  <si>
    <t>FQN59_01590</t>
  </si>
  <si>
    <t>QUR47116.1</t>
  </si>
  <si>
    <t>FQN59_01595</t>
  </si>
  <si>
    <t>FQN59_01600</t>
  </si>
  <si>
    <t>QUR47117.1</t>
  </si>
  <si>
    <t>FQN59_01605</t>
  </si>
  <si>
    <t>QUR47118.1</t>
  </si>
  <si>
    <t>FQN59_01610</t>
  </si>
  <si>
    <t>QUR47119.1</t>
  </si>
  <si>
    <t>FQN59_01615</t>
  </si>
  <si>
    <t>QUR47120.1</t>
  </si>
  <si>
    <t>FQN59_01620</t>
  </si>
  <si>
    <t>QUR47121.1</t>
  </si>
  <si>
    <t>FQN59_01625</t>
  </si>
  <si>
    <t>QUR47122.1</t>
  </si>
  <si>
    <t>FQN59_01630</t>
  </si>
  <si>
    <t>QUR47123.1</t>
  </si>
  <si>
    <t>FQN59_01635</t>
  </si>
  <si>
    <t>QUR47124.1</t>
  </si>
  <si>
    <t>FQN59_01640</t>
  </si>
  <si>
    <t>QUR47125.1</t>
  </si>
  <si>
    <t>FQN59_01645</t>
  </si>
  <si>
    <t>QUR47126.1</t>
  </si>
  <si>
    <t>FQN59_01650</t>
  </si>
  <si>
    <t>QUR47127.1</t>
  </si>
  <si>
    <t>FQN59_01655</t>
  </si>
  <si>
    <t>QUR47128.1</t>
  </si>
  <si>
    <t>FQN59_01660</t>
  </si>
  <si>
    <t>QUR47129.1</t>
  </si>
  <si>
    <t>FQN59_01665</t>
  </si>
  <si>
    <t>QUR47130.1</t>
  </si>
  <si>
    <t>FQN59_01670</t>
  </si>
  <si>
    <t>QUR47131.1</t>
  </si>
  <si>
    <t>FQN59_01675</t>
  </si>
  <si>
    <t>QUR47132.1</t>
  </si>
  <si>
    <t>FQN59_01680</t>
  </si>
  <si>
    <t>QUR47133.1</t>
  </si>
  <si>
    <t>FQN59_01685</t>
  </si>
  <si>
    <t>QUR47134.1</t>
  </si>
  <si>
    <t>FQN59_01690</t>
  </si>
  <si>
    <t>QUR47135.1</t>
  </si>
  <si>
    <t>FQN59_01695</t>
  </si>
  <si>
    <t>QUR47136.1</t>
  </si>
  <si>
    <t>FQN59_01700</t>
  </si>
  <si>
    <t>QUR47137.1</t>
  </si>
  <si>
    <t>FQN59_01705</t>
  </si>
  <si>
    <t>FQN59_01710</t>
  </si>
  <si>
    <t>FQN59_01715</t>
  </si>
  <si>
    <t>QUR50998.1</t>
  </si>
  <si>
    <t>FQN59_01720</t>
  </si>
  <si>
    <t>QUR47138.1</t>
  </si>
  <si>
    <t>FQN59_01725</t>
  </si>
  <si>
    <t>QUR47139.1</t>
  </si>
  <si>
    <t>FQN59_01730</t>
  </si>
  <si>
    <t>QUR47140.1</t>
  </si>
  <si>
    <t>FQN59_01735</t>
  </si>
  <si>
    <t>QUR47141.1</t>
  </si>
  <si>
    <t>FQN59_01740</t>
  </si>
  <si>
    <t>QUR47142.1</t>
  </si>
  <si>
    <t>FQN59_01745</t>
  </si>
  <si>
    <t>FQN59_01750</t>
  </si>
  <si>
    <t>QUR51000.1</t>
  </si>
  <si>
    <t>FQN59_01755</t>
  </si>
  <si>
    <t>QUR50999.1</t>
  </si>
  <si>
    <t>FQN59_01760</t>
  </si>
  <si>
    <t>QUR47143.1</t>
  </si>
  <si>
    <t>FQN59_01765</t>
  </si>
  <si>
    <t>QUR47144.1</t>
  </si>
  <si>
    <t>FQN59_01770</t>
  </si>
  <si>
    <t>QUR47145.1</t>
  </si>
  <si>
    <t>FQN59_01775</t>
  </si>
  <si>
    <t>QUR47146.1</t>
  </si>
  <si>
    <t>FQN59_01780</t>
  </si>
  <si>
    <t>QUR47147.1</t>
  </si>
  <si>
    <t>FQN59_01785</t>
  </si>
  <si>
    <t>QUR47148.1</t>
  </si>
  <si>
    <t>FQN59_01790</t>
  </si>
  <si>
    <t>QUR47149.1</t>
  </si>
  <si>
    <t>FQN59_01795</t>
  </si>
  <si>
    <t>QUR47150.1</t>
  </si>
  <si>
    <t>FQN59_01800</t>
  </si>
  <si>
    <t>QUR47151.1</t>
  </si>
  <si>
    <t>FQN59_01805</t>
  </si>
  <si>
    <t>FQN59_01810</t>
  </si>
  <si>
    <t>QUR47152.1</t>
  </si>
  <si>
    <t>FQN59_01815</t>
  </si>
  <si>
    <t>QUR47153.1</t>
  </si>
  <si>
    <t>FQN59_01820</t>
  </si>
  <si>
    <t>QUR47154.1</t>
  </si>
  <si>
    <t>FQN59_01825</t>
  </si>
  <si>
    <t>QUR47155.1</t>
  </si>
  <si>
    <t>FQN59_01830</t>
  </si>
  <si>
    <t>QUR47156.1</t>
  </si>
  <si>
    <t>FQN59_01835</t>
  </si>
  <si>
    <t>QUR47157.1</t>
  </si>
  <si>
    <t>FQN59_01840</t>
  </si>
  <si>
    <t>QUR47158.1</t>
  </si>
  <si>
    <t>FQN59_01845</t>
  </si>
  <si>
    <t>QUR47159.1</t>
  </si>
  <si>
    <t>FQN59_01850</t>
  </si>
  <si>
    <t>QUR47160.1</t>
  </si>
  <si>
    <t>FQN59_01855</t>
  </si>
  <si>
    <t>QUR47161.1</t>
  </si>
  <si>
    <t>FQN59_01860</t>
  </si>
  <si>
    <t>QUR47162.1</t>
  </si>
  <si>
    <t>FQN59_01865</t>
  </si>
  <si>
    <t>QUR47163.1</t>
  </si>
  <si>
    <t>FQN59_01870</t>
  </si>
  <si>
    <t>QUR47164.1</t>
  </si>
  <si>
    <t>FQN59_01875</t>
  </si>
  <si>
    <t>QUR47165.1</t>
  </si>
  <si>
    <t>FQN59_01880</t>
  </si>
  <si>
    <t>QUR47166.1</t>
  </si>
  <si>
    <t>FQN59_01885</t>
  </si>
  <si>
    <t>QUR47167.1</t>
  </si>
  <si>
    <t>FQN59_01890</t>
  </si>
  <si>
    <t>QUR47168.1</t>
  </si>
  <si>
    <t>FQN59_01895</t>
  </si>
  <si>
    <t>QUR51002.1</t>
  </si>
  <si>
    <t>FQN59_01900</t>
  </si>
  <si>
    <t>3.4.21.53</t>
  </si>
  <si>
    <t>QUR51001.1</t>
  </si>
  <si>
    <t>FQN59_01905</t>
  </si>
  <si>
    <t>QUR47169.1</t>
  </si>
  <si>
    <t>FQN59_01910</t>
  </si>
  <si>
    <t>QUR47170.1</t>
  </si>
  <si>
    <t>FQN59_01915</t>
  </si>
  <si>
    <t>QUR47171.1</t>
  </si>
  <si>
    <t>FQN59_01920</t>
  </si>
  <si>
    <t>QUR47172.1</t>
  </si>
  <si>
    <t>FQN59_01925</t>
  </si>
  <si>
    <t>QUR47173.1</t>
  </si>
  <si>
    <t>FQN59_01930</t>
  </si>
  <si>
    <t>QUR47174.1</t>
  </si>
  <si>
    <t>FQN59_01935</t>
  </si>
  <si>
    <t>3.4.16.4</t>
  </si>
  <si>
    <t>QUR47175.1</t>
  </si>
  <si>
    <t>FQN59_01940</t>
  </si>
  <si>
    <t>QUR47176.1</t>
  </si>
  <si>
    <t>FQN59_01945</t>
  </si>
  <si>
    <t>QUR47177.1</t>
  </si>
  <si>
    <t>FQN59_01950</t>
  </si>
  <si>
    <t>QUR47178.1</t>
  </si>
  <si>
    <t>FQN59_01955</t>
  </si>
  <si>
    <t>2.1.2.3</t>
  </si>
  <si>
    <t>3.5.4.10</t>
  </si>
  <si>
    <t>FQN59_01960</t>
  </si>
  <si>
    <t>QUR47179.1</t>
  </si>
  <si>
    <t>FQN59_01965</t>
  </si>
  <si>
    <t>QUR47180.1</t>
  </si>
  <si>
    <t>FQN59_01970</t>
  </si>
  <si>
    <t>QUR47181.1</t>
  </si>
  <si>
    <t>FQN59_01975</t>
  </si>
  <si>
    <t>QUR47182.1</t>
  </si>
  <si>
    <t>FQN59_01980</t>
  </si>
  <si>
    <t>QUR47183.1</t>
  </si>
  <si>
    <t>FQN59_01985</t>
  </si>
  <si>
    <t>QUR47184.1</t>
  </si>
  <si>
    <t>FQN59_01990</t>
  </si>
  <si>
    <t>QUR47185.1</t>
  </si>
  <si>
    <t>FQN59_01995</t>
  </si>
  <si>
    <t>QUR47186.1</t>
  </si>
  <si>
    <t>FQN59_02000</t>
  </si>
  <si>
    <t>QUR47187.1</t>
  </si>
  <si>
    <t>FQN59_02005</t>
  </si>
  <si>
    <t>QUR47188.1</t>
  </si>
  <si>
    <t>FQN59_02010</t>
  </si>
  <si>
    <t>QUR47189.1</t>
  </si>
  <si>
    <t>FQN59_02015</t>
  </si>
  <si>
    <t>QUR47190.1</t>
  </si>
  <si>
    <t>FQN59_02020</t>
  </si>
  <si>
    <t>QUR47191.1</t>
  </si>
  <si>
    <t>FQN59_02025</t>
  </si>
  <si>
    <t>2.7.4.3</t>
  </si>
  <si>
    <t>QUR47192.1</t>
  </si>
  <si>
    <t>FQN59_02030</t>
  </si>
  <si>
    <t>2.4.2.8</t>
  </si>
  <si>
    <t>QUR47193.1</t>
  </si>
  <si>
    <t>FQN59_02035</t>
  </si>
  <si>
    <t>FQN59_02040</t>
  </si>
  <si>
    <t>QUR47194.1</t>
  </si>
  <si>
    <t>FQN59_02045</t>
  </si>
  <si>
    <t>QUR47195.1</t>
  </si>
  <si>
    <t>FQN59_02050</t>
  </si>
  <si>
    <t>QUR47196.1</t>
  </si>
  <si>
    <t>FQN59_02055</t>
  </si>
  <si>
    <t>QUR47197.1</t>
  </si>
  <si>
    <t>FQN59_02060</t>
  </si>
  <si>
    <t>QUR47198.1</t>
  </si>
  <si>
    <t>FQN59_02065</t>
  </si>
  <si>
    <t>QUR47199.1</t>
  </si>
  <si>
    <t>FQN59_02070</t>
  </si>
  <si>
    <t>QUR47200.1</t>
  </si>
  <si>
    <t>FQN59_02075</t>
  </si>
  <si>
    <t>QUR47201.1</t>
  </si>
  <si>
    <t>FQN59_02080</t>
  </si>
  <si>
    <t>QUR47202.1</t>
  </si>
  <si>
    <t>FQN59_02085</t>
  </si>
  <si>
    <t>QUR47203.1</t>
  </si>
  <si>
    <t>FQN59_02090</t>
  </si>
  <si>
    <t>QUR47204.1</t>
  </si>
  <si>
    <t>FQN59_02095</t>
  </si>
  <si>
    <t>QUR47205.1</t>
  </si>
  <si>
    <t>FQN59_02100</t>
  </si>
  <si>
    <t>QUR47206.1</t>
  </si>
  <si>
    <t>FQN59_02105</t>
  </si>
  <si>
    <t>2.8.1.6</t>
  </si>
  <si>
    <t>QUR47207.1</t>
  </si>
  <si>
    <t>FQN59_02110</t>
  </si>
  <si>
    <t>2.6.1.62</t>
  </si>
  <si>
    <t>QUR47208.1</t>
  </si>
  <si>
    <t>FQN59_02115</t>
  </si>
  <si>
    <t>QUR47209.1</t>
  </si>
  <si>
    <t>FQN59_02120</t>
  </si>
  <si>
    <t>QUR51003.1</t>
  </si>
  <si>
    <t>FQN59_02125</t>
  </si>
  <si>
    <t>2.1.1.197</t>
  </si>
  <si>
    <t>QUR47210.1</t>
  </si>
  <si>
    <t>FQN59_02130</t>
  </si>
  <si>
    <t>6.3.3.3</t>
  </si>
  <si>
    <t>QUR47211.1</t>
  </si>
  <si>
    <t>FQN59_02135</t>
  </si>
  <si>
    <t>QUR47212.1</t>
  </si>
  <si>
    <t>FQN59_02140</t>
  </si>
  <si>
    <t>QUR47213.1</t>
  </si>
  <si>
    <t>FQN59_02145</t>
  </si>
  <si>
    <t>QUR47214.1</t>
  </si>
  <si>
    <t>FQN59_02150</t>
  </si>
  <si>
    <t>QUR47215.1</t>
  </si>
  <si>
    <t>FQN59_02155</t>
  </si>
  <si>
    <t>QUR47216.1</t>
  </si>
  <si>
    <t>FQN59_02160</t>
  </si>
  <si>
    <t>QUR47217.1</t>
  </si>
  <si>
    <t>FQN59_02165</t>
  </si>
  <si>
    <t>QUR47218.1</t>
  </si>
  <si>
    <t>FQN59_02170</t>
  </si>
  <si>
    <t>QUR47219.1</t>
  </si>
  <si>
    <t>FQN59_02175</t>
  </si>
  <si>
    <t>QUR47220.1</t>
  </si>
  <si>
    <t>FQN59_02180</t>
  </si>
  <si>
    <t>QUR47221.1</t>
  </si>
  <si>
    <t>FQN59_02185</t>
  </si>
  <si>
    <t>QUR47222.1</t>
  </si>
  <si>
    <t>FQN59_02190</t>
  </si>
  <si>
    <t>QUR47223.1</t>
  </si>
  <si>
    <t>FQN59_02195</t>
  </si>
  <si>
    <t>QUR47224.1</t>
  </si>
  <si>
    <t>FQN59_02200</t>
  </si>
  <si>
    <t>QUR47225.1</t>
  </si>
  <si>
    <t>FQN59_02205</t>
  </si>
  <si>
    <t>QUR47226.1</t>
  </si>
  <si>
    <t>FQN59_02210</t>
  </si>
  <si>
    <t>QUR47227.1</t>
  </si>
  <si>
    <t>FQN59_02215</t>
  </si>
  <si>
    <t>QUR47228.1</t>
  </si>
  <si>
    <t>FQN59_02220</t>
  </si>
  <si>
    <t>5.4.99.12</t>
  </si>
  <si>
    <t>QUR47229.1</t>
  </si>
  <si>
    <t>FQN59_02225</t>
  </si>
  <si>
    <t>QUR47230.1</t>
  </si>
  <si>
    <t>FQN59_02230</t>
  </si>
  <si>
    <t>QUR47231.1</t>
  </si>
  <si>
    <t>FQN59_02235</t>
  </si>
  <si>
    <t>QUR47232.1</t>
  </si>
  <si>
    <t>FQN59_02240</t>
  </si>
  <si>
    <t>QUR47233.1</t>
  </si>
  <si>
    <t>FQN59_02245</t>
  </si>
  <si>
    <t>QUR47234.1</t>
  </si>
  <si>
    <t>FQN59_02250</t>
  </si>
  <si>
    <t>QUR47235.1</t>
  </si>
  <si>
    <t>FQN59_02255</t>
  </si>
  <si>
    <t>QUR47236.1</t>
  </si>
  <si>
    <t>FQN59_02260</t>
  </si>
  <si>
    <t>QUR47237.1</t>
  </si>
  <si>
    <t>FQN59_02265</t>
  </si>
  <si>
    <t>QUR47238.1</t>
  </si>
  <si>
    <t>FQN59_02270</t>
  </si>
  <si>
    <t>QUR47239.1</t>
  </si>
  <si>
    <t>FQN59_02275</t>
  </si>
  <si>
    <t>QUR47240.1</t>
  </si>
  <si>
    <t>FQN59_02280</t>
  </si>
  <si>
    <t>QUR47241.1</t>
  </si>
  <si>
    <t>FQN59_02285</t>
  </si>
  <si>
    <t>QUR47242.1</t>
  </si>
  <si>
    <t>FQN59_02290</t>
  </si>
  <si>
    <t>QUR47243.1</t>
  </si>
  <si>
    <t>FQN59_02295</t>
  </si>
  <si>
    <t>QUR47244.1</t>
  </si>
  <si>
    <t>FQN59_02300</t>
  </si>
  <si>
    <t>QUR47245.1</t>
  </si>
  <si>
    <t>FQN59_02305</t>
  </si>
  <si>
    <t>QUR47246.1</t>
  </si>
  <si>
    <t>FQN59_02310</t>
  </si>
  <si>
    <t>QUR47247.1</t>
  </si>
  <si>
    <t>FQN59_02315</t>
  </si>
  <si>
    <t>QUR47248.1</t>
  </si>
  <si>
    <t>FQN59_02320</t>
  </si>
  <si>
    <t>QUR47249.1</t>
  </si>
  <si>
    <t>FQN59_02325</t>
  </si>
  <si>
    <t>QUR47250.1</t>
  </si>
  <si>
    <t>FQN59_02330</t>
  </si>
  <si>
    <t>QUR47251.1</t>
  </si>
  <si>
    <t>FQN59_02335</t>
  </si>
  <si>
    <t>QUR47252.1</t>
  </si>
  <si>
    <t>FQN59_02340</t>
  </si>
  <si>
    <t>QUR51004.1</t>
  </si>
  <si>
    <t>FQN59_02345</t>
  </si>
  <si>
    <t>QUR47253.1</t>
  </si>
  <si>
    <t>FQN59_02350</t>
  </si>
  <si>
    <t>QUR47254.1</t>
  </si>
  <si>
    <t>FQN59_02355</t>
  </si>
  <si>
    <t>QUR47255.1</t>
  </si>
  <si>
    <t>FQN59_02360</t>
  </si>
  <si>
    <t>QUR47256.1</t>
  </si>
  <si>
    <t>FQN59_02365</t>
  </si>
  <si>
    <t>QUR47257.1</t>
  </si>
  <si>
    <t>FQN59_02370</t>
  </si>
  <si>
    <t>QUR47258.1</t>
  </si>
  <si>
    <t>FQN59_02375</t>
  </si>
  <si>
    <t>QUR47259.1</t>
  </si>
  <si>
    <t>FQN59_02380</t>
  </si>
  <si>
    <t>QUR47260.1</t>
  </si>
  <si>
    <t>FQN59_02385</t>
  </si>
  <si>
    <t>QUR47261.1</t>
  </si>
  <si>
    <t>FQN59_02390</t>
  </si>
  <si>
    <t>QUR47262.1</t>
  </si>
  <si>
    <t>FQN59_02395</t>
  </si>
  <si>
    <t>QUR47263.1</t>
  </si>
  <si>
    <t>FQN59_02400</t>
  </si>
  <si>
    <t>QUR47264.1</t>
  </si>
  <si>
    <t>FQN59_02405</t>
  </si>
  <si>
    <t>QUR47265.1</t>
  </si>
  <si>
    <t>FQN59_02410</t>
  </si>
  <si>
    <t>QUR47266.1</t>
  </si>
  <si>
    <t>FQN59_02415</t>
  </si>
  <si>
    <t>QUR47267.1</t>
  </si>
  <si>
    <t>FQN59_02420</t>
  </si>
  <si>
    <t>4.3.1.19</t>
  </si>
  <si>
    <t>QUR47268.1</t>
  </si>
  <si>
    <t>FQN59_02425</t>
  </si>
  <si>
    <t>QUR47269.1</t>
  </si>
  <si>
    <t>FQN59_02430</t>
  </si>
  <si>
    <t>QUR47270.1</t>
  </si>
  <si>
    <t>FQN59_02435</t>
  </si>
  <si>
    <t>QUR47271.1</t>
  </si>
  <si>
    <t>FQN59_02440</t>
  </si>
  <si>
    <t>QUR47272.1</t>
  </si>
  <si>
    <t>FQN59_02445</t>
  </si>
  <si>
    <t>QUR47273.1</t>
  </si>
  <si>
    <t>FQN59_02450</t>
  </si>
  <si>
    <t>QUR47274.1</t>
  </si>
  <si>
    <t>FQN59_02455</t>
  </si>
  <si>
    <t>QUR47275.1</t>
  </si>
  <si>
    <t>FQN59_02460</t>
  </si>
  <si>
    <t>6.3.2.6</t>
  </si>
  <si>
    <t>QUR47276.1</t>
  </si>
  <si>
    <t>FQN59_02465</t>
  </si>
  <si>
    <t>QUR47277.1</t>
  </si>
  <si>
    <t>FQN59_02470</t>
  </si>
  <si>
    <t>QUR47278.1</t>
  </si>
  <si>
    <t>FQN59_02475</t>
  </si>
  <si>
    <t>QUR47279.1</t>
  </si>
  <si>
    <t>FQN59_02480</t>
  </si>
  <si>
    <t>QUR47280.1</t>
  </si>
  <si>
    <t>FQN59_02485</t>
  </si>
  <si>
    <t>QUR47281.1</t>
  </si>
  <si>
    <t>FQN59_02490</t>
  </si>
  <si>
    <t>QUR47282.1</t>
  </si>
  <si>
    <t>FQN59_02495</t>
  </si>
  <si>
    <t>QUR47283.1</t>
  </si>
  <si>
    <t>FQN59_02500</t>
  </si>
  <si>
    <t>QUR47284.1</t>
  </si>
  <si>
    <t>FQN59_02505</t>
  </si>
  <si>
    <t>QUR47285.1</t>
  </si>
  <si>
    <t>FQN59_02510</t>
  </si>
  <si>
    <t>QUR47286.1</t>
  </si>
  <si>
    <t>FQN59_02515</t>
  </si>
  <si>
    <t>QUR47287.1</t>
  </si>
  <si>
    <t>FQN59_02520</t>
  </si>
  <si>
    <t>QUR47288.1</t>
  </si>
  <si>
    <t>FQN59_02525</t>
  </si>
  <si>
    <t>QUR47289.1</t>
  </si>
  <si>
    <t>FQN59_02530</t>
  </si>
  <si>
    <t>QUR47290.1</t>
  </si>
  <si>
    <t>FQN59_02535</t>
  </si>
  <si>
    <t>QUR47291.1</t>
  </si>
  <si>
    <t>FQN59_02540</t>
  </si>
  <si>
    <t>QUR47292.1</t>
  </si>
  <si>
    <t>FQN59_02545</t>
  </si>
  <si>
    <t>QUR47293.1</t>
  </si>
  <si>
    <t>FQN59_02550</t>
  </si>
  <si>
    <t>QUR47294.1</t>
  </si>
  <si>
    <t>FQN59_02555</t>
  </si>
  <si>
    <t>QUR47295.1</t>
  </si>
  <si>
    <t>FQN59_02560</t>
  </si>
  <si>
    <t>QUR47296.1</t>
  </si>
  <si>
    <t>FQN59_02565</t>
  </si>
  <si>
    <t>QUR47297.1</t>
  </si>
  <si>
    <t>FQN59_02570</t>
  </si>
  <si>
    <t>QUR47298.1</t>
  </si>
  <si>
    <t>FQN59_02575</t>
  </si>
  <si>
    <t>QUR47299.1</t>
  </si>
  <si>
    <t>FQN59_02580</t>
  </si>
  <si>
    <t>QUR47300.1</t>
  </si>
  <si>
    <t>FQN59_02585</t>
  </si>
  <si>
    <t>QUR47301.1</t>
  </si>
  <si>
    <t>FQN59_02590</t>
  </si>
  <si>
    <t>FQN59_02595</t>
  </si>
  <si>
    <t>FQN59_02600</t>
  </si>
  <si>
    <t>QUR47302.1</t>
  </si>
  <si>
    <t>FQN59_02605</t>
  </si>
  <si>
    <t>QUR47303.1</t>
  </si>
  <si>
    <t>FQN59_02610</t>
  </si>
  <si>
    <t>5.3.1.16</t>
  </si>
  <si>
    <t>QUR47304.1</t>
  </si>
  <si>
    <t>FQN59_02615</t>
  </si>
  <si>
    <t>4.1.3.-</t>
  </si>
  <si>
    <t>QUR47305.1</t>
  </si>
  <si>
    <t>FQN59_02620</t>
  </si>
  <si>
    <t>3.5.4.19</t>
  </si>
  <si>
    <t>3.6.1.31</t>
  </si>
  <si>
    <t>QUR47306.1</t>
  </si>
  <si>
    <t>FQN59_02625</t>
  </si>
  <si>
    <t>QUR47307.1</t>
  </si>
  <si>
    <t>FQN59_02630</t>
  </si>
  <si>
    <t>2.7.2.4</t>
  </si>
  <si>
    <t>QUR47308.1</t>
  </si>
  <si>
    <t>FQN59_02635</t>
  </si>
  <si>
    <t>QUR47309.1</t>
  </si>
  <si>
    <t>FQN59_02640</t>
  </si>
  <si>
    <t>QUR47310.1</t>
  </si>
  <si>
    <t>FQN59_02645</t>
  </si>
  <si>
    <t>QUR47311.1</t>
  </si>
  <si>
    <t>FQN59_02650</t>
  </si>
  <si>
    <t>QUR47312.1</t>
  </si>
  <si>
    <t>FQN59_02655</t>
  </si>
  <si>
    <t>QUR47313.1</t>
  </si>
  <si>
    <t>FQN59_02660</t>
  </si>
  <si>
    <t>QUR47314.1</t>
  </si>
  <si>
    <t>FQN59_02665</t>
  </si>
  <si>
    <t>FQN59_02670</t>
  </si>
  <si>
    <t>QUR47315.1</t>
  </si>
  <si>
    <t>FQN59_02675</t>
  </si>
  <si>
    <t>QUR47316.1</t>
  </si>
  <si>
    <t>FQN59_02680</t>
  </si>
  <si>
    <t>QUR47317.1</t>
  </si>
  <si>
    <t>FQN59_02685</t>
  </si>
  <si>
    <t>QUR47318.1</t>
  </si>
  <si>
    <t>FQN59_02690</t>
  </si>
  <si>
    <t>QUR47319.1</t>
  </si>
  <si>
    <t>FQN59_02695</t>
  </si>
  <si>
    <t>QUR47320.1</t>
  </si>
  <si>
    <t>FQN59_02700</t>
  </si>
  <si>
    <t>QUR47321.1</t>
  </si>
  <si>
    <t>FQN59_02705</t>
  </si>
  <si>
    <t>QUR47322.1</t>
  </si>
  <si>
    <t>FQN59_02710</t>
  </si>
  <si>
    <t>QUR47323.1</t>
  </si>
  <si>
    <t>FQN59_02715</t>
  </si>
  <si>
    <t>QUR47324.1</t>
  </si>
  <si>
    <t>FQN59_02720</t>
  </si>
  <si>
    <t>QUR47325.1</t>
  </si>
  <si>
    <t>FQN59_02725</t>
  </si>
  <si>
    <t>3.2.2.27</t>
  </si>
  <si>
    <t>QUR47326.1</t>
  </si>
  <si>
    <t>FQN59_02730</t>
  </si>
  <si>
    <t>QUR47327.1</t>
  </si>
  <si>
    <t>FQN59_02735</t>
  </si>
  <si>
    <t>2.1.1.63</t>
  </si>
  <si>
    <t>QUR47328.1</t>
  </si>
  <si>
    <t>FQN59_02740</t>
  </si>
  <si>
    <t>QUR47329.1</t>
  </si>
  <si>
    <t>FQN59_02745</t>
  </si>
  <si>
    <t>QUR47330.1</t>
  </si>
  <si>
    <t>FQN59_02750</t>
  </si>
  <si>
    <t>QUR47331.1</t>
  </si>
  <si>
    <t>FQN59_02755</t>
  </si>
  <si>
    <t>QUR47332.1</t>
  </si>
  <si>
    <t>FQN59_02760</t>
  </si>
  <si>
    <t>QUR47333.1</t>
  </si>
  <si>
    <t>FQN59_02765</t>
  </si>
  <si>
    <t>QUR47334.1</t>
  </si>
  <si>
    <t>FQN59_02770</t>
  </si>
  <si>
    <t>1.8.4.12</t>
  </si>
  <si>
    <t>QUR47335.1</t>
  </si>
  <si>
    <t>FQN59_02775</t>
  </si>
  <si>
    <t>QUR47336.1</t>
  </si>
  <si>
    <t>FQN59_02780</t>
  </si>
  <si>
    <t>QUR47337.1</t>
  </si>
  <si>
    <t>FQN59_02785</t>
  </si>
  <si>
    <t>QUR47338.1</t>
  </si>
  <si>
    <t>FQN59_02790</t>
  </si>
  <si>
    <t>QUR47339.1</t>
  </si>
  <si>
    <t>FQN59_02795</t>
  </si>
  <si>
    <t>QUR47340.1</t>
  </si>
  <si>
    <t>FQN59_02800</t>
  </si>
  <si>
    <t>QUR47341.1</t>
  </si>
  <si>
    <t>FQN59_02805</t>
  </si>
  <si>
    <t>QUR47342.1</t>
  </si>
  <si>
    <t>FQN59_02810</t>
  </si>
  <si>
    <t>QUR47343.1</t>
  </si>
  <si>
    <t>FQN59_02815</t>
  </si>
  <si>
    <t>QUR47344.1</t>
  </si>
  <si>
    <t>FQN59_02820</t>
  </si>
  <si>
    <t>QUR47345.1</t>
  </si>
  <si>
    <t>FQN59_02825</t>
  </si>
  <si>
    <t>QUR47346.1</t>
  </si>
  <si>
    <t>FQN59_02830</t>
  </si>
  <si>
    <t>QUR47347.1</t>
  </si>
  <si>
    <t>FQN59_02835</t>
  </si>
  <si>
    <t>QUR47348.1</t>
  </si>
  <si>
    <t>FQN59_02840</t>
  </si>
  <si>
    <t>QUR47349.1</t>
  </si>
  <si>
    <t>FQN59_02845</t>
  </si>
  <si>
    <t>QUR47350.1</t>
  </si>
  <si>
    <t>FQN59_02850</t>
  </si>
  <si>
    <t>QUR47351.1</t>
  </si>
  <si>
    <t>FQN59_02855</t>
  </si>
  <si>
    <t>QUR47352.1</t>
  </si>
  <si>
    <t>FQN59_02860</t>
  </si>
  <si>
    <t>QUR47353.1</t>
  </si>
  <si>
    <t>FQN59_02865</t>
  </si>
  <si>
    <t>QUR47354.1</t>
  </si>
  <si>
    <t>FQN59_02870</t>
  </si>
  <si>
    <t>QUR47355.1</t>
  </si>
  <si>
    <t>FQN59_02875</t>
  </si>
  <si>
    <t>QUR47356.1</t>
  </si>
  <si>
    <t>FQN59_02880</t>
  </si>
  <si>
    <t>QUR47357.1</t>
  </si>
  <si>
    <t>FQN59_02885</t>
  </si>
  <si>
    <t>1.1.1.85</t>
  </si>
  <si>
    <t>QUR47358.1</t>
  </si>
  <si>
    <t>FQN59_02890</t>
  </si>
  <si>
    <t>4.2.3.3</t>
  </si>
  <si>
    <t>QUR47359.1</t>
  </si>
  <si>
    <t>FQN59_02895</t>
  </si>
  <si>
    <t>QUR47360.1</t>
  </si>
  <si>
    <t>FQN59_02900</t>
  </si>
  <si>
    <t>4.2.1.33</t>
  </si>
  <si>
    <t>QUR47361.1</t>
  </si>
  <si>
    <t>FQN59_02905</t>
  </si>
  <si>
    <t>QUR47362.1</t>
  </si>
  <si>
    <t>FQN59_02910</t>
  </si>
  <si>
    <t>2.3.3.13</t>
  </si>
  <si>
    <t>QUR47363.1</t>
  </si>
  <si>
    <t>FQN59_02915</t>
  </si>
  <si>
    <t>QUR47364.1</t>
  </si>
  <si>
    <t>FQN59_02920</t>
  </si>
  <si>
    <t>QUR47365.1</t>
  </si>
  <si>
    <t>FQN59_02925</t>
  </si>
  <si>
    <t>QUR47366.1</t>
  </si>
  <si>
    <t>FQN59_02930</t>
  </si>
  <si>
    <t>QUR47367.1</t>
  </si>
  <si>
    <t>FQN59_02935</t>
  </si>
  <si>
    <t>QUR47368.1</t>
  </si>
  <si>
    <t>FQN59_02940</t>
  </si>
  <si>
    <t>QUR47369.1</t>
  </si>
  <si>
    <t>FQN59_02945</t>
  </si>
  <si>
    <t>1.1.1.-</t>
  </si>
  <si>
    <t>QUR47370.1</t>
  </si>
  <si>
    <t>FQN59_02950</t>
  </si>
  <si>
    <t>QUR47371.1</t>
  </si>
  <si>
    <t>FQN59_02955</t>
  </si>
  <si>
    <t>2.2.1.6</t>
  </si>
  <si>
    <t>QUR47372.1</t>
  </si>
  <si>
    <t>FQN59_02960</t>
  </si>
  <si>
    <t>QUR47373.1</t>
  </si>
  <si>
    <t>FQN59_02965</t>
  </si>
  <si>
    <t>4.2.1.9</t>
  </si>
  <si>
    <t>QUR47374.1</t>
  </si>
  <si>
    <t>FQN59_02970</t>
  </si>
  <si>
    <t>QUR47375.1</t>
  </si>
  <si>
    <t>FQN59_02975</t>
  </si>
  <si>
    <t>QUR47376.1</t>
  </si>
  <si>
    <t>FQN59_02980</t>
  </si>
  <si>
    <t>4.2.3.5</t>
  </si>
  <si>
    <t>QUR47377.1</t>
  </si>
  <si>
    <t>FQN59_02985</t>
  </si>
  <si>
    <t>QUR47378.1</t>
  </si>
  <si>
    <t>FQN59_02990</t>
  </si>
  <si>
    <t>QUR47379.1</t>
  </si>
  <si>
    <t>FQN59_02995</t>
  </si>
  <si>
    <t>QUR47380.1</t>
  </si>
  <si>
    <t>FQN59_03000</t>
  </si>
  <si>
    <t>2.4.2.19</t>
  </si>
  <si>
    <t>QUR47381.1</t>
  </si>
  <si>
    <t>FQN59_03005</t>
  </si>
  <si>
    <t>QUR47382.1</t>
  </si>
  <si>
    <t>FQN59_03010</t>
  </si>
  <si>
    <t>QUR47383.1</t>
  </si>
  <si>
    <t>FQN59_03015</t>
  </si>
  <si>
    <t>QUR47384.1</t>
  </si>
  <si>
    <t>FQN59_03020</t>
  </si>
  <si>
    <t>QUR47385.1</t>
  </si>
  <si>
    <t>FQN59_03025</t>
  </si>
  <si>
    <t>QUR47386.1</t>
  </si>
  <si>
    <t>FQN59_03030</t>
  </si>
  <si>
    <t>QUR47387.1</t>
  </si>
  <si>
    <t>FQN59_03035</t>
  </si>
  <si>
    <t>QUR47388.1</t>
  </si>
  <si>
    <t>FQN59_03040</t>
  </si>
  <si>
    <t>QUR47389.1</t>
  </si>
  <si>
    <t>FQN59_03045</t>
  </si>
  <si>
    <t>QUR47390.1</t>
  </si>
  <si>
    <t>FQN59_03050</t>
  </si>
  <si>
    <t>QUR47391.1</t>
  </si>
  <si>
    <t>FQN59_03055</t>
  </si>
  <si>
    <t>QUR47392.1</t>
  </si>
  <si>
    <t>FQN59_03060</t>
  </si>
  <si>
    <t>3.5.4.5</t>
  </si>
  <si>
    <t>FQN59_03065</t>
  </si>
  <si>
    <t>QUR47393.1</t>
  </si>
  <si>
    <t>FQN59_03070</t>
  </si>
  <si>
    <t>FQN59_03075</t>
  </si>
  <si>
    <t>QUR47394.1</t>
  </si>
  <si>
    <t>FQN59_03080</t>
  </si>
  <si>
    <t>QUR47395.1</t>
  </si>
  <si>
    <t>FQN59_03085</t>
  </si>
  <si>
    <t>QUR47396.1</t>
  </si>
  <si>
    <t>FQN59_03090</t>
  </si>
  <si>
    <t>QUR47397.1</t>
  </si>
  <si>
    <t>FQN59_03095</t>
  </si>
  <si>
    <t>4.1.1.23</t>
  </si>
  <si>
    <t>QUR47398.1</t>
  </si>
  <si>
    <t>FQN59_03100</t>
  </si>
  <si>
    <t>2.3.1.191</t>
  </si>
  <si>
    <t>QUR47399.1</t>
  </si>
  <si>
    <t>FQN59_03105</t>
  </si>
  <si>
    <t>QUR47400.1</t>
  </si>
  <si>
    <t>FQN59_03110</t>
  </si>
  <si>
    <t>2.3.1.129</t>
  </si>
  <si>
    <t>FQN59_03115</t>
  </si>
  <si>
    <t>QUR47401.1</t>
  </si>
  <si>
    <t>FQN59_03120</t>
  </si>
  <si>
    <t>QUR47402.1</t>
  </si>
  <si>
    <t>FQN59_03125</t>
  </si>
  <si>
    <t>2.5.1.75</t>
  </si>
  <si>
    <t>QUR47403.1</t>
  </si>
  <si>
    <t>FQN59_03130</t>
  </si>
  <si>
    <t>QUR47404.1</t>
  </si>
  <si>
    <t>FQN59_03135</t>
  </si>
  <si>
    <t>QUR47405.1</t>
  </si>
  <si>
    <t>FQN59_03140</t>
  </si>
  <si>
    <t>QUR47406.1</t>
  </si>
  <si>
    <t>FQN59_03145</t>
  </si>
  <si>
    <t>QUR47407.1</t>
  </si>
  <si>
    <t>FQN59_03150</t>
  </si>
  <si>
    <t>QUR47408.1</t>
  </si>
  <si>
    <t>FQN59_03155</t>
  </si>
  <si>
    <t>QUR47409.1</t>
  </si>
  <si>
    <t>FQN59_03160</t>
  </si>
  <si>
    <t>5.3.1.6</t>
  </si>
  <si>
    <t>QUR47410.1</t>
  </si>
  <si>
    <t>FQN59_03165</t>
  </si>
  <si>
    <t>QUR47411.1</t>
  </si>
  <si>
    <t>FQN59_03170</t>
  </si>
  <si>
    <t>QUR47412.1</t>
  </si>
  <si>
    <t>FQN59_03175</t>
  </si>
  <si>
    <t>QUR47413.1</t>
  </si>
  <si>
    <t>FQN59_03180</t>
  </si>
  <si>
    <t>QUR47414.1</t>
  </si>
  <si>
    <t>FQN59_03185</t>
  </si>
  <si>
    <t>QUR47415.1</t>
  </si>
  <si>
    <t>FQN59_03190</t>
  </si>
  <si>
    <t>QUR47416.1</t>
  </si>
  <si>
    <t>FQN59_03195</t>
  </si>
  <si>
    <t>QUR47417.1</t>
  </si>
  <si>
    <t>FQN59_03200</t>
  </si>
  <si>
    <t>QUR47418.1</t>
  </si>
  <si>
    <t>FQN59_03205</t>
  </si>
  <si>
    <t>QUR47419.1</t>
  </si>
  <si>
    <t>FQN59_03210</t>
  </si>
  <si>
    <t>QUR47420.1</t>
  </si>
  <si>
    <t>FQN59_03215</t>
  </si>
  <si>
    <t>QUR47421.1</t>
  </si>
  <si>
    <t>FQN59_03220</t>
  </si>
  <si>
    <t>QUR47422.1</t>
  </si>
  <si>
    <t>FQN59_03225</t>
  </si>
  <si>
    <t>QUR47423.1</t>
  </si>
  <si>
    <t>FQN59_03230</t>
  </si>
  <si>
    <t>QUR47424.1</t>
  </si>
  <si>
    <t>FQN59_03235</t>
  </si>
  <si>
    <t>QUR47425.1</t>
  </si>
  <si>
    <t>FQN59_03240</t>
  </si>
  <si>
    <t>FQN59_03245</t>
  </si>
  <si>
    <t>FQN59_03250</t>
  </si>
  <si>
    <t>FQN59_03255</t>
  </si>
  <si>
    <t>FQN59_03260</t>
  </si>
  <si>
    <t>FQN59_03265</t>
  </si>
  <si>
    <t>QUR47426.1</t>
  </si>
  <si>
    <t>FQN59_03270</t>
  </si>
  <si>
    <t>QUR47427.1</t>
  </si>
  <si>
    <t>FQN59_03275</t>
  </si>
  <si>
    <t>QUR47428.1</t>
  </si>
  <si>
    <t>FQN59_03280</t>
  </si>
  <si>
    <t>QUR47429.1</t>
  </si>
  <si>
    <t>FQN59_03285</t>
  </si>
  <si>
    <t>QUR47430.1</t>
  </si>
  <si>
    <t>FQN59_03290</t>
  </si>
  <si>
    <t>QUR47431.1</t>
  </si>
  <si>
    <t>FQN59_03295</t>
  </si>
  <si>
    <t>QUR47432.1</t>
  </si>
  <si>
    <t>FQN59_03300</t>
  </si>
  <si>
    <t>QUR47433.1</t>
  </si>
  <si>
    <t>FQN59_03305</t>
  </si>
  <si>
    <t>QUR47434.1</t>
  </si>
  <si>
    <t>FQN59_03310</t>
  </si>
  <si>
    <t>QUR47435.1</t>
  </si>
  <si>
    <t>FQN59_03315</t>
  </si>
  <si>
    <t>QUR47436.1</t>
  </si>
  <si>
    <t>FQN59_03320</t>
  </si>
  <si>
    <t>QUR47437.1</t>
  </si>
  <si>
    <t>FQN59_03325</t>
  </si>
  <si>
    <t>QUR47438.1</t>
  </si>
  <si>
    <t>FQN59_03330</t>
  </si>
  <si>
    <t>QUR47439.1</t>
  </si>
  <si>
    <t>FQN59_03335</t>
  </si>
  <si>
    <t>FQN59_03340</t>
  </si>
  <si>
    <t>QUR47440.1</t>
  </si>
  <si>
    <t>FQN59_03345</t>
  </si>
  <si>
    <t>QUR47441.1</t>
  </si>
  <si>
    <t>FQN59_03350</t>
  </si>
  <si>
    <t>QUR47442.1</t>
  </si>
  <si>
    <t>FQN59_03355</t>
  </si>
  <si>
    <t>QUR47443.1</t>
  </si>
  <si>
    <t>FQN59_03360</t>
  </si>
  <si>
    <t>QUR47444.1</t>
  </si>
  <si>
    <t>FQN59_03365</t>
  </si>
  <si>
    <t>QUR47445.1</t>
  </si>
  <si>
    <t>FQN59_03370</t>
  </si>
  <si>
    <t>QUR47446.1</t>
  </si>
  <si>
    <t>FQN59_03375</t>
  </si>
  <si>
    <t>FQN59_03380</t>
  </si>
  <si>
    <t>QUR47447.1</t>
  </si>
  <si>
    <t>FQN59_03385</t>
  </si>
  <si>
    <t>QUR47448.1</t>
  </si>
  <si>
    <t>FQN59_03390</t>
  </si>
  <si>
    <t>QUR47449.1</t>
  </si>
  <si>
    <t>FQN59_03395</t>
  </si>
  <si>
    <t>QUR47450.1</t>
  </si>
  <si>
    <t>FQN59_03400</t>
  </si>
  <si>
    <t>QUR47451.1</t>
  </si>
  <si>
    <t>FQN59_03405</t>
  </si>
  <si>
    <t>QUR47452.1</t>
  </si>
  <si>
    <t>FQN59_03410</t>
  </si>
  <si>
    <t>2.1.1.72</t>
  </si>
  <si>
    <t>QUR47453.1</t>
  </si>
  <si>
    <t>FQN59_03415</t>
  </si>
  <si>
    <t>QUR47454.1</t>
  </si>
  <si>
    <t>FQN59_03420</t>
  </si>
  <si>
    <t>QUR47455.1</t>
  </si>
  <si>
    <t>FQN59_03425</t>
  </si>
  <si>
    <t>QUR47456.1</t>
  </si>
  <si>
    <t>FQN59_03430</t>
  </si>
  <si>
    <t>QUR47457.1</t>
  </si>
  <si>
    <t>FQN59_03435</t>
  </si>
  <si>
    <t>QUR47458.1</t>
  </si>
  <si>
    <t>FQN59_03440</t>
  </si>
  <si>
    <t>QUR47459.1</t>
  </si>
  <si>
    <t>FQN59_03445</t>
  </si>
  <si>
    <t>QUR47460.1</t>
  </si>
  <si>
    <t>FQN59_03450</t>
  </si>
  <si>
    <t>QUR47461.1</t>
  </si>
  <si>
    <t>FQN59_03455</t>
  </si>
  <si>
    <t>QUR47462.1</t>
  </si>
  <si>
    <t>FQN59_03460</t>
  </si>
  <si>
    <t>QUR47463.1</t>
  </si>
  <si>
    <t>FQN59_03465</t>
  </si>
  <si>
    <t>QUR47464.1</t>
  </si>
  <si>
    <t>FQN59_03470</t>
  </si>
  <si>
    <t>QUR47465.1</t>
  </si>
  <si>
    <t>FQN59_03475</t>
  </si>
  <si>
    <t>QUR47466.1</t>
  </si>
  <si>
    <t>FQN59_03480</t>
  </si>
  <si>
    <t>QUR47467.1</t>
  </si>
  <si>
    <t>FQN59_03485</t>
  </si>
  <si>
    <t>QUR47468.1</t>
  </si>
  <si>
    <t>FQN59_03490</t>
  </si>
  <si>
    <t>QUR47469.1</t>
  </si>
  <si>
    <t>FQN59_03495</t>
  </si>
  <si>
    <t>QUR51005.1</t>
  </si>
  <si>
    <t>FQN59_03500</t>
  </si>
  <si>
    <t>QUR47470.1</t>
  </si>
  <si>
    <t>FQN59_03505</t>
  </si>
  <si>
    <t>QUR47471.1</t>
  </si>
  <si>
    <t>FQN59_03510</t>
  </si>
  <si>
    <t>QUR47472.1</t>
  </si>
  <si>
    <t>FQN59_03515</t>
  </si>
  <si>
    <t>QUR47473.1</t>
  </si>
  <si>
    <t>FQN59_03520</t>
  </si>
  <si>
    <t>QUR47474.1</t>
  </si>
  <si>
    <t>FQN59_03525</t>
  </si>
  <si>
    <t>QUR47475.1</t>
  </si>
  <si>
    <t>FQN59_03530</t>
  </si>
  <si>
    <t>QUR47476.1</t>
  </si>
  <si>
    <t>FQN59_03535</t>
  </si>
  <si>
    <t>QUR47477.1</t>
  </si>
  <si>
    <t>FQN59_03540</t>
  </si>
  <si>
    <t>QUR47478.1</t>
  </si>
  <si>
    <t>FQN59_03545</t>
  </si>
  <si>
    <t>2.7.4.1</t>
  </si>
  <si>
    <t>QUR47479.1</t>
  </si>
  <si>
    <t>FQN59_03550</t>
  </si>
  <si>
    <t>QUR47480.1</t>
  </si>
  <si>
    <t>FQN59_03555</t>
  </si>
  <si>
    <t>QUR47481.1</t>
  </si>
  <si>
    <t>FQN59_03560</t>
  </si>
  <si>
    <t>2.8.1.8</t>
  </si>
  <si>
    <t>QUR47482.1</t>
  </si>
  <si>
    <t>FQN59_03565</t>
  </si>
  <si>
    <t>QUR47483.1</t>
  </si>
  <si>
    <t>FQN59_03570</t>
  </si>
  <si>
    <t>QUR47484.1</t>
  </si>
  <si>
    <t>FQN59_03575</t>
  </si>
  <si>
    <t>QUR47485.1</t>
  </si>
  <si>
    <t>FQN59_03580</t>
  </si>
  <si>
    <t>QUR47486.1</t>
  </si>
  <si>
    <t>FQN59_03585</t>
  </si>
  <si>
    <t>QUR47487.1</t>
  </si>
  <si>
    <t>FQN59_03590</t>
  </si>
  <si>
    <t>QUR47488.1</t>
  </si>
  <si>
    <t>FQN59_03595</t>
  </si>
  <si>
    <t>QUR47489.1</t>
  </si>
  <si>
    <t>FQN59_03600</t>
  </si>
  <si>
    <t>QUR47490.1</t>
  </si>
  <si>
    <t>FQN59_03605</t>
  </si>
  <si>
    <t>QUR47491.1</t>
  </si>
  <si>
    <t>FQN59_03610</t>
  </si>
  <si>
    <t>QUR47492.1</t>
  </si>
  <si>
    <t>FQN59_03615</t>
  </si>
  <si>
    <t>QUR47493.1</t>
  </si>
  <si>
    <t>FQN59_03620</t>
  </si>
  <si>
    <t>QUR47494.1</t>
  </si>
  <si>
    <t>FQN59_03625</t>
  </si>
  <si>
    <t>QUR47495.1</t>
  </si>
  <si>
    <t>FQN59_03630</t>
  </si>
  <si>
    <t>QUR47496.1</t>
  </si>
  <si>
    <t>FQN59_03635</t>
  </si>
  <si>
    <t>QUR47497.1</t>
  </si>
  <si>
    <t>FQN59_03640</t>
  </si>
  <si>
    <t>QUR47498.1</t>
  </si>
  <si>
    <t>FQN59_03645</t>
  </si>
  <si>
    <t>QUR47499.1</t>
  </si>
  <si>
    <t>FQN59_03650</t>
  </si>
  <si>
    <t>QUR47500.1</t>
  </si>
  <si>
    <t>FQN59_03655</t>
  </si>
  <si>
    <t>QUR47501.1</t>
  </si>
  <si>
    <t>FQN59_03660</t>
  </si>
  <si>
    <t>QUR47502.1</t>
  </si>
  <si>
    <t>FQN59_03665</t>
  </si>
  <si>
    <t>QUR47503.1</t>
  </si>
  <si>
    <t>FQN59_03670</t>
  </si>
  <si>
    <t>QUR47504.1</t>
  </si>
  <si>
    <t>FQN59_03675</t>
  </si>
  <si>
    <t>QUR47505.1</t>
  </si>
  <si>
    <t>FQN59_03680</t>
  </si>
  <si>
    <t>QUR47506.1</t>
  </si>
  <si>
    <t>FQN59_03685</t>
  </si>
  <si>
    <t>QUR47507.1</t>
  </si>
  <si>
    <t>FQN59_03690</t>
  </si>
  <si>
    <t>QUR47508.1</t>
  </si>
  <si>
    <t>FQN59_03695</t>
  </si>
  <si>
    <t>QUR47509.1</t>
  </si>
  <si>
    <t>FQN59_03700</t>
  </si>
  <si>
    <t>QUR47510.1</t>
  </si>
  <si>
    <t>FQN59_03705</t>
  </si>
  <si>
    <t>QUR47511.1</t>
  </si>
  <si>
    <t>FQN59_03710</t>
  </si>
  <si>
    <t>QUR51006.1</t>
  </si>
  <si>
    <t>FQN59_03715</t>
  </si>
  <si>
    <t>QUR47512.1</t>
  </si>
  <si>
    <t>FQN59_03720</t>
  </si>
  <si>
    <t>QUR47513.1</t>
  </si>
  <si>
    <t>FQN59_03725</t>
  </si>
  <si>
    <t>QUR47514.1</t>
  </si>
  <si>
    <t>FQN59_03730</t>
  </si>
  <si>
    <t>QUR47515.1</t>
  </si>
  <si>
    <t>FQN59_03735</t>
  </si>
  <si>
    <t>FQN59_03740</t>
  </si>
  <si>
    <t>QUR47516.1</t>
  </si>
  <si>
    <t>FQN59_03745</t>
  </si>
  <si>
    <t>QUR47517.1</t>
  </si>
  <si>
    <t>FQN59_03750</t>
  </si>
  <si>
    <t>QUR47518.1</t>
  </si>
  <si>
    <t>FQN59_03755</t>
  </si>
  <si>
    <t>QUR47519.1</t>
  </si>
  <si>
    <t>FQN59_03760</t>
  </si>
  <si>
    <t>QUR47520.1</t>
  </si>
  <si>
    <t>FQN59_03765</t>
  </si>
  <si>
    <t>QUR47521.1</t>
  </si>
  <si>
    <t>FQN59_03770</t>
  </si>
  <si>
    <t>QUR47522.1</t>
  </si>
  <si>
    <t>FQN59_03775</t>
  </si>
  <si>
    <t>QUR47523.1</t>
  </si>
  <si>
    <t>FQN59_03780</t>
  </si>
  <si>
    <t>QUR47524.1</t>
  </si>
  <si>
    <t>FQN59_03785</t>
  </si>
  <si>
    <t>QUR51007.1</t>
  </si>
  <si>
    <t>FQN59_03790</t>
  </si>
  <si>
    <t>QUR47525.1</t>
  </si>
  <si>
    <t>FQN59_03795</t>
  </si>
  <si>
    <t>QUR47526.1</t>
  </si>
  <si>
    <t>FQN59_03800</t>
  </si>
  <si>
    <t>QUR47527.1</t>
  </si>
  <si>
    <t>FQN59_03805</t>
  </si>
  <si>
    <t>QUR47528.1</t>
  </si>
  <si>
    <t>FQN59_03810</t>
  </si>
  <si>
    <t>QUR47529.1</t>
  </si>
  <si>
    <t>FQN59_03815</t>
  </si>
  <si>
    <t>QUR47530.1</t>
  </si>
  <si>
    <t>FQN59_03820</t>
  </si>
  <si>
    <t>QUR47531.1</t>
  </si>
  <si>
    <t>FQN59_03825</t>
  </si>
  <si>
    <t>QUR47532.1</t>
  </si>
  <si>
    <t>FQN59_03830</t>
  </si>
  <si>
    <t>QUR47533.1</t>
  </si>
  <si>
    <t>FQN59_03835</t>
  </si>
  <si>
    <t>FQN59_03840</t>
  </si>
  <si>
    <t>QUR47534.1</t>
  </si>
  <si>
    <t>FQN59_03845</t>
  </si>
  <si>
    <t>QUR47535.1</t>
  </si>
  <si>
    <t>FQN59_03850</t>
  </si>
  <si>
    <t>QUR47536.1</t>
  </si>
  <si>
    <t>FQN59_03855</t>
  </si>
  <si>
    <t>QUR47537.1</t>
  </si>
  <si>
    <t>FQN59_03860</t>
  </si>
  <si>
    <t>QUR47538.1</t>
  </si>
  <si>
    <t>FQN59_03865</t>
  </si>
  <si>
    <t>QUR47539.1</t>
  </si>
  <si>
    <t>FQN59_03870</t>
  </si>
  <si>
    <t>QUR47540.1</t>
  </si>
  <si>
    <t>FQN59_03875</t>
  </si>
  <si>
    <t>QUR47541.1</t>
  </si>
  <si>
    <t>FQN59_03880</t>
  </si>
  <si>
    <t>QUR47542.1</t>
  </si>
  <si>
    <t>FQN59_03885</t>
  </si>
  <si>
    <t>QUR47543.1</t>
  </si>
  <si>
    <t>FQN59_03890</t>
  </si>
  <si>
    <t>FQN59_03895</t>
  </si>
  <si>
    <t>QUR47544.1</t>
  </si>
  <si>
    <t>FQN59_03900</t>
  </si>
  <si>
    <t>QUR47545.1</t>
  </si>
  <si>
    <t>FQN59_03905</t>
  </si>
  <si>
    <t>QUR47546.1</t>
  </si>
  <si>
    <t>FQN59_03910</t>
  </si>
  <si>
    <t>QUR47547.1</t>
  </si>
  <si>
    <t>FQN59_03915</t>
  </si>
  <si>
    <t>QUR47548.1</t>
  </si>
  <si>
    <t>FQN59_03920</t>
  </si>
  <si>
    <t>QUR47549.1</t>
  </si>
  <si>
    <t>FQN59_03925</t>
  </si>
  <si>
    <t>QUR47550.1</t>
  </si>
  <si>
    <t>FQN59_03930</t>
  </si>
  <si>
    <t>QUR47551.1</t>
  </si>
  <si>
    <t>FQN59_03935</t>
  </si>
  <si>
    <t>QUR47552.1</t>
  </si>
  <si>
    <t>FQN59_03940</t>
  </si>
  <si>
    <t>QUR47553.1</t>
  </si>
  <si>
    <t>FQN59_03945</t>
  </si>
  <si>
    <t>1.5.1.2</t>
  </si>
  <si>
    <t>QUR47554.1</t>
  </si>
  <si>
    <t>FQN59_03950</t>
  </si>
  <si>
    <t>QUR47555.1</t>
  </si>
  <si>
    <t>FQN59_03955</t>
  </si>
  <si>
    <t>1.2.1.88</t>
  </si>
  <si>
    <t>QUR47556.1</t>
  </si>
  <si>
    <t>FQN59_03960</t>
  </si>
  <si>
    <t>QUR47557.1</t>
  </si>
  <si>
    <t>FQN59_03965</t>
  </si>
  <si>
    <t>QUR47558.1</t>
  </si>
  <si>
    <t>FQN59_03970</t>
  </si>
  <si>
    <t>QUR47559.1</t>
  </si>
  <si>
    <t>FQN59_03975</t>
  </si>
  <si>
    <t>QUR47560.1</t>
  </si>
  <si>
    <t>FQN59_03980</t>
  </si>
  <si>
    <t>2.7.2.11</t>
  </si>
  <si>
    <t>QUR47561.1</t>
  </si>
  <si>
    <t>FQN59_03985</t>
  </si>
  <si>
    <t>1.2.1.41</t>
  </si>
  <si>
    <t>QUR47562.1</t>
  </si>
  <si>
    <t>FQN59_03990</t>
  </si>
  <si>
    <t>QUR47563.1</t>
  </si>
  <si>
    <t>FQN59_03995</t>
  </si>
  <si>
    <t>2.1.3.9</t>
  </si>
  <si>
    <t>QUR47564.1</t>
  </si>
  <si>
    <t>FQN59_04000</t>
  </si>
  <si>
    <t>QUR47565.1</t>
  </si>
  <si>
    <t>FQN59_04005</t>
  </si>
  <si>
    <t>QUR47566.1</t>
  </si>
  <si>
    <t>FQN59_04010</t>
  </si>
  <si>
    <t>QUR47567.1</t>
  </si>
  <si>
    <t>FQN59_04015</t>
  </si>
  <si>
    <t>2.7.7.6</t>
  </si>
  <si>
    <t>QUR47568.1</t>
  </si>
  <si>
    <t>FQN59_04020</t>
  </si>
  <si>
    <t>QUR47569.1</t>
  </si>
  <si>
    <t>FQN59_04025</t>
  </si>
  <si>
    <t>QUR47570.1</t>
  </si>
  <si>
    <t>FQN59_04030</t>
  </si>
  <si>
    <t>QUR47571.1</t>
  </si>
  <si>
    <t>FQN59_04035</t>
  </si>
  <si>
    <t>QUR47572.1</t>
  </si>
  <si>
    <t>FQN59_04040</t>
  </si>
  <si>
    <t>QUR47573.1</t>
  </si>
  <si>
    <t>FQN59_04045</t>
  </si>
  <si>
    <t>QUR47574.1</t>
  </si>
  <si>
    <t>FQN59_04050</t>
  </si>
  <si>
    <t>FQN59_04055</t>
  </si>
  <si>
    <t>QUR47575.1</t>
  </si>
  <si>
    <t>FQN59_04060</t>
  </si>
  <si>
    <t>FQN59_04065</t>
  </si>
  <si>
    <t>FQN59_04070</t>
  </si>
  <si>
    <t>FQN59_04075</t>
  </si>
  <si>
    <t>FQN59_04080</t>
  </si>
  <si>
    <t>QUR47576.1</t>
  </si>
  <si>
    <t>FQN59_04085</t>
  </si>
  <si>
    <t>QUR47577.1</t>
  </si>
  <si>
    <t>FQN59_04090</t>
  </si>
  <si>
    <t>QUR47578.1</t>
  </si>
  <si>
    <t>FQN59_04095</t>
  </si>
  <si>
    <t>QUR47579.1</t>
  </si>
  <si>
    <t>FQN59_04100</t>
  </si>
  <si>
    <t>5.3.1.23</t>
  </si>
  <si>
    <t>QUR47580.1</t>
  </si>
  <si>
    <t>FQN59_04105</t>
  </si>
  <si>
    <t>QUR47581.1</t>
  </si>
  <si>
    <t>FQN59_04110</t>
  </si>
  <si>
    <t>QUR47582.1</t>
  </si>
  <si>
    <t>FQN59_04115</t>
  </si>
  <si>
    <t>QUR47583.1</t>
  </si>
  <si>
    <t>FQN59_04120</t>
  </si>
  <si>
    <t>QUR47584.1</t>
  </si>
  <si>
    <t>FQN59_04125</t>
  </si>
  <si>
    <t>QUR47585.1</t>
  </si>
  <si>
    <t>FQN59_04130</t>
  </si>
  <si>
    <t>QUR47586.1</t>
  </si>
  <si>
    <t>FQN59_04135</t>
  </si>
  <si>
    <t>QUR47587.1</t>
  </si>
  <si>
    <t>FQN59_04140</t>
  </si>
  <si>
    <t>QUR47588.1</t>
  </si>
  <si>
    <t>FQN59_04145</t>
  </si>
  <si>
    <t>6.1.1.17</t>
  </si>
  <si>
    <t>QUR47589.1</t>
  </si>
  <si>
    <t>FQN59_04150</t>
  </si>
  <si>
    <t>QUR51008.1</t>
  </si>
  <si>
    <t>FQN59_04155</t>
  </si>
  <si>
    <t>QUR47590.1</t>
  </si>
  <si>
    <t>FQN59_04160</t>
  </si>
  <si>
    <t>QUR47591.1</t>
  </si>
  <si>
    <t>FQN59_04165</t>
  </si>
  <si>
    <t>QUR47592.1</t>
  </si>
  <si>
    <t>FQN59_04170</t>
  </si>
  <si>
    <t>2.7.1.33</t>
  </si>
  <si>
    <t>QUR47593.1</t>
  </si>
  <si>
    <t>FQN59_04175</t>
  </si>
  <si>
    <t>5.4.99.2</t>
  </si>
  <si>
    <t>QUR47594.1</t>
  </si>
  <si>
    <t>FQN59_04180</t>
  </si>
  <si>
    <t>FQN59_04185</t>
  </si>
  <si>
    <t>QUR47595.1</t>
  </si>
  <si>
    <t>FQN59_04190</t>
  </si>
  <si>
    <t>QUR47596.1</t>
  </si>
  <si>
    <t>FQN59_04195</t>
  </si>
  <si>
    <t>QUR47597.1</t>
  </si>
  <si>
    <t>FQN59_04200</t>
  </si>
  <si>
    <t>QUR51009.1</t>
  </si>
  <si>
    <t>FQN59_04205</t>
  </si>
  <si>
    <t>QUR47598.1</t>
  </si>
  <si>
    <t>FQN59_04210</t>
  </si>
  <si>
    <t>QUR47599.1</t>
  </si>
  <si>
    <t>FQN59_04215</t>
  </si>
  <si>
    <t>FQN59_04220</t>
  </si>
  <si>
    <t>QUR47600.1</t>
  </si>
  <si>
    <t>FQN59_04225</t>
  </si>
  <si>
    <t>QUR47601.1</t>
  </si>
  <si>
    <t>FQN59_04230</t>
  </si>
  <si>
    <t>QUR47602.1</t>
  </si>
  <si>
    <t>FQN59_04235</t>
  </si>
  <si>
    <t>QUR47603.1</t>
  </si>
  <si>
    <t>FQN59_04240</t>
  </si>
  <si>
    <t>QUR47604.1</t>
  </si>
  <si>
    <t>FQN59_04245</t>
  </si>
  <si>
    <t>QUR47605.1</t>
  </si>
  <si>
    <t>FQN59_04250</t>
  </si>
  <si>
    <t>QUR51010.1</t>
  </si>
  <si>
    <t>FQN59_04255</t>
  </si>
  <si>
    <t>QUR51011.1</t>
  </si>
  <si>
    <t>FQN59_04260</t>
  </si>
  <si>
    <t>QUR47606.1</t>
  </si>
  <si>
    <t>FQN59_04265</t>
  </si>
  <si>
    <t>QUR47607.1</t>
  </si>
  <si>
    <t>FQN59_04270</t>
  </si>
  <si>
    <t>QUR47608.1</t>
  </si>
  <si>
    <t>FQN59_04275</t>
  </si>
  <si>
    <t>QUR47609.1</t>
  </si>
  <si>
    <t>FQN59_04280</t>
  </si>
  <si>
    <t>QUR47610.1</t>
  </si>
  <si>
    <t>FQN59_04285</t>
  </si>
  <si>
    <t>QUR47611.1</t>
  </si>
  <si>
    <t>FQN59_04290</t>
  </si>
  <si>
    <t>QUR47612.1</t>
  </si>
  <si>
    <t>FQN59_04295</t>
  </si>
  <si>
    <t>QUR47613.1</t>
  </si>
  <si>
    <t>FQN59_04300</t>
  </si>
  <si>
    <t>QUR47614.1</t>
  </si>
  <si>
    <t>FQN59_04305</t>
  </si>
  <si>
    <t>QUR47615.1</t>
  </si>
  <si>
    <t>FQN59_04310</t>
  </si>
  <si>
    <t>QUR47616.1</t>
  </si>
  <si>
    <t>FQN59_04315</t>
  </si>
  <si>
    <t>QUR47617.1</t>
  </si>
  <si>
    <t>FQN59_04320</t>
  </si>
  <si>
    <t>QUR47618.1</t>
  </si>
  <si>
    <t>FQN59_04325</t>
  </si>
  <si>
    <t>QUR47619.1</t>
  </si>
  <si>
    <t>FQN59_04330</t>
  </si>
  <si>
    <t>QUR51012.1</t>
  </si>
  <si>
    <t>FQN59_04335</t>
  </si>
  <si>
    <t>QUR47620.1</t>
  </si>
  <si>
    <t>FQN59_04340</t>
  </si>
  <si>
    <t>QUR47621.1</t>
  </si>
  <si>
    <t>FQN59_04345</t>
  </si>
  <si>
    <t>QUR47622.1</t>
  </si>
  <si>
    <t>FQN59_04350</t>
  </si>
  <si>
    <t>QUR47623.1</t>
  </si>
  <si>
    <t>FQN59_04355</t>
  </si>
  <si>
    <t>QUR47624.1</t>
  </si>
  <si>
    <t>FQN59_04360</t>
  </si>
  <si>
    <t>QUR47625.1</t>
  </si>
  <si>
    <t>FQN59_04365</t>
  </si>
  <si>
    <t>QUR47626.1</t>
  </si>
  <si>
    <t>FQN59_04370</t>
  </si>
  <si>
    <t>QUR47627.1</t>
  </si>
  <si>
    <t>FQN59_04375</t>
  </si>
  <si>
    <t>FQN59_04380</t>
  </si>
  <si>
    <t>QUR47628.1</t>
  </si>
  <si>
    <t>FQN59_04385</t>
  </si>
  <si>
    <t>QUR47629.1</t>
  </si>
  <si>
    <t>FQN59_04390</t>
  </si>
  <si>
    <t>QUR47630.1</t>
  </si>
  <si>
    <t>FQN59_04395</t>
  </si>
  <si>
    <t>QUR47631.1</t>
  </si>
  <si>
    <t>FQN59_04400</t>
  </si>
  <si>
    <t>QUR47632.1</t>
  </si>
  <si>
    <t>FQN59_04405</t>
  </si>
  <si>
    <t>QUR47633.1</t>
  </si>
  <si>
    <t>FQN59_04410</t>
  </si>
  <si>
    <t>QUR47634.1</t>
  </si>
  <si>
    <t>FQN59_04415</t>
  </si>
  <si>
    <t>QUR47635.1</t>
  </si>
  <si>
    <t>FQN59_04420</t>
  </si>
  <si>
    <t>4.2.1.1</t>
  </si>
  <si>
    <t>QUR47636.1</t>
  </si>
  <si>
    <t>FQN59_04425</t>
  </si>
  <si>
    <t>QUR47637.1</t>
  </si>
  <si>
    <t>FQN59_04430</t>
  </si>
  <si>
    <t>QUR47638.1</t>
  </si>
  <si>
    <t>FQN59_04435</t>
  </si>
  <si>
    <t>QUR47639.1</t>
  </si>
  <si>
    <t>FQN59_04440</t>
  </si>
  <si>
    <t>QUR47640.1</t>
  </si>
  <si>
    <t>FQN59_04445</t>
  </si>
  <si>
    <t>QUR47641.1</t>
  </si>
  <si>
    <t>FQN59_04450</t>
  </si>
  <si>
    <t>QUR47642.1</t>
  </si>
  <si>
    <t>FQN59_04455</t>
  </si>
  <si>
    <t>QUR47643.1</t>
  </si>
  <si>
    <t>FQN59_04460</t>
  </si>
  <si>
    <t>3.4.11.18</t>
  </si>
  <si>
    <t>QUR47644.1</t>
  </si>
  <si>
    <t>FQN59_04465</t>
  </si>
  <si>
    <t>QUR47645.1</t>
  </si>
  <si>
    <t>FQN59_04470</t>
  </si>
  <si>
    <t>QUR47646.1</t>
  </si>
  <si>
    <t>FQN59_04475</t>
  </si>
  <si>
    <t>QUR47647.1</t>
  </si>
  <si>
    <t>FQN59_04480</t>
  </si>
  <si>
    <t>QUR47648.1</t>
  </si>
  <si>
    <t>FQN59_04485</t>
  </si>
  <si>
    <t>QUR47649.1</t>
  </si>
  <si>
    <t>FQN59_04490</t>
  </si>
  <si>
    <t>QUR47650.1</t>
  </si>
  <si>
    <t>FQN59_04495</t>
  </si>
  <si>
    <t>QUR47651.1</t>
  </si>
  <si>
    <t>FQN59_04500</t>
  </si>
  <si>
    <t>QUR47652.1</t>
  </si>
  <si>
    <t>FQN59_04505</t>
  </si>
  <si>
    <t>QUR47653.1</t>
  </si>
  <si>
    <t>FQN59_04510</t>
  </si>
  <si>
    <t>QUR47654.1</t>
  </si>
  <si>
    <t>FQN59_04515</t>
  </si>
  <si>
    <t>QUR47655.1</t>
  </si>
  <si>
    <t>FQN59_04520</t>
  </si>
  <si>
    <t>QUR47656.1</t>
  </si>
  <si>
    <t>FQN59_04525</t>
  </si>
  <si>
    <t>QUR47657.1</t>
  </si>
  <si>
    <t>FQN59_04530</t>
  </si>
  <si>
    <t>QUR47658.1</t>
  </si>
  <si>
    <t>FQN59_04535</t>
  </si>
  <si>
    <t>QUR47659.1</t>
  </si>
  <si>
    <t>FQN59_04540</t>
  </si>
  <si>
    <t>QUR47660.1</t>
  </si>
  <si>
    <t>FQN59_04545</t>
  </si>
  <si>
    <t>QUR47661.1</t>
  </si>
  <si>
    <t>FQN59_04550</t>
  </si>
  <si>
    <t>QUR47662.1</t>
  </si>
  <si>
    <t>FQN59_04555</t>
  </si>
  <si>
    <t>QUR47663.1</t>
  </si>
  <si>
    <t>FQN59_04560</t>
  </si>
  <si>
    <t>QUR47664.1</t>
  </si>
  <si>
    <t>FQN59_04565</t>
  </si>
  <si>
    <t>QUR47665.1</t>
  </si>
  <si>
    <t>FQN59_04570</t>
  </si>
  <si>
    <t>QUR47666.1</t>
  </si>
  <si>
    <t>FQN59_04575</t>
  </si>
  <si>
    <t>QUR47667.1</t>
  </si>
  <si>
    <t>FQN59_04580</t>
  </si>
  <si>
    <t>QUR47668.1</t>
  </si>
  <si>
    <t>FQN59_04585</t>
  </si>
  <si>
    <t>QUR47669.1</t>
  </si>
  <si>
    <t>FQN59_04590</t>
  </si>
  <si>
    <t>FQN59_04595</t>
  </si>
  <si>
    <t>QUR47670.1</t>
  </si>
  <si>
    <t>FQN59_04600</t>
  </si>
  <si>
    <t>QUR47671.1</t>
  </si>
  <si>
    <t>FQN59_04605</t>
  </si>
  <si>
    <t>QUR47672.1</t>
  </si>
  <si>
    <t>FQN59_04610</t>
  </si>
  <si>
    <t>QUR47673.1</t>
  </si>
  <si>
    <t>FQN59_04615</t>
  </si>
  <si>
    <t>QUR47674.1</t>
  </si>
  <si>
    <t>FQN59_04620</t>
  </si>
  <si>
    <t>QUR47675.1</t>
  </si>
  <si>
    <t>FQN59_04625</t>
  </si>
  <si>
    <t>QUR47676.1</t>
  </si>
  <si>
    <t>FQN59_04630</t>
  </si>
  <si>
    <t>1.1.1.205</t>
  </si>
  <si>
    <t>QUR47677.1</t>
  </si>
  <si>
    <t>FQN59_04635</t>
  </si>
  <si>
    <t>QUR47678.1</t>
  </si>
  <si>
    <t>FQN59_04640</t>
  </si>
  <si>
    <t>QUR47679.1</t>
  </si>
  <si>
    <t>FQN59_04645</t>
  </si>
  <si>
    <t>QUR47680.1</t>
  </si>
  <si>
    <t>FQN59_04650</t>
  </si>
  <si>
    <t>5.2.1.8</t>
  </si>
  <si>
    <t>QUR47681.1</t>
  </si>
  <si>
    <t>FQN59_04655</t>
  </si>
  <si>
    <t>QUR47682.1</t>
  </si>
  <si>
    <t>FQN59_04660</t>
  </si>
  <si>
    <t>QUR47683.1</t>
  </si>
  <si>
    <t>FQN59_04665</t>
  </si>
  <si>
    <t>QUR47684.1</t>
  </si>
  <si>
    <t>FQN59_04670</t>
  </si>
  <si>
    <t>QUR47685.1</t>
  </si>
  <si>
    <t>FQN59_04675</t>
  </si>
  <si>
    <t>QUR47686.1</t>
  </si>
  <si>
    <t>FQN59_04680</t>
  </si>
  <si>
    <t>2.5.1.6</t>
  </si>
  <si>
    <t>QUR47687.1</t>
  </si>
  <si>
    <t>FQN59_04685</t>
  </si>
  <si>
    <t>QUR47688.1</t>
  </si>
  <si>
    <t>FQN59_04690</t>
  </si>
  <si>
    <t>2.7.6.3</t>
  </si>
  <si>
    <t>QUR47689.1</t>
  </si>
  <si>
    <t>FQN59_04695</t>
  </si>
  <si>
    <t>2.4.99.17</t>
  </si>
  <si>
    <t>QUR47690.1</t>
  </si>
  <si>
    <t>FQN59_04700</t>
  </si>
  <si>
    <t>5.4.99.25</t>
  </si>
  <si>
    <t>QUR47691.1</t>
  </si>
  <si>
    <t>FQN59_04705</t>
  </si>
  <si>
    <t>QUR47692.1</t>
  </si>
  <si>
    <t>FQN59_04710</t>
  </si>
  <si>
    <t>QUR47693.1</t>
  </si>
  <si>
    <t>FQN59_04715</t>
  </si>
  <si>
    <t>QUR47694.1</t>
  </si>
  <si>
    <t>FQN59_04720</t>
  </si>
  <si>
    <t>QUR51013.1</t>
  </si>
  <si>
    <t>FQN59_04725</t>
  </si>
  <si>
    <t>QUR47695.1</t>
  </si>
  <si>
    <t>FQN59_04730</t>
  </si>
  <si>
    <t>QUR47696.1</t>
  </si>
  <si>
    <t>FQN59_04735</t>
  </si>
  <si>
    <t>QUR47697.1</t>
  </si>
  <si>
    <t>FQN59_04740</t>
  </si>
  <si>
    <t>QUR47698.1</t>
  </si>
  <si>
    <t>FQN59_04745</t>
  </si>
  <si>
    <t>QUR47699.1</t>
  </si>
  <si>
    <t>FQN59_04750</t>
  </si>
  <si>
    <t>QUR47700.1</t>
  </si>
  <si>
    <t>FQN59_04755</t>
  </si>
  <si>
    <t>QUR47701.1</t>
  </si>
  <si>
    <t>FQN59_04760</t>
  </si>
  <si>
    <t>QUR47702.1</t>
  </si>
  <si>
    <t>FQN59_04765</t>
  </si>
  <si>
    <t>QUR47703.1</t>
  </si>
  <si>
    <t>FQN59_04770</t>
  </si>
  <si>
    <t>QUR47704.1</t>
  </si>
  <si>
    <t>FQN59_04775</t>
  </si>
  <si>
    <t>QUR47705.1</t>
  </si>
  <si>
    <t>FQN59_04780</t>
  </si>
  <si>
    <t>QUR47706.1</t>
  </si>
  <si>
    <t>FQN59_04785</t>
  </si>
  <si>
    <t>QUR47707.1</t>
  </si>
  <si>
    <t>FQN59_04790</t>
  </si>
  <si>
    <t>QUR47708.1</t>
  </si>
  <si>
    <t>FQN59_04795</t>
  </si>
  <si>
    <t>QUR47709.1</t>
  </si>
  <si>
    <t>FQN59_04800</t>
  </si>
  <si>
    <t>QUR47710.1</t>
  </si>
  <si>
    <t>FQN59_04805</t>
  </si>
  <si>
    <t>QUR47711.1</t>
  </si>
  <si>
    <t>FQN59_04810</t>
  </si>
  <si>
    <t>QUR47712.1</t>
  </si>
  <si>
    <t>FQN59_04815</t>
  </si>
  <si>
    <t>QUR47713.1</t>
  </si>
  <si>
    <t>FQN59_04820</t>
  </si>
  <si>
    <t>QUR47714.1</t>
  </si>
  <si>
    <t>FQN59_04825</t>
  </si>
  <si>
    <t>QUR47715.1</t>
  </si>
  <si>
    <t>FQN59_04830</t>
  </si>
  <si>
    <t>QUR47716.1</t>
  </si>
  <si>
    <t>FQN59_04835</t>
  </si>
  <si>
    <t>QUR47717.1</t>
  </si>
  <si>
    <t>FQN59_04840</t>
  </si>
  <si>
    <t>QUR47718.1</t>
  </si>
  <si>
    <t>FQN59_04845</t>
  </si>
  <si>
    <t>QUR47719.1</t>
  </si>
  <si>
    <t>FQN59_04850</t>
  </si>
  <si>
    <t>QUR47720.1</t>
  </si>
  <si>
    <t>FQN59_04855</t>
  </si>
  <si>
    <t>QUR47721.1</t>
  </si>
  <si>
    <t>FQN59_04860</t>
  </si>
  <si>
    <t>QUR51014.1</t>
  </si>
  <si>
    <t>FQN59_04865</t>
  </si>
  <si>
    <t>QUR47722.1</t>
  </si>
  <si>
    <t>FQN59_04870</t>
  </si>
  <si>
    <t>QUR47723.1</t>
  </si>
  <si>
    <t>FQN59_04875</t>
  </si>
  <si>
    <t>QUR47724.1</t>
  </si>
  <si>
    <t>FQN59_04880</t>
  </si>
  <si>
    <t>QUR47725.1</t>
  </si>
  <si>
    <t>FQN59_04885</t>
  </si>
  <si>
    <t>FQN59_04890</t>
  </si>
  <si>
    <t>FQN59_04895</t>
  </si>
  <si>
    <t>FQN59_04900</t>
  </si>
  <si>
    <t>FQN59_04905</t>
  </si>
  <si>
    <t>FQN59_04910</t>
  </si>
  <si>
    <t>FQN59_04915</t>
  </si>
  <si>
    <t>FQN59_04920</t>
  </si>
  <si>
    <t>QUR47726.1</t>
  </si>
  <si>
    <t>FQN59_04925</t>
  </si>
  <si>
    <t>QUR51015.1</t>
  </si>
  <si>
    <t>FQN59_04930</t>
  </si>
  <si>
    <t>QUR47727.1</t>
  </si>
  <si>
    <t>FQN59_04935</t>
  </si>
  <si>
    <t>QUR47728.1</t>
  </si>
  <si>
    <t>FQN59_04940</t>
  </si>
  <si>
    <t>QUR47729.1</t>
  </si>
  <si>
    <t>FQN59_04945</t>
  </si>
  <si>
    <t>QUR47730.1</t>
  </si>
  <si>
    <t>FQN59_04950</t>
  </si>
  <si>
    <t>QUR51016.1</t>
  </si>
  <si>
    <t>FQN59_04955</t>
  </si>
  <si>
    <t>QUR47731.1</t>
  </si>
  <si>
    <t>FQN59_04960</t>
  </si>
  <si>
    <t>QUR47732.1</t>
  </si>
  <si>
    <t>FQN59_04965</t>
  </si>
  <si>
    <t>QUR47733.1</t>
  </si>
  <si>
    <t>FQN59_04970</t>
  </si>
  <si>
    <t>QUR47734.1</t>
  </si>
  <si>
    <t>FQN59_04975</t>
  </si>
  <si>
    <t>QUR47735.1</t>
  </si>
  <si>
    <t>FQN59_04980</t>
  </si>
  <si>
    <t>QUR47736.1</t>
  </si>
  <si>
    <t>FQN59_04985</t>
  </si>
  <si>
    <t>QUR47737.1</t>
  </si>
  <si>
    <t>FQN59_04990</t>
  </si>
  <si>
    <t>QUR47738.1</t>
  </si>
  <si>
    <t>FQN59_04995</t>
  </si>
  <si>
    <t>QUR47739.1</t>
  </si>
  <si>
    <t>FQN59_05000</t>
  </si>
  <si>
    <t>QUR47740.1</t>
  </si>
  <si>
    <t>FQN59_05005</t>
  </si>
  <si>
    <t>QUR47741.1</t>
  </si>
  <si>
    <t>FQN59_05010</t>
  </si>
  <si>
    <t>QUR47742.1</t>
  </si>
  <si>
    <t>FQN59_05015</t>
  </si>
  <si>
    <t>QUR47743.1</t>
  </si>
  <si>
    <t>FQN59_05020</t>
  </si>
  <si>
    <t>QUR47744.1</t>
  </si>
  <si>
    <t>FQN59_05025</t>
  </si>
  <si>
    <t>QUR47745.1</t>
  </si>
  <si>
    <t>FQN59_05030</t>
  </si>
  <si>
    <t>QUR47746.1</t>
  </si>
  <si>
    <t>FQN59_05035</t>
  </si>
  <si>
    <t>QUR47747.1</t>
  </si>
  <si>
    <t>FQN59_05040</t>
  </si>
  <si>
    <t>QUR47748.1</t>
  </si>
  <si>
    <t>FQN59_05045</t>
  </si>
  <si>
    <t>QUR47749.1</t>
  </si>
  <si>
    <t>FQN59_05050</t>
  </si>
  <si>
    <t>QUR47750.1</t>
  </si>
  <si>
    <t>FQN59_05055</t>
  </si>
  <si>
    <t>QUR47751.1</t>
  </si>
  <si>
    <t>FQN59_05060</t>
  </si>
  <si>
    <t>QUR47752.1</t>
  </si>
  <si>
    <t>FQN59_05065</t>
  </si>
  <si>
    <t>QUR47753.1</t>
  </si>
  <si>
    <t>FQN59_05070</t>
  </si>
  <si>
    <t>QUR51017.1</t>
  </si>
  <si>
    <t>FQN59_05075</t>
  </si>
  <si>
    <t>QUR47754.1</t>
  </si>
  <si>
    <t>FQN59_05080</t>
  </si>
  <si>
    <t>QUR47755.1</t>
  </si>
  <si>
    <t>FQN59_05085</t>
  </si>
  <si>
    <t>QUR47756.1</t>
  </si>
  <si>
    <t>FQN59_05090</t>
  </si>
  <si>
    <t>QUR47757.1</t>
  </si>
  <si>
    <t>FQN59_05095</t>
  </si>
  <si>
    <t>QUR47758.1</t>
  </si>
  <si>
    <t>FQN59_05100</t>
  </si>
  <si>
    <t>QUR47759.1</t>
  </si>
  <si>
    <t>FQN59_05105</t>
  </si>
  <si>
    <t>QUR47760.1</t>
  </si>
  <si>
    <t>FQN59_05110</t>
  </si>
  <si>
    <t>QUR47761.1</t>
  </si>
  <si>
    <t>FQN59_05115</t>
  </si>
  <si>
    <t>QUR47762.1</t>
  </si>
  <si>
    <t>FQN59_05120</t>
  </si>
  <si>
    <t>6.3.2.8</t>
  </si>
  <si>
    <t>QUR47763.1</t>
  </si>
  <si>
    <t>FQN59_05125</t>
  </si>
  <si>
    <t>2.4.1.227</t>
  </si>
  <si>
    <t>QUR47764.1</t>
  </si>
  <si>
    <t>FQN59_05130</t>
  </si>
  <si>
    <t>QUR47765.1</t>
  </si>
  <si>
    <t>FQN59_05135</t>
  </si>
  <si>
    <t>6.3.2.9</t>
  </si>
  <si>
    <t>QUR47766.1</t>
  </si>
  <si>
    <t>FQN59_05140</t>
  </si>
  <si>
    <t>2.7.8.13</t>
  </si>
  <si>
    <t>QUR47767.1</t>
  </si>
  <si>
    <t>FQN59_05145</t>
  </si>
  <si>
    <t>6.3.2.13</t>
  </si>
  <si>
    <t>QUR47768.1</t>
  </si>
  <si>
    <t>FQN59_05150</t>
  </si>
  <si>
    <t>QUR47769.1</t>
  </si>
  <si>
    <t>FQN59_05155</t>
  </si>
  <si>
    <t>QUR47770.1</t>
  </si>
  <si>
    <t>FQN59_05160</t>
  </si>
  <si>
    <t>QUR47771.1</t>
  </si>
  <si>
    <t>FQN59_05165</t>
  </si>
  <si>
    <t>QUR47772.1</t>
  </si>
  <si>
    <t>FQN59_05170</t>
  </si>
  <si>
    <t>QUR47773.1</t>
  </si>
  <si>
    <t>FQN59_05175</t>
  </si>
  <si>
    <t>QUR47774.1</t>
  </si>
  <si>
    <t>FQN59_05180</t>
  </si>
  <si>
    <t>QUR47775.1</t>
  </si>
  <si>
    <t>FQN59_05185</t>
  </si>
  <si>
    <t>QUR47776.1</t>
  </si>
  <si>
    <t>FQN59_05190</t>
  </si>
  <si>
    <t>QUR47777.1</t>
  </si>
  <si>
    <t>FQN59_05195</t>
  </si>
  <si>
    <t>QUR47778.1</t>
  </si>
  <si>
    <t>FQN59_05200</t>
  </si>
  <si>
    <t>QUR47779.1</t>
  </si>
  <si>
    <t>FQN59_05205</t>
  </si>
  <si>
    <t>QUR47780.1</t>
  </si>
  <si>
    <t>FQN59_05210</t>
  </si>
  <si>
    <t>QUR47781.1</t>
  </si>
  <si>
    <t>FQN59_05215</t>
  </si>
  <si>
    <t>QUR47782.1</t>
  </si>
  <si>
    <t>FQN59_05220</t>
  </si>
  <si>
    <t>2.1.1.198</t>
  </si>
  <si>
    <t>QUR47783.1</t>
  </si>
  <si>
    <t>FQN59_05225</t>
  </si>
  <si>
    <t>QUR47784.1</t>
  </si>
  <si>
    <t>FQN59_05230</t>
  </si>
  <si>
    <t>QUR47785.1</t>
  </si>
  <si>
    <t>FQN59_05235</t>
  </si>
  <si>
    <t>QUR47786.1</t>
  </si>
  <si>
    <t>FQN59_05240</t>
  </si>
  <si>
    <t>QUR47787.1</t>
  </si>
  <si>
    <t>FQN59_05245</t>
  </si>
  <si>
    <t>1.1.1.133</t>
  </si>
  <si>
    <t>QUR47788.1</t>
  </si>
  <si>
    <t>FQN59_05250</t>
  </si>
  <si>
    <t>QUR47789.1</t>
  </si>
  <si>
    <t>FQN59_05255</t>
  </si>
  <si>
    <t>QUR47790.1</t>
  </si>
  <si>
    <t>FQN59_05260</t>
  </si>
  <si>
    <t>QUR47791.1</t>
  </si>
  <si>
    <t>FQN59_05265</t>
  </si>
  <si>
    <t>QUR47792.1</t>
  </si>
  <si>
    <t>FQN59_05270</t>
  </si>
  <si>
    <t>QUR47793.1</t>
  </si>
  <si>
    <t>FQN59_05275</t>
  </si>
  <si>
    <t>QUR47794.1</t>
  </si>
  <si>
    <t>FQN59_05280</t>
  </si>
  <si>
    <t>QUR47795.1</t>
  </si>
  <si>
    <t>FQN59_05285</t>
  </si>
  <si>
    <t>QUR47796.1</t>
  </si>
  <si>
    <t>FQN59_05290</t>
  </si>
  <si>
    <t>QUR47797.1</t>
  </si>
  <si>
    <t>FQN59_05295</t>
  </si>
  <si>
    <t>QUR47798.1</t>
  </si>
  <si>
    <t>FQN59_05300</t>
  </si>
  <si>
    <t>QUR47799.1</t>
  </si>
  <si>
    <t>FQN59_05305</t>
  </si>
  <si>
    <t>QUR47800.1</t>
  </si>
  <si>
    <t>FQN59_05310</t>
  </si>
  <si>
    <t>6.3.5.3</t>
  </si>
  <si>
    <t>QUR47801.1</t>
  </si>
  <si>
    <t>FQN59_05315</t>
  </si>
  <si>
    <t>QUR47802.1</t>
  </si>
  <si>
    <t>FQN59_05320</t>
  </si>
  <si>
    <t>QUR47803.1</t>
  </si>
  <si>
    <t>FQN59_05325</t>
  </si>
  <si>
    <t>QUR47804.1</t>
  </si>
  <si>
    <t>FQN59_05330</t>
  </si>
  <si>
    <t>QUR47805.1</t>
  </si>
  <si>
    <t>FQN59_05335</t>
  </si>
  <si>
    <t>QUR47806.1</t>
  </si>
  <si>
    <t>FQN59_05340</t>
  </si>
  <si>
    <t>FQN59_05345</t>
  </si>
  <si>
    <t>QUR47807.1</t>
  </si>
  <si>
    <t>FQN59_05350</t>
  </si>
  <si>
    <t>4.2.3.4</t>
  </si>
  <si>
    <t>QUR47808.1</t>
  </si>
  <si>
    <t>FQN59_05355</t>
  </si>
  <si>
    <t>6.1.1.7</t>
  </si>
  <si>
    <t>QUR47809.1</t>
  </si>
  <si>
    <t>FQN59_05360</t>
  </si>
  <si>
    <t>QUR47810.1</t>
  </si>
  <si>
    <t>FQN59_05365</t>
  </si>
  <si>
    <t>QUR47811.1</t>
  </si>
  <si>
    <t>FQN59_05370</t>
  </si>
  <si>
    <t>QUR47812.1</t>
  </si>
  <si>
    <t>FQN59_05375</t>
  </si>
  <si>
    <t>QUR47813.1</t>
  </si>
  <si>
    <t>FQN59_05380</t>
  </si>
  <si>
    <t>QUR47814.1</t>
  </si>
  <si>
    <t>FQN59_05385</t>
  </si>
  <si>
    <t>FQN59_05390</t>
  </si>
  <si>
    <t>QUR47815.1</t>
  </si>
  <si>
    <t>FQN59_05395</t>
  </si>
  <si>
    <t>QUR47816.1</t>
  </si>
  <si>
    <t>FQN59_05400</t>
  </si>
  <si>
    <t>QUR47817.1</t>
  </si>
  <si>
    <t>FQN59_05405</t>
  </si>
  <si>
    <t>QUR47818.1</t>
  </si>
  <si>
    <t>FQN59_05410</t>
  </si>
  <si>
    <t>QUR47819.1</t>
  </si>
  <si>
    <t>FQN59_05415</t>
  </si>
  <si>
    <t>QUR51018.1</t>
  </si>
  <si>
    <t>FQN59_05420</t>
  </si>
  <si>
    <t>QUR51019.1</t>
  </si>
  <si>
    <t>FQN59_05425</t>
  </si>
  <si>
    <t>QUR47820.1</t>
  </si>
  <si>
    <t>FQN59_05430</t>
  </si>
  <si>
    <t>QUR47821.1</t>
  </si>
  <si>
    <t>FQN59_05435</t>
  </si>
  <si>
    <t>QUR47822.1</t>
  </si>
  <si>
    <t>FQN59_05440</t>
  </si>
  <si>
    <t>QUR47823.1</t>
  </si>
  <si>
    <t>FQN59_05445</t>
  </si>
  <si>
    <t>QUR47824.1</t>
  </si>
  <si>
    <t>FQN59_05450</t>
  </si>
  <si>
    <t>QUR47825.1</t>
  </si>
  <si>
    <t>FQN59_05455</t>
  </si>
  <si>
    <t>QUR47826.1</t>
  </si>
  <si>
    <t>FQN59_05460</t>
  </si>
  <si>
    <t>QUR47827.1</t>
  </si>
  <si>
    <t>FQN59_05465</t>
  </si>
  <si>
    <t>QUR47828.1</t>
  </si>
  <si>
    <t>FQN59_05470</t>
  </si>
  <si>
    <t>QUR47829.1</t>
  </si>
  <si>
    <t>FQN59_05475</t>
  </si>
  <si>
    <t>QUR47830.1</t>
  </si>
  <si>
    <t>FQN59_05480</t>
  </si>
  <si>
    <t>QUR47831.1</t>
  </si>
  <si>
    <t>FQN59_05485</t>
  </si>
  <si>
    <t>QUR47832.1</t>
  </si>
  <si>
    <t>FQN59_05490</t>
  </si>
  <si>
    <t>QUR47833.1</t>
  </si>
  <si>
    <t>FQN59_05495</t>
  </si>
  <si>
    <t>QUR47834.1</t>
  </si>
  <si>
    <t>FQN59_05500</t>
  </si>
  <si>
    <t>QUR47835.1</t>
  </si>
  <si>
    <t>FQN59_05505</t>
  </si>
  <si>
    <t>QUR47836.1</t>
  </si>
  <si>
    <t>FQN59_05510</t>
  </si>
  <si>
    <t>QUR47837.1</t>
  </si>
  <si>
    <t>FQN59_05515</t>
  </si>
  <si>
    <t>QUR47838.1</t>
  </si>
  <si>
    <t>FQN59_05520</t>
  </si>
  <si>
    <t>QUR47839.1</t>
  </si>
  <si>
    <t>FQN59_05525</t>
  </si>
  <si>
    <t>QUR47840.1</t>
  </si>
  <si>
    <t>FQN59_05530</t>
  </si>
  <si>
    <t>QUR47841.1</t>
  </si>
  <si>
    <t>FQN59_05535</t>
  </si>
  <si>
    <t>QUR47842.1</t>
  </si>
  <si>
    <t>FQN59_05540</t>
  </si>
  <si>
    <t>QUR47843.1</t>
  </si>
  <si>
    <t>FQN59_05545</t>
  </si>
  <si>
    <t>QUR47844.1</t>
  </si>
  <si>
    <t>FQN59_05550</t>
  </si>
  <si>
    <t>QUR47845.1</t>
  </si>
  <si>
    <t>FQN59_05555</t>
  </si>
  <si>
    <t>6.3.4.15</t>
  </si>
  <si>
    <t>QUR47846.1</t>
  </si>
  <si>
    <t>FQN59_05560</t>
  </si>
  <si>
    <t>QUR47847.1</t>
  </si>
  <si>
    <t>FQN59_05565</t>
  </si>
  <si>
    <t>QUR47848.1</t>
  </si>
  <si>
    <t>FQN59_05570</t>
  </si>
  <si>
    <t>QUR47849.1</t>
  </si>
  <si>
    <t>FQN59_05575</t>
  </si>
  <si>
    <t>QUR47850.1</t>
  </si>
  <si>
    <t>FQN59_05580</t>
  </si>
  <si>
    <t>QUR47851.1</t>
  </si>
  <si>
    <t>FQN59_05585</t>
  </si>
  <si>
    <t>QUR47852.1</t>
  </si>
  <si>
    <t>FQN59_05590</t>
  </si>
  <si>
    <t>4.1.1.65</t>
  </si>
  <si>
    <t>QUR47853.1</t>
  </si>
  <si>
    <t>FQN59_05595</t>
  </si>
  <si>
    <t>QUR47854.1</t>
  </si>
  <si>
    <t>FQN59_05600</t>
  </si>
  <si>
    <t>QUR47855.1</t>
  </si>
  <si>
    <t>FQN59_05605</t>
  </si>
  <si>
    <t>QUR47856.1</t>
  </si>
  <si>
    <t>FQN59_05610</t>
  </si>
  <si>
    <t>QUR51020.1</t>
  </si>
  <si>
    <t>FQN59_05615</t>
  </si>
  <si>
    <t>QUR47857.1</t>
  </si>
  <si>
    <t>FQN59_05620</t>
  </si>
  <si>
    <t>4.6.1.12</t>
  </si>
  <si>
    <t>QUR47858.1</t>
  </si>
  <si>
    <t>FQN59_05625</t>
  </si>
  <si>
    <t>QUR47859.1</t>
  </si>
  <si>
    <t>FQN59_05630</t>
  </si>
  <si>
    <t>QUR47860.1</t>
  </si>
  <si>
    <t>FQN59_05635</t>
  </si>
  <si>
    <t>QUR47861.1</t>
  </si>
  <si>
    <t>FQN59_05640</t>
  </si>
  <si>
    <t>QUR47862.1</t>
  </si>
  <si>
    <t>FQN59_05645</t>
  </si>
  <si>
    <t>QUR47863.1</t>
  </si>
  <si>
    <t>FQN59_05650</t>
  </si>
  <si>
    <t>QUR47864.1</t>
  </si>
  <si>
    <t>FQN59_05655</t>
  </si>
  <si>
    <t>QUR47865.1</t>
  </si>
  <si>
    <t>FQN59_05660</t>
  </si>
  <si>
    <t>QUR47866.1</t>
  </si>
  <si>
    <t>FQN59_05665</t>
  </si>
  <si>
    <t>QUR47867.1</t>
  </si>
  <si>
    <t>FQN59_05670</t>
  </si>
  <si>
    <t>2.1.1.182</t>
  </si>
  <si>
    <t>QUR47868.1</t>
  </si>
  <si>
    <t>FQN59_05675</t>
  </si>
  <si>
    <t>QUR47869.1</t>
  </si>
  <si>
    <t>FQN59_05680</t>
  </si>
  <si>
    <t>QUR47870.1</t>
  </si>
  <si>
    <t>FQN59_05685</t>
  </si>
  <si>
    <t>QUR47871.1</t>
  </si>
  <si>
    <t>FQN59_05690</t>
  </si>
  <si>
    <t>QUR47872.1</t>
  </si>
  <si>
    <t>FQN59_05695</t>
  </si>
  <si>
    <t>QUR47873.1</t>
  </si>
  <si>
    <t>FQN59_05700</t>
  </si>
  <si>
    <t>QUR47874.1</t>
  </si>
  <si>
    <t>FQN59_05705</t>
  </si>
  <si>
    <t>QUR47875.1</t>
  </si>
  <si>
    <t>FQN59_05710</t>
  </si>
  <si>
    <t>QUR47876.1</t>
  </si>
  <si>
    <t>FQN59_05715</t>
  </si>
  <si>
    <t>QUR47877.1</t>
  </si>
  <si>
    <t>FQN59_05720</t>
  </si>
  <si>
    <t>QUR47878.1</t>
  </si>
  <si>
    <t>FQN59_05725</t>
  </si>
  <si>
    <t>QUR47879.1</t>
  </si>
  <si>
    <t>FQN59_05730</t>
  </si>
  <si>
    <t>QUR47880.1</t>
  </si>
  <si>
    <t>FQN59_05735</t>
  </si>
  <si>
    <t>QUR47881.1</t>
  </si>
  <si>
    <t>FQN59_05740</t>
  </si>
  <si>
    <t>QUR47882.1</t>
  </si>
  <si>
    <t>FQN59_05745</t>
  </si>
  <si>
    <t>QUR47883.1</t>
  </si>
  <si>
    <t>FQN59_05750</t>
  </si>
  <si>
    <t>QUR47884.1</t>
  </si>
  <si>
    <t>FQN59_05755</t>
  </si>
  <si>
    <t>QUR47885.1</t>
  </si>
  <si>
    <t>FQN59_05760</t>
  </si>
  <si>
    <t>QUR47886.1</t>
  </si>
  <si>
    <t>FQN59_05765</t>
  </si>
  <si>
    <t>QUR47887.1</t>
  </si>
  <si>
    <t>FQN59_05770</t>
  </si>
  <si>
    <t>QUR47888.1</t>
  </si>
  <si>
    <t>FQN59_05775</t>
  </si>
  <si>
    <t>QUR47889.1</t>
  </si>
  <si>
    <t>FQN59_05780</t>
  </si>
  <si>
    <t>QUR47890.1</t>
  </si>
  <si>
    <t>FQN59_05785</t>
  </si>
  <si>
    <t>QUR47891.1</t>
  </si>
  <si>
    <t>FQN59_05790</t>
  </si>
  <si>
    <t>FQN59_05795</t>
  </si>
  <si>
    <t>FQN59_05800</t>
  </si>
  <si>
    <t>FQN59_05805</t>
  </si>
  <si>
    <t>QUR47892.1</t>
  </si>
  <si>
    <t>FQN59_05810</t>
  </si>
  <si>
    <t>QUR47893.1</t>
  </si>
  <si>
    <t>FQN59_05815</t>
  </si>
  <si>
    <t>QUR47894.1</t>
  </si>
  <si>
    <t>FQN59_05820</t>
  </si>
  <si>
    <t>3.1.6.1</t>
  </si>
  <si>
    <t>QUR47895.1</t>
  </si>
  <si>
    <t>FQN59_05825</t>
  </si>
  <si>
    <t>QUR47896.1</t>
  </si>
  <si>
    <t>FQN59_05830</t>
  </si>
  <si>
    <t>QUR47897.1</t>
  </si>
  <si>
    <t>FQN59_05835</t>
  </si>
  <si>
    <t>QUR51021.1</t>
  </si>
  <si>
    <t>FQN59_05840</t>
  </si>
  <si>
    <t>QUR47898.1</t>
  </si>
  <si>
    <t>FQN59_05845</t>
  </si>
  <si>
    <t>FQN59_05850</t>
  </si>
  <si>
    <t>QUR47899.1</t>
  </si>
  <si>
    <t>FQN59_05855</t>
  </si>
  <si>
    <t>QUR51022.1</t>
  </si>
  <si>
    <t>FQN59_05860</t>
  </si>
  <si>
    <t>QUR47900.1</t>
  </si>
  <si>
    <t>FQN59_05865</t>
  </si>
  <si>
    <t>QUR47901.1</t>
  </si>
  <si>
    <t>FQN59_05870</t>
  </si>
  <si>
    <t>QUR47902.1</t>
  </si>
  <si>
    <t>FQN59_05875</t>
  </si>
  <si>
    <t>QUR47903.1</t>
  </si>
  <si>
    <t>FQN59_05880</t>
  </si>
  <si>
    <t>QUR47904.1</t>
  </si>
  <si>
    <t>FQN59_05885</t>
  </si>
  <si>
    <t>QUR47905.1</t>
  </si>
  <si>
    <t>FQN59_05890</t>
  </si>
  <si>
    <t>QUR47906.1</t>
  </si>
  <si>
    <t>FQN59_05895</t>
  </si>
  <si>
    <t>QUR47907.1</t>
  </si>
  <si>
    <t>FQN59_05900</t>
  </si>
  <si>
    <t>QUR47908.1</t>
  </si>
  <si>
    <t>FQN59_05905</t>
  </si>
  <si>
    <t>QUR47909.1</t>
  </si>
  <si>
    <t>FQN59_05910</t>
  </si>
  <si>
    <t>QUR47910.1</t>
  </si>
  <si>
    <t>FQN59_05915</t>
  </si>
  <si>
    <t>QUR47911.1</t>
  </si>
  <si>
    <t>FQN59_05920</t>
  </si>
  <si>
    <t>QUR47912.1</t>
  </si>
  <si>
    <t>FQN59_05925</t>
  </si>
  <si>
    <t>QUR47913.1</t>
  </si>
  <si>
    <t>FQN59_05930</t>
  </si>
  <si>
    <t>QUR47914.1</t>
  </si>
  <si>
    <t>FQN59_05935</t>
  </si>
  <si>
    <t>QUR47915.1</t>
  </si>
  <si>
    <t>FQN59_05940</t>
  </si>
  <si>
    <t>QUR47916.1</t>
  </si>
  <si>
    <t>FQN59_05945</t>
  </si>
  <si>
    <t>2.4.1.182</t>
  </si>
  <si>
    <t>QUR47917.1</t>
  </si>
  <si>
    <t>FQN59_05950</t>
  </si>
  <si>
    <t>QUR47918.1</t>
  </si>
  <si>
    <t>FQN59_05955</t>
  </si>
  <si>
    <t>QUR47919.1</t>
  </si>
  <si>
    <t>FQN59_05960</t>
  </si>
  <si>
    <t>QUR47920.1</t>
  </si>
  <si>
    <t>FQN59_05965</t>
  </si>
  <si>
    <t>QUR47921.1</t>
  </si>
  <si>
    <t>FQN59_05970</t>
  </si>
  <si>
    <t>QUR47922.1</t>
  </si>
  <si>
    <t>FQN59_05975</t>
  </si>
  <si>
    <t>QUR47923.1</t>
  </si>
  <si>
    <t>FQN59_05980</t>
  </si>
  <si>
    <t>QUR47924.1</t>
  </si>
  <si>
    <t>FQN59_05985</t>
  </si>
  <si>
    <t>QUR47925.1</t>
  </si>
  <si>
    <t>FQN59_05990</t>
  </si>
  <si>
    <t>QUR47926.1</t>
  </si>
  <si>
    <t>FQN59_05995</t>
  </si>
  <si>
    <t>QUR47927.1</t>
  </si>
  <si>
    <t>FQN59_06000</t>
  </si>
  <si>
    <t>QUR47928.1</t>
  </si>
  <si>
    <t>FQN59_06005</t>
  </si>
  <si>
    <t>QUR47929.1</t>
  </si>
  <si>
    <t>FQN59_06010</t>
  </si>
  <si>
    <t>QUR47930.1</t>
  </si>
  <si>
    <t>FQN59_06015</t>
  </si>
  <si>
    <t>QUR47931.1</t>
  </si>
  <si>
    <t>FQN59_06020</t>
  </si>
  <si>
    <t>QUR47932.1</t>
  </si>
  <si>
    <t>FQN59_06025</t>
  </si>
  <si>
    <t>3.1.26.11</t>
  </si>
  <si>
    <t>QUR47933.1</t>
  </si>
  <si>
    <t>FQN59_06030</t>
  </si>
  <si>
    <t>QUR47934.1</t>
  </si>
  <si>
    <t>FQN59_06035</t>
  </si>
  <si>
    <t>QUR47935.1</t>
  </si>
  <si>
    <t>FQN59_06040</t>
  </si>
  <si>
    <t>QUR47936.1</t>
  </si>
  <si>
    <t>FQN59_06045</t>
  </si>
  <si>
    <t>QUR47937.1</t>
  </si>
  <si>
    <t>FQN59_06050</t>
  </si>
  <si>
    <t>QUR47938.1</t>
  </si>
  <si>
    <t>FQN59_06055</t>
  </si>
  <si>
    <t>5.4.2.12</t>
  </si>
  <si>
    <t>QUR47939.1</t>
  </si>
  <si>
    <t>FQN59_06060</t>
  </si>
  <si>
    <t>QUR47940.1</t>
  </si>
  <si>
    <t>FQN59_06065</t>
  </si>
  <si>
    <t>QUR47941.1</t>
  </si>
  <si>
    <t>FQN59_06070</t>
  </si>
  <si>
    <t>QUR47942.1</t>
  </si>
  <si>
    <t>FQN59_06075</t>
  </si>
  <si>
    <t>QUR47943.1</t>
  </si>
  <si>
    <t>FQN59_06080</t>
  </si>
  <si>
    <t>QUR47944.1</t>
  </si>
  <si>
    <t>FQN59_06085</t>
  </si>
  <si>
    <t>QUR47945.1</t>
  </si>
  <si>
    <t>FQN59_06090</t>
  </si>
  <si>
    <t>QUR47946.1</t>
  </si>
  <si>
    <t>FQN59_06095</t>
  </si>
  <si>
    <t>2.2.1.7</t>
  </si>
  <si>
    <t>QUR47947.1</t>
  </si>
  <si>
    <t>FQN59_06100</t>
  </si>
  <si>
    <t>QUR47948.1</t>
  </si>
  <si>
    <t>FQN59_06105</t>
  </si>
  <si>
    <t>QUR47949.1</t>
  </si>
  <si>
    <t>FQN59_06110</t>
  </si>
  <si>
    <t>QUR47950.1</t>
  </si>
  <si>
    <t>FQN59_06115</t>
  </si>
  <si>
    <t>QUR47951.1</t>
  </si>
  <si>
    <t>FQN59_06120</t>
  </si>
  <si>
    <t>QUR47952.1</t>
  </si>
  <si>
    <t>FQN59_06125</t>
  </si>
  <si>
    <t>QUR47953.1</t>
  </si>
  <si>
    <t>FQN59_06130</t>
  </si>
  <si>
    <t>QUR47954.1</t>
  </si>
  <si>
    <t>FQN59_06135</t>
  </si>
  <si>
    <t>3.5.3.1</t>
  </si>
  <si>
    <t>QUR47955.1</t>
  </si>
  <si>
    <t>FQN59_06140</t>
  </si>
  <si>
    <t>2.6.1.13</t>
  </si>
  <si>
    <t>QUR47956.1</t>
  </si>
  <si>
    <t>FQN59_06145</t>
  </si>
  <si>
    <t>QUR47957.1</t>
  </si>
  <si>
    <t>FQN59_06150</t>
  </si>
  <si>
    <t>QUR47958.1</t>
  </si>
  <si>
    <t>FQN59_06155</t>
  </si>
  <si>
    <t>QUR47959.1</t>
  </si>
  <si>
    <t>FQN59_06160</t>
  </si>
  <si>
    <t>QUR47960.1</t>
  </si>
  <si>
    <t>FQN59_06165</t>
  </si>
  <si>
    <t>QUR47961.1</t>
  </si>
  <si>
    <t>FQN59_06170</t>
  </si>
  <si>
    <t>QUR47962.1</t>
  </si>
  <si>
    <t>FQN59_06175</t>
  </si>
  <si>
    <t>QUR47963.1</t>
  </si>
  <si>
    <t>FQN59_06180</t>
  </si>
  <si>
    <t>QUR47964.1</t>
  </si>
  <si>
    <t>FQN59_06185</t>
  </si>
  <si>
    <t>6.3.2.4</t>
  </si>
  <si>
    <t>QUR47965.1</t>
  </si>
  <si>
    <t>FQN59_06190</t>
  </si>
  <si>
    <t>QUR47966.1</t>
  </si>
  <si>
    <t>FQN59_06195</t>
  </si>
  <si>
    <t>QUR47967.1</t>
  </si>
  <si>
    <t>FQN59_06200</t>
  </si>
  <si>
    <t>QUR51023.1</t>
  </si>
  <si>
    <t>FQN59_06205</t>
  </si>
  <si>
    <t>QUR47968.1</t>
  </si>
  <si>
    <t>FQN59_06210</t>
  </si>
  <si>
    <t>QUR47969.1</t>
  </si>
  <si>
    <t>FQN59_06215</t>
  </si>
  <si>
    <t>QUR47970.1</t>
  </si>
  <si>
    <t>FQN59_06220</t>
  </si>
  <si>
    <t>QUR47971.1</t>
  </si>
  <si>
    <t>FQN59_06225</t>
  </si>
  <si>
    <t>QUR47972.1</t>
  </si>
  <si>
    <t>FQN59_06230</t>
  </si>
  <si>
    <t>QUR47973.1</t>
  </si>
  <si>
    <t>FQN59_06235</t>
  </si>
  <si>
    <t>QUR47974.1</t>
  </si>
  <si>
    <t>FQN59_06240</t>
  </si>
  <si>
    <t>QUR47975.1</t>
  </si>
  <si>
    <t>FQN59_06245</t>
  </si>
  <si>
    <t>QUR47976.1</t>
  </si>
  <si>
    <t>FQN59_06250</t>
  </si>
  <si>
    <t>QUR47977.1</t>
  </si>
  <si>
    <t>FQN59_06255</t>
  </si>
  <si>
    <t>QUR47978.1</t>
  </si>
  <si>
    <t>FQN59_06260</t>
  </si>
  <si>
    <t>QUR47979.1</t>
  </si>
  <si>
    <t>FQN59_06265</t>
  </si>
  <si>
    <t>QUR47980.1</t>
  </si>
  <si>
    <t>FQN59_06270</t>
  </si>
  <si>
    <t>QUR47981.1</t>
  </si>
  <si>
    <t>FQN59_06275</t>
  </si>
  <si>
    <t>QUR47982.1</t>
  </si>
  <si>
    <t>FQN59_06280</t>
  </si>
  <si>
    <t>QUR47983.1</t>
  </si>
  <si>
    <t>FQN59_06285</t>
  </si>
  <si>
    <t>QUR47984.1</t>
  </si>
  <si>
    <t>FQN59_06290</t>
  </si>
  <si>
    <t>QUR47985.1</t>
  </si>
  <si>
    <t>FQN59_06295</t>
  </si>
  <si>
    <t>QUR47986.1</t>
  </si>
  <si>
    <t>FQN59_06300</t>
  </si>
  <si>
    <t>3.5.4.16</t>
  </si>
  <si>
    <t>QUR47987.1</t>
  </si>
  <si>
    <t>FQN59_06305</t>
  </si>
  <si>
    <t>QUR47988.1</t>
  </si>
  <si>
    <t>FQN59_06310</t>
  </si>
  <si>
    <t>5.3.1.1</t>
  </si>
  <si>
    <t>QUR47989.1</t>
  </si>
  <si>
    <t>FQN59_06315</t>
  </si>
  <si>
    <t>QUR47990.1</t>
  </si>
  <si>
    <t>FQN59_06320</t>
  </si>
  <si>
    <t>QUR47991.1</t>
  </si>
  <si>
    <t>FQN59_06325</t>
  </si>
  <si>
    <t>QUR47992.1</t>
  </si>
  <si>
    <t>FQN59_06330</t>
  </si>
  <si>
    <t>QUR47993.1</t>
  </si>
  <si>
    <t>FQN59_06335</t>
  </si>
  <si>
    <t>2.7.7.60</t>
  </si>
  <si>
    <t>QUR47994.1</t>
  </si>
  <si>
    <t>FQN59_06340</t>
  </si>
  <si>
    <t>3.1.11.6</t>
  </si>
  <si>
    <t>QUR47995.1</t>
  </si>
  <si>
    <t>FQN59_06345</t>
  </si>
  <si>
    <t>QUR47996.1</t>
  </si>
  <si>
    <t>FQN59_06350</t>
  </si>
  <si>
    <t>QUR47997.1</t>
  </si>
  <si>
    <t>FQN59_06355</t>
  </si>
  <si>
    <t>QUR47998.1</t>
  </si>
  <si>
    <t>FQN59_06360</t>
  </si>
  <si>
    <t>QUR47999.1</t>
  </si>
  <si>
    <t>FQN59_06365</t>
  </si>
  <si>
    <t>QUR48000.1</t>
  </si>
  <si>
    <t>FQN59_06370</t>
  </si>
  <si>
    <t>QUR48001.1</t>
  </si>
  <si>
    <t>FQN59_06375</t>
  </si>
  <si>
    <t>QUR48002.1</t>
  </si>
  <si>
    <t>FQN59_06380</t>
  </si>
  <si>
    <t>QUR48003.1</t>
  </si>
  <si>
    <t>FQN59_06385</t>
  </si>
  <si>
    <t>QUR48004.1</t>
  </si>
  <si>
    <t>FQN59_06390</t>
  </si>
  <si>
    <t>QUR48005.1</t>
  </si>
  <si>
    <t>FQN59_06395</t>
  </si>
  <si>
    <t>QUR51024.1</t>
  </si>
  <si>
    <t>FQN59_06400</t>
  </si>
  <si>
    <t>QUR48006.1</t>
  </si>
  <si>
    <t>FQN59_06405</t>
  </si>
  <si>
    <t>QUR48007.1</t>
  </si>
  <si>
    <t>FQN59_06410</t>
  </si>
  <si>
    <t>QUR48008.1</t>
  </si>
  <si>
    <t>FQN59_06415</t>
  </si>
  <si>
    <t>QUR48009.1</t>
  </si>
  <si>
    <t>FQN59_06420</t>
  </si>
  <si>
    <t>QUR48010.1</t>
  </si>
  <si>
    <t>FQN59_06425</t>
  </si>
  <si>
    <t>QUR48011.1</t>
  </si>
  <si>
    <t>FQN59_06430</t>
  </si>
  <si>
    <t>QUR48012.1</t>
  </si>
  <si>
    <t>FQN59_06435</t>
  </si>
  <si>
    <t>QUR48013.1</t>
  </si>
  <si>
    <t>FQN59_06440</t>
  </si>
  <si>
    <t>QUR48014.1</t>
  </si>
  <si>
    <t>FQN59_06445</t>
  </si>
  <si>
    <t>QUR48015.1</t>
  </si>
  <si>
    <t>FQN59_06450</t>
  </si>
  <si>
    <t>QUR48016.1</t>
  </si>
  <si>
    <t>FQN59_06455</t>
  </si>
  <si>
    <t>QUR48017.1</t>
  </si>
  <si>
    <t>FQN59_06460</t>
  </si>
  <si>
    <t>QUR48018.1</t>
  </si>
  <si>
    <t>FQN59_06465</t>
  </si>
  <si>
    <t>QUR48019.1</t>
  </si>
  <si>
    <t>FQN59_06470</t>
  </si>
  <si>
    <t>QUR48020.1</t>
  </si>
  <si>
    <t>FQN59_06475</t>
  </si>
  <si>
    <t>QUR48021.1</t>
  </si>
  <si>
    <t>FQN59_06480</t>
  </si>
  <si>
    <t>QUR48022.1</t>
  </si>
  <si>
    <t>FQN59_06485</t>
  </si>
  <si>
    <t>QUR48023.1</t>
  </si>
  <si>
    <t>FQN59_06490</t>
  </si>
  <si>
    <t>FQN59_06495</t>
  </si>
  <si>
    <t>FQN59_06500</t>
  </si>
  <si>
    <t>FQN59_06505</t>
  </si>
  <si>
    <t>FQN59_06510</t>
  </si>
  <si>
    <t>FQN59_06515</t>
  </si>
  <si>
    <t>QUR48024.1</t>
  </si>
  <si>
    <t>FQN59_06520</t>
  </si>
  <si>
    <t>QUR48025.1</t>
  </si>
  <si>
    <t>FQN59_06525</t>
  </si>
  <si>
    <t>QUR48026.1</t>
  </si>
  <si>
    <t>FQN59_06530</t>
  </si>
  <si>
    <t>QUR48027.1</t>
  </si>
  <si>
    <t>FQN59_06535</t>
  </si>
  <si>
    <t>QUR48028.1</t>
  </si>
  <si>
    <t>FQN59_06540</t>
  </si>
  <si>
    <t>QUR48029.1</t>
  </si>
  <si>
    <t>FQN59_06545</t>
  </si>
  <si>
    <t>QUR48030.1</t>
  </si>
  <si>
    <t>FQN59_06550</t>
  </si>
  <si>
    <t>QUR48031.1</t>
  </si>
  <si>
    <t>FQN59_06555</t>
  </si>
  <si>
    <t>QUR48032.1</t>
  </si>
  <si>
    <t>FQN59_06560</t>
  </si>
  <si>
    <t>QUR48033.1</t>
  </si>
  <si>
    <t>FQN59_06565</t>
  </si>
  <si>
    <t>QUR51025.1</t>
  </si>
  <si>
    <t>FQN59_06570</t>
  </si>
  <si>
    <t>QUR48034.1</t>
  </si>
  <si>
    <t>FQN59_06575</t>
  </si>
  <si>
    <t>QUR48035.1</t>
  </si>
  <si>
    <t>FQN59_06580</t>
  </si>
  <si>
    <t>FQN59_06585</t>
  </si>
  <si>
    <t>QUR48036.1</t>
  </si>
  <si>
    <t>FQN59_06590</t>
  </si>
  <si>
    <t>QUR48037.1</t>
  </si>
  <si>
    <t>FQN59_06595</t>
  </si>
  <si>
    <t>QUR48038.1</t>
  </si>
  <si>
    <t>FQN59_06600</t>
  </si>
  <si>
    <t>QUR48039.1</t>
  </si>
  <si>
    <t>FQN59_06605</t>
  </si>
  <si>
    <t>QUR48040.1</t>
  </si>
  <si>
    <t>FQN59_06610</t>
  </si>
  <si>
    <t>QUR48041.1</t>
  </si>
  <si>
    <t>FQN59_06615</t>
  </si>
  <si>
    <t>QUR48042.1</t>
  </si>
  <si>
    <t>FQN59_06620</t>
  </si>
  <si>
    <t>QUR48043.1</t>
  </si>
  <si>
    <t>FQN59_06625</t>
  </si>
  <si>
    <t>2.7.7.8</t>
  </si>
  <si>
    <t>QUR48044.1</t>
  </si>
  <si>
    <t>FQN59_06630</t>
  </si>
  <si>
    <t>QUR48045.1</t>
  </si>
  <si>
    <t>FQN59_06635</t>
  </si>
  <si>
    <t>QUR48046.1</t>
  </si>
  <si>
    <t>FQN59_06640</t>
  </si>
  <si>
    <t>QUR48047.1</t>
  </si>
  <si>
    <t>FQN59_06645</t>
  </si>
  <si>
    <t>QUR48048.1</t>
  </si>
  <si>
    <t>FQN59_06650</t>
  </si>
  <si>
    <t>QUR48049.1</t>
  </si>
  <si>
    <t>FQN59_06655</t>
  </si>
  <si>
    <t>QUR48050.1</t>
  </si>
  <si>
    <t>FQN59_06660</t>
  </si>
  <si>
    <t>QUR48051.1</t>
  </si>
  <si>
    <t>FQN59_06665</t>
  </si>
  <si>
    <t>QUR48052.1</t>
  </si>
  <si>
    <t>FQN59_06670</t>
  </si>
  <si>
    <t>QUR48053.1</t>
  </si>
  <si>
    <t>FQN59_06675</t>
  </si>
  <si>
    <t>QUR48054.1</t>
  </si>
  <si>
    <t>FQN59_06680</t>
  </si>
  <si>
    <t>QUR48055.1</t>
  </si>
  <si>
    <t>FQN59_06685</t>
  </si>
  <si>
    <t>QUR48056.1</t>
  </si>
  <si>
    <t>FQN59_06690</t>
  </si>
  <si>
    <t>QUR48057.1</t>
  </si>
  <si>
    <t>FQN59_06695</t>
  </si>
  <si>
    <t>QUR48058.1</t>
  </si>
  <si>
    <t>FQN59_06700</t>
  </si>
  <si>
    <t>QUR48059.1</t>
  </si>
  <si>
    <t>FQN59_06705</t>
  </si>
  <si>
    <t>QUR48060.1</t>
  </si>
  <si>
    <t>FQN59_06710</t>
  </si>
  <si>
    <t>QUR48061.1</t>
  </si>
  <si>
    <t>FQN59_06715</t>
  </si>
  <si>
    <t>QUR48062.1</t>
  </si>
  <si>
    <t>FQN59_06720</t>
  </si>
  <si>
    <t>3.3.1.1</t>
  </si>
  <si>
    <t>QUR48063.1</t>
  </si>
  <si>
    <t>FQN59_06725</t>
  </si>
  <si>
    <t>QUR48064.1</t>
  </si>
  <si>
    <t>FQN59_06730</t>
  </si>
  <si>
    <t>QUR48065.1</t>
  </si>
  <si>
    <t>FQN59_06735</t>
  </si>
  <si>
    <t>QUR48066.1</t>
  </si>
  <si>
    <t>FQN59_06740</t>
  </si>
  <si>
    <t>QUR48067.1</t>
  </si>
  <si>
    <t>FQN59_06745</t>
  </si>
  <si>
    <t>QUR48068.1</t>
  </si>
  <si>
    <t>FQN59_06750</t>
  </si>
  <si>
    <t>QUR48069.1</t>
  </si>
  <si>
    <t>FQN59_06755</t>
  </si>
  <si>
    <t>QUR48070.1</t>
  </si>
  <si>
    <t>FQN59_06760</t>
  </si>
  <si>
    <t>QUR48071.1</t>
  </si>
  <si>
    <t>FQN59_06765</t>
  </si>
  <si>
    <t>QUR48072.1</t>
  </si>
  <si>
    <t>FQN59_06770</t>
  </si>
  <si>
    <t>QUR48073.1</t>
  </si>
  <si>
    <t>FQN59_06775</t>
  </si>
  <si>
    <t>QUR48074.1</t>
  </si>
  <si>
    <t>FQN59_06780</t>
  </si>
  <si>
    <t>QUR48075.1</t>
  </si>
  <si>
    <t>FQN59_06785</t>
  </si>
  <si>
    <t>QUR48076.1</t>
  </si>
  <si>
    <t>FQN59_06790</t>
  </si>
  <si>
    <t>QUR48077.1</t>
  </si>
  <si>
    <t>FQN59_06795</t>
  </si>
  <si>
    <t>QUR51026.1</t>
  </si>
  <si>
    <t>FQN59_06800</t>
  </si>
  <si>
    <t>QUR48078.1</t>
  </si>
  <si>
    <t>FQN59_06805</t>
  </si>
  <si>
    <t>6.1.1.10</t>
  </si>
  <si>
    <t>QUR48079.1</t>
  </si>
  <si>
    <t>FQN59_06810</t>
  </si>
  <si>
    <t>QUR48080.1</t>
  </si>
  <si>
    <t>FQN59_06815</t>
  </si>
  <si>
    <t>QUR48081.1</t>
  </si>
  <si>
    <t>FQN59_06820</t>
  </si>
  <si>
    <t>QUR48082.1</t>
  </si>
  <si>
    <t>FQN59_06825</t>
  </si>
  <si>
    <t>QUR48083.1</t>
  </si>
  <si>
    <t>FQN59_06830</t>
  </si>
  <si>
    <t>QUR48084.1</t>
  </si>
  <si>
    <t>FQN59_06835</t>
  </si>
  <si>
    <t>QUR48085.1</t>
  </si>
  <si>
    <t>FQN59_06840</t>
  </si>
  <si>
    <t>QUR48086.1</t>
  </si>
  <si>
    <t>FQN59_06845</t>
  </si>
  <si>
    <t>QUR48087.1</t>
  </si>
  <si>
    <t>FQN59_06850</t>
  </si>
  <si>
    <t>QUR48088.1</t>
  </si>
  <si>
    <t>FQN59_06855</t>
  </si>
  <si>
    <t>QUR48089.1</t>
  </si>
  <si>
    <t>FQN59_06860</t>
  </si>
  <si>
    <t>QUR48090.1</t>
  </si>
  <si>
    <t>FQN59_06865</t>
  </si>
  <si>
    <t>4.1.1.49</t>
  </si>
  <si>
    <t>QUR48091.1</t>
  </si>
  <si>
    <t>FQN59_06870</t>
  </si>
  <si>
    <t>QUR48092.1</t>
  </si>
  <si>
    <t>FQN59_06875</t>
  </si>
  <si>
    <t>QUR48093.1</t>
  </si>
  <si>
    <t>FQN59_06880</t>
  </si>
  <si>
    <t>QUR48094.1</t>
  </si>
  <si>
    <t>FQN59_06885</t>
  </si>
  <si>
    <t>2.7.1.71</t>
  </si>
  <si>
    <t>QUR48095.1</t>
  </si>
  <si>
    <t>FQN59_06890</t>
  </si>
  <si>
    <t>QUR48096.1</t>
  </si>
  <si>
    <t>FQN59_06895</t>
  </si>
  <si>
    <t>QUR48097.1</t>
  </si>
  <si>
    <t>FQN59_06900</t>
  </si>
  <si>
    <t>QUR48098.1</t>
  </si>
  <si>
    <t>FQN59_06905</t>
  </si>
  <si>
    <t>QUR48099.1</t>
  </si>
  <si>
    <t>FQN59_06910</t>
  </si>
  <si>
    <t>QUR48100.1</t>
  </si>
  <si>
    <t>FQN59_06915</t>
  </si>
  <si>
    <t>QUR48101.1</t>
  </si>
  <si>
    <t>FQN59_06920</t>
  </si>
  <si>
    <t>QUR48102.1</t>
  </si>
  <si>
    <t>FQN59_06925</t>
  </si>
  <si>
    <t>QUR48103.1</t>
  </si>
  <si>
    <t>FQN59_06930</t>
  </si>
  <si>
    <t>QUR48104.1</t>
  </si>
  <si>
    <t>FQN59_06935</t>
  </si>
  <si>
    <t>QUR48105.1</t>
  </si>
  <si>
    <t>FQN59_06940</t>
  </si>
  <si>
    <t>QUR48106.1</t>
  </si>
  <si>
    <t>FQN59_06945</t>
  </si>
  <si>
    <t>QUR48107.1</t>
  </si>
  <si>
    <t>FQN59_06950</t>
  </si>
  <si>
    <t>QUR48108.1</t>
  </si>
  <si>
    <t>FQN59_06955</t>
  </si>
  <si>
    <t>QUR48109.1</t>
  </si>
  <si>
    <t>FQN59_06960</t>
  </si>
  <si>
    <t>QUR48110.1</t>
  </si>
  <si>
    <t>FQN59_06965</t>
  </si>
  <si>
    <t>QUR48111.1</t>
  </si>
  <si>
    <t>FQN59_06970</t>
  </si>
  <si>
    <t>QUR48112.1</t>
  </si>
  <si>
    <t>FQN59_06975</t>
  </si>
  <si>
    <t>QUR48113.1</t>
  </si>
  <si>
    <t>FQN59_06980</t>
  </si>
  <si>
    <t>QUR48114.1</t>
  </si>
  <si>
    <t>FQN59_06985</t>
  </si>
  <si>
    <t>2.3.1.179</t>
  </si>
  <si>
    <t>QUR48115.1</t>
  </si>
  <si>
    <t>FQN59_06990</t>
  </si>
  <si>
    <t>3.1.26.3</t>
  </si>
  <si>
    <t>FQN59_06995</t>
  </si>
  <si>
    <t>QUR48116.1</t>
  </si>
  <si>
    <t>FQN59_07000</t>
  </si>
  <si>
    <t>QUR48117.1</t>
  </si>
  <si>
    <t>FQN59_07005</t>
  </si>
  <si>
    <t>QUR48118.1</t>
  </si>
  <si>
    <t>FQN59_07010</t>
  </si>
  <si>
    <t>QUR48119.1</t>
  </si>
  <si>
    <t>FQN59_07015</t>
  </si>
  <si>
    <t>QUR48120.1</t>
  </si>
  <si>
    <t>FQN59_07020</t>
  </si>
  <si>
    <t>QUR48121.1</t>
  </si>
  <si>
    <t>FQN59_07025</t>
  </si>
  <si>
    <t>QUR48122.1</t>
  </si>
  <si>
    <t>FQN59_07030</t>
  </si>
  <si>
    <t>QUR48123.1</t>
  </si>
  <si>
    <t>FQN59_07035</t>
  </si>
  <si>
    <t>QUR48124.1</t>
  </si>
  <si>
    <t>FQN59_07040</t>
  </si>
  <si>
    <t>QUR48125.1</t>
  </si>
  <si>
    <t>FQN59_07045</t>
  </si>
  <si>
    <t>6.1.1.16</t>
  </si>
  <si>
    <t>QUR48126.1</t>
  </si>
  <si>
    <t>FQN59_07050</t>
  </si>
  <si>
    <t>QUR48127.1</t>
  </si>
  <si>
    <t>FQN59_07055</t>
  </si>
  <si>
    <t>QUR48128.1</t>
  </si>
  <si>
    <t>FQN59_07060</t>
  </si>
  <si>
    <t>QUR48129.1</t>
  </si>
  <si>
    <t>FQN59_07065</t>
  </si>
  <si>
    <t>QUR48130.1</t>
  </si>
  <si>
    <t>FQN59_07070</t>
  </si>
  <si>
    <t>QUR48131.1</t>
  </si>
  <si>
    <t>FQN59_07075</t>
  </si>
  <si>
    <t>QUR48132.1</t>
  </si>
  <si>
    <t>FQN59_07080</t>
  </si>
  <si>
    <t>QUR48133.1</t>
  </si>
  <si>
    <t>FQN59_07085</t>
  </si>
  <si>
    <t>FQN59_07090</t>
  </si>
  <si>
    <t>QUR48134.1</t>
  </si>
  <si>
    <t>FQN59_07095</t>
  </si>
  <si>
    <t>QUR48135.1</t>
  </si>
  <si>
    <t>FQN59_07100</t>
  </si>
  <si>
    <t>QUR48136.1</t>
  </si>
  <si>
    <t>FQN59_07105</t>
  </si>
  <si>
    <t>QUR48137.1</t>
  </si>
  <si>
    <t>FQN59_07110</t>
  </si>
  <si>
    <t>QUR48138.1</t>
  </si>
  <si>
    <t>FQN59_07115</t>
  </si>
  <si>
    <t>QUR48139.1</t>
  </si>
  <si>
    <t>FQN59_07120</t>
  </si>
  <si>
    <t>QUR48140.1</t>
  </si>
  <si>
    <t>FQN59_07125</t>
  </si>
  <si>
    <t>QUR48141.1</t>
  </si>
  <si>
    <t>FQN59_07130</t>
  </si>
  <si>
    <t>QUR51027.1</t>
  </si>
  <si>
    <t>FQN59_07135</t>
  </si>
  <si>
    <t>QUR48142.1</t>
  </si>
  <si>
    <t>FQN59_07140</t>
  </si>
  <si>
    <t>QUR48143.1</t>
  </si>
  <si>
    <t>FQN59_07145</t>
  </si>
  <si>
    <t>QUR48144.1</t>
  </si>
  <si>
    <t>FQN59_07150</t>
  </si>
  <si>
    <t>QUR48145.1</t>
  </si>
  <si>
    <t>FQN59_07155</t>
  </si>
  <si>
    <t>QUR48146.1</t>
  </si>
  <si>
    <t>FQN59_07160</t>
  </si>
  <si>
    <t>QUR48147.1</t>
  </si>
  <si>
    <t>FQN59_07165</t>
  </si>
  <si>
    <t>FQN59_07170</t>
  </si>
  <si>
    <t>QUR48148.1</t>
  </si>
  <si>
    <t>FQN59_07175</t>
  </si>
  <si>
    <t>QUR48149.1</t>
  </si>
  <si>
    <t>FQN59_07180</t>
  </si>
  <si>
    <t>QUR48150.1</t>
  </si>
  <si>
    <t>FQN59_07185</t>
  </si>
  <si>
    <t>QUR48151.1</t>
  </si>
  <si>
    <t>FQN59_07190</t>
  </si>
  <si>
    <t>QUR48152.1</t>
  </si>
  <si>
    <t>FQN59_07195</t>
  </si>
  <si>
    <t>QUR48153.1</t>
  </si>
  <si>
    <t>FQN59_07200</t>
  </si>
  <si>
    <t>QUR51028.1</t>
  </si>
  <si>
    <t>FQN59_07205</t>
  </si>
  <si>
    <t>QUR48154.1</t>
  </si>
  <si>
    <t>FQN59_07210</t>
  </si>
  <si>
    <t>QUR48155.1</t>
  </si>
  <si>
    <t>FQN59_07215</t>
  </si>
  <si>
    <t>QUR48156.1</t>
  </si>
  <si>
    <t>FQN59_07220</t>
  </si>
  <si>
    <t>QUR48157.1</t>
  </si>
  <si>
    <t>FQN59_07225</t>
  </si>
  <si>
    <t>QUR51029.1</t>
  </si>
  <si>
    <t>FQN59_07230</t>
  </si>
  <si>
    <t>QUR48158.1</t>
  </si>
  <si>
    <t>FQN59_07235</t>
  </si>
  <si>
    <t>QUR48159.1</t>
  </si>
  <si>
    <t>FQN59_07240</t>
  </si>
  <si>
    <t>QUR48160.1</t>
  </si>
  <si>
    <t>FQN59_07245</t>
  </si>
  <si>
    <t>QUR48161.1</t>
  </si>
  <si>
    <t>FQN59_07250</t>
  </si>
  <si>
    <t>QUR48162.1</t>
  </si>
  <si>
    <t>FQN59_07255</t>
  </si>
  <si>
    <t>QUR48163.1</t>
  </si>
  <si>
    <t>FQN59_07260</t>
  </si>
  <si>
    <t>QUR48164.1</t>
  </si>
  <si>
    <t>FQN59_07265</t>
  </si>
  <si>
    <t>QUR48165.1</t>
  </si>
  <si>
    <t>FQN59_07270</t>
  </si>
  <si>
    <t>QUR48166.1</t>
  </si>
  <si>
    <t>FQN59_07275</t>
  </si>
  <si>
    <t>QUR48167.1</t>
  </si>
  <si>
    <t>FQN59_07280</t>
  </si>
  <si>
    <t>QUR48168.1</t>
  </si>
  <si>
    <t>FQN59_07285</t>
  </si>
  <si>
    <t>QUR48169.1</t>
  </si>
  <si>
    <t>FQN59_07290</t>
  </si>
  <si>
    <t>QUR48170.1</t>
  </si>
  <si>
    <t>FQN59_07295</t>
  </si>
  <si>
    <t>QUR48171.1</t>
  </si>
  <si>
    <t>FQN59_07300</t>
  </si>
  <si>
    <t>QUR48172.1</t>
  </si>
  <si>
    <t>FQN59_07305</t>
  </si>
  <si>
    <t>QUR48173.1</t>
  </si>
  <si>
    <t>FQN59_07310</t>
  </si>
  <si>
    <t>QUR48174.1</t>
  </si>
  <si>
    <t>FQN59_07315</t>
  </si>
  <si>
    <t>QUR51030.1</t>
  </si>
  <si>
    <t>FQN59_07320</t>
  </si>
  <si>
    <t>QUR48175.1</t>
  </si>
  <si>
    <t>FQN59_07325</t>
  </si>
  <si>
    <t>QUR48176.1</t>
  </si>
  <si>
    <t>FQN59_07330</t>
  </si>
  <si>
    <t>QUR48177.1</t>
  </si>
  <si>
    <t>FQN59_07335</t>
  </si>
  <si>
    <t>QUR51031.1</t>
  </si>
  <si>
    <t>FQN59_07340</t>
  </si>
  <si>
    <t>QUR48178.1</t>
  </si>
  <si>
    <t>FQN59_07345</t>
  </si>
  <si>
    <t>1.17.1.8</t>
  </si>
  <si>
    <t>QUR48179.1</t>
  </si>
  <si>
    <t>FQN59_07350</t>
  </si>
  <si>
    <t>QUR48180.1</t>
  </si>
  <si>
    <t>FQN59_07355</t>
  </si>
  <si>
    <t>3.4.21.89</t>
  </si>
  <si>
    <t>QUR48181.1</t>
  </si>
  <si>
    <t>FQN59_07360</t>
  </si>
  <si>
    <t>QUR48182.1</t>
  </si>
  <si>
    <t>FQN59_07365</t>
  </si>
  <si>
    <t>2.6.1.37</t>
  </si>
  <si>
    <t>QUR48183.1</t>
  </si>
  <si>
    <t>FQN59_07370</t>
  </si>
  <si>
    <t>3.11.1.1</t>
  </si>
  <si>
    <t>QUR48184.1</t>
  </si>
  <si>
    <t>FQN59_07375</t>
  </si>
  <si>
    <t>QUR48185.1</t>
  </si>
  <si>
    <t>FQN59_07380</t>
  </si>
  <si>
    <t>QUR48186.1</t>
  </si>
  <si>
    <t>FQN59_07385</t>
  </si>
  <si>
    <t>QUR48187.1</t>
  </si>
  <si>
    <t>FQN59_07390</t>
  </si>
  <si>
    <t>FQN59_07395</t>
  </si>
  <si>
    <t>FQN59_07400</t>
  </si>
  <si>
    <t>FQN59_07405</t>
  </si>
  <si>
    <t>FQN59_07410</t>
  </si>
  <si>
    <t>FQN59_07415</t>
  </si>
  <si>
    <t>QUR48188.1</t>
  </si>
  <si>
    <t>FQN59_07420</t>
  </si>
  <si>
    <t>QUR48189.1</t>
  </si>
  <si>
    <t>FQN59_07425</t>
  </si>
  <si>
    <t>FQN59_07430</t>
  </si>
  <si>
    <t>QUR48190.1</t>
  </si>
  <si>
    <t>FQN59_07435</t>
  </si>
  <si>
    <t>QUR48191.1</t>
  </si>
  <si>
    <t>FQN59_07440</t>
  </si>
  <si>
    <t>QUR48192.1</t>
  </si>
  <si>
    <t>FQN59_07445</t>
  </si>
  <si>
    <t>QUR48193.1</t>
  </si>
  <si>
    <t>FQN59_07450</t>
  </si>
  <si>
    <t>QUR48194.1</t>
  </si>
  <si>
    <t>FQN59_07455</t>
  </si>
  <si>
    <t>QUR48195.1</t>
  </si>
  <si>
    <t>FQN59_07460</t>
  </si>
  <si>
    <t>QUR48196.1</t>
  </si>
  <si>
    <t>FQN59_07465</t>
  </si>
  <si>
    <t>QUR48197.1</t>
  </si>
  <si>
    <t>FQN59_07470</t>
  </si>
  <si>
    <t>QUR48198.1</t>
  </si>
  <si>
    <t>FQN59_07475</t>
  </si>
  <si>
    <t>QUR48199.1</t>
  </si>
  <si>
    <t>FQN59_07480</t>
  </si>
  <si>
    <t>QUR48200.1</t>
  </si>
  <si>
    <t>FQN59_07485</t>
  </si>
  <si>
    <t>QUR48201.1</t>
  </si>
  <si>
    <t>FQN59_07490</t>
  </si>
  <si>
    <t>QUR48202.1</t>
  </si>
  <si>
    <t>FQN59_07495</t>
  </si>
  <si>
    <t>QUR48203.1</t>
  </si>
  <si>
    <t>FQN59_07500</t>
  </si>
  <si>
    <t>QUR48204.1</t>
  </si>
  <si>
    <t>FQN59_07505</t>
  </si>
  <si>
    <t>FQN59_07510</t>
  </si>
  <si>
    <t>QUR48205.1</t>
  </si>
  <si>
    <t>FQN59_07515</t>
  </si>
  <si>
    <t>QUR48206.1</t>
  </si>
  <si>
    <t>FQN59_07520</t>
  </si>
  <si>
    <t>QUR48207.1</t>
  </si>
  <si>
    <t>FQN59_07525</t>
  </si>
  <si>
    <t>QUR48208.1</t>
  </si>
  <si>
    <t>FQN59_07530</t>
  </si>
  <si>
    <t>QUR48209.1</t>
  </si>
  <si>
    <t>FQN59_07535</t>
  </si>
  <si>
    <t>QUR48210.1</t>
  </si>
  <si>
    <t>FQN59_07540</t>
  </si>
  <si>
    <t>QUR48211.1</t>
  </si>
  <si>
    <t>FQN59_07545</t>
  </si>
  <si>
    <t>QUR48212.1</t>
  </si>
  <si>
    <t>FQN59_07550</t>
  </si>
  <si>
    <t>QUR48213.1</t>
  </si>
  <si>
    <t>FQN59_07555</t>
  </si>
  <si>
    <t>QUR48214.1</t>
  </si>
  <si>
    <t>FQN59_07560</t>
  </si>
  <si>
    <t>QUR48215.1</t>
  </si>
  <si>
    <t>FQN59_07565</t>
  </si>
  <si>
    <t>QUR48216.1</t>
  </si>
  <si>
    <t>FQN59_07570</t>
  </si>
  <si>
    <t>QUR48217.1</t>
  </si>
  <si>
    <t>FQN59_07575</t>
  </si>
  <si>
    <t>QUR48218.1</t>
  </si>
  <si>
    <t>FQN59_07580</t>
  </si>
  <si>
    <t>QUR48219.1</t>
  </si>
  <si>
    <t>FQN59_07585</t>
  </si>
  <si>
    <t>QUR48220.1</t>
  </si>
  <si>
    <t>FQN59_07590</t>
  </si>
  <si>
    <t>QUR48221.1</t>
  </si>
  <si>
    <t>FQN59_07595</t>
  </si>
  <si>
    <t>QUR48222.1</t>
  </si>
  <si>
    <t>FQN59_07600</t>
  </si>
  <si>
    <t>QUR51032.1</t>
  </si>
  <si>
    <t>FQN59_07605</t>
  </si>
  <si>
    <t>QUR48223.1</t>
  </si>
  <si>
    <t>FQN59_07610</t>
  </si>
  <si>
    <t>QUR48224.1</t>
  </si>
  <si>
    <t>FQN59_07615</t>
  </si>
  <si>
    <t>QUR48225.1</t>
  </si>
  <si>
    <t>FQN59_07620</t>
  </si>
  <si>
    <t>QUR48226.1</t>
  </si>
  <si>
    <t>FQN59_07625</t>
  </si>
  <si>
    <t>QUR48227.1</t>
  </si>
  <si>
    <t>FQN59_07630</t>
  </si>
  <si>
    <t>QUR48228.1</t>
  </si>
  <si>
    <t>FQN59_07635</t>
  </si>
  <si>
    <t>QUR48229.1</t>
  </si>
  <si>
    <t>FQN59_07640</t>
  </si>
  <si>
    <t>QUR48230.1</t>
  </si>
  <si>
    <t>FQN59_07645</t>
  </si>
  <si>
    <t>QUR48231.1</t>
  </si>
  <si>
    <t>FQN59_07650</t>
  </si>
  <si>
    <t>QUR48232.1</t>
  </si>
  <si>
    <t>FQN59_07655</t>
  </si>
  <si>
    <t>QUR48233.1</t>
  </si>
  <si>
    <t>FQN59_07660</t>
  </si>
  <si>
    <t>QUR48234.1</t>
  </si>
  <si>
    <t>FQN59_07665</t>
  </si>
  <si>
    <t>QUR48235.1</t>
  </si>
  <si>
    <t>FQN59_07670</t>
  </si>
  <si>
    <t>QUR48236.1</t>
  </si>
  <si>
    <t>FQN59_07675</t>
  </si>
  <si>
    <t>QUR48237.1</t>
  </si>
  <si>
    <t>FQN59_07680</t>
  </si>
  <si>
    <t>QUR51033.1</t>
  </si>
  <si>
    <t>FQN59_07685</t>
  </si>
  <si>
    <t>QUR48238.1</t>
  </si>
  <si>
    <t>FQN59_07690</t>
  </si>
  <si>
    <t>QUR48239.1</t>
  </si>
  <si>
    <t>FQN59_07695</t>
  </si>
  <si>
    <t>QUR48240.1</t>
  </si>
  <si>
    <t>FQN59_07700</t>
  </si>
  <si>
    <t>QUR48241.1</t>
  </si>
  <si>
    <t>FQN59_07705</t>
  </si>
  <si>
    <t>QUR48242.1</t>
  </si>
  <si>
    <t>FQN59_07710</t>
  </si>
  <si>
    <t>QUR48243.1</t>
  </si>
  <si>
    <t>FQN59_07715</t>
  </si>
  <si>
    <t>QUR48244.1</t>
  </si>
  <si>
    <t>FQN59_07720</t>
  </si>
  <si>
    <t>QUR48245.1</t>
  </si>
  <si>
    <t>FQN59_07725</t>
  </si>
  <si>
    <t>QUR48246.1</t>
  </si>
  <si>
    <t>FQN59_07730</t>
  </si>
  <si>
    <t>QUR48247.1</t>
  </si>
  <si>
    <t>FQN59_07735</t>
  </si>
  <si>
    <t>QUR48248.1</t>
  </si>
  <si>
    <t>FQN59_07740</t>
  </si>
  <si>
    <t>QUR48249.1</t>
  </si>
  <si>
    <t>FQN59_07745</t>
  </si>
  <si>
    <t>FQN59_07750</t>
  </si>
  <si>
    <t>QUR48250.1</t>
  </si>
  <si>
    <t>FQN59_07755</t>
  </si>
  <si>
    <t>QUR48251.1</t>
  </si>
  <si>
    <t>FQN59_07760</t>
  </si>
  <si>
    <t>QUR48252.1</t>
  </si>
  <si>
    <t>FQN59_07765</t>
  </si>
  <si>
    <t>QUR48253.1</t>
  </si>
  <si>
    <t>FQN59_07770</t>
  </si>
  <si>
    <t>QUR48254.1</t>
  </si>
  <si>
    <t>FQN59_07775</t>
  </si>
  <si>
    <t>QUR48255.1</t>
  </si>
  <si>
    <t>FQN59_07780</t>
  </si>
  <si>
    <t>QUR48256.1</t>
  </si>
  <si>
    <t>FQN59_07785</t>
  </si>
  <si>
    <t>QUR48257.1</t>
  </si>
  <si>
    <t>FQN59_07790</t>
  </si>
  <si>
    <t>QUR48258.1</t>
  </si>
  <si>
    <t>FQN59_07795</t>
  </si>
  <si>
    <t>QUR48259.1</t>
  </si>
  <si>
    <t>FQN59_07800</t>
  </si>
  <si>
    <t>QUR48260.1</t>
  </si>
  <si>
    <t>FQN59_07805</t>
  </si>
  <si>
    <t>QUR48261.1</t>
  </si>
  <si>
    <t>FQN59_07810</t>
  </si>
  <si>
    <t>QUR48262.1</t>
  </si>
  <si>
    <t>FQN59_07815</t>
  </si>
  <si>
    <t>QUR48263.1</t>
  </si>
  <si>
    <t>FQN59_07820</t>
  </si>
  <si>
    <t>FQN59_07825</t>
  </si>
  <si>
    <t>QUR48264.1</t>
  </si>
  <si>
    <t>FQN59_07830</t>
  </si>
  <si>
    <t>QUR48265.1</t>
  </si>
  <si>
    <t>FQN59_07835</t>
  </si>
  <si>
    <t>QUR48266.1</t>
  </si>
  <si>
    <t>FQN59_07840</t>
  </si>
  <si>
    <t>QUR48267.1</t>
  </si>
  <si>
    <t>FQN59_07845</t>
  </si>
  <si>
    <t>QUR51034.1</t>
  </si>
  <si>
    <t>FQN59_07850</t>
  </si>
  <si>
    <t>QUR48268.1</t>
  </si>
  <si>
    <t>FQN59_07855</t>
  </si>
  <si>
    <t>QUR48269.1</t>
  </si>
  <si>
    <t>FQN59_07860</t>
  </si>
  <si>
    <t>QUR48270.1</t>
  </si>
  <si>
    <t>FQN59_07865</t>
  </si>
  <si>
    <t>FQN59_07870</t>
  </si>
  <si>
    <t>QUR48271.1</t>
  </si>
  <si>
    <t>FQN59_07875</t>
  </si>
  <si>
    <t>QUR48272.1</t>
  </si>
  <si>
    <t>FQN59_07880</t>
  </si>
  <si>
    <t>QUR48273.1</t>
  </si>
  <si>
    <t>FQN59_07885</t>
  </si>
  <si>
    <t>QUR48274.1</t>
  </si>
  <si>
    <t>FQN59_07890</t>
  </si>
  <si>
    <t>3.5.4.2</t>
  </si>
  <si>
    <t>QUR48275.1</t>
  </si>
  <si>
    <t>FQN59_07895</t>
  </si>
  <si>
    <t>QUR48276.1</t>
  </si>
  <si>
    <t>FQN59_07900</t>
  </si>
  <si>
    <t>3.1.1.96</t>
  </si>
  <si>
    <t>QUR48277.1</t>
  </si>
  <si>
    <t>FQN59_07905</t>
  </si>
  <si>
    <t>QUR48278.1</t>
  </si>
  <si>
    <t>FQN59_07910</t>
  </si>
  <si>
    <t>4.1.2.4</t>
  </si>
  <si>
    <t>QUR48279.1</t>
  </si>
  <si>
    <t>FQN59_07915</t>
  </si>
  <si>
    <t>QUR48280.1</t>
  </si>
  <si>
    <t>FQN59_07920</t>
  </si>
  <si>
    <t>QUR48281.1</t>
  </si>
  <si>
    <t>FQN59_07925</t>
  </si>
  <si>
    <t>QUR48282.1</t>
  </si>
  <si>
    <t>FQN59_07930</t>
  </si>
  <si>
    <t>QUR48283.1</t>
  </si>
  <si>
    <t>FQN59_07935</t>
  </si>
  <si>
    <t>QUR48284.1</t>
  </si>
  <si>
    <t>FQN59_07940</t>
  </si>
  <si>
    <t>QUR48285.1</t>
  </si>
  <si>
    <t>FQN59_07945</t>
  </si>
  <si>
    <t>FQN59_07950</t>
  </si>
  <si>
    <t>QUR48286.1</t>
  </si>
  <si>
    <t>FQN59_07955</t>
  </si>
  <si>
    <t>QUR48287.1</t>
  </si>
  <si>
    <t>FQN59_07960</t>
  </si>
  <si>
    <t>QUR48288.1</t>
  </si>
  <si>
    <t>FQN59_07965</t>
  </si>
  <si>
    <t>QUR48289.1</t>
  </si>
  <si>
    <t>FQN59_07970</t>
  </si>
  <si>
    <t>QUR48290.1</t>
  </si>
  <si>
    <t>FQN59_07975</t>
  </si>
  <si>
    <t>QUR48291.1</t>
  </si>
  <si>
    <t>FQN59_07980</t>
  </si>
  <si>
    <t>QUR48292.1</t>
  </si>
  <si>
    <t>FQN59_07985</t>
  </si>
  <si>
    <t>QUR48293.1</t>
  </si>
  <si>
    <t>FQN59_07990</t>
  </si>
  <si>
    <t>QUR48294.1</t>
  </si>
  <si>
    <t>FQN59_07995</t>
  </si>
  <si>
    <t>QUR48295.1</t>
  </si>
  <si>
    <t>FQN59_08000</t>
  </si>
  <si>
    <t>2.1.1.37</t>
  </si>
  <si>
    <t>QUR48296.1</t>
  </si>
  <si>
    <t>FQN59_08005</t>
  </si>
  <si>
    <t>QUR48297.1</t>
  </si>
  <si>
    <t>FQN59_08010</t>
  </si>
  <si>
    <t>QUR48298.1</t>
  </si>
  <si>
    <t>FQN59_08015</t>
  </si>
  <si>
    <t>FQN59_08020</t>
  </si>
  <si>
    <t>QUR48299.1</t>
  </si>
  <si>
    <t>FQN59_08025</t>
  </si>
  <si>
    <t>FQN59_08030</t>
  </si>
  <si>
    <t>QUR48300.1</t>
  </si>
  <si>
    <t>FQN59_08035</t>
  </si>
  <si>
    <t>QUR48301.1</t>
  </si>
  <si>
    <t>FQN59_08040</t>
  </si>
  <si>
    <t>QUR48302.1</t>
  </si>
  <si>
    <t>FQN59_08045</t>
  </si>
  <si>
    <t>6.1.1.4</t>
  </si>
  <si>
    <t>QUR48303.1</t>
  </si>
  <si>
    <t>FQN59_08050</t>
  </si>
  <si>
    <t>QUR48304.1</t>
  </si>
  <si>
    <t>FQN59_08055</t>
  </si>
  <si>
    <t>QUR48305.1</t>
  </si>
  <si>
    <t>FQN59_08060</t>
  </si>
  <si>
    <t>QUR48306.1</t>
  </si>
  <si>
    <t>FQN59_08065</t>
  </si>
  <si>
    <t>QUR48307.1</t>
  </si>
  <si>
    <t>FQN59_08070</t>
  </si>
  <si>
    <t>QUR48308.1</t>
  </si>
  <si>
    <t>FQN59_08075</t>
  </si>
  <si>
    <t>QUR48309.1</t>
  </si>
  <si>
    <t>FQN59_08080</t>
  </si>
  <si>
    <t>QUR48310.1</t>
  </si>
  <si>
    <t>FQN59_08085</t>
  </si>
  <si>
    <t>QUR48311.1</t>
  </si>
  <si>
    <t>FQN59_08090</t>
  </si>
  <si>
    <t>QUR48312.1</t>
  </si>
  <si>
    <t>FQN59_08095</t>
  </si>
  <si>
    <t>QUR48313.1</t>
  </si>
  <si>
    <t>FQN59_08100</t>
  </si>
  <si>
    <t>QUR48314.1</t>
  </si>
  <si>
    <t>FQN59_08105</t>
  </si>
  <si>
    <t>QUR48315.1</t>
  </si>
  <si>
    <t>FQN59_08110</t>
  </si>
  <si>
    <t>QUR48316.1</t>
  </si>
  <si>
    <t>FQN59_08115</t>
  </si>
  <si>
    <t>QUR48317.1</t>
  </si>
  <si>
    <t>FQN59_08120</t>
  </si>
  <si>
    <t>QUR48318.1</t>
  </si>
  <si>
    <t>FQN59_08125</t>
  </si>
  <si>
    <t>QUR48319.1</t>
  </si>
  <si>
    <t>FQN59_08130</t>
  </si>
  <si>
    <t>QUR48320.1</t>
  </si>
  <si>
    <t>FQN59_08135</t>
  </si>
  <si>
    <t>FQN59_08140</t>
  </si>
  <si>
    <t>QUR48321.1</t>
  </si>
  <si>
    <t>FQN59_08145</t>
  </si>
  <si>
    <t>QUR48322.1</t>
  </si>
  <si>
    <t>FQN59_08150</t>
  </si>
  <si>
    <t>FQN59_08155</t>
  </si>
  <si>
    <t>QUR48323.1</t>
  </si>
  <si>
    <t>FQN59_08160</t>
  </si>
  <si>
    <t>QUR48324.1</t>
  </si>
  <si>
    <t>FQN59_08165</t>
  </si>
  <si>
    <t>QUR48325.1</t>
  </si>
  <si>
    <t>FQN59_08170</t>
  </si>
  <si>
    <t>QUR48326.1</t>
  </si>
  <si>
    <t>FQN59_08175</t>
  </si>
  <si>
    <t>QUR48327.1</t>
  </si>
  <si>
    <t>FQN59_08180</t>
  </si>
  <si>
    <t>QUR48328.1</t>
  </si>
  <si>
    <t>FQN59_08185</t>
  </si>
  <si>
    <t>QUR48329.1</t>
  </si>
  <si>
    <t>FQN59_08190</t>
  </si>
  <si>
    <t>1.4.3.16</t>
  </si>
  <si>
    <t>QUR48330.1</t>
  </si>
  <si>
    <t>FQN59_08195</t>
  </si>
  <si>
    <t>QUR48331.1</t>
  </si>
  <si>
    <t>FQN59_08200</t>
  </si>
  <si>
    <t>QUR48332.1</t>
  </si>
  <si>
    <t>FQN59_08205</t>
  </si>
  <si>
    <t>QUR48333.1</t>
  </si>
  <si>
    <t>FQN59_08210</t>
  </si>
  <si>
    <t>QUR48334.1</t>
  </si>
  <si>
    <t>FQN59_08215</t>
  </si>
  <si>
    <t>QUR48335.1</t>
  </si>
  <si>
    <t>FQN59_08220</t>
  </si>
  <si>
    <t>QUR48336.1</t>
  </si>
  <si>
    <t>FQN59_08225</t>
  </si>
  <si>
    <t>QUR48337.1</t>
  </si>
  <si>
    <t>FQN59_08230</t>
  </si>
  <si>
    <t>QUR51035.1</t>
  </si>
  <si>
    <t>FQN59_08235</t>
  </si>
  <si>
    <t>QUR48338.1</t>
  </si>
  <si>
    <t>FQN59_08240</t>
  </si>
  <si>
    <t>QUR48339.1</t>
  </si>
  <si>
    <t>FQN59_08245</t>
  </si>
  <si>
    <t>FQN59_08250</t>
  </si>
  <si>
    <t>QUR48340.1</t>
  </si>
  <si>
    <t>FQN59_08255</t>
  </si>
  <si>
    <t>QUR48341.1</t>
  </si>
  <si>
    <t>FQN59_08260</t>
  </si>
  <si>
    <t>QUR48342.1</t>
  </si>
  <si>
    <t>FQN59_08265</t>
  </si>
  <si>
    <t>QUR48343.1</t>
  </si>
  <si>
    <t>FQN59_08270</t>
  </si>
  <si>
    <t>QUR48344.1</t>
  </si>
  <si>
    <t>FQN59_08275</t>
  </si>
  <si>
    <t>FQN59_08280</t>
  </si>
  <si>
    <t>QUR48345.1</t>
  </si>
  <si>
    <t>FQN59_08285</t>
  </si>
  <si>
    <t>FQN59_08290</t>
  </si>
  <si>
    <t>FQN59_08295</t>
  </si>
  <si>
    <t>FQN59_08300</t>
  </si>
  <si>
    <t>QUR48346.1</t>
  </si>
  <si>
    <t>FQN59_08305</t>
  </si>
  <si>
    <t>QUR48347.1</t>
  </si>
  <si>
    <t>FQN59_08310</t>
  </si>
  <si>
    <t>QUR48348.1</t>
  </si>
  <si>
    <t>FQN59_08315</t>
  </si>
  <si>
    <t>QUR48349.1</t>
  </si>
  <si>
    <t>FQN59_08320</t>
  </si>
  <si>
    <t>QUR48350.1</t>
  </si>
  <si>
    <t>FQN59_08325</t>
  </si>
  <si>
    <t>QUR48351.1</t>
  </si>
  <si>
    <t>FQN59_08330</t>
  </si>
  <si>
    <t>QUR48352.1</t>
  </si>
  <si>
    <t>FQN59_08335</t>
  </si>
  <si>
    <t>QUR48353.1</t>
  </si>
  <si>
    <t>FQN59_08340</t>
  </si>
  <si>
    <t>3.1.26.5</t>
  </si>
  <si>
    <t>QUR48354.1</t>
  </si>
  <si>
    <t>FQN59_08345</t>
  </si>
  <si>
    <t>QUR51036.1</t>
  </si>
  <si>
    <t>FQN59_08350</t>
  </si>
  <si>
    <t>QUR48355.1</t>
  </si>
  <si>
    <t>FQN59_08355</t>
  </si>
  <si>
    <t>6.1.1.1</t>
  </si>
  <si>
    <t>FQN59_08360</t>
  </si>
  <si>
    <t>QUR48356.1</t>
  </si>
  <si>
    <t>FQN59_08365</t>
  </si>
  <si>
    <t>QUR48357.1</t>
  </si>
  <si>
    <t>FQN59_08370</t>
  </si>
  <si>
    <t>QUR48358.1</t>
  </si>
  <si>
    <t>FQN59_08375</t>
  </si>
  <si>
    <t>QUR48359.1</t>
  </si>
  <si>
    <t>FQN59_08380</t>
  </si>
  <si>
    <t>QUR48360.1</t>
  </si>
  <si>
    <t>FQN59_08385</t>
  </si>
  <si>
    <t>QUR48361.1</t>
  </si>
  <si>
    <t>FQN59_08390</t>
  </si>
  <si>
    <t>QUR51037.1</t>
  </si>
  <si>
    <t>FQN59_08395</t>
  </si>
  <si>
    <t>QUR48362.1</t>
  </si>
  <si>
    <t>FQN59_08400</t>
  </si>
  <si>
    <t>QUR48363.1</t>
  </si>
  <si>
    <t>FQN59_08405</t>
  </si>
  <si>
    <t>QUR48364.1</t>
  </si>
  <si>
    <t>FQN59_08410</t>
  </si>
  <si>
    <t>QUR48365.1</t>
  </si>
  <si>
    <t>FQN59_08415</t>
  </si>
  <si>
    <t>QUR48366.1</t>
  </si>
  <si>
    <t>FQN59_08420</t>
  </si>
  <si>
    <t>QUR48367.1</t>
  </si>
  <si>
    <t>FQN59_08425</t>
  </si>
  <si>
    <t>3.2.1.21</t>
  </si>
  <si>
    <t>QUR48368.1</t>
  </si>
  <si>
    <t>FQN59_08430</t>
  </si>
  <si>
    <t>QUR48369.1</t>
  </si>
  <si>
    <t>FQN59_08435</t>
  </si>
  <si>
    <t>FQN59_08440</t>
  </si>
  <si>
    <t>QUR48370.1</t>
  </si>
  <si>
    <t>FQN59_08445</t>
  </si>
  <si>
    <t>QUR48371.1</t>
  </si>
  <si>
    <t>FQN59_08450</t>
  </si>
  <si>
    <t>QUR48372.1</t>
  </si>
  <si>
    <t>FQN59_08455</t>
  </si>
  <si>
    <t>QUR48373.1</t>
  </si>
  <si>
    <t>FQN59_08460</t>
  </si>
  <si>
    <t>QUR48374.1</t>
  </si>
  <si>
    <t>FQN59_08465</t>
  </si>
  <si>
    <t>QUR48375.1</t>
  </si>
  <si>
    <t>FQN59_08470</t>
  </si>
  <si>
    <t>QUR48376.1</t>
  </si>
  <si>
    <t>FQN59_08475</t>
  </si>
  <si>
    <t>QUR48377.1</t>
  </si>
  <si>
    <t>FQN59_08480</t>
  </si>
  <si>
    <t>QUR48378.1</t>
  </si>
  <si>
    <t>FQN59_08485</t>
  </si>
  <si>
    <t>1.17.99.6</t>
  </si>
  <si>
    <t>QUR48379.1</t>
  </si>
  <si>
    <t>FQN59_08490</t>
  </si>
  <si>
    <t>QUR48380.1</t>
  </si>
  <si>
    <t>FQN59_08495</t>
  </si>
  <si>
    <t>QUR48381.1</t>
  </si>
  <si>
    <t>FQN59_08500</t>
  </si>
  <si>
    <t>QUR48382.1</t>
  </si>
  <si>
    <t>FQN59_08505</t>
  </si>
  <si>
    <t>QUR51038.1</t>
  </si>
  <si>
    <t>FQN59_08510</t>
  </si>
  <si>
    <t>QUR48383.1</t>
  </si>
  <si>
    <t>FQN59_08515</t>
  </si>
  <si>
    <t>QUR48384.1</t>
  </si>
  <si>
    <t>FQN59_08520</t>
  </si>
  <si>
    <t>QUR48385.1</t>
  </si>
  <si>
    <t>FQN59_08525</t>
  </si>
  <si>
    <t>QUR48386.1</t>
  </si>
  <si>
    <t>FQN59_08530</t>
  </si>
  <si>
    <t>QUR48387.1</t>
  </si>
  <si>
    <t>FQN59_08535</t>
  </si>
  <si>
    <t>QUR48388.1</t>
  </si>
  <si>
    <t>FQN59_08540</t>
  </si>
  <si>
    <t>QUR48389.1</t>
  </si>
  <si>
    <t>FQN59_08545</t>
  </si>
  <si>
    <t>QUR48390.1</t>
  </si>
  <si>
    <t>FQN59_08550</t>
  </si>
  <si>
    <t>QUR48391.1</t>
  </si>
  <si>
    <t>FQN59_08555</t>
  </si>
  <si>
    <t>QUR48392.1</t>
  </si>
  <si>
    <t>FQN59_08560</t>
  </si>
  <si>
    <t>QUR48393.1</t>
  </si>
  <si>
    <t>FQN59_08565</t>
  </si>
  <si>
    <t>QUR48394.1</t>
  </si>
  <si>
    <t>FQN59_08570</t>
  </si>
  <si>
    <t>QUR48395.1</t>
  </si>
  <si>
    <t>FQN59_08575</t>
  </si>
  <si>
    <t>6.3.4.13</t>
  </si>
  <si>
    <t>QUR48396.1</t>
  </si>
  <si>
    <t>FQN59_08580</t>
  </si>
  <si>
    <t>QUR48397.1</t>
  </si>
  <si>
    <t>FQN59_08585</t>
  </si>
  <si>
    <t>QUR48398.1</t>
  </si>
  <si>
    <t>FQN59_08590</t>
  </si>
  <si>
    <t>QUR48399.1</t>
  </si>
  <si>
    <t>FQN59_08595</t>
  </si>
  <si>
    <t>QUR48400.1</t>
  </si>
  <si>
    <t>FQN59_08600</t>
  </si>
  <si>
    <t>QUR48401.1</t>
  </si>
  <si>
    <t>FQN59_08605</t>
  </si>
  <si>
    <t>2.7.1.26</t>
  </si>
  <si>
    <t>2.7.7.2</t>
  </si>
  <si>
    <t>QUR51039.1</t>
  </si>
  <si>
    <t>FQN59_08610</t>
  </si>
  <si>
    <t>QUR48402.1</t>
  </si>
  <si>
    <t>FQN59_08615</t>
  </si>
  <si>
    <t>QUR48403.1</t>
  </si>
  <si>
    <t>FQN59_08620</t>
  </si>
  <si>
    <t>FQN59_08625</t>
  </si>
  <si>
    <t>QUR48404.1</t>
  </si>
  <si>
    <t>FQN59_08630</t>
  </si>
  <si>
    <t>FQN59_08635</t>
  </si>
  <si>
    <t>QUR48405.1</t>
  </si>
  <si>
    <t>FQN59_08640</t>
  </si>
  <si>
    <t>QUR48406.1</t>
  </si>
  <si>
    <t>FQN59_08645</t>
  </si>
  <si>
    <t>QUR48407.1</t>
  </si>
  <si>
    <t>FQN59_08650</t>
  </si>
  <si>
    <t>QUR48408.1</t>
  </si>
  <si>
    <t>FQN59_08655</t>
  </si>
  <si>
    <t>QUR48409.1</t>
  </si>
  <si>
    <t>FQN59_08660</t>
  </si>
  <si>
    <t>QUR51040.1</t>
  </si>
  <si>
    <t>FQN59_08665</t>
  </si>
  <si>
    <t>QUR48410.1</t>
  </si>
  <si>
    <t>FQN59_08670</t>
  </si>
  <si>
    <t>QUR48411.1</t>
  </si>
  <si>
    <t>FQN59_08675</t>
  </si>
  <si>
    <t>QUR48412.1</t>
  </si>
  <si>
    <t>FQN59_08680</t>
  </si>
  <si>
    <t>QUR48413.1</t>
  </si>
  <si>
    <t>FQN59_08685</t>
  </si>
  <si>
    <t>QUR48414.1</t>
  </si>
  <si>
    <t>FQN59_08690</t>
  </si>
  <si>
    <t>QUR48415.1</t>
  </si>
  <si>
    <t>FQN59_08695</t>
  </si>
  <si>
    <t>QUR48416.1</t>
  </si>
  <si>
    <t>FQN59_08700</t>
  </si>
  <si>
    <t>QUR48417.1</t>
  </si>
  <si>
    <t>FQN59_08705</t>
  </si>
  <si>
    <t>QUR48418.1</t>
  </si>
  <si>
    <t>FQN59_08710</t>
  </si>
  <si>
    <t>QUR48419.1</t>
  </si>
  <si>
    <t>FQN59_08715</t>
  </si>
  <si>
    <t>QUR48420.1</t>
  </si>
  <si>
    <t>FQN59_08720</t>
  </si>
  <si>
    <t>QUR48421.1</t>
  </si>
  <si>
    <t>FQN59_08725</t>
  </si>
  <si>
    <t>QUR48422.1</t>
  </si>
  <si>
    <t>FQN59_08730</t>
  </si>
  <si>
    <t>QUR48423.1</t>
  </si>
  <si>
    <t>FQN59_08735</t>
  </si>
  <si>
    <t>QUR48424.1</t>
  </si>
  <si>
    <t>FQN59_08740</t>
  </si>
  <si>
    <t>QUR51041.1</t>
  </si>
  <si>
    <t>FQN59_08745</t>
  </si>
  <si>
    <t>QUR48425.1</t>
  </si>
  <si>
    <t>FQN59_08750</t>
  </si>
  <si>
    <t>QUR48426.1</t>
  </si>
  <si>
    <t>FQN59_08755</t>
  </si>
  <si>
    <t>FQN59_08760</t>
  </si>
  <si>
    <t>FQN59_08765</t>
  </si>
  <si>
    <t>QUR48427.1</t>
  </si>
  <si>
    <t>FQN59_08770</t>
  </si>
  <si>
    <t>QUR48428.1</t>
  </si>
  <si>
    <t>FQN59_08775</t>
  </si>
  <si>
    <t>QUR48429.1</t>
  </si>
  <si>
    <t>FQN59_08780</t>
  </si>
  <si>
    <t>QUR48430.1</t>
  </si>
  <si>
    <t>FQN59_08785</t>
  </si>
  <si>
    <t>QUR48431.1</t>
  </si>
  <si>
    <t>FQN59_08790</t>
  </si>
  <si>
    <t>QUR48432.1</t>
  </si>
  <si>
    <t>FQN59_08795</t>
  </si>
  <si>
    <t>QUR48433.1</t>
  </si>
  <si>
    <t>FQN59_08800</t>
  </si>
  <si>
    <t>QUR48434.1</t>
  </si>
  <si>
    <t>FQN59_08805</t>
  </si>
  <si>
    <t>QUR48435.1</t>
  </si>
  <si>
    <t>FQN59_08810</t>
  </si>
  <si>
    <t>QUR48436.1</t>
  </si>
  <si>
    <t>FQN59_08815</t>
  </si>
  <si>
    <t>QUR48437.1</t>
  </si>
  <si>
    <t>FQN59_08820</t>
  </si>
  <si>
    <t>QUR48438.1</t>
  </si>
  <si>
    <t>FQN59_08825</t>
  </si>
  <si>
    <t>QUR48439.1</t>
  </si>
  <si>
    <t>FQN59_08830</t>
  </si>
  <si>
    <t>QUR48440.1</t>
  </si>
  <si>
    <t>FQN59_08835</t>
  </si>
  <si>
    <t>3.5.1.25</t>
  </si>
  <si>
    <t>QUR48441.1</t>
  </si>
  <si>
    <t>FQN59_08840</t>
  </si>
  <si>
    <t>QUR48442.1</t>
  </si>
  <si>
    <t>FQN59_08845</t>
  </si>
  <si>
    <t>QUR48443.1</t>
  </si>
  <si>
    <t>FQN59_08850</t>
  </si>
  <si>
    <t>QUR48444.1</t>
  </si>
  <si>
    <t>FQN59_08855</t>
  </si>
  <si>
    <t>QUR48445.1</t>
  </si>
  <si>
    <t>FQN59_08860</t>
  </si>
  <si>
    <t>QUR48446.1</t>
  </si>
  <si>
    <t>FQN59_08865</t>
  </si>
  <si>
    <t>QUR48447.1</t>
  </si>
  <si>
    <t>FQN59_08870</t>
  </si>
  <si>
    <t>QUR48448.1</t>
  </si>
  <si>
    <t>FQN59_08875</t>
  </si>
  <si>
    <t>QUR48449.1</t>
  </si>
  <si>
    <t>FQN59_08880</t>
  </si>
  <si>
    <t>QUR48450.1</t>
  </si>
  <si>
    <t>FQN59_08885</t>
  </si>
  <si>
    <t>QUR48451.1</t>
  </si>
  <si>
    <t>FQN59_08890</t>
  </si>
  <si>
    <t>QUR48452.1</t>
  </si>
  <si>
    <t>FQN59_08895</t>
  </si>
  <si>
    <t>QUR48453.1</t>
  </si>
  <si>
    <t>FQN59_08900</t>
  </si>
  <si>
    <t>QUR48454.1</t>
  </si>
  <si>
    <t>FQN59_08905</t>
  </si>
  <si>
    <t>QUR48455.1</t>
  </si>
  <si>
    <t>FQN59_08910</t>
  </si>
  <si>
    <t>QUR48456.1</t>
  </si>
  <si>
    <t>FQN59_08915</t>
  </si>
  <si>
    <t>QUR48457.1</t>
  </si>
  <si>
    <t>FQN59_08920</t>
  </si>
  <si>
    <t>QUR48458.1</t>
  </si>
  <si>
    <t>FQN59_08925</t>
  </si>
  <si>
    <t>QUR48459.1</t>
  </si>
  <si>
    <t>FQN59_08930</t>
  </si>
  <si>
    <t>QUR48460.1</t>
  </si>
  <si>
    <t>FQN59_08935</t>
  </si>
  <si>
    <t>QUR48461.1</t>
  </si>
  <si>
    <t>FQN59_08940</t>
  </si>
  <si>
    <t>QUR48462.1</t>
  </si>
  <si>
    <t>FQN59_08945</t>
  </si>
  <si>
    <t>4.1.1.21</t>
  </si>
  <si>
    <t>5.4.99.18</t>
  </si>
  <si>
    <t>QUR48463.1</t>
  </si>
  <si>
    <t>FQN59_08950</t>
  </si>
  <si>
    <t>QUR48464.1</t>
  </si>
  <si>
    <t>FQN59_08955</t>
  </si>
  <si>
    <t>QUR48465.1</t>
  </si>
  <si>
    <t>FQN59_08960</t>
  </si>
  <si>
    <t>QUR48466.1</t>
  </si>
  <si>
    <t>FQN59_08965</t>
  </si>
  <si>
    <t>3.6.1.23</t>
  </si>
  <si>
    <t>QUR48467.1</t>
  </si>
  <si>
    <t>FQN59_08970</t>
  </si>
  <si>
    <t>QUR48468.1</t>
  </si>
  <si>
    <t>FQN59_08975</t>
  </si>
  <si>
    <t>QUR48469.1</t>
  </si>
  <si>
    <t>FQN59_08980</t>
  </si>
  <si>
    <t>QUR48470.1</t>
  </si>
  <si>
    <t>FQN59_08985</t>
  </si>
  <si>
    <t>QUR48471.1</t>
  </si>
  <si>
    <t>FQN59_08990</t>
  </si>
  <si>
    <t>QUR48472.1</t>
  </si>
  <si>
    <t>FQN59_08995</t>
  </si>
  <si>
    <t>QUR48473.1</t>
  </si>
  <si>
    <t>FQN59_09000</t>
  </si>
  <si>
    <t>QUR48474.1</t>
  </si>
  <si>
    <t>FQN59_09005</t>
  </si>
  <si>
    <t>QUR51042.1</t>
  </si>
  <si>
    <t>FQN59_09010</t>
  </si>
  <si>
    <t>QUR48475.1</t>
  </si>
  <si>
    <t>FQN59_09015</t>
  </si>
  <si>
    <t>QUR48476.1</t>
  </si>
  <si>
    <t>FQN59_09020</t>
  </si>
  <si>
    <t>5.3.1.12</t>
  </si>
  <si>
    <t>QUR48477.1</t>
  </si>
  <si>
    <t>FQN59_09025</t>
  </si>
  <si>
    <t>QUR48478.1</t>
  </si>
  <si>
    <t>FQN59_09030</t>
  </si>
  <si>
    <t>QUR48479.1</t>
  </si>
  <si>
    <t>FQN59_09035</t>
  </si>
  <si>
    <t>QUR48480.1</t>
  </si>
  <si>
    <t>FQN59_09040</t>
  </si>
  <si>
    <t>FQN59_09045</t>
  </si>
  <si>
    <t>QUR51043.1</t>
  </si>
  <si>
    <t>FQN59_09050</t>
  </si>
  <si>
    <t>QUR48481.1</t>
  </si>
  <si>
    <t>FQN59_09055</t>
  </si>
  <si>
    <t>QUR48482.1</t>
  </si>
  <si>
    <t>FQN59_09060</t>
  </si>
  <si>
    <t>FQN59_09065</t>
  </si>
  <si>
    <t>QUR48483.1</t>
  </si>
  <si>
    <t>FQN59_09070</t>
  </si>
  <si>
    <t>QUR48484.1</t>
  </si>
  <si>
    <t>FQN59_09075</t>
  </si>
  <si>
    <t>QUR48485.1</t>
  </si>
  <si>
    <t>FQN59_09080</t>
  </si>
  <si>
    <t>QUR48486.1</t>
  </si>
  <si>
    <t>FQN59_09085</t>
  </si>
  <si>
    <t>QUR48487.1</t>
  </si>
  <si>
    <t>FQN59_09090</t>
  </si>
  <si>
    <t>QUR48488.1</t>
  </si>
  <si>
    <t>FQN59_09095</t>
  </si>
  <si>
    <t>QUR51044.1</t>
  </si>
  <si>
    <t>FQN59_09100</t>
  </si>
  <si>
    <t>QUR48489.1</t>
  </si>
  <si>
    <t>FQN59_09105</t>
  </si>
  <si>
    <t>QUR48490.1</t>
  </si>
  <si>
    <t>FQN59_09110</t>
  </si>
  <si>
    <t>6.1.1.14</t>
  </si>
  <si>
    <t>QUR48491.1</t>
  </si>
  <si>
    <t>FQN59_09115</t>
  </si>
  <si>
    <t>QUR48492.1</t>
  </si>
  <si>
    <t>FQN59_09120</t>
  </si>
  <si>
    <t>QUR48493.1</t>
  </si>
  <si>
    <t>FQN59_09125</t>
  </si>
  <si>
    <t>FQN59_09130</t>
  </si>
  <si>
    <t>QUR48494.1</t>
  </si>
  <si>
    <t>FQN59_09135</t>
  </si>
  <si>
    <t>QUR48495.1</t>
  </si>
  <si>
    <t>FQN59_09140</t>
  </si>
  <si>
    <t>QUR48496.1</t>
  </si>
  <si>
    <t>FQN59_09145</t>
  </si>
  <si>
    <t>QUR48497.1</t>
  </si>
  <si>
    <t>FQN59_09150</t>
  </si>
  <si>
    <t>QUR48498.1</t>
  </si>
  <si>
    <t>FQN59_09155</t>
  </si>
  <si>
    <t>QUR48499.1</t>
  </si>
  <si>
    <t>FQN59_09160</t>
  </si>
  <si>
    <t>QUR48500.1</t>
  </si>
  <si>
    <t>FQN59_09165</t>
  </si>
  <si>
    <t>QUR48501.1</t>
  </si>
  <si>
    <t>FQN59_09170</t>
  </si>
  <si>
    <t>QUR48502.1</t>
  </si>
  <si>
    <t>FQN59_09175</t>
  </si>
  <si>
    <t>QUR48503.1</t>
  </si>
  <si>
    <t>FQN59_09180</t>
  </si>
  <si>
    <t>QUR48504.1</t>
  </si>
  <si>
    <t>FQN59_09185</t>
  </si>
  <si>
    <t>QUR48505.1</t>
  </si>
  <si>
    <t>FQN59_09190</t>
  </si>
  <si>
    <t>QUR48506.1</t>
  </si>
  <si>
    <t>FQN59_09195</t>
  </si>
  <si>
    <t>QUR48507.1</t>
  </si>
  <si>
    <t>FQN59_09200</t>
  </si>
  <si>
    <t>QUR48508.1</t>
  </si>
  <si>
    <t>FQN59_09205</t>
  </si>
  <si>
    <t>QUR48509.1</t>
  </si>
  <si>
    <t>FQN59_09210</t>
  </si>
  <si>
    <t>QUR48510.1</t>
  </si>
  <si>
    <t>FQN59_09215</t>
  </si>
  <si>
    <t>QUR48511.1</t>
  </si>
  <si>
    <t>FQN59_09220</t>
  </si>
  <si>
    <t>QUR48512.1</t>
  </si>
  <si>
    <t>FQN59_09225</t>
  </si>
  <si>
    <t>QUR48513.1</t>
  </si>
  <si>
    <t>FQN59_09230</t>
  </si>
  <si>
    <t>QUR48514.1</t>
  </si>
  <si>
    <t>FQN59_09235</t>
  </si>
  <si>
    <t>1.2.1.11</t>
  </si>
  <si>
    <t>QUR48515.1</t>
  </si>
  <si>
    <t>FQN59_09240</t>
  </si>
  <si>
    <t>QUR48516.1</t>
  </si>
  <si>
    <t>FQN59_09245</t>
  </si>
  <si>
    <t>QUR48517.1</t>
  </si>
  <si>
    <t>FQN59_09250</t>
  </si>
  <si>
    <t>QUR51045.1</t>
  </si>
  <si>
    <t>FQN59_09255</t>
  </si>
  <si>
    <t>QUR48518.1</t>
  </si>
  <si>
    <t>FQN59_09260</t>
  </si>
  <si>
    <t>QUR48519.1</t>
  </si>
  <si>
    <t>FQN59_09265</t>
  </si>
  <si>
    <t>QUR48520.1</t>
  </si>
  <si>
    <t>FQN59_09270</t>
  </si>
  <si>
    <t>QUR48521.1</t>
  </si>
  <si>
    <t>FQN59_09275</t>
  </si>
  <si>
    <t>FQN59_09280</t>
  </si>
  <si>
    <t>FQN59_09285</t>
  </si>
  <si>
    <t>QUR48522.1</t>
  </si>
  <si>
    <t>FQN59_09290</t>
  </si>
  <si>
    <t>QUR48523.1</t>
  </si>
  <si>
    <t>FQN59_09295</t>
  </si>
  <si>
    <t>QUR48524.1</t>
  </si>
  <si>
    <t>FQN59_09300</t>
  </si>
  <si>
    <t>QUR48525.1</t>
  </si>
  <si>
    <t>FQN59_09305</t>
  </si>
  <si>
    <t>QUR48526.1</t>
  </si>
  <si>
    <t>FQN59_09310</t>
  </si>
  <si>
    <t>QUR48527.1</t>
  </si>
  <si>
    <t>FQN59_09315</t>
  </si>
  <si>
    <t>3.1.25.-</t>
  </si>
  <si>
    <t>QUR48528.1</t>
  </si>
  <si>
    <t>FQN59_09320</t>
  </si>
  <si>
    <t>QUR48529.1</t>
  </si>
  <si>
    <t>FQN59_09325</t>
  </si>
  <si>
    <t>QUR48530.1</t>
  </si>
  <si>
    <t>FQN59_09330</t>
  </si>
  <si>
    <t>QUR48531.1</t>
  </si>
  <si>
    <t>FQN59_09335</t>
  </si>
  <si>
    <t>QUR48532.1</t>
  </si>
  <si>
    <t>FQN59_09340</t>
  </si>
  <si>
    <t>QUR48533.1</t>
  </si>
  <si>
    <t>FQN59_09345</t>
  </si>
  <si>
    <t>QUR48534.1</t>
  </si>
  <si>
    <t>FQN59_09350</t>
  </si>
  <si>
    <t>QUR48535.1</t>
  </si>
  <si>
    <t>FQN59_09355</t>
  </si>
  <si>
    <t>QUR48536.1</t>
  </si>
  <si>
    <t>FQN59_09360</t>
  </si>
  <si>
    <t>QUR48537.1</t>
  </si>
  <si>
    <t>FQN59_09365</t>
  </si>
  <si>
    <t>QUR48538.1</t>
  </si>
  <si>
    <t>FQN59_09370</t>
  </si>
  <si>
    <t>QUR48539.1</t>
  </si>
  <si>
    <t>FQN59_09375</t>
  </si>
  <si>
    <t>FQN59_09380</t>
  </si>
  <si>
    <t>FQN59_09385</t>
  </si>
  <si>
    <t>QUR48540.1</t>
  </si>
  <si>
    <t>FQN59_09390</t>
  </si>
  <si>
    <t>QUR48541.1</t>
  </si>
  <si>
    <t>FQN59_09395</t>
  </si>
  <si>
    <t>QUR48542.1</t>
  </si>
  <si>
    <t>FQN59_09400</t>
  </si>
  <si>
    <t>QUR48543.1</t>
  </si>
  <si>
    <t>FQN59_09405</t>
  </si>
  <si>
    <t>4.2.1.10</t>
  </si>
  <si>
    <t>QUR48544.1</t>
  </si>
  <si>
    <t>FQN59_09410</t>
  </si>
  <si>
    <t>2.7.1.40</t>
  </si>
  <si>
    <t>QUR48545.1</t>
  </si>
  <si>
    <t>FQN59_09415</t>
  </si>
  <si>
    <t>QUR48546.1</t>
  </si>
  <si>
    <t>FQN59_09420</t>
  </si>
  <si>
    <t>QUR48547.1</t>
  </si>
  <si>
    <t>FQN59_09425</t>
  </si>
  <si>
    <t>QUR48548.1</t>
  </si>
  <si>
    <t>FQN59_09430</t>
  </si>
  <si>
    <t>FQN59_09435</t>
  </si>
  <si>
    <t>FQN59_09440</t>
  </si>
  <si>
    <t>QUR48549.1</t>
  </si>
  <si>
    <t>FQN59_09445</t>
  </si>
  <si>
    <t>QUR48550.1</t>
  </si>
  <si>
    <t>FQN59_09450</t>
  </si>
  <si>
    <t>FQN59_09455</t>
  </si>
  <si>
    <t>QUR48551.1</t>
  </si>
  <si>
    <t>FQN59_09460</t>
  </si>
  <si>
    <t>QUR48552.1</t>
  </si>
  <si>
    <t>FQN59_09465</t>
  </si>
  <si>
    <t>QUR48553.1</t>
  </si>
  <si>
    <t>FQN59_09470</t>
  </si>
  <si>
    <t>QUR48554.1</t>
  </si>
  <si>
    <t>FQN59_09475</t>
  </si>
  <si>
    <t>QUR48555.1</t>
  </si>
  <si>
    <t>FQN59_09480</t>
  </si>
  <si>
    <t>QUR48556.1</t>
  </si>
  <si>
    <t>FQN59_09485</t>
  </si>
  <si>
    <t>QUR48557.1</t>
  </si>
  <si>
    <t>FQN59_09490</t>
  </si>
  <si>
    <t>QUR48558.1</t>
  </si>
  <si>
    <t>FQN59_09495</t>
  </si>
  <si>
    <t>QUR48559.1</t>
  </si>
  <si>
    <t>FQN59_09500</t>
  </si>
  <si>
    <t>QUR48560.1</t>
  </si>
  <si>
    <t>FQN59_09505</t>
  </si>
  <si>
    <t>QUR48561.1</t>
  </si>
  <si>
    <t>FQN59_09510</t>
  </si>
  <si>
    <t>QUR51046.1</t>
  </si>
  <si>
    <t>FQN59_09515</t>
  </si>
  <si>
    <t>QUR48562.1</t>
  </si>
  <si>
    <t>FQN59_09520</t>
  </si>
  <si>
    <t>QUR48563.1</t>
  </si>
  <si>
    <t>FQN59_09525</t>
  </si>
  <si>
    <t>QUR48564.1</t>
  </si>
  <si>
    <t>FQN59_09530</t>
  </si>
  <si>
    <t>QUR48565.1</t>
  </si>
  <si>
    <t>FQN59_09535</t>
  </si>
  <si>
    <t>2.5.1.17</t>
  </si>
  <si>
    <t>QUR48566.1</t>
  </si>
  <si>
    <t>FQN59_09540</t>
  </si>
  <si>
    <t>QUR48567.1</t>
  </si>
  <si>
    <t>FQN59_09545</t>
  </si>
  <si>
    <t>QUR48568.1</t>
  </si>
  <si>
    <t>FQN59_09550</t>
  </si>
  <si>
    <t>QUR48569.1</t>
  </si>
  <si>
    <t>FQN59_09555</t>
  </si>
  <si>
    <t>QUR48570.1</t>
  </si>
  <si>
    <t>FQN59_09560</t>
  </si>
  <si>
    <t>QUR48571.1</t>
  </si>
  <si>
    <t>FQN59_09565</t>
  </si>
  <si>
    <t>QUR48572.1</t>
  </si>
  <si>
    <t>FQN59_09570</t>
  </si>
  <si>
    <t>QUR48573.1</t>
  </si>
  <si>
    <t>FQN59_09575</t>
  </si>
  <si>
    <t>QUR48574.1</t>
  </si>
  <si>
    <t>FQN59_09580</t>
  </si>
  <si>
    <t>QUR48575.1</t>
  </si>
  <si>
    <t>FQN59_09585</t>
  </si>
  <si>
    <t>QUR48576.1</t>
  </si>
  <si>
    <t>FQN59_09590</t>
  </si>
  <si>
    <t>QUR48577.1</t>
  </si>
  <si>
    <t>FQN59_09595</t>
  </si>
  <si>
    <t>QUR48578.1</t>
  </si>
  <si>
    <t>FQN59_09600</t>
  </si>
  <si>
    <t>QUR48579.1</t>
  </si>
  <si>
    <t>FQN59_09605</t>
  </si>
  <si>
    <t>QUR48580.1</t>
  </si>
  <si>
    <t>FQN59_09610</t>
  </si>
  <si>
    <t>QUR48581.1</t>
  </si>
  <si>
    <t>FQN59_09615</t>
  </si>
  <si>
    <t>QUR48582.1</t>
  </si>
  <si>
    <t>FQN59_09620</t>
  </si>
  <si>
    <t>QUR48583.1</t>
  </si>
  <si>
    <t>FQN59_09625</t>
  </si>
  <si>
    <t>QUR51047.1</t>
  </si>
  <si>
    <t>FQN59_09630</t>
  </si>
  <si>
    <t>QUR48584.1</t>
  </si>
  <si>
    <t>FQN59_09635</t>
  </si>
  <si>
    <t>QUR48585.1</t>
  </si>
  <si>
    <t>FQN59_09640</t>
  </si>
  <si>
    <t>QUR48586.1</t>
  </si>
  <si>
    <t>FQN59_09645</t>
  </si>
  <si>
    <t>QUR48587.1</t>
  </si>
  <si>
    <t>FQN59_09650</t>
  </si>
  <si>
    <t>QUR48588.1</t>
  </si>
  <si>
    <t>FQN59_09655</t>
  </si>
  <si>
    <t>QUR48589.1</t>
  </si>
  <si>
    <t>FQN59_09660</t>
  </si>
  <si>
    <t>QUR48590.1</t>
  </si>
  <si>
    <t>FQN59_09665</t>
  </si>
  <si>
    <t>QUR48591.1</t>
  </si>
  <si>
    <t>FQN59_09670</t>
  </si>
  <si>
    <t>QUR51048.1</t>
  </si>
  <si>
    <t>FQN59_09675</t>
  </si>
  <si>
    <t>QUR48592.1</t>
  </si>
  <si>
    <t>FQN59_09680</t>
  </si>
  <si>
    <t>QUR48593.1</t>
  </si>
  <si>
    <t>FQN59_09685</t>
  </si>
  <si>
    <t>QUR48594.1</t>
  </si>
  <si>
    <t>FQN59_09690</t>
  </si>
  <si>
    <t>2.7.7.3</t>
  </si>
  <si>
    <t>QUR51049.1</t>
  </si>
  <si>
    <t>FQN59_09695</t>
  </si>
  <si>
    <t>QUR48595.1</t>
  </si>
  <si>
    <t>FQN59_09700</t>
  </si>
  <si>
    <t>QUR48596.1</t>
  </si>
  <si>
    <t>FQN59_09705</t>
  </si>
  <si>
    <t>QUR48597.1</t>
  </si>
  <si>
    <t>FQN59_09710</t>
  </si>
  <si>
    <t>QUR48598.1</t>
  </si>
  <si>
    <t>FQN59_09715</t>
  </si>
  <si>
    <t>QUR48599.1</t>
  </si>
  <si>
    <t>FQN59_09720</t>
  </si>
  <si>
    <t>QUR48600.1</t>
  </si>
  <si>
    <t>FQN59_09725</t>
  </si>
  <si>
    <t>QUR48601.1</t>
  </si>
  <si>
    <t>FQN59_09730</t>
  </si>
  <si>
    <t>QUR48602.1</t>
  </si>
  <si>
    <t>FQN59_09735</t>
  </si>
  <si>
    <t>QUR48603.1</t>
  </si>
  <si>
    <t>FQN59_09740</t>
  </si>
  <si>
    <t>QUR48604.1</t>
  </si>
  <si>
    <t>FQN59_09745</t>
  </si>
  <si>
    <t>FQN59_09750</t>
  </si>
  <si>
    <t>QUR48605.1</t>
  </si>
  <si>
    <t>FQN59_09755</t>
  </si>
  <si>
    <t>QUR48606.1</t>
  </si>
  <si>
    <t>FQN59_09760</t>
  </si>
  <si>
    <t>QUR48607.1</t>
  </si>
  <si>
    <t>FQN59_09765</t>
  </si>
  <si>
    <t>QUR48608.1</t>
  </si>
  <si>
    <t>FQN59_09770</t>
  </si>
  <si>
    <t>QUR48609.1</t>
  </si>
  <si>
    <t>FQN59_09775</t>
  </si>
  <si>
    <t>QUR48610.1</t>
  </si>
  <si>
    <t>FQN59_09780</t>
  </si>
  <si>
    <t>QUR48611.1</t>
  </si>
  <si>
    <t>FQN59_09785</t>
  </si>
  <si>
    <t>QUR48612.1</t>
  </si>
  <si>
    <t>FQN59_09790</t>
  </si>
  <si>
    <t>QUR48613.1</t>
  </si>
  <si>
    <t>FQN59_09795</t>
  </si>
  <si>
    <t>QUR48614.1</t>
  </si>
  <si>
    <t>FQN59_09800</t>
  </si>
  <si>
    <t>QUR48615.1</t>
  </si>
  <si>
    <t>FQN59_09805</t>
  </si>
  <si>
    <t>QUR48616.1</t>
  </si>
  <si>
    <t>FQN59_09810</t>
  </si>
  <si>
    <t>QUR48617.1</t>
  </si>
  <si>
    <t>FQN59_09815</t>
  </si>
  <si>
    <t>QUR48618.1</t>
  </si>
  <si>
    <t>FQN59_09820</t>
  </si>
  <si>
    <t>QUR48619.1</t>
  </si>
  <si>
    <t>FQN59_09825</t>
  </si>
  <si>
    <t>QUR48620.1</t>
  </si>
  <si>
    <t>FQN59_09830</t>
  </si>
  <si>
    <t>QUR51050.1</t>
  </si>
  <si>
    <t>FQN59_09835</t>
  </si>
  <si>
    <t>QUR48621.1</t>
  </si>
  <si>
    <t>FQN59_09840</t>
  </si>
  <si>
    <t>QUR48622.1</t>
  </si>
  <si>
    <t>FQN59_09845</t>
  </si>
  <si>
    <t>QUR48623.1</t>
  </si>
  <si>
    <t>FQN59_09850</t>
  </si>
  <si>
    <t>QUR48624.1</t>
  </si>
  <si>
    <t>FQN59_09855</t>
  </si>
  <si>
    <t>QUR48625.1</t>
  </si>
  <si>
    <t>FQN59_09860</t>
  </si>
  <si>
    <t>QUR48626.1</t>
  </si>
  <si>
    <t>FQN59_09865</t>
  </si>
  <si>
    <t>FQN59_09870</t>
  </si>
  <si>
    <t>QUR48627.1</t>
  </si>
  <si>
    <t>FQN59_09875</t>
  </si>
  <si>
    <t>QUR48628.1</t>
  </si>
  <si>
    <t>FQN59_09880</t>
  </si>
  <si>
    <t>QUR48629.1</t>
  </si>
  <si>
    <t>FQN59_09885</t>
  </si>
  <si>
    <t>QUR48630.1</t>
  </si>
  <si>
    <t>FQN59_09890</t>
  </si>
  <si>
    <t>QUR48631.1</t>
  </si>
  <si>
    <t>FQN59_09895</t>
  </si>
  <si>
    <t>QUR51051.1</t>
  </si>
  <si>
    <t>FQN59_09900</t>
  </si>
  <si>
    <t>QUR48632.1</t>
  </si>
  <si>
    <t>FQN59_09905</t>
  </si>
  <si>
    <t>QUR48633.1</t>
  </si>
  <si>
    <t>FQN59_09910</t>
  </si>
  <si>
    <t>QUR48634.1</t>
  </si>
  <si>
    <t>FQN59_09915</t>
  </si>
  <si>
    <t>2.5.1.15</t>
  </si>
  <si>
    <t>QUR48635.1</t>
  </si>
  <si>
    <t>FQN59_09920</t>
  </si>
  <si>
    <t>QUR48636.1</t>
  </si>
  <si>
    <t>FQN59_09925</t>
  </si>
  <si>
    <t>2.3.1.8</t>
  </si>
  <si>
    <t>QUR48637.1</t>
  </si>
  <si>
    <t>FQN59_09930</t>
  </si>
  <si>
    <t>QUR48638.1</t>
  </si>
  <si>
    <t>FQN59_09935</t>
  </si>
  <si>
    <t>QUR48639.1</t>
  </si>
  <si>
    <t>FQN59_09940</t>
  </si>
  <si>
    <t>QUR48640.1</t>
  </si>
  <si>
    <t>FQN59_09945</t>
  </si>
  <si>
    <t>2.7.4.22</t>
  </si>
  <si>
    <t>QUR48641.1</t>
  </si>
  <si>
    <t>FQN59_09950</t>
  </si>
  <si>
    <t>QUR48642.1</t>
  </si>
  <si>
    <t>FQN59_09955</t>
  </si>
  <si>
    <t>QUR48643.1</t>
  </si>
  <si>
    <t>FQN59_09960</t>
  </si>
  <si>
    <t>QUR48644.1</t>
  </si>
  <si>
    <t>FQN59_09965</t>
  </si>
  <si>
    <t>QUR48645.1</t>
  </si>
  <si>
    <t>FQN59_09970</t>
  </si>
  <si>
    <t>QUR48646.1</t>
  </si>
  <si>
    <t>FQN59_09975</t>
  </si>
  <si>
    <t>QUR48647.1</t>
  </si>
  <si>
    <t>FQN59_09980</t>
  </si>
  <si>
    <t>QUR48648.1</t>
  </si>
  <si>
    <t>FQN59_09985</t>
  </si>
  <si>
    <t>QUR48649.1</t>
  </si>
  <si>
    <t>FQN59_09990</t>
  </si>
  <si>
    <t>QUR48650.1</t>
  </si>
  <si>
    <t>FQN59_09995</t>
  </si>
  <si>
    <t>QUR48651.1</t>
  </si>
  <si>
    <t>FQN59_10000</t>
  </si>
  <si>
    <t>QUR48652.1</t>
  </si>
  <si>
    <t>FQN59_10005</t>
  </si>
  <si>
    <t>QUR48653.1</t>
  </si>
  <si>
    <t>FQN59_10010</t>
  </si>
  <si>
    <t>QUR48654.1</t>
  </si>
  <si>
    <t>FQN59_10015</t>
  </si>
  <si>
    <t>QUR48655.1</t>
  </si>
  <si>
    <t>FQN59_10020</t>
  </si>
  <si>
    <t>QUR48656.1</t>
  </si>
  <si>
    <t>FQN59_10025</t>
  </si>
  <si>
    <t>QUR48657.1</t>
  </si>
  <si>
    <t>FQN59_10030</t>
  </si>
  <si>
    <t>QUR48658.1</t>
  </si>
  <si>
    <t>FQN59_10035</t>
  </si>
  <si>
    <t>QUR51052.1</t>
  </si>
  <si>
    <t>FQN59_10040</t>
  </si>
  <si>
    <t>QUR48659.1</t>
  </si>
  <si>
    <t>FQN59_10045</t>
  </si>
  <si>
    <t>QUR48660.1</t>
  </si>
  <si>
    <t>FQN59_10050</t>
  </si>
  <si>
    <t>2.3.1.54</t>
  </si>
  <si>
    <t>QUR48661.1</t>
  </si>
  <si>
    <t>FQN59_10055</t>
  </si>
  <si>
    <t>1.97.1.4</t>
  </si>
  <si>
    <t>QUR48662.1</t>
  </si>
  <si>
    <t>FQN59_10060</t>
  </si>
  <si>
    <t>QUR48663.1</t>
  </si>
  <si>
    <t>FQN59_10065</t>
  </si>
  <si>
    <t>4.2.1.11</t>
  </si>
  <si>
    <t>QUR48664.1</t>
  </si>
  <si>
    <t>FQN59_10070</t>
  </si>
  <si>
    <t>1.11.1.24</t>
  </si>
  <si>
    <t>QUR48665.1</t>
  </si>
  <si>
    <t>FQN59_10075</t>
  </si>
  <si>
    <t>QUR48666.1</t>
  </si>
  <si>
    <t>FQN59_10080</t>
  </si>
  <si>
    <t>QUR48667.1</t>
  </si>
  <si>
    <t>FQN59_10085</t>
  </si>
  <si>
    <t>QUR48668.1</t>
  </si>
  <si>
    <t>FQN59_10090</t>
  </si>
  <si>
    <t>QUR48669.1</t>
  </si>
  <si>
    <t>FQN59_10095</t>
  </si>
  <si>
    <t>QUR48670.1</t>
  </si>
  <si>
    <t>FQN59_10100</t>
  </si>
  <si>
    <t>QUR48671.1</t>
  </si>
  <si>
    <t>FQN59_10105</t>
  </si>
  <si>
    <t>QUR48672.1</t>
  </si>
  <si>
    <t>FQN59_10110</t>
  </si>
  <si>
    <t>QUR48673.1</t>
  </si>
  <si>
    <t>FQN59_10115</t>
  </si>
  <si>
    <t>QUR48674.1</t>
  </si>
  <si>
    <t>FQN59_10120</t>
  </si>
  <si>
    <t>QUR48675.1</t>
  </si>
  <si>
    <t>FQN59_10125</t>
  </si>
  <si>
    <t>QUR48676.1</t>
  </si>
  <si>
    <t>FQN59_10130</t>
  </si>
  <si>
    <t>QUR48677.1</t>
  </si>
  <si>
    <t>FQN59_10135</t>
  </si>
  <si>
    <t>QUR48678.1</t>
  </si>
  <si>
    <t>FQN59_10140</t>
  </si>
  <si>
    <t>QUR48679.1</t>
  </si>
  <si>
    <t>FQN59_10145</t>
  </si>
  <si>
    <t>QUR48680.1</t>
  </si>
  <si>
    <t>FQN59_10150</t>
  </si>
  <si>
    <t>FQN59_10155</t>
  </si>
  <si>
    <t>QUR48681.1</t>
  </si>
  <si>
    <t>FQN59_10160</t>
  </si>
  <si>
    <t>QUR48682.1</t>
  </si>
  <si>
    <t>FQN59_10165</t>
  </si>
  <si>
    <t>QUR48683.1</t>
  </si>
  <si>
    <t>FQN59_10170</t>
  </si>
  <si>
    <t>QUR48684.1</t>
  </si>
  <si>
    <t>FQN59_10175</t>
  </si>
  <si>
    <t>QUR48685.1</t>
  </si>
  <si>
    <t>FQN59_10180</t>
  </si>
  <si>
    <t>QUR48686.1</t>
  </si>
  <si>
    <t>FQN59_10185</t>
  </si>
  <si>
    <t>QUR48687.1</t>
  </si>
  <si>
    <t>FQN59_10190</t>
  </si>
  <si>
    <t>QUR48688.1</t>
  </si>
  <si>
    <t>FQN59_10195</t>
  </si>
  <si>
    <t>QUR48689.1</t>
  </si>
  <si>
    <t>FQN59_10200</t>
  </si>
  <si>
    <t>QUR48690.1</t>
  </si>
  <si>
    <t>FQN59_10205</t>
  </si>
  <si>
    <t>QUR48691.1</t>
  </si>
  <si>
    <t>FQN59_10210</t>
  </si>
  <si>
    <t>1.17.4.2</t>
  </si>
  <si>
    <t>QUR48692.1</t>
  </si>
  <si>
    <t>FQN59_10215</t>
  </si>
  <si>
    <t>QUR48693.1</t>
  </si>
  <si>
    <t>FQN59_10220</t>
  </si>
  <si>
    <t>QUR48694.1</t>
  </si>
  <si>
    <t>FQN59_10225</t>
  </si>
  <si>
    <t>FQN59_10230</t>
  </si>
  <si>
    <t>QUR48695.1</t>
  </si>
  <si>
    <t>FQN59_10235</t>
  </si>
  <si>
    <t>QUR48696.1</t>
  </si>
  <si>
    <t>FQN59_10240</t>
  </si>
  <si>
    <t>QUR48697.1</t>
  </si>
  <si>
    <t>FQN59_10245</t>
  </si>
  <si>
    <t>QUR48698.1</t>
  </si>
  <si>
    <t>FQN59_10250</t>
  </si>
  <si>
    <t>FQN59_10255</t>
  </si>
  <si>
    <t>QUR51053.1</t>
  </si>
  <si>
    <t>FQN59_10260</t>
  </si>
  <si>
    <t>6.3.4.14</t>
  </si>
  <si>
    <t>QUR48699.1</t>
  </si>
  <si>
    <t>FQN59_10265</t>
  </si>
  <si>
    <t>QUR48700.1</t>
  </si>
  <si>
    <t>FQN59_10270</t>
  </si>
  <si>
    <t>QUR48701.1</t>
  </si>
  <si>
    <t>FQN59_10275</t>
  </si>
  <si>
    <t>QUR48702.1</t>
  </si>
  <si>
    <t>FQN59_10280</t>
  </si>
  <si>
    <t>QUR48703.1</t>
  </si>
  <si>
    <t>FQN59_10285</t>
  </si>
  <si>
    <t>QUR48704.1</t>
  </si>
  <si>
    <t>FQN59_10290</t>
  </si>
  <si>
    <t>QUR48705.1</t>
  </si>
  <si>
    <t>FQN59_10295</t>
  </si>
  <si>
    <t>QUR48706.1</t>
  </si>
  <si>
    <t>FQN59_10300</t>
  </si>
  <si>
    <t>QUR48707.1</t>
  </si>
  <si>
    <t>FQN59_10305</t>
  </si>
  <si>
    <t>QUR48708.1</t>
  </si>
  <si>
    <t>FQN59_10310</t>
  </si>
  <si>
    <t>QUR48709.1</t>
  </si>
  <si>
    <t>FQN59_10315</t>
  </si>
  <si>
    <t>QUR51054.1</t>
  </si>
  <si>
    <t>FQN59_10320</t>
  </si>
  <si>
    <t>QUR48710.1</t>
  </si>
  <si>
    <t>FQN59_10325</t>
  </si>
  <si>
    <t>QUR48711.1</t>
  </si>
  <si>
    <t>FQN59_10330</t>
  </si>
  <si>
    <t>FQN59_10335</t>
  </si>
  <si>
    <t>QUR48712.1</t>
  </si>
  <si>
    <t>FQN59_10340</t>
  </si>
  <si>
    <t>QUR48713.1</t>
  </si>
  <si>
    <t>FQN59_10345</t>
  </si>
  <si>
    <t>QUR48714.1</t>
  </si>
  <si>
    <t>FQN59_10350</t>
  </si>
  <si>
    <t>QUR51055.1</t>
  </si>
  <si>
    <t>FQN59_10355</t>
  </si>
  <si>
    <t>QUR48715.1</t>
  </si>
  <si>
    <t>FQN59_10360</t>
  </si>
  <si>
    <t>QUR48716.1</t>
  </si>
  <si>
    <t>FQN59_10365</t>
  </si>
  <si>
    <t>QUR48717.1</t>
  </si>
  <si>
    <t>FQN59_10370</t>
  </si>
  <si>
    <t>QUR48718.1</t>
  </si>
  <si>
    <t>FQN59_10375</t>
  </si>
  <si>
    <t>QUR48719.1</t>
  </si>
  <si>
    <t>FQN59_10380</t>
  </si>
  <si>
    <t>QUR48720.1</t>
  </si>
  <si>
    <t>FQN59_10385</t>
  </si>
  <si>
    <t>QUR48721.1</t>
  </si>
  <si>
    <t>FQN59_10390</t>
  </si>
  <si>
    <t>QUR48722.1</t>
  </si>
  <si>
    <t>FQN59_10395</t>
  </si>
  <si>
    <t>QUR48723.1</t>
  </si>
  <si>
    <t>FQN59_10400</t>
  </si>
  <si>
    <t>QUR48724.1</t>
  </si>
  <si>
    <t>FQN59_10405</t>
  </si>
  <si>
    <t>QUR48725.1</t>
  </si>
  <si>
    <t>FQN59_10410</t>
  </si>
  <si>
    <t>QUR48726.1</t>
  </si>
  <si>
    <t>FQN59_10415</t>
  </si>
  <si>
    <t>QUR48727.1</t>
  </si>
  <si>
    <t>FQN59_10420</t>
  </si>
  <si>
    <t>QUR48728.1</t>
  </si>
  <si>
    <t>FQN59_10425</t>
  </si>
  <si>
    <t>QUR51056.1</t>
  </si>
  <si>
    <t>FQN59_10430</t>
  </si>
  <si>
    <t>QUR48729.1</t>
  </si>
  <si>
    <t>FQN59_10435</t>
  </si>
  <si>
    <t>QUR48730.1</t>
  </si>
  <si>
    <t>FQN59_10440</t>
  </si>
  <si>
    <t>QUR48731.1</t>
  </si>
  <si>
    <t>FQN59_10445</t>
  </si>
  <si>
    <t>6.1.1.2</t>
  </si>
  <si>
    <t>QUR48732.1</t>
  </si>
  <si>
    <t>FQN59_10450</t>
  </si>
  <si>
    <t>QUR48733.1</t>
  </si>
  <si>
    <t>FQN59_10455</t>
  </si>
  <si>
    <t>QUR48734.1</t>
  </si>
  <si>
    <t>FQN59_10460</t>
  </si>
  <si>
    <t>QUR48735.1</t>
  </si>
  <si>
    <t>FQN59_10465</t>
  </si>
  <si>
    <t>QUR48736.1</t>
  </si>
  <si>
    <t>FQN59_10470</t>
  </si>
  <si>
    <t>FQN59_10475</t>
  </si>
  <si>
    <t>QUR48737.1</t>
  </si>
  <si>
    <t>FQN59_10480</t>
  </si>
  <si>
    <t>FQN59_10485</t>
  </si>
  <si>
    <t>QUR51057.1</t>
  </si>
  <si>
    <t>FQN59_10490</t>
  </si>
  <si>
    <t>QUR51058.1</t>
  </si>
  <si>
    <t>FQN59_10495</t>
  </si>
  <si>
    <t>FQN59_10500</t>
  </si>
  <si>
    <t>QUR48738.1</t>
  </si>
  <si>
    <t>FQN59_10505</t>
  </si>
  <si>
    <t>QUR48739.1</t>
  </si>
  <si>
    <t>FQN59_10510</t>
  </si>
  <si>
    <t>QUR48740.1</t>
  </si>
  <si>
    <t>FQN59_10515</t>
  </si>
  <si>
    <t>QUR48741.1</t>
  </si>
  <si>
    <t>FQN59_10520</t>
  </si>
  <si>
    <t>QUR48742.1</t>
  </si>
  <si>
    <t>FQN59_10525</t>
  </si>
  <si>
    <t>QUR48743.1</t>
  </si>
  <si>
    <t>FQN59_10530</t>
  </si>
  <si>
    <t>QUR48744.1</t>
  </si>
  <si>
    <t>FQN59_10535</t>
  </si>
  <si>
    <t>QUR51059.1</t>
  </si>
  <si>
    <t>FQN59_10540</t>
  </si>
  <si>
    <t>QUR48745.1</t>
  </si>
  <si>
    <t>FQN59_10545</t>
  </si>
  <si>
    <t>QUR48746.1</t>
  </si>
  <si>
    <t>FQN59_10550</t>
  </si>
  <si>
    <t>QUR48747.1</t>
  </si>
  <si>
    <t>FQN59_10555</t>
  </si>
  <si>
    <t>QUR48748.1</t>
  </si>
  <si>
    <t>FQN59_10560</t>
  </si>
  <si>
    <t>QUR48749.1</t>
  </si>
  <si>
    <t>FQN59_10565</t>
  </si>
  <si>
    <t>QUR48750.1</t>
  </si>
  <si>
    <t>FQN59_10570</t>
  </si>
  <si>
    <t>QUR48751.1</t>
  </si>
  <si>
    <t>FQN59_10575</t>
  </si>
  <si>
    <t>QUR48752.1</t>
  </si>
  <si>
    <t>FQN59_10580</t>
  </si>
  <si>
    <t>QUR48753.1</t>
  </si>
  <si>
    <t>FQN59_10585</t>
  </si>
  <si>
    <t>QUR48754.1</t>
  </si>
  <si>
    <t>FQN59_10590</t>
  </si>
  <si>
    <t>QUR48755.1</t>
  </si>
  <si>
    <t>FQN59_10595</t>
  </si>
  <si>
    <t>3.6.1.22</t>
  </si>
  <si>
    <t>QUR48756.1</t>
  </si>
  <si>
    <t>FQN59_10600</t>
  </si>
  <si>
    <t>QUR48757.1</t>
  </si>
  <si>
    <t>FQN59_10605</t>
  </si>
  <si>
    <t>QUR48758.1</t>
  </si>
  <si>
    <t>FQN59_10610</t>
  </si>
  <si>
    <t>QUR48759.1</t>
  </si>
  <si>
    <t>FQN59_10615</t>
  </si>
  <si>
    <t>QUR48760.1</t>
  </si>
  <si>
    <t>FQN59_10620</t>
  </si>
  <si>
    <t>QUR48761.1</t>
  </si>
  <si>
    <t>FQN59_10625</t>
  </si>
  <si>
    <t>QUR48762.1</t>
  </si>
  <si>
    <t>FQN59_10630</t>
  </si>
  <si>
    <t>QUR48763.1</t>
  </si>
  <si>
    <t>FQN59_10635</t>
  </si>
  <si>
    <t>QUR48764.1</t>
  </si>
  <si>
    <t>FQN59_10640</t>
  </si>
  <si>
    <t>QUR48765.1</t>
  </si>
  <si>
    <t>FQN59_10645</t>
  </si>
  <si>
    <t>FQN59_10650</t>
  </si>
  <si>
    <t>QUR48766.1</t>
  </si>
  <si>
    <t>FQN59_10655</t>
  </si>
  <si>
    <t>QUR48767.1</t>
  </si>
  <si>
    <t>FQN59_10660</t>
  </si>
  <si>
    <t>QUR48768.1</t>
  </si>
  <si>
    <t>FQN59_10665</t>
  </si>
  <si>
    <t>QUR48769.1</t>
  </si>
  <si>
    <t>FQN59_10670</t>
  </si>
  <si>
    <t>QUR48770.1</t>
  </si>
  <si>
    <t>FQN59_10675</t>
  </si>
  <si>
    <t>QUR48771.1</t>
  </si>
  <si>
    <t>FQN59_10680</t>
  </si>
  <si>
    <t>3.5.4.25</t>
  </si>
  <si>
    <t>4.1.99.12</t>
  </si>
  <si>
    <t>QUR48772.1</t>
  </si>
  <si>
    <t>FQN59_10685</t>
  </si>
  <si>
    <t>QUR48773.1</t>
  </si>
  <si>
    <t>FQN59_10690</t>
  </si>
  <si>
    <t>FQN59_10695</t>
  </si>
  <si>
    <t>QUR48774.1</t>
  </si>
  <si>
    <t>FQN59_10700</t>
  </si>
  <si>
    <t>QUR48775.1</t>
  </si>
  <si>
    <t>FQN59_10705</t>
  </si>
  <si>
    <t>QUR51060.1</t>
  </si>
  <si>
    <t>FQN59_10710</t>
  </si>
  <si>
    <t>QUR48776.1</t>
  </si>
  <si>
    <t>FQN59_10715</t>
  </si>
  <si>
    <t>QUR48777.1</t>
  </si>
  <si>
    <t>FQN59_10720</t>
  </si>
  <si>
    <t>FQN59_10725</t>
  </si>
  <si>
    <t>QUR48778.1</t>
  </si>
  <si>
    <t>FQN59_10730</t>
  </si>
  <si>
    <t>QUR48779.1</t>
  </si>
  <si>
    <t>FQN59_10735</t>
  </si>
  <si>
    <t>QUR48780.1</t>
  </si>
  <si>
    <t>FQN59_10740</t>
  </si>
  <si>
    <t>QUR51061.1</t>
  </si>
  <si>
    <t>FQN59_10745</t>
  </si>
  <si>
    <t>FQN59_10750</t>
  </si>
  <si>
    <t>QUR48781.1</t>
  </si>
  <si>
    <t>FQN59_10755</t>
  </si>
  <si>
    <t>QUR48782.1</t>
  </si>
  <si>
    <t>FQN59_10760</t>
  </si>
  <si>
    <t>QUR48783.1</t>
  </si>
  <si>
    <t>FQN59_10765</t>
  </si>
  <si>
    <t>QUR48784.1</t>
  </si>
  <si>
    <t>FQN59_10770</t>
  </si>
  <si>
    <t>QUR48785.1</t>
  </si>
  <si>
    <t>FQN59_10775</t>
  </si>
  <si>
    <t>2.7.1.11</t>
  </si>
  <si>
    <t>QUR48786.1</t>
  </si>
  <si>
    <t>FQN59_10780</t>
  </si>
  <si>
    <t>QUR48787.1</t>
  </si>
  <si>
    <t>FQN59_10785</t>
  </si>
  <si>
    <t>QUR48788.1</t>
  </si>
  <si>
    <t>FQN59_10790</t>
  </si>
  <si>
    <t>QUR48789.1</t>
  </si>
  <si>
    <t>FQN59_10795</t>
  </si>
  <si>
    <t>4.1.2.13</t>
  </si>
  <si>
    <t>QUR48790.1</t>
  </si>
  <si>
    <t>FQN59_10800</t>
  </si>
  <si>
    <t>QUR48791.1</t>
  </si>
  <si>
    <t>FQN59_10805</t>
  </si>
  <si>
    <t>QUR48792.1</t>
  </si>
  <si>
    <t>FQN59_10810</t>
  </si>
  <si>
    <t>QUR48793.1</t>
  </si>
  <si>
    <t>FQN59_10815</t>
  </si>
  <si>
    <t>QUR48794.1</t>
  </si>
  <si>
    <t>FQN59_10820</t>
  </si>
  <si>
    <t>QUR48795.1</t>
  </si>
  <si>
    <t>FQN59_10825</t>
  </si>
  <si>
    <t>QUR48796.1</t>
  </si>
  <si>
    <t>FQN59_10830</t>
  </si>
  <si>
    <t>FQN59_10835</t>
  </si>
  <si>
    <t>QUR48797.1</t>
  </si>
  <si>
    <t>FQN59_10840</t>
  </si>
  <si>
    <t>QUR48798.1</t>
  </si>
  <si>
    <t>FQN59_10845</t>
  </si>
  <si>
    <t>QUR48799.1</t>
  </si>
  <si>
    <t>FQN59_10850</t>
  </si>
  <si>
    <t>QUR48800.1</t>
  </si>
  <si>
    <t>FQN59_10855</t>
  </si>
  <si>
    <t>QUR48801.1</t>
  </si>
  <si>
    <t>FQN59_10860</t>
  </si>
  <si>
    <t>QUR48802.1</t>
  </si>
  <si>
    <t>FQN59_10865</t>
  </si>
  <si>
    <t>QUR48803.1</t>
  </si>
  <si>
    <t>FQN59_10870</t>
  </si>
  <si>
    <t>QUR48804.1</t>
  </si>
  <si>
    <t>FQN59_10875</t>
  </si>
  <si>
    <t>QUR48805.1</t>
  </si>
  <si>
    <t>FQN59_10880</t>
  </si>
  <si>
    <t>QUR48806.1</t>
  </si>
  <si>
    <t>FQN59_10885</t>
  </si>
  <si>
    <t>QUR48807.1</t>
  </si>
  <si>
    <t>FQN59_10890</t>
  </si>
  <si>
    <t>QUR48808.1</t>
  </si>
  <si>
    <t>FQN59_10895</t>
  </si>
  <si>
    <t>QUR48809.1</t>
  </si>
  <si>
    <t>FQN59_10900</t>
  </si>
  <si>
    <t>QUR48810.1</t>
  </si>
  <si>
    <t>FQN59_10905</t>
  </si>
  <si>
    <t>QUR48811.1</t>
  </si>
  <si>
    <t>FQN59_10910</t>
  </si>
  <si>
    <t>QUR48812.1</t>
  </si>
  <si>
    <t>FQN59_10915</t>
  </si>
  <si>
    <t>QUR48813.1</t>
  </si>
  <si>
    <t>FQN59_10920</t>
  </si>
  <si>
    <t>QUR48814.1</t>
  </si>
  <si>
    <t>FQN59_10925</t>
  </si>
  <si>
    <t>QUR48815.1</t>
  </si>
  <si>
    <t>FQN59_10930</t>
  </si>
  <si>
    <t>2.7.6.2</t>
  </si>
  <si>
    <t>QUR48816.1</t>
  </si>
  <si>
    <t>FQN59_10935</t>
  </si>
  <si>
    <t>QUR48817.1</t>
  </si>
  <si>
    <t>FQN59_10940</t>
  </si>
  <si>
    <t>QUR48818.1</t>
  </si>
  <si>
    <t>FQN59_10945</t>
  </si>
  <si>
    <t>QUR48819.1</t>
  </si>
  <si>
    <t>FQN59_10950</t>
  </si>
  <si>
    <t>QUR48820.1</t>
  </si>
  <si>
    <t>FQN59_10955</t>
  </si>
  <si>
    <t>QUR48821.1</t>
  </si>
  <si>
    <t>FQN59_10960</t>
  </si>
  <si>
    <t>QUR48822.1</t>
  </si>
  <si>
    <t>FQN59_10965</t>
  </si>
  <si>
    <t>QUR48823.1</t>
  </si>
  <si>
    <t>FQN59_10970</t>
  </si>
  <si>
    <t>QUR48824.1</t>
  </si>
  <si>
    <t>FQN59_10975</t>
  </si>
  <si>
    <t>QUR48825.1</t>
  </si>
  <si>
    <t>FQN59_10980</t>
  </si>
  <si>
    <t>QUR48826.1</t>
  </si>
  <si>
    <t>FQN59_10985</t>
  </si>
  <si>
    <t>QUR48827.1</t>
  </si>
  <si>
    <t>FQN59_10990</t>
  </si>
  <si>
    <t>QUR48828.1</t>
  </si>
  <si>
    <t>FQN59_10995</t>
  </si>
  <si>
    <t>QUR48829.1</t>
  </si>
  <si>
    <t>FQN59_11000</t>
  </si>
  <si>
    <t>QUR48830.1</t>
  </si>
  <si>
    <t>FQN59_11005</t>
  </si>
  <si>
    <t>QUR48831.1</t>
  </si>
  <si>
    <t>FQN59_11010</t>
  </si>
  <si>
    <t>3.1.26.4</t>
  </si>
  <si>
    <t>QUR48832.1</t>
  </si>
  <si>
    <t>FQN59_11015</t>
  </si>
  <si>
    <t>QUR48833.1</t>
  </si>
  <si>
    <t>FQN59_11020</t>
  </si>
  <si>
    <t>QUR48834.1</t>
  </si>
  <si>
    <t>FQN59_11025</t>
  </si>
  <si>
    <t>QUR48835.1</t>
  </si>
  <si>
    <t>FQN59_11030</t>
  </si>
  <si>
    <t>QUR48836.1</t>
  </si>
  <si>
    <t>FQN59_11035</t>
  </si>
  <si>
    <t>FQN59_11040</t>
  </si>
  <si>
    <t>QUR48837.1</t>
  </si>
  <si>
    <t>FQN59_11045</t>
  </si>
  <si>
    <t>FQN59_11050</t>
  </si>
  <si>
    <t>QUR48838.1</t>
  </si>
  <si>
    <t>FQN59_11055</t>
  </si>
  <si>
    <t>QUR48839.1</t>
  </si>
  <si>
    <t>FQN59_11060</t>
  </si>
  <si>
    <t>FQN59_11065</t>
  </si>
  <si>
    <t>QUR48840.1</t>
  </si>
  <si>
    <t>FQN59_11070</t>
  </si>
  <si>
    <t>QUR48841.1</t>
  </si>
  <si>
    <t>FQN59_11075</t>
  </si>
  <si>
    <t>QUR48842.1</t>
  </si>
  <si>
    <t>FQN59_11080</t>
  </si>
  <si>
    <t>QUR48843.1</t>
  </si>
  <si>
    <t>FQN59_11085</t>
  </si>
  <si>
    <t>QUR48844.1</t>
  </si>
  <si>
    <t>FQN59_11090</t>
  </si>
  <si>
    <t>QUR48845.1</t>
  </si>
  <si>
    <t>FQN59_11095</t>
  </si>
  <si>
    <t>QUR51062.1</t>
  </si>
  <si>
    <t>FQN59_11100</t>
  </si>
  <si>
    <t>QUR51063.1</t>
  </si>
  <si>
    <t>FQN59_11105</t>
  </si>
  <si>
    <t>QUR48846.1</t>
  </si>
  <si>
    <t>FQN59_11110</t>
  </si>
  <si>
    <t>QUR48847.1</t>
  </si>
  <si>
    <t>FQN59_11115</t>
  </si>
  <si>
    <t>QUR48848.1</t>
  </si>
  <si>
    <t>FQN59_11120</t>
  </si>
  <si>
    <t>QUR48849.1</t>
  </si>
  <si>
    <t>FQN59_11125</t>
  </si>
  <si>
    <t>QUR48850.1</t>
  </si>
  <si>
    <t>FQN59_11130</t>
  </si>
  <si>
    <t>QUR48851.1</t>
  </si>
  <si>
    <t>FQN59_11135</t>
  </si>
  <si>
    <t>QUR48852.1</t>
  </si>
  <si>
    <t>FQN59_11140</t>
  </si>
  <si>
    <t>QUR48853.1</t>
  </si>
  <si>
    <t>FQN59_11145</t>
  </si>
  <si>
    <t>QUR48854.1</t>
  </si>
  <si>
    <t>FQN59_11150</t>
  </si>
  <si>
    <t>QUR48855.1</t>
  </si>
  <si>
    <t>FQN59_11155</t>
  </si>
  <si>
    <t>QUR48856.1</t>
  </si>
  <si>
    <t>FQN59_11160</t>
  </si>
  <si>
    <t>1.4.1.16</t>
  </si>
  <si>
    <t>QUR48857.1</t>
  </si>
  <si>
    <t>FQN59_11165</t>
  </si>
  <si>
    <t>QUR48858.1</t>
  </si>
  <si>
    <t>FQN59_11170</t>
  </si>
  <si>
    <t>QUR48859.1</t>
  </si>
  <si>
    <t>FQN59_11175</t>
  </si>
  <si>
    <t>3.5.99.6</t>
  </si>
  <si>
    <t>QUR48860.1</t>
  </si>
  <si>
    <t>FQN59_11180</t>
  </si>
  <si>
    <t>QUR48861.1</t>
  </si>
  <si>
    <t>FQN59_11185</t>
  </si>
  <si>
    <t>QUR48862.1</t>
  </si>
  <si>
    <t>FQN59_11190</t>
  </si>
  <si>
    <t>QUR48863.1</t>
  </si>
  <si>
    <t>FQN59_11195</t>
  </si>
  <si>
    <t>QUR48864.1</t>
  </si>
  <si>
    <t>FQN59_11200</t>
  </si>
  <si>
    <t>QUR48865.1</t>
  </si>
  <si>
    <t>FQN59_11205</t>
  </si>
  <si>
    <t>QUR48866.1</t>
  </si>
  <si>
    <t>FQN59_11210</t>
  </si>
  <si>
    <t>QUR48867.1</t>
  </si>
  <si>
    <t>FQN59_11215</t>
  </si>
  <si>
    <t>QUR51064.1</t>
  </si>
  <si>
    <t>FQN59_11220</t>
  </si>
  <si>
    <t>QUR48868.1</t>
  </si>
  <si>
    <t>FQN59_11225</t>
  </si>
  <si>
    <t>2.1.2.-</t>
  </si>
  <si>
    <t>QUR48869.1</t>
  </si>
  <si>
    <t>FQN59_11230</t>
  </si>
  <si>
    <t>QUR48870.1</t>
  </si>
  <si>
    <t>FQN59_11235</t>
  </si>
  <si>
    <t>QUR48871.1</t>
  </si>
  <si>
    <t>FQN59_11240</t>
  </si>
  <si>
    <t>QUR48872.1</t>
  </si>
  <si>
    <t>FQN59_11245</t>
  </si>
  <si>
    <t>QUR48873.1</t>
  </si>
  <si>
    <t>FQN59_11250</t>
  </si>
  <si>
    <t>QUR48874.1</t>
  </si>
  <si>
    <t>FQN59_11255</t>
  </si>
  <si>
    <t>QUR48875.1</t>
  </si>
  <si>
    <t>FQN59_11260</t>
  </si>
  <si>
    <t>QUR48876.1</t>
  </si>
  <si>
    <t>FQN59_11265</t>
  </si>
  <si>
    <t>QUR48877.1</t>
  </si>
  <si>
    <t>FQN59_11270</t>
  </si>
  <si>
    <t>QUR48878.1</t>
  </si>
  <si>
    <t>FQN59_11275</t>
  </si>
  <si>
    <t>QUR48879.1</t>
  </si>
  <si>
    <t>FQN59_11280</t>
  </si>
  <si>
    <t>QUR48880.1</t>
  </si>
  <si>
    <t>FQN59_11285</t>
  </si>
  <si>
    <t>QUR48881.1</t>
  </si>
  <si>
    <t>FQN59_11290</t>
  </si>
  <si>
    <t>QUR48882.1</t>
  </si>
  <si>
    <t>FQN59_11295</t>
  </si>
  <si>
    <t>QUR48883.1</t>
  </si>
  <si>
    <t>FQN59_11300</t>
  </si>
  <si>
    <t>QUR48884.1</t>
  </si>
  <si>
    <t>FQN59_11305</t>
  </si>
  <si>
    <t>QUR48885.1</t>
  </si>
  <si>
    <t>FQN59_11310</t>
  </si>
  <si>
    <t>QUR48886.1</t>
  </si>
  <si>
    <t>FQN59_11315</t>
  </si>
  <si>
    <t>QUR48887.1</t>
  </si>
  <si>
    <t>FQN59_11320</t>
  </si>
  <si>
    <t>QUR48888.1</t>
  </si>
  <si>
    <t>FQN59_11325</t>
  </si>
  <si>
    <t>QUR48889.1</t>
  </si>
  <si>
    <t>FQN59_11330</t>
  </si>
  <si>
    <t>QUR48890.1</t>
  </si>
  <si>
    <t>FQN59_11335</t>
  </si>
  <si>
    <t>6.1.1.19</t>
  </si>
  <si>
    <t>QUR48891.1</t>
  </si>
  <si>
    <t>FQN59_11340</t>
  </si>
  <si>
    <t>QUR48892.1</t>
  </si>
  <si>
    <t>FQN59_11345</t>
  </si>
  <si>
    <t>QUR48893.1</t>
  </si>
  <si>
    <t>FQN59_11350</t>
  </si>
  <si>
    <t>QUR48894.1</t>
  </si>
  <si>
    <t>FQN59_11355</t>
  </si>
  <si>
    <t>QUR48895.1</t>
  </si>
  <si>
    <t>FQN59_11360</t>
  </si>
  <si>
    <t>QUR48896.1</t>
  </si>
  <si>
    <t>FQN59_11365</t>
  </si>
  <si>
    <t>QUR48897.1</t>
  </si>
  <si>
    <t>FQN59_11370</t>
  </si>
  <si>
    <t>QUR48898.1</t>
  </si>
  <si>
    <t>FQN59_11375</t>
  </si>
  <si>
    <t>QUR48899.1</t>
  </si>
  <si>
    <t>FQN59_11380</t>
  </si>
  <si>
    <t>QUR48900.1</t>
  </si>
  <si>
    <t>FQN59_11385</t>
  </si>
  <si>
    <t>QUR48901.1</t>
  </si>
  <si>
    <t>FQN59_11390</t>
  </si>
  <si>
    <t>QUR48902.1</t>
  </si>
  <si>
    <t>FQN59_11395</t>
  </si>
  <si>
    <t>QUR48903.1</t>
  </si>
  <si>
    <t>FQN59_11400</t>
  </si>
  <si>
    <t>QUR48904.1</t>
  </si>
  <si>
    <t>FQN59_11405</t>
  </si>
  <si>
    <t>QUR48905.1</t>
  </si>
  <si>
    <t>FQN59_11410</t>
  </si>
  <si>
    <t>FQN59_11415</t>
  </si>
  <si>
    <t>QUR48906.1</t>
  </si>
  <si>
    <t>FQN59_11420</t>
  </si>
  <si>
    <t>QUR48907.1</t>
  </si>
  <si>
    <t>FQN59_11425</t>
  </si>
  <si>
    <t>QUR48908.1</t>
  </si>
  <si>
    <t>FQN59_11430</t>
  </si>
  <si>
    <t>QUR48909.1</t>
  </si>
  <si>
    <t>FQN59_11435</t>
  </si>
  <si>
    <t>QUR48910.1</t>
  </si>
  <si>
    <t>FQN59_11440</t>
  </si>
  <si>
    <t>QUR48911.1</t>
  </si>
  <si>
    <t>FQN59_11445</t>
  </si>
  <si>
    <t>QUR48912.1</t>
  </si>
  <si>
    <t>FQN59_11450</t>
  </si>
  <si>
    <t>QUR48913.1</t>
  </si>
  <si>
    <t>FQN59_11455</t>
  </si>
  <si>
    <t>QUR48914.1</t>
  </si>
  <si>
    <t>FQN59_11460</t>
  </si>
  <si>
    <t>QUR48915.1</t>
  </si>
  <si>
    <t>FQN59_11465</t>
  </si>
  <si>
    <t>QUR48916.1</t>
  </si>
  <si>
    <t>FQN59_11470</t>
  </si>
  <si>
    <t>QUR48917.1</t>
  </si>
  <si>
    <t>FQN59_11475</t>
  </si>
  <si>
    <t>QUR48918.1</t>
  </si>
  <si>
    <t>FQN59_11480</t>
  </si>
  <si>
    <t>QUR48919.1</t>
  </si>
  <si>
    <t>FQN59_11485</t>
  </si>
  <si>
    <t>QUR48920.1</t>
  </si>
  <si>
    <t>FQN59_11490</t>
  </si>
  <si>
    <t>QUR48921.1</t>
  </si>
  <si>
    <t>FQN59_11495</t>
  </si>
  <si>
    <t>QUR48922.1</t>
  </si>
  <si>
    <t>FQN59_11500</t>
  </si>
  <si>
    <t>QUR48923.1</t>
  </si>
  <si>
    <t>FQN59_11505</t>
  </si>
  <si>
    <t>QUR48924.1</t>
  </si>
  <si>
    <t>FQN59_11510</t>
  </si>
  <si>
    <t>QUR48925.1</t>
  </si>
  <si>
    <t>FQN59_11515</t>
  </si>
  <si>
    <t>FQN59_11520</t>
  </si>
  <si>
    <t>QUR48926.1</t>
  </si>
  <si>
    <t>FQN59_11525</t>
  </si>
  <si>
    <t>QUR48927.1</t>
  </si>
  <si>
    <t>FQN59_11530</t>
  </si>
  <si>
    <t>4.2.1.49</t>
  </si>
  <si>
    <t>QUR48928.1</t>
  </si>
  <si>
    <t>FQN59_11535</t>
  </si>
  <si>
    <t>2.1.2.5</t>
  </si>
  <si>
    <t>QUR48929.1</t>
  </si>
  <si>
    <t>FQN59_11540</t>
  </si>
  <si>
    <t>QUR48930.1</t>
  </si>
  <si>
    <t>FQN59_11545</t>
  </si>
  <si>
    <t>QUR48931.1</t>
  </si>
  <si>
    <t>FQN59_11550</t>
  </si>
  <si>
    <t>QUR48932.1</t>
  </si>
  <si>
    <t>FQN59_11555</t>
  </si>
  <si>
    <t>QUR48933.1</t>
  </si>
  <si>
    <t>FQN59_11560</t>
  </si>
  <si>
    <t>QUR48934.1</t>
  </si>
  <si>
    <t>FQN59_11565</t>
  </si>
  <si>
    <t>QUR48935.1</t>
  </si>
  <si>
    <t>FQN59_11570</t>
  </si>
  <si>
    <t>FQN59_11575</t>
  </si>
  <si>
    <t>FQN59_11580</t>
  </si>
  <si>
    <t>FQN59_11585</t>
  </si>
  <si>
    <t>QUR48936.1</t>
  </si>
  <si>
    <t>FQN59_11590</t>
  </si>
  <si>
    <t>QUR48937.1</t>
  </si>
  <si>
    <t>FQN59_11595</t>
  </si>
  <si>
    <t>QUR48938.1</t>
  </si>
  <si>
    <t>FQN59_11600</t>
  </si>
  <si>
    <t>QUR48939.1</t>
  </si>
  <si>
    <t>FQN59_11605</t>
  </si>
  <si>
    <t>FQN59_11610</t>
  </si>
  <si>
    <t>FQN59_11615</t>
  </si>
  <si>
    <t>QUR48940.1</t>
  </si>
  <si>
    <t>FQN59_11620</t>
  </si>
  <si>
    <t>QUR48941.1</t>
  </si>
  <si>
    <t>FQN59_11625</t>
  </si>
  <si>
    <t>QUR48942.1</t>
  </si>
  <si>
    <t>FQN59_11630</t>
  </si>
  <si>
    <t>QUR48943.1</t>
  </si>
  <si>
    <t>FQN59_11635</t>
  </si>
  <si>
    <t>QUR48944.1</t>
  </si>
  <si>
    <t>FQN59_11640</t>
  </si>
  <si>
    <t>QUR48945.1</t>
  </si>
  <si>
    <t>FQN59_11645</t>
  </si>
  <si>
    <t>QUR48946.1</t>
  </si>
  <si>
    <t>FQN59_11650</t>
  </si>
  <si>
    <t>QUR48947.1</t>
  </si>
  <si>
    <t>FQN59_11655</t>
  </si>
  <si>
    <t>QUR48948.1</t>
  </si>
  <si>
    <t>FQN59_11660</t>
  </si>
  <si>
    <t>QUR48949.1</t>
  </si>
  <si>
    <t>FQN59_11665</t>
  </si>
  <si>
    <t>QUR48950.1</t>
  </si>
  <si>
    <t>FQN59_11670</t>
  </si>
  <si>
    <t>QUR48951.1</t>
  </si>
  <si>
    <t>FQN59_11675</t>
  </si>
  <si>
    <t>QUR48952.1</t>
  </si>
  <si>
    <t>FQN59_11680</t>
  </si>
  <si>
    <t>QUR48953.1</t>
  </si>
  <si>
    <t>FQN59_11685</t>
  </si>
  <si>
    <t>QUR48954.1</t>
  </si>
  <si>
    <t>FQN59_11690</t>
  </si>
  <si>
    <t>QUR48955.1</t>
  </si>
  <si>
    <t>FQN59_11695</t>
  </si>
  <si>
    <t>QUR48956.1</t>
  </si>
  <si>
    <t>FQN59_11700</t>
  </si>
  <si>
    <t>QUR48957.1</t>
  </si>
  <si>
    <t>FQN59_11705</t>
  </si>
  <si>
    <t>QUR48958.1</t>
  </si>
  <si>
    <t>FQN59_11710</t>
  </si>
  <si>
    <t>QUR48959.1</t>
  </si>
  <si>
    <t>FQN59_11715</t>
  </si>
  <si>
    <t>QUR48960.1</t>
  </si>
  <si>
    <t>FQN59_11720</t>
  </si>
  <si>
    <t>FQN59_11725</t>
  </si>
  <si>
    <t>FQN59_11730</t>
  </si>
  <si>
    <t>FQN59_11735</t>
  </si>
  <si>
    <t>QUR48961.1</t>
  </si>
  <si>
    <t>FQN59_11740</t>
  </si>
  <si>
    <t>QUR48962.1</t>
  </si>
  <si>
    <t>FQN59_11745</t>
  </si>
  <si>
    <t>QUR48963.1</t>
  </si>
  <si>
    <t>FQN59_11750</t>
  </si>
  <si>
    <t>QUR48964.1</t>
  </si>
  <si>
    <t>FQN59_11755</t>
  </si>
  <si>
    <t>QUR48965.1</t>
  </si>
  <si>
    <t>FQN59_11760</t>
  </si>
  <si>
    <t>QUR48966.1</t>
  </si>
  <si>
    <t>FQN59_11765</t>
  </si>
  <si>
    <t>QUR48967.1</t>
  </si>
  <si>
    <t>FQN59_11770</t>
  </si>
  <si>
    <t>QUR48968.1</t>
  </si>
  <si>
    <t>FQN59_11775</t>
  </si>
  <si>
    <t>QUR48969.1</t>
  </si>
  <si>
    <t>FQN59_11780</t>
  </si>
  <si>
    <t>QUR48970.1</t>
  </si>
  <si>
    <t>FQN59_11785</t>
  </si>
  <si>
    <t>QUR48971.1</t>
  </si>
  <si>
    <t>FQN59_11790</t>
  </si>
  <si>
    <t>QUR48972.1</t>
  </si>
  <si>
    <t>FQN59_11795</t>
  </si>
  <si>
    <t>QUR48973.1</t>
  </si>
  <si>
    <t>FQN59_11800</t>
  </si>
  <si>
    <t>QUR48974.1</t>
  </si>
  <si>
    <t>FQN59_11805</t>
  </si>
  <si>
    <t>QUR48975.1</t>
  </si>
  <si>
    <t>FQN59_11810</t>
  </si>
  <si>
    <t>QUR48976.1</t>
  </si>
  <si>
    <t>FQN59_11815</t>
  </si>
  <si>
    <t>QUR48977.1</t>
  </si>
  <si>
    <t>FQN59_11820</t>
  </si>
  <si>
    <t>QUR48978.1</t>
  </si>
  <si>
    <t>FQN59_11825</t>
  </si>
  <si>
    <t>QUR51065.1</t>
  </si>
  <si>
    <t>FQN59_11830</t>
  </si>
  <si>
    <t>QUR48979.1</t>
  </si>
  <si>
    <t>FQN59_11835</t>
  </si>
  <si>
    <t>QUR48980.1</t>
  </si>
  <si>
    <t>FQN59_11840</t>
  </si>
  <si>
    <t>QUR48981.1</t>
  </si>
  <si>
    <t>FQN59_11845</t>
  </si>
  <si>
    <t>QUR48982.1</t>
  </si>
  <si>
    <t>FQN59_11850</t>
  </si>
  <si>
    <t>QUR48983.1</t>
  </si>
  <si>
    <t>FQN59_11855</t>
  </si>
  <si>
    <t>QUR48984.1</t>
  </si>
  <si>
    <t>FQN59_11860</t>
  </si>
  <si>
    <t>QUR48985.1</t>
  </si>
  <si>
    <t>FQN59_11865</t>
  </si>
  <si>
    <t>QUR48986.1</t>
  </si>
  <si>
    <t>FQN59_11870</t>
  </si>
  <si>
    <t>FQN59_11875</t>
  </si>
  <si>
    <t>QUR48987.1</t>
  </si>
  <si>
    <t>FQN59_11880</t>
  </si>
  <si>
    <t>FQN59_11885</t>
  </si>
  <si>
    <t>FQN59_11890</t>
  </si>
  <si>
    <t>FQN59_11895</t>
  </si>
  <si>
    <t>QUR48988.1</t>
  </si>
  <si>
    <t>FQN59_11900</t>
  </si>
  <si>
    <t>QUR48989.1</t>
  </si>
  <si>
    <t>FQN59_11905</t>
  </si>
  <si>
    <t>QUR48990.1</t>
  </si>
  <si>
    <t>FQN59_11910</t>
  </si>
  <si>
    <t>QUR48991.1</t>
  </si>
  <si>
    <t>FQN59_11915</t>
  </si>
  <si>
    <t>QUR48992.1</t>
  </si>
  <si>
    <t>FQN59_11920</t>
  </si>
  <si>
    <t>QUR48993.1</t>
  </si>
  <si>
    <t>FQN59_11925</t>
  </si>
  <si>
    <t>QUR48994.1</t>
  </si>
  <si>
    <t>FQN59_11930</t>
  </si>
  <si>
    <t>QUR48995.1</t>
  </si>
  <si>
    <t>FQN59_11935</t>
  </si>
  <si>
    <t>QUR48996.1</t>
  </si>
  <si>
    <t>FQN59_11940</t>
  </si>
  <si>
    <t>FQN59_11945</t>
  </si>
  <si>
    <t>QUR48997.1</t>
  </si>
  <si>
    <t>FQN59_11950</t>
  </si>
  <si>
    <t>QUR48998.1</t>
  </si>
  <si>
    <t>FQN59_11955</t>
  </si>
  <si>
    <t>QUR48999.1</t>
  </si>
  <si>
    <t>FQN59_11960</t>
  </si>
  <si>
    <t>QUR49000.1</t>
  </si>
  <si>
    <t>FQN59_11965</t>
  </si>
  <si>
    <t>QUR49001.1</t>
  </si>
  <si>
    <t>FQN59_11970</t>
  </si>
  <si>
    <t>QUR49002.1</t>
  </si>
  <si>
    <t>FQN59_11975</t>
  </si>
  <si>
    <t>QUR49003.1</t>
  </si>
  <si>
    <t>FQN59_11980</t>
  </si>
  <si>
    <t>QUR49004.1</t>
  </si>
  <si>
    <t>FQN59_11985</t>
  </si>
  <si>
    <t>QUR49005.1</t>
  </si>
  <si>
    <t>FQN59_11990</t>
  </si>
  <si>
    <t>QUR49006.1</t>
  </si>
  <si>
    <t>FQN59_11995</t>
  </si>
  <si>
    <t>QUR49007.1</t>
  </si>
  <si>
    <t>FQN59_12000</t>
  </si>
  <si>
    <t>QUR49008.1</t>
  </si>
  <si>
    <t>FQN59_12005</t>
  </si>
  <si>
    <t>QUR49009.1</t>
  </si>
  <si>
    <t>FQN59_12010</t>
  </si>
  <si>
    <t>QUR49010.1</t>
  </si>
  <si>
    <t>FQN59_12015</t>
  </si>
  <si>
    <t>QUR49011.1</t>
  </si>
  <si>
    <t>FQN59_12020</t>
  </si>
  <si>
    <t>QUR49012.1</t>
  </si>
  <si>
    <t>FQN59_12025</t>
  </si>
  <si>
    <t>QUR49013.1</t>
  </si>
  <si>
    <t>FQN59_12030</t>
  </si>
  <si>
    <t>QUR49014.1</t>
  </si>
  <si>
    <t>FQN59_12035</t>
  </si>
  <si>
    <t>QUR49015.1</t>
  </si>
  <si>
    <t>FQN59_12040</t>
  </si>
  <si>
    <t>QUR49016.1</t>
  </si>
  <si>
    <t>FQN59_12045</t>
  </si>
  <si>
    <t>QUR49017.1</t>
  </si>
  <si>
    <t>FQN59_12050</t>
  </si>
  <si>
    <t>QUR49018.1</t>
  </si>
  <si>
    <t>FQN59_12055</t>
  </si>
  <si>
    <t>QUR49019.1</t>
  </si>
  <si>
    <t>FQN59_12060</t>
  </si>
  <si>
    <t>QUR49020.1</t>
  </si>
  <si>
    <t>FQN59_12065</t>
  </si>
  <si>
    <t>QUR49021.1</t>
  </si>
  <si>
    <t>FQN59_12070</t>
  </si>
  <si>
    <t>QUR49022.1</t>
  </si>
  <si>
    <t>FQN59_12075</t>
  </si>
  <si>
    <t>QUR49023.1</t>
  </si>
  <si>
    <t>FQN59_12080</t>
  </si>
  <si>
    <t>QUR49024.1</t>
  </si>
  <si>
    <t>FQN59_12085</t>
  </si>
  <si>
    <t>QUR49025.1</t>
  </si>
  <si>
    <t>FQN59_12090</t>
  </si>
  <si>
    <t>QUR51066.1</t>
  </si>
  <si>
    <t>FQN59_12095</t>
  </si>
  <si>
    <t>QUR49026.1</t>
  </si>
  <si>
    <t>FQN59_12100</t>
  </si>
  <si>
    <t>QUR49027.1</t>
  </si>
  <si>
    <t>FQN59_12105</t>
  </si>
  <si>
    <t>QUR49028.1</t>
  </si>
  <si>
    <t>FQN59_12110</t>
  </si>
  <si>
    <t>QUR49029.1</t>
  </si>
  <si>
    <t>FQN59_12115</t>
  </si>
  <si>
    <t>FQN59_12120</t>
  </si>
  <si>
    <t>QUR49030.1</t>
  </si>
  <si>
    <t>FQN59_12125</t>
  </si>
  <si>
    <t>QUR49031.1</t>
  </si>
  <si>
    <t>FQN59_12130</t>
  </si>
  <si>
    <t>QUR49032.1</t>
  </si>
  <si>
    <t>FQN59_12135</t>
  </si>
  <si>
    <t>QUR49033.1</t>
  </si>
  <si>
    <t>FQN59_12140</t>
  </si>
  <si>
    <t>QUR51067.1</t>
  </si>
  <si>
    <t>FQN59_12145</t>
  </si>
  <si>
    <t>QUR49034.1</t>
  </si>
  <si>
    <t>FQN59_12150</t>
  </si>
  <si>
    <t>QUR49035.1</t>
  </si>
  <si>
    <t>FQN59_12155</t>
  </si>
  <si>
    <t>QUR49036.1</t>
  </si>
  <si>
    <t>FQN59_12160</t>
  </si>
  <si>
    <t>QUR49037.1</t>
  </si>
  <si>
    <t>FQN59_12165</t>
  </si>
  <si>
    <t>QUR49038.1</t>
  </si>
  <si>
    <t>FQN59_12170</t>
  </si>
  <si>
    <t>QUR49039.1</t>
  </si>
  <si>
    <t>FQN59_12175</t>
  </si>
  <si>
    <t>QUR49040.1</t>
  </si>
  <si>
    <t>FQN59_12180</t>
  </si>
  <si>
    <t>QUR49041.1</t>
  </si>
  <si>
    <t>FQN59_12185</t>
  </si>
  <si>
    <t>FQN59_12190</t>
  </si>
  <si>
    <t>QUR49042.1</t>
  </si>
  <si>
    <t>FQN59_12195</t>
  </si>
  <si>
    <t>QUR49043.1</t>
  </si>
  <si>
    <t>FQN59_12200</t>
  </si>
  <si>
    <t>QUR49044.1</t>
  </si>
  <si>
    <t>FQN59_12205</t>
  </si>
  <si>
    <t>QUR49045.1</t>
  </si>
  <si>
    <t>FQN59_12210</t>
  </si>
  <si>
    <t>QUR49046.1</t>
  </si>
  <si>
    <t>FQN59_12215</t>
  </si>
  <si>
    <t>QUR49047.1</t>
  </si>
  <si>
    <t>FQN59_12220</t>
  </si>
  <si>
    <t>QUR49048.1</t>
  </si>
  <si>
    <t>FQN59_12225</t>
  </si>
  <si>
    <t>QUR49049.1</t>
  </si>
  <si>
    <t>FQN59_12230</t>
  </si>
  <si>
    <t>FQN59_12235</t>
  </si>
  <si>
    <t>QUR51068.1</t>
  </si>
  <si>
    <t>FQN59_12240</t>
  </si>
  <si>
    <t>QUR49050.1</t>
  </si>
  <si>
    <t>FQN59_12245</t>
  </si>
  <si>
    <t>QUR49051.1</t>
  </si>
  <si>
    <t>FQN59_12250</t>
  </si>
  <si>
    <t>QUR49052.1</t>
  </si>
  <si>
    <t>FQN59_12255</t>
  </si>
  <si>
    <t>FQN59_12260</t>
  </si>
  <si>
    <t>QUR49053.1</t>
  </si>
  <si>
    <t>FQN59_12265</t>
  </si>
  <si>
    <t>FQN59_12270</t>
  </si>
  <si>
    <t>QUR49054.1</t>
  </si>
  <si>
    <t>FQN59_12275</t>
  </si>
  <si>
    <t>QUR49055.1</t>
  </si>
  <si>
    <t>FQN59_12280</t>
  </si>
  <si>
    <t>QUR49056.1</t>
  </si>
  <si>
    <t>FQN59_12285</t>
  </si>
  <si>
    <t>QUR49057.1</t>
  </si>
  <si>
    <t>FQN59_12290</t>
  </si>
  <si>
    <t>FQN59_12295</t>
  </si>
  <si>
    <t>QUR49058.1</t>
  </si>
  <si>
    <t>FQN59_12300</t>
  </si>
  <si>
    <t>QUR49059.1</t>
  </si>
  <si>
    <t>FQN59_12305</t>
  </si>
  <si>
    <t>QUR51069.1</t>
  </si>
  <si>
    <t>FQN59_12310</t>
  </si>
  <si>
    <t>QUR49060.1</t>
  </si>
  <si>
    <t>FQN59_12315</t>
  </si>
  <si>
    <t>FQN59_12320</t>
  </si>
  <si>
    <t>QUR49061.1</t>
  </si>
  <si>
    <t>FQN59_12325</t>
  </si>
  <si>
    <t>QUR49062.1</t>
  </si>
  <si>
    <t>FQN59_12330</t>
  </si>
  <si>
    <t>QUR49063.1</t>
  </si>
  <si>
    <t>FQN59_12335</t>
  </si>
  <si>
    <t>QUR49064.1</t>
  </si>
  <si>
    <t>FQN59_12340</t>
  </si>
  <si>
    <t>QUR49065.1</t>
  </si>
  <si>
    <t>FQN59_12345</t>
  </si>
  <si>
    <t>QUR49066.1</t>
  </si>
  <si>
    <t>FQN59_12350</t>
  </si>
  <si>
    <t>QUR49067.1</t>
  </si>
  <si>
    <t>FQN59_12355</t>
  </si>
  <si>
    <t>QUR49068.1</t>
  </si>
  <si>
    <t>FQN59_12360</t>
  </si>
  <si>
    <t>QUR49069.1</t>
  </si>
  <si>
    <t>FQN59_12365</t>
  </si>
  <si>
    <t>QUR49070.1</t>
  </si>
  <si>
    <t>FQN59_12370</t>
  </si>
  <si>
    <t>QUR49071.1</t>
  </si>
  <si>
    <t>FQN59_12375</t>
  </si>
  <si>
    <t>FQN59_12380</t>
  </si>
  <si>
    <t>QUR49072.1</t>
  </si>
  <si>
    <t>FQN59_12385</t>
  </si>
  <si>
    <t>QUR49073.1</t>
  </si>
  <si>
    <t>FQN59_12390</t>
  </si>
  <si>
    <t>QUR49074.1</t>
  </si>
  <si>
    <t>FQN59_12395</t>
  </si>
  <si>
    <t>QUR51070.1</t>
  </si>
  <si>
    <t>FQN59_12400</t>
  </si>
  <si>
    <t>QUR51071.1</t>
  </si>
  <si>
    <t>FQN59_12405</t>
  </si>
  <si>
    <t>QUR49075.1</t>
  </si>
  <si>
    <t>FQN59_12410</t>
  </si>
  <si>
    <t>QUR49076.1</t>
  </si>
  <si>
    <t>FQN59_12415</t>
  </si>
  <si>
    <t>QUR49077.1</t>
  </si>
  <si>
    <t>FQN59_12420</t>
  </si>
  <si>
    <t>QUR49078.1</t>
  </si>
  <si>
    <t>FQN59_12425</t>
  </si>
  <si>
    <t>QUR49079.1</t>
  </si>
  <si>
    <t>FQN59_12430</t>
  </si>
  <si>
    <t>QUR49080.1</t>
  </si>
  <si>
    <t>FQN59_12435</t>
  </si>
  <si>
    <t>QUR49081.1</t>
  </si>
  <si>
    <t>FQN59_12440</t>
  </si>
  <si>
    <t>QUR49082.1</t>
  </si>
  <si>
    <t>FQN59_12445</t>
  </si>
  <si>
    <t>QUR49083.1</t>
  </si>
  <si>
    <t>FQN59_12450</t>
  </si>
  <si>
    <t>QUR49084.1</t>
  </si>
  <si>
    <t>FQN59_12455</t>
  </si>
  <si>
    <t>QUR49085.1</t>
  </si>
  <si>
    <t>FQN59_12460</t>
  </si>
  <si>
    <t>QUR49086.1</t>
  </si>
  <si>
    <t>FQN59_12465</t>
  </si>
  <si>
    <t>QUR49087.1</t>
  </si>
  <si>
    <t>FQN59_12470</t>
  </si>
  <si>
    <t>QUR49088.1</t>
  </si>
  <si>
    <t>FQN59_12475</t>
  </si>
  <si>
    <t>QUR49089.1</t>
  </si>
  <si>
    <t>FQN59_12480</t>
  </si>
  <si>
    <t>QUR49090.1</t>
  </si>
  <si>
    <t>FQN59_12485</t>
  </si>
  <si>
    <t>QUR51072.1</t>
  </si>
  <si>
    <t>FQN59_12490</t>
  </si>
  <si>
    <t>QUR49091.1</t>
  </si>
  <si>
    <t>FQN59_12495</t>
  </si>
  <si>
    <t>QUR49092.1</t>
  </si>
  <si>
    <t>FQN59_12500</t>
  </si>
  <si>
    <t>QUR49093.1</t>
  </si>
  <si>
    <t>FQN59_12505</t>
  </si>
  <si>
    <t>QUR49094.1</t>
  </si>
  <si>
    <t>FQN59_12510</t>
  </si>
  <si>
    <t>QUR49095.1</t>
  </si>
  <si>
    <t>FQN59_12515</t>
  </si>
  <si>
    <t>QUR49096.1</t>
  </si>
  <si>
    <t>FQN59_12520</t>
  </si>
  <si>
    <t>QUR51073.1</t>
  </si>
  <si>
    <t>FQN59_12525</t>
  </si>
  <si>
    <t>QUR49097.1</t>
  </si>
  <si>
    <t>FQN59_12530</t>
  </si>
  <si>
    <t>QUR49098.1</t>
  </si>
  <si>
    <t>FQN59_12535</t>
  </si>
  <si>
    <t>QUR49099.1</t>
  </si>
  <si>
    <t>FQN59_12540</t>
  </si>
  <si>
    <t>FQN59_12545</t>
  </si>
  <si>
    <t>QUR49100.1</t>
  </si>
  <si>
    <t>FQN59_12550</t>
  </si>
  <si>
    <t>QUR49101.1</t>
  </si>
  <si>
    <t>FQN59_12555</t>
  </si>
  <si>
    <t>QUR51075.1</t>
  </si>
  <si>
    <t>FQN59_12560</t>
  </si>
  <si>
    <t>QUR51074.1</t>
  </si>
  <si>
    <t>FQN59_12565</t>
  </si>
  <si>
    <t>FQN59_12570</t>
  </si>
  <si>
    <t>FQN59_12575</t>
  </si>
  <si>
    <t>QUR49102.1</t>
  </si>
  <si>
    <t>FQN59_12580</t>
  </si>
  <si>
    <t>QUR49103.1</t>
  </si>
  <si>
    <t>FQN59_12585</t>
  </si>
  <si>
    <t>QUR49104.1</t>
  </si>
  <si>
    <t>FQN59_12590</t>
  </si>
  <si>
    <t>QUR49105.1</t>
  </si>
  <si>
    <t>FQN59_12595</t>
  </si>
  <si>
    <t>QUR51076.1</t>
  </si>
  <si>
    <t>FQN59_12600</t>
  </si>
  <si>
    <t>QUR49106.1</t>
  </si>
  <si>
    <t>FQN59_12605</t>
  </si>
  <si>
    <t>QUR49107.1</t>
  </si>
  <si>
    <t>FQN59_12610</t>
  </si>
  <si>
    <t>QUR49108.1</t>
  </si>
  <si>
    <t>FQN59_12615</t>
  </si>
  <si>
    <t>QUR49109.1</t>
  </si>
  <si>
    <t>FQN59_12620</t>
  </si>
  <si>
    <t>QUR49110.1</t>
  </si>
  <si>
    <t>FQN59_12625</t>
  </si>
  <si>
    <t>FQN59_12630</t>
  </si>
  <si>
    <t>QUR49111.1</t>
  </si>
  <si>
    <t>FQN59_12635</t>
  </si>
  <si>
    <t>QUR49112.1</t>
  </si>
  <si>
    <t>FQN59_12640</t>
  </si>
  <si>
    <t>QUR49113.1</t>
  </si>
  <si>
    <t>FQN59_12645</t>
  </si>
  <si>
    <t>QUR49114.1</t>
  </si>
  <si>
    <t>FQN59_12650</t>
  </si>
  <si>
    <t>QUR49115.1</t>
  </si>
  <si>
    <t>FQN59_12655</t>
  </si>
  <si>
    <t>QUR49116.1</t>
  </si>
  <si>
    <t>FQN59_12660</t>
  </si>
  <si>
    <t>QUR51077.1</t>
  </si>
  <si>
    <t>FQN59_12665</t>
  </si>
  <si>
    <t>QUR51078.1</t>
  </si>
  <si>
    <t>FQN59_12670</t>
  </si>
  <si>
    <t>QUR49117.1</t>
  </si>
  <si>
    <t>FQN59_12675</t>
  </si>
  <si>
    <t>QUR51079.1</t>
  </si>
  <si>
    <t>FQN59_12680</t>
  </si>
  <si>
    <t>QUR49118.1</t>
  </si>
  <si>
    <t>FQN59_12685</t>
  </si>
  <si>
    <t>QUR49119.1</t>
  </si>
  <si>
    <t>FQN59_12690</t>
  </si>
  <si>
    <t>QUR49120.1</t>
  </si>
  <si>
    <t>FQN59_12695</t>
  </si>
  <si>
    <t>QUR49121.1</t>
  </si>
  <si>
    <t>FQN59_12700</t>
  </si>
  <si>
    <t>QUR49122.1</t>
  </si>
  <si>
    <t>FQN59_12705</t>
  </si>
  <si>
    <t>QUR49123.1</t>
  </si>
  <si>
    <t>FQN59_12710</t>
  </si>
  <si>
    <t>QUR49124.1</t>
  </si>
  <si>
    <t>FQN59_12715</t>
  </si>
  <si>
    <t>QUR49125.1</t>
  </si>
  <si>
    <t>FQN59_12720</t>
  </si>
  <si>
    <t>QUR49126.1</t>
  </si>
  <si>
    <t>FQN59_12725</t>
  </si>
  <si>
    <t>QUR49127.1</t>
  </si>
  <si>
    <t>FQN59_12730</t>
  </si>
  <si>
    <t>QUR49128.1</t>
  </si>
  <si>
    <t>FQN59_12735</t>
  </si>
  <si>
    <t>QUR49129.1</t>
  </si>
  <si>
    <t>FQN59_12740</t>
  </si>
  <si>
    <t>QUR49130.1</t>
  </si>
  <si>
    <t>FQN59_12745</t>
  </si>
  <si>
    <t>QUR49131.1</t>
  </si>
  <si>
    <t>FQN59_12750</t>
  </si>
  <si>
    <t>FQN59_12755</t>
  </si>
  <si>
    <t>FQN59_12760</t>
  </si>
  <si>
    <t>QUR49132.1</t>
  </si>
  <si>
    <t>FQN59_12765</t>
  </si>
  <si>
    <t>QUR49133.1</t>
  </si>
  <si>
    <t>FQN59_12770</t>
  </si>
  <si>
    <t>QUR49134.1</t>
  </si>
  <si>
    <t>FQN59_12775</t>
  </si>
  <si>
    <t>QUR49135.1</t>
  </si>
  <si>
    <t>FQN59_12780</t>
  </si>
  <si>
    <t>QUR49136.1</t>
  </si>
  <si>
    <t>FQN59_12785</t>
  </si>
  <si>
    <t>QUR49137.1</t>
  </si>
  <si>
    <t>FQN59_12790</t>
  </si>
  <si>
    <t>QUR49138.1</t>
  </si>
  <si>
    <t>FQN59_12795</t>
  </si>
  <si>
    <t>QUR49139.1</t>
  </si>
  <si>
    <t>FQN59_12800</t>
  </si>
  <si>
    <t>QUR49140.1</t>
  </si>
  <si>
    <t>FQN59_12805</t>
  </si>
  <si>
    <t>QUR49141.1</t>
  </si>
  <si>
    <t>FQN59_12810</t>
  </si>
  <si>
    <t>QUR49142.1</t>
  </si>
  <si>
    <t>FQN59_12815</t>
  </si>
  <si>
    <t>QUR49143.1</t>
  </si>
  <si>
    <t>FQN59_12820</t>
  </si>
  <si>
    <t>QUR49144.1</t>
  </si>
  <si>
    <t>FQN59_12825</t>
  </si>
  <si>
    <t>QUR49145.1</t>
  </si>
  <si>
    <t>FQN59_12830</t>
  </si>
  <si>
    <t>QUR49146.1</t>
  </si>
  <si>
    <t>FQN59_12835</t>
  </si>
  <si>
    <t>QUR49147.1</t>
  </si>
  <si>
    <t>FQN59_12840</t>
  </si>
  <si>
    <t>QUR49148.1</t>
  </si>
  <si>
    <t>FQN59_12845</t>
  </si>
  <si>
    <t>QUR49149.1</t>
  </si>
  <si>
    <t>FQN59_12850</t>
  </si>
  <si>
    <t>QUR49150.1</t>
  </si>
  <si>
    <t>FQN59_12855</t>
  </si>
  <si>
    <t>QUR49151.1</t>
  </si>
  <si>
    <t>FQN59_12860</t>
  </si>
  <si>
    <t>QUR49152.1</t>
  </si>
  <si>
    <t>FQN59_12865</t>
  </si>
  <si>
    <t>QUR49153.1</t>
  </si>
  <si>
    <t>FQN59_12870</t>
  </si>
  <si>
    <t>QUR49154.1</t>
  </si>
  <si>
    <t>FQN59_12875</t>
  </si>
  <si>
    <t>QUR49155.1</t>
  </si>
  <si>
    <t>FQN59_12880</t>
  </si>
  <si>
    <t>QUR51080.1</t>
  </si>
  <si>
    <t>FQN59_12885</t>
  </si>
  <si>
    <t>QUR49156.1</t>
  </si>
  <si>
    <t>FQN59_12890</t>
  </si>
  <si>
    <t>QUR49157.1</t>
  </si>
  <si>
    <t>FQN59_12895</t>
  </si>
  <si>
    <t>QUR51081.1</t>
  </si>
  <si>
    <t>FQN59_12900</t>
  </si>
  <si>
    <t>QUR49158.1</t>
  </si>
  <si>
    <t>FQN59_12905</t>
  </si>
  <si>
    <t>QUR49159.1</t>
  </si>
  <si>
    <t>FQN59_12910</t>
  </si>
  <si>
    <t>QUR49160.1</t>
  </si>
  <si>
    <t>FQN59_12915</t>
  </si>
  <si>
    <t>QUR49161.1</t>
  </si>
  <si>
    <t>FQN59_12920</t>
  </si>
  <si>
    <t>QUR49162.1</t>
  </si>
  <si>
    <t>FQN59_12925</t>
  </si>
  <si>
    <t>QUR49163.1</t>
  </si>
  <si>
    <t>FQN59_12930</t>
  </si>
  <si>
    <t>QUR49164.1</t>
  </si>
  <si>
    <t>FQN59_12935</t>
  </si>
  <si>
    <t>QUR49165.1</t>
  </si>
  <si>
    <t>FQN59_12940</t>
  </si>
  <si>
    <t>QUR49166.1</t>
  </si>
  <si>
    <t>FQN59_12945</t>
  </si>
  <si>
    <t>QUR49167.1</t>
  </si>
  <si>
    <t>FQN59_12950</t>
  </si>
  <si>
    <t>QUR49168.1</t>
  </si>
  <si>
    <t>FQN59_12955</t>
  </si>
  <si>
    <t>QUR49169.1</t>
  </si>
  <si>
    <t>FQN59_12960</t>
  </si>
  <si>
    <t>QUR49170.1</t>
  </si>
  <si>
    <t>FQN59_12965</t>
  </si>
  <si>
    <t>QUR49171.1</t>
  </si>
  <si>
    <t>FQN59_12970</t>
  </si>
  <si>
    <t>QUR49172.1</t>
  </si>
  <si>
    <t>FQN59_12975</t>
  </si>
  <si>
    <t>QUR49173.1</t>
  </si>
  <si>
    <t>FQN59_12980</t>
  </si>
  <si>
    <t>QUR49174.1</t>
  </si>
  <si>
    <t>FQN59_12985</t>
  </si>
  <si>
    <t>QUR49175.1</t>
  </si>
  <si>
    <t>FQN59_12990</t>
  </si>
  <si>
    <t>QUR49176.1</t>
  </si>
  <si>
    <t>FQN59_12995</t>
  </si>
  <si>
    <t>QUR49177.1</t>
  </si>
  <si>
    <t>FQN59_13000</t>
  </si>
  <si>
    <t>QUR49178.1</t>
  </si>
  <si>
    <t>FQN59_13005</t>
  </si>
  <si>
    <t>QUR49179.1</t>
  </si>
  <si>
    <t>FQN59_13010</t>
  </si>
  <si>
    <t>QUR49180.1</t>
  </si>
  <si>
    <t>FQN59_13015</t>
  </si>
  <si>
    <t>QUR49181.1</t>
  </si>
  <si>
    <t>FQN59_13020</t>
  </si>
  <si>
    <t>QUR49182.1</t>
  </si>
  <si>
    <t>FQN59_13025</t>
  </si>
  <si>
    <t>QUR49183.1</t>
  </si>
  <si>
    <t>FQN59_13030</t>
  </si>
  <si>
    <t>QUR49184.1</t>
  </si>
  <si>
    <t>FQN59_13035</t>
  </si>
  <si>
    <t>QUR49185.1</t>
  </si>
  <si>
    <t>FQN59_13040</t>
  </si>
  <si>
    <t>QUR49186.1</t>
  </si>
  <si>
    <t>FQN59_13045</t>
  </si>
  <si>
    <t>QUR49187.1</t>
  </si>
  <si>
    <t>FQN59_13050</t>
  </si>
  <si>
    <t>QUR49188.1</t>
  </si>
  <si>
    <t>FQN59_13055</t>
  </si>
  <si>
    <t>QUR49189.1</t>
  </si>
  <si>
    <t>FQN59_13060</t>
  </si>
  <si>
    <t>QUR49190.1</t>
  </si>
  <si>
    <t>FQN59_13065</t>
  </si>
  <si>
    <t>QUR49191.1</t>
  </si>
  <si>
    <t>FQN59_13070</t>
  </si>
  <si>
    <t>QUR49192.1</t>
  </si>
  <si>
    <t>FQN59_13075</t>
  </si>
  <si>
    <t>QUR49193.1</t>
  </si>
  <si>
    <t>FQN59_13080</t>
  </si>
  <si>
    <t>QUR49194.1</t>
  </si>
  <si>
    <t>FQN59_13085</t>
  </si>
  <si>
    <t>QUR49195.1</t>
  </si>
  <si>
    <t>FQN59_13090</t>
  </si>
  <si>
    <t>QUR49196.1</t>
  </si>
  <si>
    <t>FQN59_13095</t>
  </si>
  <si>
    <t>QUR49197.1</t>
  </si>
  <si>
    <t>FQN59_13100</t>
  </si>
  <si>
    <t>QUR49198.1</t>
  </si>
  <si>
    <t>FQN59_13105</t>
  </si>
  <si>
    <t>QUR49199.1</t>
  </si>
  <si>
    <t>FQN59_13110</t>
  </si>
  <si>
    <t>QUR49200.1</t>
  </si>
  <si>
    <t>FQN59_13115</t>
  </si>
  <si>
    <t>QUR49201.1</t>
  </si>
  <si>
    <t>FQN59_13120</t>
  </si>
  <si>
    <t>QUR49202.1</t>
  </si>
  <si>
    <t>FQN59_13125</t>
  </si>
  <si>
    <t>QUR49203.1</t>
  </si>
  <si>
    <t>FQN59_13130</t>
  </si>
  <si>
    <t>QUR49204.1</t>
  </si>
  <si>
    <t>FQN59_13135</t>
  </si>
  <si>
    <t>QUR49205.1</t>
  </si>
  <si>
    <t>FQN59_13140</t>
  </si>
  <si>
    <t>QUR49206.1</t>
  </si>
  <si>
    <t>FQN59_13145</t>
  </si>
  <si>
    <t>QUR49207.1</t>
  </si>
  <si>
    <t>FQN59_13150</t>
  </si>
  <si>
    <t>QUR49208.1</t>
  </si>
  <si>
    <t>FQN59_13155</t>
  </si>
  <si>
    <t>QUR49209.1</t>
  </si>
  <si>
    <t>FQN59_13160</t>
  </si>
  <si>
    <t>QUR49210.1</t>
  </si>
  <si>
    <t>FQN59_13165</t>
  </si>
  <si>
    <t>QUR49211.1</t>
  </si>
  <si>
    <t>FQN59_13170</t>
  </si>
  <si>
    <t>QUR49212.1</t>
  </si>
  <si>
    <t>FQN59_13175</t>
  </si>
  <si>
    <t>QUR49213.1</t>
  </si>
  <si>
    <t>FQN59_13180</t>
  </si>
  <si>
    <t>FQN59_13185</t>
  </si>
  <si>
    <t>QUR49214.1</t>
  </si>
  <si>
    <t>FQN59_13190</t>
  </si>
  <si>
    <t>QUR49215.1</t>
  </si>
  <si>
    <t>FQN59_13195</t>
  </si>
  <si>
    <t>FQN59_13200</t>
  </si>
  <si>
    <t>FQN59_13205</t>
  </si>
  <si>
    <t>QUR49216.1</t>
  </si>
  <si>
    <t>FQN59_13210</t>
  </si>
  <si>
    <t>FQN59_13215</t>
  </si>
  <si>
    <t>QUR49217.1</t>
  </si>
  <si>
    <t>FQN59_13220</t>
  </si>
  <si>
    <t>QUR49218.1</t>
  </si>
  <si>
    <t>FQN59_13225</t>
  </si>
  <si>
    <t>QUR49219.1</t>
  </si>
  <si>
    <t>FQN59_13230</t>
  </si>
  <si>
    <t>QUR49220.1</t>
  </si>
  <si>
    <t>FQN59_13235</t>
  </si>
  <si>
    <t>QUR49221.1</t>
  </si>
  <si>
    <t>FQN59_13240</t>
  </si>
  <si>
    <t>QUR49222.1</t>
  </si>
  <si>
    <t>FQN59_13245</t>
  </si>
  <si>
    <t>QUR49223.1</t>
  </si>
  <si>
    <t>FQN59_13250</t>
  </si>
  <si>
    <t>QUR49224.1</t>
  </si>
  <si>
    <t>FQN59_13255</t>
  </si>
  <si>
    <t>QUR49225.1</t>
  </si>
  <si>
    <t>FQN59_13260</t>
  </si>
  <si>
    <t>QUR49226.1</t>
  </si>
  <si>
    <t>FQN59_13265</t>
  </si>
  <si>
    <t>QUR49227.1</t>
  </si>
  <si>
    <t>FQN59_13270</t>
  </si>
  <si>
    <t>QUR49228.1</t>
  </si>
  <si>
    <t>FQN59_13275</t>
  </si>
  <si>
    <t>QUR49229.1</t>
  </si>
  <si>
    <t>FQN59_13280</t>
  </si>
  <si>
    <t>FQN59_13285</t>
  </si>
  <si>
    <t>QUR49230.1</t>
  </si>
  <si>
    <t>FQN59_13290</t>
  </si>
  <si>
    <t>QUR49231.1</t>
  </si>
  <si>
    <t>FQN59_13295</t>
  </si>
  <si>
    <t>QUR49232.1</t>
  </si>
  <si>
    <t>FQN59_13300</t>
  </si>
  <si>
    <t>QUR49233.1</t>
  </si>
  <si>
    <t>FQN59_13305</t>
  </si>
  <si>
    <t>QUR49234.1</t>
  </si>
  <si>
    <t>FQN59_13310</t>
  </si>
  <si>
    <t>QUR49235.1</t>
  </si>
  <si>
    <t>FQN59_13315</t>
  </si>
  <si>
    <t>QUR49236.1</t>
  </si>
  <si>
    <t>FQN59_13320</t>
  </si>
  <si>
    <t>QUR49237.1</t>
  </si>
  <si>
    <t>FQN59_13325</t>
  </si>
  <si>
    <t>QUR49238.1</t>
  </si>
  <si>
    <t>FQN59_13330</t>
  </si>
  <si>
    <t>QUR49239.1</t>
  </si>
  <si>
    <t>FQN59_13335</t>
  </si>
  <si>
    <t>QUR49240.1</t>
  </si>
  <si>
    <t>FQN59_13340</t>
  </si>
  <si>
    <t>QUR49241.1</t>
  </si>
  <si>
    <t>FQN59_13345</t>
  </si>
  <si>
    <t>QUR49242.1</t>
  </si>
  <si>
    <t>FQN59_13350</t>
  </si>
  <si>
    <t>QUR49243.1</t>
  </si>
  <si>
    <t>FQN59_13355</t>
  </si>
  <si>
    <t>QUR49244.1</t>
  </si>
  <si>
    <t>FQN59_13360</t>
  </si>
  <si>
    <t>QUR49245.1</t>
  </si>
  <si>
    <t>FQN59_13365</t>
  </si>
  <si>
    <t>FQN59_13370</t>
  </si>
  <si>
    <t>QUR49246.1</t>
  </si>
  <si>
    <t>FQN59_13375</t>
  </si>
  <si>
    <t>QUR49247.1</t>
  </si>
  <si>
    <t>FQN59_13380</t>
  </si>
  <si>
    <t>QUR49248.1</t>
  </si>
  <si>
    <t>FQN59_13385</t>
  </si>
  <si>
    <t>QUR51082.1</t>
  </si>
  <si>
    <t>FQN59_13390</t>
  </si>
  <si>
    <t>QUR49249.1</t>
  </si>
  <si>
    <t>FQN59_13395</t>
  </si>
  <si>
    <t>QUR49250.1</t>
  </si>
  <si>
    <t>FQN59_13400</t>
  </si>
  <si>
    <t>QUR49251.1</t>
  </si>
  <si>
    <t>FQN59_13405</t>
  </si>
  <si>
    <t>QUR49252.1</t>
  </si>
  <si>
    <t>FQN59_13410</t>
  </si>
  <si>
    <t>QUR49253.1</t>
  </si>
  <si>
    <t>FQN59_13415</t>
  </si>
  <si>
    <t>QUR49254.1</t>
  </si>
  <si>
    <t>FQN59_13420</t>
  </si>
  <si>
    <t>FQN59_13425</t>
  </si>
  <si>
    <t>FQN59_13430</t>
  </si>
  <si>
    <t>QUR49255.1</t>
  </si>
  <si>
    <t>FQN59_13435</t>
  </si>
  <si>
    <t>QUR49256.1</t>
  </si>
  <si>
    <t>FQN59_13440</t>
  </si>
  <si>
    <t>QUR49257.1</t>
  </si>
  <si>
    <t>FQN59_13445</t>
  </si>
  <si>
    <t>QUR49258.1</t>
  </si>
  <si>
    <t>FQN59_13450</t>
  </si>
  <si>
    <t>FQN59_13455</t>
  </si>
  <si>
    <t>QUR51083.1</t>
  </si>
  <si>
    <t>FQN59_13460</t>
  </si>
  <si>
    <t>QUR49259.1</t>
  </si>
  <si>
    <t>FQN59_13465</t>
  </si>
  <si>
    <t>QUR49260.1</t>
  </si>
  <si>
    <t>FQN59_13470</t>
  </si>
  <si>
    <t>QUR49261.1</t>
  </si>
  <si>
    <t>FQN59_13475</t>
  </si>
  <si>
    <t>QUR49262.1</t>
  </si>
  <si>
    <t>FQN59_13480</t>
  </si>
  <si>
    <t>QUR49263.1</t>
  </si>
  <si>
    <t>FQN59_13485</t>
  </si>
  <si>
    <t>QUR49264.1</t>
  </si>
  <si>
    <t>FQN59_13490</t>
  </si>
  <si>
    <t>QUR49265.1</t>
  </si>
  <si>
    <t>FQN59_13495</t>
  </si>
  <si>
    <t>QUR49266.1</t>
  </si>
  <si>
    <t>FQN59_13500</t>
  </si>
  <si>
    <t>QUR49267.1</t>
  </si>
  <si>
    <t>FQN59_13505</t>
  </si>
  <si>
    <t>FQN59_13510</t>
  </si>
  <si>
    <t>QUR49268.1</t>
  </si>
  <si>
    <t>FQN59_13515</t>
  </si>
  <si>
    <t>QUR49269.1</t>
  </si>
  <si>
    <t>FQN59_13520</t>
  </si>
  <si>
    <t>QUR49270.1</t>
  </si>
  <si>
    <t>FQN59_13525</t>
  </si>
  <si>
    <t>QUR49271.1</t>
  </si>
  <si>
    <t>FQN59_13530</t>
  </si>
  <si>
    <t>QUR49272.1</t>
  </si>
  <si>
    <t>FQN59_13535</t>
  </si>
  <si>
    <t>FQN59_13540</t>
  </si>
  <si>
    <t>QUR49273.1</t>
  </si>
  <si>
    <t>FQN59_13545</t>
  </si>
  <si>
    <t>QUR49274.1</t>
  </si>
  <si>
    <t>FQN59_13550</t>
  </si>
  <si>
    <t>QUR49275.1</t>
  </si>
  <si>
    <t>FQN59_13555</t>
  </si>
  <si>
    <t>FQN59_13560</t>
  </si>
  <si>
    <t>QUR49276.1</t>
  </si>
  <si>
    <t>FQN59_13565</t>
  </si>
  <si>
    <t>QUR49277.1</t>
  </si>
  <si>
    <t>FQN59_13570</t>
  </si>
  <si>
    <t>QUR49278.1</t>
  </si>
  <si>
    <t>FQN59_13575</t>
  </si>
  <si>
    <t>QUR49279.1</t>
  </si>
  <si>
    <t>FQN59_13580</t>
  </si>
  <si>
    <t>QUR49280.1</t>
  </si>
  <si>
    <t>FQN59_13585</t>
  </si>
  <si>
    <t>QUR49281.1</t>
  </si>
  <si>
    <t>FQN59_13590</t>
  </si>
  <si>
    <t>QUR49282.1</t>
  </si>
  <si>
    <t>FQN59_13595</t>
  </si>
  <si>
    <t>QUR49283.1</t>
  </si>
  <si>
    <t>FQN59_13600</t>
  </si>
  <si>
    <t>QUR49284.1</t>
  </si>
  <si>
    <t>FQN59_13605</t>
  </si>
  <si>
    <t>QUR49285.1</t>
  </si>
  <si>
    <t>FQN59_13610</t>
  </si>
  <si>
    <t>QUR49286.1</t>
  </si>
  <si>
    <t>FQN59_13615</t>
  </si>
  <si>
    <t>QUR49287.1</t>
  </si>
  <si>
    <t>FQN59_13620</t>
  </si>
  <si>
    <t>QUR49288.1</t>
  </si>
  <si>
    <t>FQN59_13625</t>
  </si>
  <si>
    <t>QUR49289.1</t>
  </si>
  <si>
    <t>FQN59_13630</t>
  </si>
  <si>
    <t>QUR49290.1</t>
  </si>
  <si>
    <t>FQN59_13635</t>
  </si>
  <si>
    <t>QUR49291.1</t>
  </si>
  <si>
    <t>FQN59_13640</t>
  </si>
  <si>
    <t>QUR49292.1</t>
  </si>
  <si>
    <t>FQN59_13645</t>
  </si>
  <si>
    <t>QUR49293.1</t>
  </si>
  <si>
    <t>FQN59_13650</t>
  </si>
  <si>
    <t>QUR49294.1</t>
  </si>
  <si>
    <t>FQN59_13655</t>
  </si>
  <si>
    <t>FQN59_13660</t>
  </si>
  <si>
    <t>FQN59_13665</t>
  </si>
  <si>
    <t>QUR49295.1</t>
  </si>
  <si>
    <t>FQN59_13670</t>
  </si>
  <si>
    <t>QUR49296.1</t>
  </si>
  <si>
    <t>FQN59_13675</t>
  </si>
  <si>
    <t>QUR49297.1</t>
  </si>
  <si>
    <t>FQN59_13680</t>
  </si>
  <si>
    <t>QUR51084.1</t>
  </si>
  <si>
    <t>FQN59_13685</t>
  </si>
  <si>
    <t>QUR49298.1</t>
  </si>
  <si>
    <t>FQN59_13690</t>
  </si>
  <si>
    <t>QUR49299.1</t>
  </si>
  <si>
    <t>FQN59_13695</t>
  </si>
  <si>
    <t>QUR49300.1</t>
  </si>
  <si>
    <t>FQN59_13700</t>
  </si>
  <si>
    <t>FQN59_13705</t>
  </si>
  <si>
    <t>FQN59_13710</t>
  </si>
  <si>
    <t>FQN59_13715</t>
  </si>
  <si>
    <t>FQN59_13720</t>
  </si>
  <si>
    <t>FQN59_13725</t>
  </si>
  <si>
    <t>FQN59_13730</t>
  </si>
  <si>
    <t>QUR49301.1</t>
  </si>
  <si>
    <t>FQN59_13735</t>
  </si>
  <si>
    <t>QUR49302.1</t>
  </si>
  <si>
    <t>FQN59_13740</t>
  </si>
  <si>
    <t>QUR49303.1</t>
  </si>
  <si>
    <t>FQN59_13745</t>
  </si>
  <si>
    <t>QUR49304.1</t>
  </si>
  <si>
    <t>FQN59_13750</t>
  </si>
  <si>
    <t>QUR49305.1</t>
  </si>
  <si>
    <t>FQN59_13755</t>
  </si>
  <si>
    <t>QUR49306.1</t>
  </si>
  <si>
    <t>FQN59_13760</t>
  </si>
  <si>
    <t>FQN59_13765</t>
  </si>
  <si>
    <t>QUR49307.1</t>
  </si>
  <si>
    <t>FQN59_13770</t>
  </si>
  <si>
    <t>QUR49308.1</t>
  </si>
  <si>
    <t>FQN59_13775</t>
  </si>
  <si>
    <t>QUR49309.1</t>
  </si>
  <si>
    <t>FQN59_13780</t>
  </si>
  <si>
    <t>QUR49310.1</t>
  </si>
  <si>
    <t>FQN59_13785</t>
  </si>
  <si>
    <t>QUR49311.1</t>
  </si>
  <si>
    <t>FQN59_13790</t>
  </si>
  <si>
    <t>QUR49312.1</t>
  </si>
  <si>
    <t>FQN59_13795</t>
  </si>
  <si>
    <t>QUR49313.1</t>
  </si>
  <si>
    <t>FQN59_13800</t>
  </si>
  <si>
    <t>QUR49314.1</t>
  </si>
  <si>
    <t>FQN59_13805</t>
  </si>
  <si>
    <t>QUR49315.1</t>
  </si>
  <si>
    <t>FQN59_13810</t>
  </si>
  <si>
    <t>QUR49316.1</t>
  </si>
  <si>
    <t>FQN59_13815</t>
  </si>
  <si>
    <t>QUR51085.1</t>
  </si>
  <si>
    <t>FQN59_13820</t>
  </si>
  <si>
    <t>QUR49317.1</t>
  </si>
  <si>
    <t>FQN59_13825</t>
  </si>
  <si>
    <t>QUR49318.1</t>
  </si>
  <si>
    <t>FQN59_13830</t>
  </si>
  <si>
    <t>QUR51086.1</t>
  </si>
  <si>
    <t>FQN59_13835</t>
  </si>
  <si>
    <t>QUR49319.1</t>
  </si>
  <si>
    <t>FQN59_13840</t>
  </si>
  <si>
    <t>QUR49320.1</t>
  </si>
  <si>
    <t>FQN59_13845</t>
  </si>
  <si>
    <t>QUR49321.1</t>
  </si>
  <si>
    <t>FQN59_13850</t>
  </si>
  <si>
    <t>QUR49322.1</t>
  </si>
  <si>
    <t>FQN59_13855</t>
  </si>
  <si>
    <t>FQN59_13860</t>
  </si>
  <si>
    <t>FQN59_13865</t>
  </si>
  <si>
    <t>QUR49323.1</t>
  </si>
  <si>
    <t>FQN59_13870</t>
  </si>
  <si>
    <t>QUR49324.1</t>
  </si>
  <si>
    <t>FQN59_13875</t>
  </si>
  <si>
    <t>QUR49325.1</t>
  </si>
  <si>
    <t>FQN59_13880</t>
  </si>
  <si>
    <t>QUR49326.1</t>
  </si>
  <si>
    <t>FQN59_13885</t>
  </si>
  <si>
    <t>QUR49327.1</t>
  </si>
  <si>
    <t>FQN59_13890</t>
  </si>
  <si>
    <t>QUR49328.1</t>
  </si>
  <si>
    <t>FQN59_13895</t>
  </si>
  <si>
    <t>QUR49329.1</t>
  </si>
  <si>
    <t>FQN59_13900</t>
  </si>
  <si>
    <t>QUR49330.1</t>
  </si>
  <si>
    <t>FQN59_13905</t>
  </si>
  <si>
    <t>QUR49331.1</t>
  </si>
  <si>
    <t>FQN59_13910</t>
  </si>
  <si>
    <t>QUR49332.1</t>
  </si>
  <si>
    <t>FQN59_13915</t>
  </si>
  <si>
    <t>QUR49333.1</t>
  </si>
  <si>
    <t>FQN59_13920</t>
  </si>
  <si>
    <t>QUR49334.1</t>
  </si>
  <si>
    <t>FQN59_13925</t>
  </si>
  <si>
    <t>QUR49335.1</t>
  </si>
  <si>
    <t>FQN59_13930</t>
  </si>
  <si>
    <t>QUR49336.1</t>
  </si>
  <si>
    <t>FQN59_13935</t>
  </si>
  <si>
    <t>QUR49337.1</t>
  </si>
  <si>
    <t>FQN59_13940</t>
  </si>
  <si>
    <t>QUR49338.1</t>
  </si>
  <si>
    <t>FQN59_13945</t>
  </si>
  <si>
    <t>QUR49339.1</t>
  </si>
  <si>
    <t>FQN59_13950</t>
  </si>
  <si>
    <t>QUR49340.1</t>
  </si>
  <si>
    <t>FQN59_13955</t>
  </si>
  <si>
    <t>QUR49341.1</t>
  </si>
  <si>
    <t>FQN59_13960</t>
  </si>
  <si>
    <t>QUR49342.1</t>
  </si>
  <si>
    <t>FQN59_13965</t>
  </si>
  <si>
    <t>QUR49343.1</t>
  </si>
  <si>
    <t>FQN59_13970</t>
  </si>
  <si>
    <t>QUR49344.1</t>
  </si>
  <si>
    <t>FQN59_13975</t>
  </si>
  <si>
    <t>QUR51087.1</t>
  </si>
  <si>
    <t>FQN59_13980</t>
  </si>
  <si>
    <t>QUR49345.1</t>
  </si>
  <si>
    <t>FQN59_13985</t>
  </si>
  <si>
    <t>QUR49346.1</t>
  </si>
  <si>
    <t>FQN59_13990</t>
  </si>
  <si>
    <t>QUR51088.1</t>
  </si>
  <si>
    <t>FQN59_13995</t>
  </si>
  <si>
    <t>QUR49347.1</t>
  </si>
  <si>
    <t>FQN59_14000</t>
  </si>
  <si>
    <t>QUR51089.1</t>
  </si>
  <si>
    <t>FQN59_14005</t>
  </si>
  <si>
    <t>QUR49348.1</t>
  </si>
  <si>
    <t>FQN59_14010</t>
  </si>
  <si>
    <t>QUR49349.1</t>
  </si>
  <si>
    <t>FQN59_14015</t>
  </si>
  <si>
    <t>QUR49350.1</t>
  </si>
  <si>
    <t>FQN59_14020</t>
  </si>
  <si>
    <t>QUR49351.1</t>
  </si>
  <si>
    <t>FQN59_14025</t>
  </si>
  <si>
    <t>QUR49352.1</t>
  </si>
  <si>
    <t>FQN59_14030</t>
  </si>
  <si>
    <t>QUR49353.1</t>
  </si>
  <si>
    <t>FQN59_14035</t>
  </si>
  <si>
    <t>QUR49354.1</t>
  </si>
  <si>
    <t>FQN59_14040</t>
  </si>
  <si>
    <t>QUR49355.1</t>
  </si>
  <si>
    <t>FQN59_14045</t>
  </si>
  <si>
    <t>QUR49356.1</t>
  </si>
  <si>
    <t>FQN59_14050</t>
  </si>
  <si>
    <t>QUR49357.1</t>
  </si>
  <si>
    <t>FQN59_14055</t>
  </si>
  <si>
    <t>QUR49358.1</t>
  </si>
  <si>
    <t>FQN59_14060</t>
  </si>
  <si>
    <t>QUR49359.1</t>
  </si>
  <si>
    <t>FQN59_14065</t>
  </si>
  <si>
    <t>QUR49360.1</t>
  </si>
  <si>
    <t>FQN59_14070</t>
  </si>
  <si>
    <t>QUR49361.1</t>
  </si>
  <si>
    <t>FQN59_14075</t>
  </si>
  <si>
    <t>QUR49362.1</t>
  </si>
  <si>
    <t>FQN59_14080</t>
  </si>
  <si>
    <t>QUR49363.1</t>
  </si>
  <si>
    <t>FQN59_14085</t>
  </si>
  <si>
    <t>QUR49364.1</t>
  </si>
  <si>
    <t>FQN59_14090</t>
  </si>
  <si>
    <t>QUR49365.1</t>
  </si>
  <si>
    <t>FQN59_14095</t>
  </si>
  <si>
    <t>QUR49366.1</t>
  </si>
  <si>
    <t>FQN59_14100</t>
  </si>
  <si>
    <t>QUR49367.1</t>
  </si>
  <si>
    <t>FQN59_14105</t>
  </si>
  <si>
    <t>QUR49368.1</t>
  </si>
  <si>
    <t>FQN59_14110</t>
  </si>
  <si>
    <t>QUR49369.1</t>
  </si>
  <si>
    <t>FQN59_14115</t>
  </si>
  <si>
    <t>QUR49370.1</t>
  </si>
  <si>
    <t>FQN59_14120</t>
  </si>
  <si>
    <t>QUR49371.1</t>
  </si>
  <si>
    <t>FQN59_14125</t>
  </si>
  <si>
    <t>QUR49372.1</t>
  </si>
  <si>
    <t>FQN59_14130</t>
  </si>
  <si>
    <t>QUR49373.1</t>
  </si>
  <si>
    <t>FQN59_14135</t>
  </si>
  <si>
    <t>QUR49374.1</t>
  </si>
  <si>
    <t>FQN59_14140</t>
  </si>
  <si>
    <t>QUR49375.1</t>
  </si>
  <si>
    <t>FQN59_14145</t>
  </si>
  <si>
    <t>QUR49376.1</t>
  </si>
  <si>
    <t>FQN59_14150</t>
  </si>
  <si>
    <t>QUR49377.1</t>
  </si>
  <si>
    <t>FQN59_14155</t>
  </si>
  <si>
    <t>QUR49378.1</t>
  </si>
  <si>
    <t>FQN59_14160</t>
  </si>
  <si>
    <t>QUR49379.1</t>
  </si>
  <si>
    <t>FQN59_14165</t>
  </si>
  <si>
    <t>QUR49380.1</t>
  </si>
  <si>
    <t>FQN59_14170</t>
  </si>
  <si>
    <t>QUR49381.1</t>
  </si>
  <si>
    <t>FQN59_14175</t>
  </si>
  <si>
    <t>QUR49382.1</t>
  </si>
  <si>
    <t>FQN59_14180</t>
  </si>
  <si>
    <t>QUR49383.1</t>
  </si>
  <si>
    <t>FQN59_14185</t>
  </si>
  <si>
    <t>QUR49384.1</t>
  </si>
  <si>
    <t>FQN59_14190</t>
  </si>
  <si>
    <t>QUR49385.1</t>
  </si>
  <si>
    <t>FQN59_14195</t>
  </si>
  <si>
    <t>QUR49386.1</t>
  </si>
  <si>
    <t>FQN59_14200</t>
  </si>
  <si>
    <t>QUR49387.1</t>
  </si>
  <si>
    <t>FQN59_14205</t>
  </si>
  <si>
    <t>QUR49388.1</t>
  </si>
  <si>
    <t>FQN59_14210</t>
  </si>
  <si>
    <t>QUR49389.1</t>
  </si>
  <si>
    <t>FQN59_14215</t>
  </si>
  <si>
    <t>QUR49390.1</t>
  </si>
  <si>
    <t>FQN59_14220</t>
  </si>
  <si>
    <t>QUR49391.1</t>
  </si>
  <si>
    <t>FQN59_14225</t>
  </si>
  <si>
    <t>QUR49392.1</t>
  </si>
  <si>
    <t>FQN59_14230</t>
  </si>
  <si>
    <t>QUR49393.1</t>
  </si>
  <si>
    <t>FQN59_14235</t>
  </si>
  <si>
    <t>QUR49394.1</t>
  </si>
  <si>
    <t>FQN59_14240</t>
  </si>
  <si>
    <t>QUR49395.1</t>
  </si>
  <si>
    <t>FQN59_14245</t>
  </si>
  <si>
    <t>QUR49396.1</t>
  </si>
  <si>
    <t>FQN59_14250</t>
  </si>
  <si>
    <t>QUR49397.1</t>
  </si>
  <si>
    <t>FQN59_14255</t>
  </si>
  <si>
    <t>QUR49398.1</t>
  </si>
  <si>
    <t>FQN59_14260</t>
  </si>
  <si>
    <t>QUR49399.1</t>
  </si>
  <si>
    <t>FQN59_14265</t>
  </si>
  <si>
    <t>QUR49400.1</t>
  </si>
  <si>
    <t>FQN59_14270</t>
  </si>
  <si>
    <t>QUR49401.1</t>
  </si>
  <si>
    <t>FQN59_14275</t>
  </si>
  <si>
    <t>QUR49402.1</t>
  </si>
  <si>
    <t>FQN59_14280</t>
  </si>
  <si>
    <t>QUR49403.1</t>
  </si>
  <si>
    <t>FQN59_14285</t>
  </si>
  <si>
    <t>QUR49404.1</t>
  </si>
  <si>
    <t>FQN59_14290</t>
  </si>
  <si>
    <t>QUR49405.1</t>
  </si>
  <si>
    <t>FQN59_14295</t>
  </si>
  <si>
    <t>QUR49406.1</t>
  </si>
  <si>
    <t>FQN59_14300</t>
  </si>
  <si>
    <t>QUR49407.1</t>
  </si>
  <si>
    <t>FQN59_14305</t>
  </si>
  <si>
    <t>QUR49408.1</t>
  </si>
  <si>
    <t>FQN59_14310</t>
  </si>
  <si>
    <t>QUR49409.1</t>
  </si>
  <si>
    <t>FQN59_14315</t>
  </si>
  <si>
    <t>QUR49410.1</t>
  </si>
  <si>
    <t>FQN59_14320</t>
  </si>
  <si>
    <t>QUR49411.1</t>
  </si>
  <si>
    <t>FQN59_14325</t>
  </si>
  <si>
    <t>QUR49412.1</t>
  </si>
  <si>
    <t>FQN59_14330</t>
  </si>
  <si>
    <t>QUR49413.1</t>
  </si>
  <si>
    <t>FQN59_14335</t>
  </si>
  <si>
    <t>QUR49414.1</t>
  </si>
  <si>
    <t>FQN59_14340</t>
  </si>
  <si>
    <t>QUR49415.1</t>
  </si>
  <si>
    <t>FQN59_14345</t>
  </si>
  <si>
    <t>QUR49416.1</t>
  </si>
  <si>
    <t>FQN59_14350</t>
  </si>
  <si>
    <t>QUR49417.1</t>
  </si>
  <si>
    <t>FQN59_14355</t>
  </si>
  <si>
    <t>QUR49418.1</t>
  </si>
  <si>
    <t>FQN59_14360</t>
  </si>
  <si>
    <t>QUR49419.1</t>
  </si>
  <si>
    <t>FQN59_14365</t>
  </si>
  <si>
    <t>QUR49420.1</t>
  </si>
  <si>
    <t>FQN59_14370</t>
  </si>
  <si>
    <t>QUR49421.1</t>
  </si>
  <si>
    <t>FQN59_14375</t>
  </si>
  <si>
    <t>QUR49422.1</t>
  </si>
  <si>
    <t>FQN59_14380</t>
  </si>
  <si>
    <t>QUR49423.1</t>
  </si>
  <si>
    <t>FQN59_14385</t>
  </si>
  <si>
    <t>QUR49424.1</t>
  </si>
  <si>
    <t>FQN59_14390</t>
  </si>
  <si>
    <t>QUR49425.1</t>
  </si>
  <si>
    <t>FQN59_14395</t>
  </si>
  <si>
    <t>QUR49426.1</t>
  </si>
  <si>
    <t>FQN59_14400</t>
  </si>
  <si>
    <t>QUR49427.1</t>
  </si>
  <si>
    <t>FQN59_14405</t>
  </si>
  <si>
    <t>FQN59_14410</t>
  </si>
  <si>
    <t>QUR49428.1</t>
  </si>
  <si>
    <t>FQN59_14415</t>
  </si>
  <si>
    <t>QUR49429.1</t>
  </si>
  <si>
    <t>FQN59_14420</t>
  </si>
  <si>
    <t>QUR49430.1</t>
  </si>
  <si>
    <t>FQN59_14425</t>
  </si>
  <si>
    <t>QUR49431.1</t>
  </si>
  <si>
    <t>FQN59_14430</t>
  </si>
  <si>
    <t>QUR49432.1</t>
  </si>
  <si>
    <t>FQN59_14435</t>
  </si>
  <si>
    <t>QUR51090.1</t>
  </si>
  <si>
    <t>FQN59_14440</t>
  </si>
  <si>
    <t>QUR49433.1</t>
  </si>
  <si>
    <t>FQN59_14445</t>
  </si>
  <si>
    <t>QUR49434.1</t>
  </si>
  <si>
    <t>FQN59_14450</t>
  </si>
  <si>
    <t>QUR49435.1</t>
  </si>
  <si>
    <t>FQN59_14455</t>
  </si>
  <si>
    <t>QUR49436.1</t>
  </si>
  <si>
    <t>FQN59_14460</t>
  </si>
  <si>
    <t>QUR49437.1</t>
  </si>
  <si>
    <t>FQN59_14465</t>
  </si>
  <si>
    <t>QUR49438.1</t>
  </si>
  <si>
    <t>FQN59_14470</t>
  </si>
  <si>
    <t>QUR49439.1</t>
  </si>
  <si>
    <t>FQN59_14475</t>
  </si>
  <si>
    <t>QUR49440.1</t>
  </si>
  <si>
    <t>FQN59_14480</t>
  </si>
  <si>
    <t>QUR49441.1</t>
  </si>
  <si>
    <t>FQN59_14485</t>
  </si>
  <si>
    <t>QUR49442.1</t>
  </si>
  <si>
    <t>FQN59_14490</t>
  </si>
  <si>
    <t>QUR49443.1</t>
  </si>
  <si>
    <t>FQN59_14495</t>
  </si>
  <si>
    <t>QUR49444.1</t>
  </si>
  <si>
    <t>FQN59_14500</t>
  </si>
  <si>
    <t>QUR49445.1</t>
  </si>
  <si>
    <t>FQN59_14505</t>
  </si>
  <si>
    <t>QUR49446.1</t>
  </si>
  <si>
    <t>FQN59_14510</t>
  </si>
  <si>
    <t>QUR49447.1</t>
  </si>
  <si>
    <t>FQN59_14515</t>
  </si>
  <si>
    <t>QUR51091.1</t>
  </si>
  <si>
    <t>FQN59_14520</t>
  </si>
  <si>
    <t>QUR49448.1</t>
  </si>
  <si>
    <t>FQN59_14525</t>
  </si>
  <si>
    <t>QUR49449.1</t>
  </si>
  <si>
    <t>FQN59_14530</t>
  </si>
  <si>
    <t>QUR49450.1</t>
  </si>
  <si>
    <t>FQN59_14535</t>
  </si>
  <si>
    <t>QUR49451.1</t>
  </si>
  <si>
    <t>FQN59_14540</t>
  </si>
  <si>
    <t>QUR49452.1</t>
  </si>
  <si>
    <t>FQN59_14545</t>
  </si>
  <si>
    <t>QUR49453.1</t>
  </si>
  <si>
    <t>FQN59_14550</t>
  </si>
  <si>
    <t>QUR49454.1</t>
  </si>
  <si>
    <t>FQN59_14555</t>
  </si>
  <si>
    <t>QUR49455.1</t>
  </si>
  <si>
    <t>FQN59_14560</t>
  </si>
  <si>
    <t>QUR49456.1</t>
  </si>
  <si>
    <t>FQN59_14565</t>
  </si>
  <si>
    <t>QUR49457.1</t>
  </si>
  <si>
    <t>FQN59_14570</t>
  </si>
  <si>
    <t>QUR49458.1</t>
  </si>
  <si>
    <t>FQN59_14575</t>
  </si>
  <si>
    <t>QUR51092.1</t>
  </si>
  <si>
    <t>FQN59_14580</t>
  </si>
  <si>
    <t>FQN59_14585</t>
  </si>
  <si>
    <t>FQN59_14590</t>
  </si>
  <si>
    <t>FQN59_14595</t>
  </si>
  <si>
    <t>FQN59_14600</t>
  </si>
  <si>
    <t>FQN59_14605</t>
  </si>
  <si>
    <t>QUR49459.1</t>
  </si>
  <si>
    <t>FQN59_14610</t>
  </si>
  <si>
    <t>QUR49460.1</t>
  </si>
  <si>
    <t>FQN59_14615</t>
  </si>
  <si>
    <t>QUR49461.1</t>
  </si>
  <si>
    <t>FQN59_14620</t>
  </si>
  <si>
    <t>QUR49462.1</t>
  </si>
  <si>
    <t>FQN59_14625</t>
  </si>
  <si>
    <t>QUR49463.1</t>
  </si>
  <si>
    <t>FQN59_14630</t>
  </si>
  <si>
    <t>QUR49464.1</t>
  </si>
  <si>
    <t>FQN59_14635</t>
  </si>
  <si>
    <t>QUR49465.1</t>
  </si>
  <si>
    <t>FQN59_14640</t>
  </si>
  <si>
    <t>QUR49466.1</t>
  </si>
  <si>
    <t>FQN59_14645</t>
  </si>
  <si>
    <t>QUR49467.1</t>
  </si>
  <si>
    <t>FQN59_14650</t>
  </si>
  <si>
    <t>QUR49468.1</t>
  </si>
  <si>
    <t>FQN59_14655</t>
  </si>
  <si>
    <t>QUR49469.1</t>
  </si>
  <si>
    <t>FQN59_14660</t>
  </si>
  <si>
    <t>QUR49470.1</t>
  </si>
  <si>
    <t>FQN59_14665</t>
  </si>
  <si>
    <t>QUR49471.1</t>
  </si>
  <si>
    <t>FQN59_14670</t>
  </si>
  <si>
    <t>QUR49472.1</t>
  </si>
  <si>
    <t>FQN59_14675</t>
  </si>
  <si>
    <t>QUR49473.1</t>
  </si>
  <si>
    <t>FQN59_14680</t>
  </si>
  <si>
    <t>QUR49474.1</t>
  </si>
  <si>
    <t>FQN59_14685</t>
  </si>
  <si>
    <t>QUR49475.1</t>
  </si>
  <si>
    <t>FQN59_14690</t>
  </si>
  <si>
    <t>QUR49476.1</t>
  </si>
  <si>
    <t>FQN59_14695</t>
  </si>
  <si>
    <t>QUR49477.1</t>
  </si>
  <si>
    <t>FQN59_14700</t>
  </si>
  <si>
    <t>QUR49478.1</t>
  </si>
  <si>
    <t>FQN59_14705</t>
  </si>
  <si>
    <t>QUR49479.1</t>
  </si>
  <si>
    <t>FQN59_14710</t>
  </si>
  <si>
    <t>QUR49480.1</t>
  </si>
  <si>
    <t>FQN59_14715</t>
  </si>
  <si>
    <t>QUR49481.1</t>
  </si>
  <si>
    <t>FQN59_14720</t>
  </si>
  <si>
    <t>QUR49482.1</t>
  </si>
  <si>
    <t>FQN59_14725</t>
  </si>
  <si>
    <t>QUR49483.1</t>
  </si>
  <si>
    <t>FQN59_14730</t>
  </si>
  <si>
    <t>QUR51093.1</t>
  </si>
  <si>
    <t>FQN59_14735</t>
  </si>
  <si>
    <t>QUR49484.1</t>
  </si>
  <si>
    <t>FQN59_14740</t>
  </si>
  <si>
    <t>QUR49485.1</t>
  </si>
  <si>
    <t>FQN59_14745</t>
  </si>
  <si>
    <t>QUR49486.1</t>
  </si>
  <si>
    <t>FQN59_14750</t>
  </si>
  <si>
    <t>QUR49487.1</t>
  </si>
  <si>
    <t>FQN59_14755</t>
  </si>
  <si>
    <t>QUR49488.1</t>
  </si>
  <si>
    <t>FQN59_14760</t>
  </si>
  <si>
    <t>QUR49489.1</t>
  </si>
  <si>
    <t>FQN59_14765</t>
  </si>
  <si>
    <t>QUR49490.1</t>
  </si>
  <si>
    <t>FQN59_14770</t>
  </si>
  <si>
    <t>QUR49491.1</t>
  </si>
  <si>
    <t>FQN59_14775</t>
  </si>
  <si>
    <t>QUR49492.1</t>
  </si>
  <si>
    <t>FQN59_14780</t>
  </si>
  <si>
    <t>QUR49493.1</t>
  </si>
  <si>
    <t>FQN59_14785</t>
  </si>
  <si>
    <t>QUR49494.1</t>
  </si>
  <si>
    <t>FQN59_14790</t>
  </si>
  <si>
    <t>QUR49495.1</t>
  </si>
  <si>
    <t>FQN59_14795</t>
  </si>
  <si>
    <t>QUR49496.1</t>
  </si>
  <si>
    <t>FQN59_14800</t>
  </si>
  <si>
    <t>QUR49497.1</t>
  </si>
  <si>
    <t>FQN59_14805</t>
  </si>
  <si>
    <t>QUR49498.1</t>
  </si>
  <si>
    <t>FQN59_14810</t>
  </si>
  <si>
    <t>QUR49499.1</t>
  </si>
  <si>
    <t>FQN59_14815</t>
  </si>
  <si>
    <t>QUR49500.1</t>
  </si>
  <si>
    <t>FQN59_14820</t>
  </si>
  <si>
    <t>FQN59_14825</t>
  </si>
  <si>
    <t>FQN59_14830</t>
  </si>
  <si>
    <t>QUR49501.1</t>
  </si>
  <si>
    <t>FQN59_14835</t>
  </si>
  <si>
    <t>QUR49502.1</t>
  </si>
  <si>
    <t>FQN59_14840</t>
  </si>
  <si>
    <t>QUR49503.1</t>
  </si>
  <si>
    <t>FQN59_14845</t>
  </si>
  <si>
    <t>QUR49504.1</t>
  </si>
  <si>
    <t>FQN59_14850</t>
  </si>
  <si>
    <t>QUR49505.1</t>
  </si>
  <si>
    <t>FQN59_14855</t>
  </si>
  <si>
    <t>QUR49506.1</t>
  </si>
  <si>
    <t>FQN59_14860</t>
  </si>
  <si>
    <t>QUR49507.1</t>
  </si>
  <si>
    <t>FQN59_14865</t>
  </si>
  <si>
    <t>QUR49508.1</t>
  </si>
  <si>
    <t>FQN59_14870</t>
  </si>
  <si>
    <t>QUR49509.1</t>
  </si>
  <si>
    <t>FQN59_14875</t>
  </si>
  <si>
    <t>QUR49510.1</t>
  </si>
  <si>
    <t>FQN59_14880</t>
  </si>
  <si>
    <t>QUR49511.1</t>
  </si>
  <si>
    <t>FQN59_14885</t>
  </si>
  <si>
    <t>QUR49512.1</t>
  </si>
  <si>
    <t>FQN59_14890</t>
  </si>
  <si>
    <t>QUR49513.1</t>
  </si>
  <si>
    <t>FQN59_14895</t>
  </si>
  <si>
    <t>QUR49514.1</t>
  </si>
  <si>
    <t>FQN59_14900</t>
  </si>
  <si>
    <t>QUR49515.1</t>
  </si>
  <si>
    <t>FQN59_14905</t>
  </si>
  <si>
    <t>QUR49516.1</t>
  </si>
  <si>
    <t>FQN59_14910</t>
  </si>
  <si>
    <t>QUR49517.1</t>
  </si>
  <si>
    <t>FQN59_14915</t>
  </si>
  <si>
    <t>QUR49518.1</t>
  </si>
  <si>
    <t>FQN59_14920</t>
  </si>
  <si>
    <t>QUR49519.1</t>
  </si>
  <si>
    <t>FQN59_14925</t>
  </si>
  <si>
    <t>QUR49520.1</t>
  </si>
  <si>
    <t>FQN59_14930</t>
  </si>
  <si>
    <t>QUR49521.1</t>
  </si>
  <si>
    <t>FQN59_14935</t>
  </si>
  <si>
    <t>FQN59_14940</t>
  </si>
  <si>
    <t>FQN59_14945</t>
  </si>
  <si>
    <t>QUR49522.1</t>
  </si>
  <si>
    <t>FQN59_14950</t>
  </si>
  <si>
    <t>QUR49523.1</t>
  </si>
  <si>
    <t>FQN59_14955</t>
  </si>
  <si>
    <t>QUR49524.1</t>
  </si>
  <si>
    <t>FQN59_14960</t>
  </si>
  <si>
    <t>QUR49525.1</t>
  </si>
  <si>
    <t>FQN59_14965</t>
  </si>
  <si>
    <t>QUR49526.1</t>
  </si>
  <si>
    <t>FQN59_14970</t>
  </si>
  <si>
    <t>QUR49527.1</t>
  </si>
  <si>
    <t>FQN59_14975</t>
  </si>
  <si>
    <t>QUR49528.1</t>
  </si>
  <si>
    <t>FQN59_14980</t>
  </si>
  <si>
    <t>QUR49529.1</t>
  </si>
  <si>
    <t>FQN59_14985</t>
  </si>
  <si>
    <t>QUR49530.1</t>
  </si>
  <si>
    <t>FQN59_14990</t>
  </si>
  <si>
    <t>QUR49531.1</t>
  </si>
  <si>
    <t>FQN59_14995</t>
  </si>
  <si>
    <t>QUR49532.1</t>
  </si>
  <si>
    <t>FQN59_15000</t>
  </si>
  <si>
    <t>QUR49533.1</t>
  </si>
  <si>
    <t>FQN59_15005</t>
  </si>
  <si>
    <t>QUR49534.1</t>
  </si>
  <si>
    <t>FQN59_15010</t>
  </si>
  <si>
    <t>QUR49535.1</t>
  </si>
  <si>
    <t>FQN59_15015</t>
  </si>
  <si>
    <t>QUR49536.1</t>
  </si>
  <si>
    <t>FQN59_15020</t>
  </si>
  <si>
    <t>QUR49537.1</t>
  </si>
  <si>
    <t>FQN59_15025</t>
  </si>
  <si>
    <t>QUR49538.1</t>
  </si>
  <si>
    <t>FQN59_15030</t>
  </si>
  <si>
    <t>QUR49539.1</t>
  </si>
  <si>
    <t>FQN59_15035</t>
  </si>
  <si>
    <t>QUR49540.1</t>
  </si>
  <si>
    <t>FQN59_15040</t>
  </si>
  <si>
    <t>QUR49541.1</t>
  </si>
  <si>
    <t>FQN59_15045</t>
  </si>
  <si>
    <t>FQN59_15050</t>
  </si>
  <si>
    <t>FQN59_15055</t>
  </si>
  <si>
    <t>QUR49542.1</t>
  </si>
  <si>
    <t>FQN59_15060</t>
  </si>
  <si>
    <t>QUR49543.1</t>
  </si>
  <si>
    <t>FQN59_15065</t>
  </si>
  <si>
    <t>QUR49544.1</t>
  </si>
  <si>
    <t>FQN59_15070</t>
  </si>
  <si>
    <t>QUR49545.1</t>
  </si>
  <si>
    <t>FQN59_15075</t>
  </si>
  <si>
    <t>QUR49546.1</t>
  </si>
  <si>
    <t>FQN59_15080</t>
  </si>
  <si>
    <t>QUR49547.1</t>
  </si>
  <si>
    <t>FQN59_15085</t>
  </si>
  <si>
    <t>QUR49548.1</t>
  </si>
  <si>
    <t>FQN59_15090</t>
  </si>
  <si>
    <t>QUR49549.1</t>
  </si>
  <si>
    <t>FQN59_15095</t>
  </si>
  <si>
    <t>QUR49550.1</t>
  </si>
  <si>
    <t>FQN59_15100</t>
  </si>
  <si>
    <t>QUR49551.1</t>
  </si>
  <si>
    <t>FQN59_15105</t>
  </si>
  <si>
    <t>QUR49552.1</t>
  </si>
  <si>
    <t>FQN59_15110</t>
  </si>
  <si>
    <t>QUR49553.1</t>
  </si>
  <si>
    <t>FQN59_15115</t>
  </si>
  <si>
    <t>QUR49554.1</t>
  </si>
  <si>
    <t>FQN59_15120</t>
  </si>
  <si>
    <t>QUR49555.1</t>
  </si>
  <si>
    <t>FQN59_15125</t>
  </si>
  <si>
    <t>QUR49556.1</t>
  </si>
  <si>
    <t>FQN59_15130</t>
  </si>
  <si>
    <t>QUR49557.1</t>
  </si>
  <si>
    <t>FQN59_15135</t>
  </si>
  <si>
    <t>QUR49558.1</t>
  </si>
  <si>
    <t>FQN59_15140</t>
  </si>
  <si>
    <t>QUR49559.1</t>
  </si>
  <si>
    <t>FQN59_15145</t>
  </si>
  <si>
    <t>QUR49560.1</t>
  </si>
  <si>
    <t>FQN59_15150</t>
  </si>
  <si>
    <t>FQN59_15155</t>
  </si>
  <si>
    <t>QUR49561.1</t>
  </si>
  <si>
    <t>FQN59_15160</t>
  </si>
  <si>
    <t>QUR49562.1</t>
  </si>
  <si>
    <t>FQN59_15165</t>
  </si>
  <si>
    <t>QUR49563.1</t>
  </si>
  <si>
    <t>FQN59_15170</t>
  </si>
  <si>
    <t>QUR49564.1</t>
  </si>
  <si>
    <t>FQN59_15175</t>
  </si>
  <si>
    <t>QUR49565.1</t>
  </si>
  <si>
    <t>FQN59_15180</t>
  </si>
  <si>
    <t>QUR49566.1</t>
  </si>
  <si>
    <t>FQN59_15185</t>
  </si>
  <si>
    <t>QUR49567.1</t>
  </si>
  <si>
    <t>FQN59_15190</t>
  </si>
  <si>
    <t>QUR49568.1</t>
  </si>
  <si>
    <t>FQN59_15195</t>
  </si>
  <si>
    <t>QUR49569.1</t>
  </si>
  <si>
    <t>FQN59_15200</t>
  </si>
  <si>
    <t>QUR49570.1</t>
  </si>
  <si>
    <t>FQN59_15205</t>
  </si>
  <si>
    <t>QUR49571.1</t>
  </si>
  <si>
    <t>FQN59_15210</t>
  </si>
  <si>
    <t>QUR49572.1</t>
  </si>
  <si>
    <t>FQN59_15215</t>
  </si>
  <si>
    <t>QUR49573.1</t>
  </si>
  <si>
    <t>FQN59_15220</t>
  </si>
  <si>
    <t>QUR49574.1</t>
  </si>
  <si>
    <t>FQN59_15225</t>
  </si>
  <si>
    <t>QUR49575.1</t>
  </si>
  <si>
    <t>FQN59_15230</t>
  </si>
  <si>
    <t>QUR49576.1</t>
  </si>
  <si>
    <t>FQN59_15235</t>
  </si>
  <si>
    <t>QUR49577.1</t>
  </si>
  <si>
    <t>FQN59_15240</t>
  </si>
  <si>
    <t>QUR49578.1</t>
  </si>
  <si>
    <t>FQN59_15245</t>
  </si>
  <si>
    <t>QUR49579.1</t>
  </si>
  <si>
    <t>FQN59_15250</t>
  </si>
  <si>
    <t>QUR49580.1</t>
  </si>
  <si>
    <t>FQN59_15255</t>
  </si>
  <si>
    <t>QUR49581.1</t>
  </si>
  <si>
    <t>FQN59_15260</t>
  </si>
  <si>
    <t>QUR49582.1</t>
  </si>
  <si>
    <t>FQN59_15265</t>
  </si>
  <si>
    <t>QUR49583.1</t>
  </si>
  <si>
    <t>FQN59_15270</t>
  </si>
  <si>
    <t>QUR49584.1</t>
  </si>
  <si>
    <t>FQN59_15275</t>
  </si>
  <si>
    <t>QUR49585.1</t>
  </si>
  <si>
    <t>FQN59_15280</t>
  </si>
  <si>
    <t>QUR49586.1</t>
  </si>
  <si>
    <t>FQN59_15285</t>
  </si>
  <si>
    <t>QUR49587.1</t>
  </si>
  <si>
    <t>FQN59_15290</t>
  </si>
  <si>
    <t>QUR49588.1</t>
  </si>
  <si>
    <t>FQN59_15295</t>
  </si>
  <si>
    <t>QUR49589.1</t>
  </si>
  <si>
    <t>FQN59_15300</t>
  </si>
  <si>
    <t>QUR49590.1</t>
  </si>
  <si>
    <t>FQN59_15305</t>
  </si>
  <si>
    <t>QUR49591.1</t>
  </si>
  <si>
    <t>FQN59_15310</t>
  </si>
  <si>
    <t>QUR49592.1</t>
  </si>
  <si>
    <t>FQN59_15315</t>
  </si>
  <si>
    <t>QUR49593.1</t>
  </si>
  <si>
    <t>FQN59_15320</t>
  </si>
  <si>
    <t>QUR49594.1</t>
  </si>
  <si>
    <t>FQN59_15325</t>
  </si>
  <si>
    <t>QUR49595.1</t>
  </si>
  <si>
    <t>FQN59_15330</t>
  </si>
  <si>
    <t>QUR49596.1</t>
  </si>
  <si>
    <t>FQN59_15335</t>
  </si>
  <si>
    <t>QUR49597.1</t>
  </si>
  <si>
    <t>FQN59_15340</t>
  </si>
  <si>
    <t>QUR49598.1</t>
  </si>
  <si>
    <t>FQN59_15345</t>
  </si>
  <si>
    <t>QUR49599.1</t>
  </si>
  <si>
    <t>FQN59_15350</t>
  </si>
  <si>
    <t>QUR49600.1</t>
  </si>
  <si>
    <t>FQN59_15355</t>
  </si>
  <si>
    <t>QUR49601.1</t>
  </si>
  <si>
    <t>FQN59_15360</t>
  </si>
  <si>
    <t>QUR49602.1</t>
  </si>
  <si>
    <t>FQN59_15365</t>
  </si>
  <si>
    <t>QUR49603.1</t>
  </si>
  <si>
    <t>FQN59_15370</t>
  </si>
  <si>
    <t>QUR49604.1</t>
  </si>
  <si>
    <t>FQN59_15375</t>
  </si>
  <si>
    <t>QUR49605.1</t>
  </si>
  <si>
    <t>FQN59_15380</t>
  </si>
  <si>
    <t>QUR49606.1</t>
  </si>
  <si>
    <t>FQN59_15385</t>
  </si>
  <si>
    <t>QUR49607.1</t>
  </si>
  <si>
    <t>FQN59_15390</t>
  </si>
  <si>
    <t>QUR49608.1</t>
  </si>
  <si>
    <t>FQN59_15395</t>
  </si>
  <si>
    <t>QUR49609.1</t>
  </si>
  <si>
    <t>FQN59_15400</t>
  </si>
  <si>
    <t>QUR49610.1</t>
  </si>
  <si>
    <t>FQN59_15405</t>
  </si>
  <si>
    <t>QUR49611.1</t>
  </si>
  <si>
    <t>FQN59_15410</t>
  </si>
  <si>
    <t>QUR49612.1</t>
  </si>
  <si>
    <t>FQN59_15415</t>
  </si>
  <si>
    <t>QUR49613.1</t>
  </si>
  <si>
    <t>FQN59_15420</t>
  </si>
  <si>
    <t>QUR49614.1</t>
  </si>
  <si>
    <t>FQN59_15425</t>
  </si>
  <si>
    <t>QUR49615.1</t>
  </si>
  <si>
    <t>FQN59_15430</t>
  </si>
  <si>
    <t>QUR49616.1</t>
  </si>
  <si>
    <t>FQN59_15435</t>
  </si>
  <si>
    <t>QUR49617.1</t>
  </si>
  <si>
    <t>FQN59_15440</t>
  </si>
  <si>
    <t>QUR49618.1</t>
  </si>
  <si>
    <t>FQN59_15445</t>
  </si>
  <si>
    <t>QUR49619.1</t>
  </si>
  <si>
    <t>FQN59_15450</t>
  </si>
  <si>
    <t>QUR49620.1</t>
  </si>
  <si>
    <t>FQN59_15455</t>
  </si>
  <si>
    <t>QUR49621.1</t>
  </si>
  <si>
    <t>FQN59_15460</t>
  </si>
  <si>
    <t>QUR49622.1</t>
  </si>
  <si>
    <t>FQN59_15465</t>
  </si>
  <si>
    <t>QUR49623.1</t>
  </si>
  <si>
    <t>FQN59_15470</t>
  </si>
  <si>
    <t>QUR49624.1</t>
  </si>
  <si>
    <t>FQN59_15475</t>
  </si>
  <si>
    <t>QUR49625.1</t>
  </si>
  <si>
    <t>FQN59_15480</t>
  </si>
  <si>
    <t>QUR49626.1</t>
  </si>
  <si>
    <t>FQN59_15485</t>
  </si>
  <si>
    <t>QUR49627.1</t>
  </si>
  <si>
    <t>FQN59_15490</t>
  </si>
  <si>
    <t>QUR49628.1</t>
  </si>
  <si>
    <t>FQN59_15495</t>
  </si>
  <si>
    <t>QUR49629.1</t>
  </si>
  <si>
    <t>FQN59_15500</t>
  </si>
  <si>
    <t>QUR49630.1</t>
  </si>
  <si>
    <t>FQN59_15505</t>
  </si>
  <si>
    <t>QUR49631.1</t>
  </si>
  <si>
    <t>FQN59_15510</t>
  </si>
  <si>
    <t>QUR49632.1</t>
  </si>
  <si>
    <t>FQN59_15515</t>
  </si>
  <si>
    <t>QUR49633.1</t>
  </si>
  <si>
    <t>FQN59_15520</t>
  </si>
  <si>
    <t>QUR49634.1</t>
  </si>
  <si>
    <t>FQN59_15525</t>
  </si>
  <si>
    <t>QUR49635.1</t>
  </si>
  <si>
    <t>FQN59_15530</t>
  </si>
  <si>
    <t>QUR49636.1</t>
  </si>
  <si>
    <t>FQN59_15535</t>
  </si>
  <si>
    <t>QUR49637.1</t>
  </si>
  <si>
    <t>FQN59_15540</t>
  </si>
  <si>
    <t>QUR49638.1</t>
  </si>
  <si>
    <t>FQN59_15545</t>
  </si>
  <si>
    <t>QUR49639.1</t>
  </si>
  <si>
    <t>FQN59_15550</t>
  </si>
  <si>
    <t>QUR49640.1</t>
  </si>
  <si>
    <t>FQN59_15555</t>
  </si>
  <si>
    <t>QUR49641.1</t>
  </si>
  <si>
    <t>FQN59_15560</t>
  </si>
  <si>
    <t>QUR49642.1</t>
  </si>
  <si>
    <t>FQN59_15565</t>
  </si>
  <si>
    <t>QUR49643.1</t>
  </si>
  <si>
    <t>FQN59_15570</t>
  </si>
  <si>
    <t>QUR49644.1</t>
  </si>
  <si>
    <t>FQN59_15575</t>
  </si>
  <si>
    <t>QUR49645.1</t>
  </si>
  <si>
    <t>FQN59_15580</t>
  </si>
  <si>
    <t>QUR49646.1</t>
  </si>
  <si>
    <t>FQN59_15585</t>
  </si>
  <si>
    <t>QUR49647.1</t>
  </si>
  <si>
    <t>FQN59_15590</t>
  </si>
  <si>
    <t>QUR49648.1</t>
  </si>
  <si>
    <t>FQN59_15595</t>
  </si>
  <si>
    <t>QUR49649.1</t>
  </si>
  <si>
    <t>FQN59_15600</t>
  </si>
  <si>
    <t>QUR49650.1</t>
  </si>
  <si>
    <t>FQN59_15605</t>
  </si>
  <si>
    <t>QUR49651.1</t>
  </si>
  <si>
    <t>FQN59_15610</t>
  </si>
  <si>
    <t>QUR49652.1</t>
  </si>
  <si>
    <t>FQN59_15615</t>
  </si>
  <si>
    <t>QUR49653.1</t>
  </si>
  <si>
    <t>FQN59_15620</t>
  </si>
  <si>
    <t>QUR49654.1</t>
  </si>
  <si>
    <t>FQN59_15625</t>
  </si>
  <si>
    <t>QUR49655.1</t>
  </si>
  <si>
    <t>FQN59_15630</t>
  </si>
  <si>
    <t>QUR49656.1</t>
  </si>
  <si>
    <t>FQN59_15635</t>
  </si>
  <si>
    <t>QUR49657.1</t>
  </si>
  <si>
    <t>FQN59_15640</t>
  </si>
  <si>
    <t>QUR49658.1</t>
  </si>
  <si>
    <t>FQN59_15645</t>
  </si>
  <si>
    <t>QUR49659.1</t>
  </si>
  <si>
    <t>FQN59_15650</t>
  </si>
  <si>
    <t>QUR49660.1</t>
  </si>
  <si>
    <t>FQN59_15655</t>
  </si>
  <si>
    <t>QUR49661.1</t>
  </si>
  <si>
    <t>FQN59_15660</t>
  </si>
  <si>
    <t>QUR49662.1</t>
  </si>
  <si>
    <t>FQN59_15665</t>
  </si>
  <si>
    <t>QUR49663.1</t>
  </si>
  <si>
    <t>FQN59_15670</t>
  </si>
  <si>
    <t>QUR49664.1</t>
  </si>
  <si>
    <t>FQN59_15675</t>
  </si>
  <si>
    <t>QUR49665.1</t>
  </si>
  <si>
    <t>FQN59_15680</t>
  </si>
  <si>
    <t>QUR49666.1</t>
  </si>
  <si>
    <t>FQN59_15685</t>
  </si>
  <si>
    <t>QUR49667.1</t>
  </si>
  <si>
    <t>FQN59_15690</t>
  </si>
  <si>
    <t>QUR49668.1</t>
  </si>
  <si>
    <t>FQN59_15695</t>
  </si>
  <si>
    <t>QUR49669.1</t>
  </si>
  <si>
    <t>FQN59_15700</t>
  </si>
  <si>
    <t>QUR49670.1</t>
  </si>
  <si>
    <t>FQN59_15705</t>
  </si>
  <si>
    <t>FQN59_15710</t>
  </si>
  <si>
    <t>QUR49671.1</t>
  </si>
  <si>
    <t>FQN59_15715</t>
  </si>
  <si>
    <t>QUR49672.1</t>
  </si>
  <si>
    <t>FQN59_15720</t>
  </si>
  <si>
    <t>QUR49673.1</t>
  </si>
  <si>
    <t>FQN59_15725</t>
  </si>
  <si>
    <t>QUR49674.1</t>
  </si>
  <si>
    <t>FQN59_15730</t>
  </si>
  <si>
    <t>QUR49675.1</t>
  </si>
  <si>
    <t>FQN59_15735</t>
  </si>
  <si>
    <t>QUR49676.1</t>
  </si>
  <si>
    <t>FQN59_15740</t>
  </si>
  <si>
    <t>QUR49677.1</t>
  </si>
  <si>
    <t>FQN59_15745</t>
  </si>
  <si>
    <t>QUR49678.1</t>
  </si>
  <si>
    <t>FQN59_15750</t>
  </si>
  <si>
    <t>QUR49679.1</t>
  </si>
  <si>
    <t>FQN59_15755</t>
  </si>
  <si>
    <t>FQN59_15760</t>
  </si>
  <si>
    <t>QUR49680.1</t>
  </si>
  <si>
    <t>FQN59_15765</t>
  </si>
  <si>
    <t>QUR49681.1</t>
  </si>
  <si>
    <t>FQN59_15770</t>
  </si>
  <si>
    <t>FQN59_15775</t>
  </si>
  <si>
    <t>QUR49682.1</t>
  </si>
  <si>
    <t>FQN59_15780</t>
  </si>
  <si>
    <t>QUR49683.1</t>
  </si>
  <si>
    <t>FQN59_15785</t>
  </si>
  <si>
    <t>QUR49684.1</t>
  </si>
  <si>
    <t>FQN59_15790</t>
  </si>
  <si>
    <t>QUR49685.1</t>
  </si>
  <si>
    <t>FQN59_15795</t>
  </si>
  <si>
    <t>FQN59_15800</t>
  </si>
  <si>
    <t>FQN59_15805</t>
  </si>
  <si>
    <t>FQN59_15810</t>
  </si>
  <si>
    <t>FQN59_15815</t>
  </si>
  <si>
    <t>FQN59_15820</t>
  </si>
  <si>
    <t>FQN59_15825</t>
  </si>
  <si>
    <t>QUR49686.1</t>
  </si>
  <si>
    <t>FQN59_15830</t>
  </si>
  <si>
    <t>QUR49687.1</t>
  </si>
  <si>
    <t>FQN59_15835</t>
  </si>
  <si>
    <t>QUR49688.1</t>
  </si>
  <si>
    <t>FQN59_15840</t>
  </si>
  <si>
    <t>QUR49689.1</t>
  </si>
  <si>
    <t>FQN59_15845</t>
  </si>
  <si>
    <t>QUR49690.1</t>
  </si>
  <si>
    <t>FQN59_15850</t>
  </si>
  <si>
    <t>QUR49691.1</t>
  </si>
  <si>
    <t>FQN59_15855</t>
  </si>
  <si>
    <t>QUR49692.1</t>
  </si>
  <si>
    <t>FQN59_15860</t>
  </si>
  <si>
    <t>QUR49693.1</t>
  </si>
  <si>
    <t>FQN59_15865</t>
  </si>
  <si>
    <t>QUR49694.1</t>
  </si>
  <si>
    <t>FQN59_15870</t>
  </si>
  <si>
    <t>QUR49695.1</t>
  </si>
  <si>
    <t>FQN59_15875</t>
  </si>
  <si>
    <t>QUR49696.1</t>
  </si>
  <si>
    <t>FQN59_15880</t>
  </si>
  <si>
    <t>QUR49697.1</t>
  </si>
  <si>
    <t>FQN59_15885</t>
  </si>
  <si>
    <t>QUR49698.1</t>
  </si>
  <si>
    <t>FQN59_15890</t>
  </si>
  <si>
    <t>QUR49699.1</t>
  </si>
  <si>
    <t>FQN59_15895</t>
  </si>
  <si>
    <t>QUR49700.1</t>
  </si>
  <si>
    <t>FQN59_15900</t>
  </si>
  <si>
    <t>QUR49701.1</t>
  </si>
  <si>
    <t>FQN59_15905</t>
  </si>
  <si>
    <t>QUR49702.1</t>
  </si>
  <si>
    <t>FQN59_15910</t>
  </si>
  <si>
    <t>QUR49703.1</t>
  </si>
  <si>
    <t>FQN59_15915</t>
  </si>
  <si>
    <t>QUR49704.1</t>
  </si>
  <si>
    <t>FQN59_15920</t>
  </si>
  <si>
    <t>QUR49705.1</t>
  </si>
  <si>
    <t>FQN59_15925</t>
  </si>
  <si>
    <t>QUR49706.1</t>
  </si>
  <si>
    <t>FQN59_15930</t>
  </si>
  <si>
    <t>QUR49707.1</t>
  </si>
  <si>
    <t>FQN59_15935</t>
  </si>
  <si>
    <t>QUR49708.1</t>
  </si>
  <si>
    <t>FQN59_15940</t>
  </si>
  <si>
    <t>QUR49709.1</t>
  </si>
  <si>
    <t>FQN59_15945</t>
  </si>
  <si>
    <t>QUR49710.1</t>
  </si>
  <si>
    <t>FQN59_15950</t>
  </si>
  <si>
    <t>QUR49711.1</t>
  </si>
  <si>
    <t>FQN59_15955</t>
  </si>
  <si>
    <t>QUR49712.1</t>
  </si>
  <si>
    <t>FQN59_15960</t>
  </si>
  <si>
    <t>QUR49713.1</t>
  </si>
  <si>
    <t>FQN59_15965</t>
  </si>
  <si>
    <t>QUR49714.1</t>
  </si>
  <si>
    <t>FQN59_15970</t>
  </si>
  <si>
    <t>QUR49715.1</t>
  </si>
  <si>
    <t>FQN59_15975</t>
  </si>
  <si>
    <t>QUR49716.1</t>
  </si>
  <si>
    <t>FQN59_15980</t>
  </si>
  <si>
    <t>QUR49717.1</t>
  </si>
  <si>
    <t>FQN59_15985</t>
  </si>
  <si>
    <t>QUR49718.1</t>
  </si>
  <si>
    <t>FQN59_15990</t>
  </si>
  <si>
    <t>QUR49719.1</t>
  </si>
  <si>
    <t>FQN59_15995</t>
  </si>
  <si>
    <t>QUR49720.1</t>
  </si>
  <si>
    <t>FQN59_16000</t>
  </si>
  <si>
    <t>QUR49721.1</t>
  </si>
  <si>
    <t>FQN59_16005</t>
  </si>
  <si>
    <t>QUR49722.1</t>
  </si>
  <si>
    <t>FQN59_16010</t>
  </si>
  <si>
    <t>QUR49723.1</t>
  </si>
  <si>
    <t>FQN59_16015</t>
  </si>
  <si>
    <t>QUR49724.1</t>
  </si>
  <si>
    <t>FQN59_16020</t>
  </si>
  <si>
    <t>QUR49725.1</t>
  </si>
  <si>
    <t>FQN59_16025</t>
  </si>
  <si>
    <t>QUR49726.1</t>
  </si>
  <si>
    <t>FQN59_16030</t>
  </si>
  <si>
    <t>QUR51094.1</t>
  </si>
  <si>
    <t>FQN59_16035</t>
  </si>
  <si>
    <t>QUR49727.1</t>
  </si>
  <si>
    <t>FQN59_16040</t>
  </si>
  <si>
    <t>QUR49728.1</t>
  </si>
  <si>
    <t>FQN59_16045</t>
  </si>
  <si>
    <t>QUR49729.1</t>
  </si>
  <si>
    <t>FQN59_16050</t>
  </si>
  <si>
    <t>QUR49730.1</t>
  </si>
  <si>
    <t>FQN59_16055</t>
  </si>
  <si>
    <t>QUR49731.1</t>
  </si>
  <si>
    <t>FQN59_16060</t>
  </si>
  <si>
    <t>QUR49732.1</t>
  </si>
  <si>
    <t>FQN59_16065</t>
  </si>
  <si>
    <t>QUR49733.1</t>
  </si>
  <si>
    <t>FQN59_16070</t>
  </si>
  <si>
    <t>QUR49734.1</t>
  </si>
  <si>
    <t>FQN59_16075</t>
  </si>
  <si>
    <t>QUR49735.1</t>
  </si>
  <si>
    <t>FQN59_16080</t>
  </si>
  <si>
    <t>QUR49736.1</t>
  </si>
  <si>
    <t>FQN59_16085</t>
  </si>
  <si>
    <t>QUR49737.1</t>
  </si>
  <si>
    <t>FQN59_16090</t>
  </si>
  <si>
    <t>QUR49738.1</t>
  </si>
  <si>
    <t>FQN59_16095</t>
  </si>
  <si>
    <t>QUR49739.1</t>
  </si>
  <si>
    <t>FQN59_16100</t>
  </si>
  <si>
    <t>QUR49740.1</t>
  </si>
  <si>
    <t>FQN59_16105</t>
  </si>
  <si>
    <t>QUR49741.1</t>
  </si>
  <si>
    <t>FQN59_16110</t>
  </si>
  <si>
    <t>QUR49742.1</t>
  </si>
  <si>
    <t>FQN59_16115</t>
  </si>
  <si>
    <t>QUR49743.1</t>
  </si>
  <si>
    <t>FQN59_16120</t>
  </si>
  <si>
    <t>QUR49744.1</t>
  </si>
  <si>
    <t>FQN59_16125</t>
  </si>
  <si>
    <t>QUR49745.1</t>
  </si>
  <si>
    <t>FQN59_16130</t>
  </si>
  <si>
    <t>QUR49746.1</t>
  </si>
  <si>
    <t>FQN59_16135</t>
  </si>
  <si>
    <t>QUR49747.1</t>
  </si>
  <si>
    <t>FQN59_16140</t>
  </si>
  <si>
    <t>QUR49748.1</t>
  </si>
  <si>
    <t>FQN59_16145</t>
  </si>
  <si>
    <t>QUR49749.1</t>
  </si>
  <si>
    <t>FQN59_16150</t>
  </si>
  <si>
    <t>QUR49750.1</t>
  </si>
  <si>
    <t>FQN59_16155</t>
  </si>
  <si>
    <t>QUR49751.1</t>
  </si>
  <si>
    <t>FQN59_16160</t>
  </si>
  <si>
    <t>QUR49752.1</t>
  </si>
  <si>
    <t>FQN59_16165</t>
  </si>
  <si>
    <t>QUR49753.1</t>
  </si>
  <si>
    <t>FQN59_16170</t>
  </si>
  <si>
    <t>QUR49754.1</t>
  </si>
  <si>
    <t>FQN59_16175</t>
  </si>
  <si>
    <t>QUR49755.1</t>
  </si>
  <si>
    <t>FQN59_16180</t>
  </si>
  <si>
    <t>QUR49756.1</t>
  </si>
  <si>
    <t>FQN59_16185</t>
  </si>
  <si>
    <t>QUR49757.1</t>
  </si>
  <si>
    <t>FQN59_16190</t>
  </si>
  <si>
    <t>QUR49758.1</t>
  </si>
  <si>
    <t>FQN59_16195</t>
  </si>
  <si>
    <t>QUR49759.1</t>
  </si>
  <si>
    <t>FQN59_16200</t>
  </si>
  <si>
    <t>QUR49760.1</t>
  </si>
  <si>
    <t>FQN59_16205</t>
  </si>
  <si>
    <t>QUR51095.1</t>
  </si>
  <si>
    <t>FQN59_16210</t>
  </si>
  <si>
    <t>QUR49761.1</t>
  </si>
  <si>
    <t>FQN59_16215</t>
  </si>
  <si>
    <t>QUR49762.1</t>
  </si>
  <si>
    <t>FQN59_16220</t>
  </si>
  <si>
    <t>QUR49763.1</t>
  </si>
  <si>
    <t>FQN59_16225</t>
  </si>
  <si>
    <t>QUR49764.1</t>
  </si>
  <si>
    <t>FQN59_16230</t>
  </si>
  <si>
    <t>FQN59_16235</t>
  </si>
  <si>
    <t>QUR51096.1</t>
  </si>
  <si>
    <t>FQN59_16240</t>
  </si>
  <si>
    <t>QUR49765.1</t>
  </si>
  <si>
    <t>FQN59_16245</t>
  </si>
  <si>
    <t>QUR49766.1</t>
  </si>
  <si>
    <t>FQN59_16250</t>
  </si>
  <si>
    <t>QUR49767.1</t>
  </si>
  <si>
    <t>FQN59_16255</t>
  </si>
  <si>
    <t>QUR49768.1</t>
  </si>
  <si>
    <t>FQN59_16260</t>
  </si>
  <si>
    <t>QUR49769.1</t>
  </si>
  <si>
    <t>FQN59_16265</t>
  </si>
  <si>
    <t>QUR49770.1</t>
  </si>
  <si>
    <t>FQN59_16270</t>
  </si>
  <si>
    <t>QUR49771.1</t>
  </si>
  <si>
    <t>FQN59_16275</t>
  </si>
  <si>
    <t>QUR49772.1</t>
  </si>
  <si>
    <t>FQN59_16280</t>
  </si>
  <si>
    <t>QUR49773.1</t>
  </si>
  <si>
    <t>FQN59_16285</t>
  </si>
  <si>
    <t>QUR49774.1</t>
  </si>
  <si>
    <t>FQN59_16290</t>
  </si>
  <si>
    <t>QUR49775.1</t>
  </si>
  <si>
    <t>FQN59_16295</t>
  </si>
  <si>
    <t>QUR49776.1</t>
  </si>
  <si>
    <t>FQN59_16300</t>
  </si>
  <si>
    <t>QUR49777.1</t>
  </si>
  <si>
    <t>FQN59_16305</t>
  </si>
  <si>
    <t>QUR49778.1</t>
  </si>
  <si>
    <t>FQN59_16310</t>
  </si>
  <si>
    <t>QUR49779.1</t>
  </si>
  <si>
    <t>FQN59_16315</t>
  </si>
  <si>
    <t>QUR49780.1</t>
  </si>
  <si>
    <t>FQN59_16320</t>
  </si>
  <si>
    <t>QUR49781.1</t>
  </si>
  <si>
    <t>FQN59_16325</t>
  </si>
  <si>
    <t>QUR49782.1</t>
  </si>
  <si>
    <t>FQN59_16330</t>
  </si>
  <si>
    <t>QUR49783.1</t>
  </si>
  <si>
    <t>FQN59_16335</t>
  </si>
  <si>
    <t>QUR49784.1</t>
  </si>
  <si>
    <t>FQN59_16340</t>
  </si>
  <si>
    <t>QUR49785.1</t>
  </si>
  <si>
    <t>FQN59_16345</t>
  </si>
  <si>
    <t>QUR49786.1</t>
  </si>
  <si>
    <t>FQN59_16350</t>
  </si>
  <si>
    <t>QUR49787.1</t>
  </si>
  <si>
    <t>FQN59_16355</t>
  </si>
  <si>
    <t>QUR49788.1</t>
  </si>
  <si>
    <t>FQN59_16360</t>
  </si>
  <si>
    <t>QUR49789.1</t>
  </si>
  <si>
    <t>FQN59_16365</t>
  </si>
  <si>
    <t>QUR49790.1</t>
  </si>
  <si>
    <t>FQN59_16370</t>
  </si>
  <si>
    <t>QUR49791.1</t>
  </si>
  <si>
    <t>FQN59_16375</t>
  </si>
  <si>
    <t>QUR49792.1</t>
  </si>
  <si>
    <t>FQN59_16380</t>
  </si>
  <si>
    <t>QUR49793.1</t>
  </si>
  <si>
    <t>FQN59_16385</t>
  </si>
  <si>
    <t>QUR49794.1</t>
  </si>
  <si>
    <t>FQN59_16390</t>
  </si>
  <si>
    <t>QUR49795.1</t>
  </si>
  <si>
    <t>FQN59_16395</t>
  </si>
  <si>
    <t>QUR49796.1</t>
  </si>
  <si>
    <t>FQN59_16400</t>
  </si>
  <si>
    <t>QUR49797.1</t>
  </si>
  <si>
    <t>FQN59_16405</t>
  </si>
  <si>
    <t>QUR49798.1</t>
  </si>
  <si>
    <t>FQN59_16410</t>
  </si>
  <si>
    <t>QUR49799.1</t>
  </si>
  <si>
    <t>FQN59_16415</t>
  </si>
  <si>
    <t>QUR49800.1</t>
  </si>
  <si>
    <t>FQN59_16420</t>
  </si>
  <si>
    <t>QUR49801.1</t>
  </si>
  <si>
    <t>FQN59_16425</t>
  </si>
  <si>
    <t>QUR49802.1</t>
  </si>
  <si>
    <t>FQN59_16430</t>
  </si>
  <si>
    <t>FQN59_16435</t>
  </si>
  <si>
    <t>QUR49803.1</t>
  </si>
  <si>
    <t>FQN59_16440</t>
  </si>
  <si>
    <t>QUR49804.1</t>
  </si>
  <si>
    <t>FQN59_16445</t>
  </si>
  <si>
    <t>FQN59_16450</t>
  </si>
  <si>
    <t>QUR49805.1</t>
  </si>
  <si>
    <t>FQN59_16455</t>
  </si>
  <si>
    <t>QUR49806.1</t>
  </si>
  <si>
    <t>FQN59_16460</t>
  </si>
  <si>
    <t>QUR49807.1</t>
  </si>
  <si>
    <t>FQN59_16465</t>
  </si>
  <si>
    <t>QUR49808.1</t>
  </si>
  <si>
    <t>FQN59_16470</t>
  </si>
  <si>
    <t>QUR49809.1</t>
  </si>
  <si>
    <t>FQN59_16475</t>
  </si>
  <si>
    <t>QUR49810.1</t>
  </si>
  <si>
    <t>FQN59_16480</t>
  </si>
  <si>
    <t>QUR49811.1</t>
  </si>
  <si>
    <t>FQN59_16485</t>
  </si>
  <si>
    <t>QUR49812.1</t>
  </si>
  <si>
    <t>FQN59_16490</t>
  </si>
  <si>
    <t>QUR49813.1</t>
  </si>
  <si>
    <t>FQN59_16495</t>
  </si>
  <si>
    <t>FQN59_16500</t>
  </si>
  <si>
    <t>FQN59_16505</t>
  </si>
  <si>
    <t>FQN59_16510</t>
  </si>
  <si>
    <t>QUR49814.1</t>
  </si>
  <si>
    <t>FQN59_16515</t>
  </si>
  <si>
    <t>QUR49815.1</t>
  </si>
  <si>
    <t>FQN59_16520</t>
  </si>
  <si>
    <t>QUR49816.1</t>
  </si>
  <si>
    <t>FQN59_16525</t>
  </si>
  <si>
    <t>QUR49817.1</t>
  </si>
  <si>
    <t>FQN59_16530</t>
  </si>
  <si>
    <t>QUR49818.1</t>
  </si>
  <si>
    <t>FQN59_16535</t>
  </si>
  <si>
    <t>QUR49819.1</t>
  </si>
  <si>
    <t>FQN59_16540</t>
  </si>
  <si>
    <t>QUR49820.1</t>
  </si>
  <si>
    <t>FQN59_16545</t>
  </si>
  <si>
    <t>QUR49821.1</t>
  </si>
  <si>
    <t>FQN59_16550</t>
  </si>
  <si>
    <t>QUR49822.1</t>
  </si>
  <si>
    <t>FQN59_16555</t>
  </si>
  <si>
    <t>QUR49823.1</t>
  </si>
  <si>
    <t>FQN59_16560</t>
  </si>
  <si>
    <t>QUR49824.1</t>
  </si>
  <si>
    <t>FQN59_16565</t>
  </si>
  <si>
    <t>FQN59_16570</t>
  </si>
  <si>
    <t>QUR49825.1</t>
  </si>
  <si>
    <t>FQN59_16575</t>
  </si>
  <si>
    <t>QUR49826.1</t>
  </si>
  <si>
    <t>FQN59_16580</t>
  </si>
  <si>
    <t>QUR49827.1</t>
  </si>
  <si>
    <t>FQN59_16585</t>
  </si>
  <si>
    <t>QUR49828.1</t>
  </si>
  <si>
    <t>FQN59_16590</t>
  </si>
  <si>
    <t>QUR49829.1</t>
  </si>
  <si>
    <t>FQN59_16595</t>
  </si>
  <si>
    <t>QUR49830.1</t>
  </si>
  <si>
    <t>FQN59_16600</t>
  </si>
  <si>
    <t>QUR49831.1</t>
  </si>
  <si>
    <t>FQN59_16605</t>
  </si>
  <si>
    <t>QUR49832.1</t>
  </si>
  <si>
    <t>FQN59_16610</t>
  </si>
  <si>
    <t>QUR49833.1</t>
  </si>
  <si>
    <t>FQN59_16615</t>
  </si>
  <si>
    <t>QUR49834.1</t>
  </si>
  <si>
    <t>FQN59_16620</t>
  </si>
  <si>
    <t>QUR49835.1</t>
  </si>
  <si>
    <t>FQN59_16625</t>
  </si>
  <si>
    <t>QUR51097.1</t>
  </si>
  <si>
    <t>FQN59_16630</t>
  </si>
  <si>
    <t>QUR49836.1</t>
  </si>
  <si>
    <t>FQN59_16635</t>
  </si>
  <si>
    <t>QUR49837.1</t>
  </si>
  <si>
    <t>FQN59_16640</t>
  </si>
  <si>
    <t>QUR49838.1</t>
  </si>
  <si>
    <t>FQN59_16645</t>
  </si>
  <si>
    <t>QUR49839.1</t>
  </si>
  <si>
    <t>FQN59_16650</t>
  </si>
  <si>
    <t>FQN59_16655</t>
  </si>
  <si>
    <t>QUR49840.1</t>
  </si>
  <si>
    <t>FQN59_16660</t>
  </si>
  <si>
    <t>QUR49841.1</t>
  </si>
  <si>
    <t>FQN59_16665</t>
  </si>
  <si>
    <t>QUR49842.1</t>
  </si>
  <si>
    <t>FQN59_16670</t>
  </si>
  <si>
    <t>QUR49843.1</t>
  </si>
  <si>
    <t>FQN59_16675</t>
  </si>
  <si>
    <t>QUR49844.1</t>
  </si>
  <si>
    <t>FQN59_16680</t>
  </si>
  <si>
    <t>QUR49845.1</t>
  </si>
  <si>
    <t>FQN59_16685</t>
  </si>
  <si>
    <t>QUR49846.1</t>
  </si>
  <si>
    <t>FQN59_16690</t>
  </si>
  <si>
    <t>QUR49847.1</t>
  </si>
  <si>
    <t>FQN59_16695</t>
  </si>
  <si>
    <t>QUR49848.1</t>
  </si>
  <si>
    <t>FQN59_16700</t>
  </si>
  <si>
    <t>QUR49849.1</t>
  </si>
  <si>
    <t>FQN59_16705</t>
  </si>
  <si>
    <t>QUR49850.1</t>
  </si>
  <si>
    <t>FQN59_16710</t>
  </si>
  <si>
    <t>QUR49851.1</t>
  </si>
  <si>
    <t>FQN59_16715</t>
  </si>
  <si>
    <t>QUR51098.1</t>
  </si>
  <si>
    <t>FQN59_16720</t>
  </si>
  <si>
    <t>QUR49852.1</t>
  </si>
  <si>
    <t>FQN59_16725</t>
  </si>
  <si>
    <t>QUR49853.1</t>
  </si>
  <si>
    <t>FQN59_16730</t>
  </si>
  <si>
    <t>QUR49854.1</t>
  </si>
  <si>
    <t>FQN59_16735</t>
  </si>
  <si>
    <t>QUR49855.1</t>
  </si>
  <si>
    <t>FQN59_16740</t>
  </si>
  <si>
    <t>QUR49856.1</t>
  </si>
  <si>
    <t>FQN59_16745</t>
  </si>
  <si>
    <t>QUR49857.1</t>
  </si>
  <si>
    <t>FQN59_16750</t>
  </si>
  <si>
    <t>QUR49858.1</t>
  </si>
  <si>
    <t>FQN59_16755</t>
  </si>
  <si>
    <t>QUR49859.1</t>
  </si>
  <si>
    <t>FQN59_16760</t>
  </si>
  <si>
    <t>QUR49860.1</t>
  </si>
  <si>
    <t>FQN59_16765</t>
  </si>
  <si>
    <t>QUR49861.1</t>
  </si>
  <si>
    <t>FQN59_16770</t>
  </si>
  <si>
    <t>QUR49862.1</t>
  </si>
  <si>
    <t>FQN59_16775</t>
  </si>
  <si>
    <t>QUR49863.1</t>
  </si>
  <si>
    <t>FQN59_16780</t>
  </si>
  <si>
    <t>QUR49864.1</t>
  </si>
  <si>
    <t>FQN59_16785</t>
  </si>
  <si>
    <t>QUR49865.1</t>
  </si>
  <si>
    <t>FQN59_16790</t>
  </si>
  <si>
    <t>QUR49866.1</t>
  </si>
  <si>
    <t>FQN59_16795</t>
  </si>
  <si>
    <t>QUR51099.1</t>
  </si>
  <si>
    <t>FQN59_16800</t>
  </si>
  <si>
    <t>QUR49867.1</t>
  </si>
  <si>
    <t>FQN59_16805</t>
  </si>
  <si>
    <t>QUR49868.1</t>
  </si>
  <si>
    <t>FQN59_16810</t>
  </si>
  <si>
    <t>QUR49869.1</t>
  </si>
  <si>
    <t>FQN59_16815</t>
  </si>
  <si>
    <t>QUR49870.1</t>
  </si>
  <si>
    <t>FQN59_16820</t>
  </si>
  <si>
    <t>QUR49871.1</t>
  </si>
  <si>
    <t>FQN59_16825</t>
  </si>
  <si>
    <t>QUR49872.1</t>
  </si>
  <si>
    <t>FQN59_16830</t>
  </si>
  <si>
    <t>QUR49873.1</t>
  </si>
  <si>
    <t>FQN59_16835</t>
  </si>
  <si>
    <t>QUR49874.1</t>
  </si>
  <si>
    <t>FQN59_16840</t>
  </si>
  <si>
    <t>QUR49875.1</t>
  </si>
  <si>
    <t>FQN59_16845</t>
  </si>
  <si>
    <t>QUR49876.1</t>
  </si>
  <si>
    <t>FQN59_16850</t>
  </si>
  <si>
    <t>QUR49877.1</t>
  </si>
  <si>
    <t>FQN59_16855</t>
  </si>
  <si>
    <t>QUR49878.1</t>
  </si>
  <si>
    <t>FQN59_16860</t>
  </si>
  <si>
    <t>QUR49879.1</t>
  </si>
  <si>
    <t>FQN59_16865</t>
  </si>
  <si>
    <t>QUR49880.1</t>
  </si>
  <si>
    <t>FQN59_16870</t>
  </si>
  <si>
    <t>QUR49881.1</t>
  </si>
  <si>
    <t>FQN59_16875</t>
  </si>
  <si>
    <t>QUR49882.1</t>
  </si>
  <si>
    <t>FQN59_16880</t>
  </si>
  <si>
    <t>QUR49883.1</t>
  </si>
  <si>
    <t>FQN59_16885</t>
  </si>
  <si>
    <t>QUR49884.1</t>
  </si>
  <si>
    <t>FQN59_16890</t>
  </si>
  <si>
    <t>QUR49885.1</t>
  </si>
  <si>
    <t>FQN59_16895</t>
  </si>
  <si>
    <t>QUR49886.1</t>
  </si>
  <si>
    <t>FQN59_16900</t>
  </si>
  <si>
    <t>QUR49887.1</t>
  </si>
  <si>
    <t>FQN59_16905</t>
  </si>
  <si>
    <t>QUR49888.1</t>
  </si>
  <si>
    <t>FQN59_16910</t>
  </si>
  <si>
    <t>QUR49889.1</t>
  </si>
  <si>
    <t>FQN59_16915</t>
  </si>
  <si>
    <t>QUR51100.1</t>
  </si>
  <si>
    <t>FQN59_16920</t>
  </si>
  <si>
    <t>QUR49890.1</t>
  </si>
  <si>
    <t>FQN59_16925</t>
  </si>
  <si>
    <t>QUR49891.1</t>
  </si>
  <si>
    <t>FQN59_16930</t>
  </si>
  <si>
    <t>QUR49892.1</t>
  </si>
  <si>
    <t>FQN59_16935</t>
  </si>
  <si>
    <t>QUR51102.1</t>
  </si>
  <si>
    <t>FQN59_16940</t>
  </si>
  <si>
    <t>QUR51101.1</t>
  </si>
  <si>
    <t>FQN59_16945</t>
  </si>
  <si>
    <t>QUR49893.1</t>
  </si>
  <si>
    <t>FQN59_16950</t>
  </si>
  <si>
    <t>QUR49894.1</t>
  </si>
  <si>
    <t>FQN59_16955</t>
  </si>
  <si>
    <t>QUR49895.1</t>
  </si>
  <si>
    <t>FQN59_16960</t>
  </si>
  <si>
    <t>QUR49896.1</t>
  </si>
  <si>
    <t>FQN59_16965</t>
  </si>
  <si>
    <t>QUR49897.1</t>
  </si>
  <si>
    <t>FQN59_16970</t>
  </si>
  <si>
    <t>QUR49898.1</t>
  </si>
  <si>
    <t>FQN59_16975</t>
  </si>
  <si>
    <t>QUR49899.1</t>
  </si>
  <si>
    <t>FQN59_16980</t>
  </si>
  <si>
    <t>QUR49900.1</t>
  </si>
  <si>
    <t>FQN59_16985</t>
  </si>
  <si>
    <t>QUR49901.1</t>
  </si>
  <si>
    <t>FQN59_16990</t>
  </si>
  <si>
    <t>QUR49902.1</t>
  </si>
  <si>
    <t>FQN59_16995</t>
  </si>
  <si>
    <t>QUR49903.1</t>
  </si>
  <si>
    <t>FQN59_17000</t>
  </si>
  <si>
    <t>QUR51104.1</t>
  </si>
  <si>
    <t>FQN59_17005</t>
  </si>
  <si>
    <t>QUR51105.1</t>
  </si>
  <si>
    <t>FQN59_17010</t>
  </si>
  <si>
    <t>QUR51103.1</t>
  </si>
  <si>
    <t>FQN59_17015</t>
  </si>
  <si>
    <t>QUR49904.1</t>
  </si>
  <si>
    <t>FQN59_17020</t>
  </si>
  <si>
    <t>QUR51106.1</t>
  </si>
  <si>
    <t>FQN59_17025</t>
  </si>
  <si>
    <t>FQN59_17030</t>
  </si>
  <si>
    <t>QUR49905.1</t>
  </si>
  <si>
    <t>FQN59_17035</t>
  </si>
  <si>
    <t>QUR49906.1</t>
  </si>
  <si>
    <t>FQN59_17040</t>
  </si>
  <si>
    <t>QUR49907.1</t>
  </si>
  <si>
    <t>FQN59_17045</t>
  </si>
  <si>
    <t>QUR49908.1</t>
  </si>
  <si>
    <t>FQN59_17050</t>
  </si>
  <si>
    <t>QUR49909.1</t>
  </si>
  <si>
    <t>FQN59_17055</t>
  </si>
  <si>
    <t>QUR49910.1</t>
  </si>
  <si>
    <t>FQN59_17060</t>
  </si>
  <si>
    <t>QUR49911.1</t>
  </si>
  <si>
    <t>FQN59_17065</t>
  </si>
  <si>
    <t>QUR49912.1</t>
  </si>
  <si>
    <t>FQN59_17070</t>
  </si>
  <si>
    <t>QUR49913.1</t>
  </si>
  <si>
    <t>FQN59_17075</t>
  </si>
  <si>
    <t>FQN59_17080</t>
  </si>
  <si>
    <t>QUR49914.1</t>
  </si>
  <si>
    <t>FQN59_17085</t>
  </si>
  <si>
    <t>QUR49915.1</t>
  </si>
  <si>
    <t>FQN59_17090</t>
  </si>
  <si>
    <t>QUR49916.1</t>
  </si>
  <si>
    <t>FQN59_17095</t>
  </si>
  <si>
    <t>QUR51107.1</t>
  </si>
  <si>
    <t>FQN59_17100</t>
  </si>
  <si>
    <t>QUR49917.1</t>
  </si>
  <si>
    <t>FQN59_17105</t>
  </si>
  <si>
    <t>QUR51108.1</t>
  </si>
  <si>
    <t>FQN59_17110</t>
  </si>
  <si>
    <t>QUR49918.1</t>
  </si>
  <si>
    <t>FQN59_17115</t>
  </si>
  <si>
    <t>QUR49919.1</t>
  </si>
  <si>
    <t>FQN59_17120</t>
  </si>
  <si>
    <t>QUR49920.1</t>
  </si>
  <si>
    <t>FQN59_17125</t>
  </si>
  <si>
    <t>QUR49921.1</t>
  </si>
  <si>
    <t>FQN59_17130</t>
  </si>
  <si>
    <t>QUR49922.1</t>
  </si>
  <si>
    <t>FQN59_17135</t>
  </si>
  <si>
    <t>QUR49923.1</t>
  </si>
  <si>
    <t>FQN59_17140</t>
  </si>
  <si>
    <t>QUR49924.1</t>
  </si>
  <si>
    <t>FQN59_17145</t>
  </si>
  <si>
    <t>QUR49925.1</t>
  </si>
  <si>
    <t>FQN59_17150</t>
  </si>
  <si>
    <t>QUR49926.1</t>
  </si>
  <si>
    <t>FQN59_17155</t>
  </si>
  <si>
    <t>QUR49927.1</t>
  </si>
  <si>
    <t>FQN59_17160</t>
  </si>
  <si>
    <t>QUR49928.1</t>
  </si>
  <si>
    <t>FQN59_17165</t>
  </si>
  <si>
    <t>QUR49929.1</t>
  </si>
  <si>
    <t>FQN59_17170</t>
  </si>
  <si>
    <t>QUR49930.1</t>
  </si>
  <si>
    <t>FQN59_17175</t>
  </si>
  <si>
    <t>QUR49931.1</t>
  </si>
  <si>
    <t>FQN59_17180</t>
  </si>
  <si>
    <t>QUR49932.1</t>
  </si>
  <si>
    <t>FQN59_17185</t>
  </si>
  <si>
    <t>QUR49933.1</t>
  </si>
  <si>
    <t>FQN59_17190</t>
  </si>
  <si>
    <t>QUR49934.1</t>
  </si>
  <si>
    <t>FQN59_17195</t>
  </si>
  <si>
    <t>QUR49935.1</t>
  </si>
  <si>
    <t>FQN59_17200</t>
  </si>
  <si>
    <t>QUR49936.1</t>
  </si>
  <si>
    <t>FQN59_17205</t>
  </si>
  <si>
    <t>QUR49937.1</t>
  </si>
  <si>
    <t>FQN59_17210</t>
  </si>
  <si>
    <t>QUR49938.1</t>
  </si>
  <si>
    <t>FQN59_17215</t>
  </si>
  <si>
    <t>QUR49939.1</t>
  </si>
  <si>
    <t>FQN59_17220</t>
  </si>
  <si>
    <t>FQN59_17225</t>
  </si>
  <si>
    <t>QUR49940.1</t>
  </si>
  <si>
    <t>FQN59_17230</t>
  </si>
  <si>
    <t>QUR49941.1</t>
  </si>
  <si>
    <t>FQN59_17235</t>
  </si>
  <si>
    <t>QUR49942.1</t>
  </si>
  <si>
    <t>FQN59_17240</t>
  </si>
  <si>
    <t>QUR49943.1</t>
  </si>
  <si>
    <t>FQN59_17245</t>
  </si>
  <si>
    <t>QUR49944.1</t>
  </si>
  <si>
    <t>FQN59_17250</t>
  </si>
  <si>
    <t>QUR49945.1</t>
  </si>
  <si>
    <t>FQN59_17255</t>
  </si>
  <si>
    <t>QUR49946.1</t>
  </si>
  <si>
    <t>FQN59_17260</t>
  </si>
  <si>
    <t>QUR49947.1</t>
  </si>
  <si>
    <t>FQN59_17265</t>
  </si>
  <si>
    <t>QUR49948.1</t>
  </si>
  <si>
    <t>FQN59_17270</t>
  </si>
  <si>
    <t>QUR49949.1</t>
  </si>
  <si>
    <t>FQN59_17275</t>
  </si>
  <si>
    <t>QUR49950.1</t>
  </si>
  <si>
    <t>FQN59_17280</t>
  </si>
  <si>
    <t>QUR49951.1</t>
  </si>
  <si>
    <t>FQN59_17285</t>
  </si>
  <si>
    <t>QUR49952.1</t>
  </si>
  <si>
    <t>FQN59_17290</t>
  </si>
  <si>
    <t>QUR49953.1</t>
  </si>
  <si>
    <t>FQN59_17295</t>
  </si>
  <si>
    <t>QUR49954.1</t>
  </si>
  <si>
    <t>FQN59_17300</t>
  </si>
  <si>
    <t>QUR49955.1</t>
  </si>
  <si>
    <t>FQN59_17305</t>
  </si>
  <si>
    <t>QUR51109.1</t>
  </si>
  <si>
    <t>FQN59_17310</t>
  </si>
  <si>
    <t>QUR49956.1</t>
  </si>
  <si>
    <t>FQN59_17315</t>
  </si>
  <si>
    <t>QUR49957.1</t>
  </si>
  <si>
    <t>FQN59_17320</t>
  </si>
  <si>
    <t>QUR49958.1</t>
  </si>
  <si>
    <t>FQN59_17325</t>
  </si>
  <si>
    <t>FQN59_17330</t>
  </si>
  <si>
    <t>FQN59_17335</t>
  </si>
  <si>
    <t>QUR49959.1</t>
  </si>
  <si>
    <t>FQN59_17340</t>
  </si>
  <si>
    <t>QUR49960.1</t>
  </si>
  <si>
    <t>FQN59_17345</t>
  </si>
  <si>
    <t>QUR49961.1</t>
  </si>
  <si>
    <t>FQN59_17350</t>
  </si>
  <si>
    <t>QUR49962.1</t>
  </si>
  <si>
    <t>FQN59_17355</t>
  </si>
  <si>
    <t>QUR49963.1</t>
  </si>
  <si>
    <t>FQN59_17360</t>
  </si>
  <si>
    <t>QUR49964.1</t>
  </si>
  <si>
    <t>FQN59_17365</t>
  </si>
  <si>
    <t>QUR49965.1</t>
  </si>
  <si>
    <t>FQN59_17370</t>
  </si>
  <si>
    <t>QUR51110.1</t>
  </si>
  <si>
    <t>FQN59_17375</t>
  </si>
  <si>
    <t>QUR49966.1</t>
  </si>
  <si>
    <t>FQN59_17380</t>
  </si>
  <si>
    <t>QUR49967.1</t>
  </si>
  <si>
    <t>FQN59_17385</t>
  </si>
  <si>
    <t>QUR49968.1</t>
  </si>
  <si>
    <t>FQN59_17390</t>
  </si>
  <si>
    <t>QUR49969.1</t>
  </si>
  <si>
    <t>FQN59_17395</t>
  </si>
  <si>
    <t>QUR49970.1</t>
  </si>
  <si>
    <t>FQN59_17400</t>
  </si>
  <si>
    <t>QUR49971.1</t>
  </si>
  <si>
    <t>FQN59_17405</t>
  </si>
  <si>
    <t>QUR49972.1</t>
  </si>
  <si>
    <t>FQN59_17410</t>
  </si>
  <si>
    <t>QUR49973.1</t>
  </si>
  <si>
    <t>FQN59_17415</t>
  </si>
  <si>
    <t>QUR49974.1</t>
  </si>
  <si>
    <t>FQN59_17420</t>
  </si>
  <si>
    <t>QUR49975.1</t>
  </si>
  <si>
    <t>FQN59_17425</t>
  </si>
  <si>
    <t>QUR49976.1</t>
  </si>
  <si>
    <t>FQN59_17430</t>
  </si>
  <si>
    <t>QUR49977.1</t>
  </si>
  <si>
    <t>FQN59_17435</t>
  </si>
  <si>
    <t>QUR49978.1</t>
  </si>
  <si>
    <t>FQN59_17440</t>
  </si>
  <si>
    <t>QUR49979.1</t>
  </si>
  <si>
    <t>FQN59_17445</t>
  </si>
  <si>
    <t>QUR49980.1</t>
  </si>
  <si>
    <t>FQN59_17450</t>
  </si>
  <si>
    <t>QUR49981.1</t>
  </si>
  <si>
    <t>FQN59_17455</t>
  </si>
  <si>
    <t>QUR49982.1</t>
  </si>
  <si>
    <t>FQN59_17460</t>
  </si>
  <si>
    <t>FQN59_17465</t>
  </si>
  <si>
    <t>FQN59_17470</t>
  </si>
  <si>
    <t>QUR49983.1</t>
  </si>
  <si>
    <t>FQN59_17475</t>
  </si>
  <si>
    <t>QUR49984.1</t>
  </si>
  <si>
    <t>FQN59_17480</t>
  </si>
  <si>
    <t>QUR49985.1</t>
  </si>
  <si>
    <t>FQN59_17485</t>
  </si>
  <si>
    <t>QUR49986.1</t>
  </si>
  <si>
    <t>FQN59_17490</t>
  </si>
  <si>
    <t>QUR49987.1</t>
  </si>
  <si>
    <t>FQN59_17495</t>
  </si>
  <si>
    <t>QUR49988.1</t>
  </si>
  <si>
    <t>FQN59_17500</t>
  </si>
  <si>
    <t>QUR49989.1</t>
  </si>
  <si>
    <t>FQN59_17505</t>
  </si>
  <si>
    <t>QUR49990.1</t>
  </si>
  <si>
    <t>FQN59_17510</t>
  </si>
  <si>
    <t>QUR49991.1</t>
  </si>
  <si>
    <t>FQN59_17515</t>
  </si>
  <si>
    <t>QUR49992.1</t>
  </si>
  <si>
    <t>FQN59_17520</t>
  </si>
  <si>
    <t>QUR51111.1</t>
  </si>
  <si>
    <t>FQN59_17525</t>
  </si>
  <si>
    <t>QUR49993.1</t>
  </si>
  <si>
    <t>FQN59_17530</t>
  </si>
  <si>
    <t>QUR49994.1</t>
  </si>
  <si>
    <t>FQN59_17535</t>
  </si>
  <si>
    <t>QUR49995.1</t>
  </si>
  <si>
    <t>FQN59_17540</t>
  </si>
  <si>
    <t>QUR49996.1</t>
  </si>
  <si>
    <t>FQN59_17545</t>
  </si>
  <si>
    <t>QUR49997.1</t>
  </si>
  <si>
    <t>FQN59_17550</t>
  </si>
  <si>
    <t>QUR49998.1</t>
  </si>
  <si>
    <t>FQN59_17555</t>
  </si>
  <si>
    <t>QUR49999.1</t>
  </si>
  <si>
    <t>FQN59_17560</t>
  </si>
  <si>
    <t>QUR50000.1</t>
  </si>
  <si>
    <t>FQN59_17565</t>
  </si>
  <si>
    <t>QUR50001.1</t>
  </si>
  <si>
    <t>FQN59_17570</t>
  </si>
  <si>
    <t>QUR50002.1</t>
  </si>
  <si>
    <t>FQN59_17575</t>
  </si>
  <si>
    <t>QUR51112.1</t>
  </si>
  <si>
    <t>FQN59_17580</t>
  </si>
  <si>
    <t>QUR50003.1</t>
  </si>
  <si>
    <t>FQN59_17585</t>
  </si>
  <si>
    <t>QUR50004.1</t>
  </si>
  <si>
    <t>FQN59_17590</t>
  </si>
  <si>
    <t>QUR50005.1</t>
  </si>
  <si>
    <t>FQN59_17595</t>
  </si>
  <si>
    <t>QUR50006.1</t>
  </si>
  <si>
    <t>FQN59_17600</t>
  </si>
  <si>
    <t>QUR50007.1</t>
  </si>
  <si>
    <t>FQN59_17605</t>
  </si>
  <si>
    <t>QUR50008.1</t>
  </si>
  <si>
    <t>FQN59_17610</t>
  </si>
  <si>
    <t>QUR50009.1</t>
  </si>
  <si>
    <t>FQN59_17615</t>
  </si>
  <si>
    <t>QUR50010.1</t>
  </si>
  <si>
    <t>FQN59_17620</t>
  </si>
  <si>
    <t>QUR50011.1</t>
  </si>
  <si>
    <t>FQN59_17625</t>
  </si>
  <si>
    <t>QUR50012.1</t>
  </si>
  <si>
    <t>FQN59_17630</t>
  </si>
  <si>
    <t>QUR50013.1</t>
  </si>
  <si>
    <t>FQN59_17635</t>
  </si>
  <si>
    <t>QUR50014.1</t>
  </si>
  <si>
    <t>FQN59_17640</t>
  </si>
  <si>
    <t>QUR50015.1</t>
  </si>
  <si>
    <t>FQN59_17645</t>
  </si>
  <si>
    <t>QUR50016.1</t>
  </si>
  <si>
    <t>FQN59_17650</t>
  </si>
  <si>
    <t>QUR50017.1</t>
  </si>
  <si>
    <t>FQN59_17655</t>
  </si>
  <si>
    <t>QUR50018.1</t>
  </si>
  <si>
    <t>FQN59_17660</t>
  </si>
  <si>
    <t>QUR50019.1</t>
  </si>
  <si>
    <t>FQN59_17665</t>
  </si>
  <si>
    <t>QUR50020.1</t>
  </si>
  <si>
    <t>FQN59_17670</t>
  </si>
  <si>
    <t>QUR50021.1</t>
  </si>
  <si>
    <t>FQN59_17675</t>
  </si>
  <si>
    <t>QUR50022.1</t>
  </si>
  <si>
    <t>FQN59_17680</t>
  </si>
  <si>
    <t>FQN59_17685</t>
  </si>
  <si>
    <t>QUR50023.1</t>
  </si>
  <si>
    <t>FQN59_17690</t>
  </si>
  <si>
    <t>QUR50024.1</t>
  </si>
  <si>
    <t>FQN59_17695</t>
  </si>
  <si>
    <t>QUR50025.1</t>
  </si>
  <si>
    <t>FQN59_17700</t>
  </si>
  <si>
    <t>QUR50026.1</t>
  </si>
  <si>
    <t>FQN59_17705</t>
  </si>
  <si>
    <t>QUR50027.1</t>
  </si>
  <si>
    <t>FQN59_17710</t>
  </si>
  <si>
    <t>QUR50028.1</t>
  </si>
  <si>
    <t>FQN59_17715</t>
  </si>
  <si>
    <t>QUR50029.1</t>
  </si>
  <si>
    <t>FQN59_17720</t>
  </si>
  <si>
    <t>QUR50030.1</t>
  </si>
  <si>
    <t>FQN59_17725</t>
  </si>
  <si>
    <t>FQN59_17730</t>
  </si>
  <si>
    <t>FQN59_17735</t>
  </si>
  <si>
    <t>FQN59_17740</t>
  </si>
  <si>
    <t>FQN59_17745</t>
  </si>
  <si>
    <t>FQN59_17750</t>
  </si>
  <si>
    <t>FQN59_17755</t>
  </si>
  <si>
    <t>QUR50031.1</t>
  </si>
  <si>
    <t>FQN59_17760</t>
  </si>
  <si>
    <t>QUR50032.1</t>
  </si>
  <si>
    <t>FQN59_17765</t>
  </si>
  <si>
    <t>QUR50033.1</t>
  </si>
  <si>
    <t>FQN59_17770</t>
  </si>
  <si>
    <t>QUR50034.1</t>
  </si>
  <si>
    <t>FQN59_17775</t>
  </si>
  <si>
    <t>QUR50035.1</t>
  </si>
  <si>
    <t>FQN59_17780</t>
  </si>
  <si>
    <t>QUR50036.1</t>
  </si>
  <si>
    <t>FQN59_17785</t>
  </si>
  <si>
    <t>QUR50037.1</t>
  </si>
  <si>
    <t>FQN59_17790</t>
  </si>
  <si>
    <t>QUR50038.1</t>
  </si>
  <si>
    <t>FQN59_17795</t>
  </si>
  <si>
    <t>QUR50039.1</t>
  </si>
  <si>
    <t>FQN59_17800</t>
  </si>
  <si>
    <t>QUR50040.1</t>
  </si>
  <si>
    <t>FQN59_17805</t>
  </si>
  <si>
    <t>QUR50041.1</t>
  </si>
  <si>
    <t>FQN59_17810</t>
  </si>
  <si>
    <t>QUR50042.1</t>
  </si>
  <si>
    <t>FQN59_17815</t>
  </si>
  <si>
    <t>QUR50043.1</t>
  </si>
  <si>
    <t>FQN59_17820</t>
  </si>
  <si>
    <t>QUR50044.1</t>
  </si>
  <si>
    <t>FQN59_17825</t>
  </si>
  <si>
    <t>QUR50045.1</t>
  </si>
  <si>
    <t>FQN59_17830</t>
  </si>
  <si>
    <t>FQN59_17835</t>
  </si>
  <si>
    <t>QUR50046.1</t>
  </si>
  <si>
    <t>FQN59_17840</t>
  </si>
  <si>
    <t>QUR50047.1</t>
  </si>
  <si>
    <t>FQN59_17845</t>
  </si>
  <si>
    <t>QUR50048.1</t>
  </si>
  <si>
    <t>FQN59_17850</t>
  </si>
  <si>
    <t>QUR50049.1</t>
  </si>
  <si>
    <t>FQN59_17855</t>
  </si>
  <si>
    <t>QUR50050.1</t>
  </si>
  <si>
    <t>FQN59_17860</t>
  </si>
  <si>
    <t>QUR50051.1</t>
  </si>
  <si>
    <t>FQN59_17865</t>
  </si>
  <si>
    <t>QUR50052.1</t>
  </si>
  <si>
    <t>FQN59_17870</t>
  </si>
  <si>
    <t>QUR50053.1</t>
  </si>
  <si>
    <t>FQN59_17875</t>
  </si>
  <si>
    <t>QUR50054.1</t>
  </si>
  <si>
    <t>FQN59_17880</t>
  </si>
  <si>
    <t>QUR50055.1</t>
  </si>
  <si>
    <t>FQN59_17885</t>
  </si>
  <si>
    <t>QUR50056.1</t>
  </si>
  <si>
    <t>FQN59_17890</t>
  </si>
  <si>
    <t>QUR50057.1</t>
  </si>
  <si>
    <t>FQN59_17895</t>
  </si>
  <si>
    <t>QUR50058.1</t>
  </si>
  <si>
    <t>FQN59_17900</t>
  </si>
  <si>
    <t>QUR50059.1</t>
  </si>
  <si>
    <t>FQN59_17905</t>
  </si>
  <si>
    <t>QUR50060.1</t>
  </si>
  <si>
    <t>FQN59_17910</t>
  </si>
  <si>
    <t>QUR50061.1</t>
  </si>
  <si>
    <t>FQN59_17915</t>
  </si>
  <si>
    <t>QUR50062.1</t>
  </si>
  <si>
    <t>FQN59_17920</t>
  </si>
  <si>
    <t>QUR50063.1</t>
  </si>
  <si>
    <t>FQN59_17925</t>
  </si>
  <si>
    <t>QUR50064.1</t>
  </si>
  <si>
    <t>FQN59_17930</t>
  </si>
  <si>
    <t>QUR50065.1</t>
  </si>
  <si>
    <t>FQN59_17935</t>
  </si>
  <si>
    <t>QUR50066.1</t>
  </si>
  <si>
    <t>FQN59_17940</t>
  </si>
  <si>
    <t>QUR50067.1</t>
  </si>
  <si>
    <t>FQN59_17945</t>
  </si>
  <si>
    <t>QUR50068.1</t>
  </si>
  <si>
    <t>FQN59_17950</t>
  </si>
  <si>
    <t>QUR50069.1</t>
  </si>
  <si>
    <t>FQN59_17955</t>
  </si>
  <si>
    <t>QUR50070.1</t>
  </si>
  <si>
    <t>FQN59_17960</t>
  </si>
  <si>
    <t>QUR50071.1</t>
  </si>
  <si>
    <t>FQN59_17965</t>
  </si>
  <si>
    <t>QUR50072.1</t>
  </si>
  <si>
    <t>FQN59_17970</t>
  </si>
  <si>
    <t>QUR50073.1</t>
  </si>
  <si>
    <t>FQN59_17975</t>
  </si>
  <si>
    <t>QUR50074.1</t>
  </si>
  <si>
    <t>FQN59_17980</t>
  </si>
  <si>
    <t>QUR50075.1</t>
  </si>
  <si>
    <t>FQN59_17985</t>
  </si>
  <si>
    <t>QUR50076.1</t>
  </si>
  <si>
    <t>FQN59_17990</t>
  </si>
  <si>
    <t>QUR50077.1</t>
  </si>
  <si>
    <t>FQN59_17995</t>
  </si>
  <si>
    <t>QUR50078.1</t>
  </si>
  <si>
    <t>FQN59_18000</t>
  </si>
  <si>
    <t>QUR50079.1</t>
  </si>
  <si>
    <t>FQN59_18005</t>
  </si>
  <si>
    <t>QUR50080.1</t>
  </si>
  <si>
    <t>FQN59_18010</t>
  </si>
  <si>
    <t>QUR50081.1</t>
  </si>
  <si>
    <t>FQN59_18015</t>
  </si>
  <si>
    <t>QUR50082.1</t>
  </si>
  <si>
    <t>FQN59_18020</t>
  </si>
  <si>
    <t>QUR50083.1</t>
  </si>
  <si>
    <t>FQN59_18025</t>
  </si>
  <si>
    <t>QUR50084.1</t>
  </si>
  <si>
    <t>FQN59_18030</t>
  </si>
  <si>
    <t>QUR50085.1</t>
  </si>
  <si>
    <t>FQN59_18035</t>
  </si>
  <si>
    <t>QUR50086.1</t>
  </si>
  <si>
    <t>FQN59_18040</t>
  </si>
  <si>
    <t>QUR50087.1</t>
  </si>
  <si>
    <t>FQN59_18045</t>
  </si>
  <si>
    <t>QUR50088.1</t>
  </si>
  <si>
    <t>FQN59_18050</t>
  </si>
  <si>
    <t>QUR51113.1</t>
  </si>
  <si>
    <t>FQN59_18055</t>
  </si>
  <si>
    <t>FQN59_18060</t>
  </si>
  <si>
    <t>QUR50089.1</t>
  </si>
  <si>
    <t>FQN59_18065</t>
  </si>
  <si>
    <t>FQN59_18070</t>
  </si>
  <si>
    <t>QUR50090.1</t>
  </si>
  <si>
    <t>FQN59_18075</t>
  </si>
  <si>
    <t>QUR50091.1</t>
  </si>
  <si>
    <t>FQN59_18080</t>
  </si>
  <si>
    <t>QUR51114.1</t>
  </si>
  <si>
    <t>FQN59_18085</t>
  </si>
  <si>
    <t>QUR50092.1</t>
  </si>
  <si>
    <t>FQN59_18090</t>
  </si>
  <si>
    <t>QUR50093.1</t>
  </si>
  <si>
    <t>FQN59_18095</t>
  </si>
  <si>
    <t>QUR50094.1</t>
  </si>
  <si>
    <t>FQN59_18100</t>
  </si>
  <si>
    <t>QUR50095.1</t>
  </si>
  <si>
    <t>FQN59_18105</t>
  </si>
  <si>
    <t>QUR50096.1</t>
  </si>
  <si>
    <t>FQN59_18110</t>
  </si>
  <si>
    <t>QUR50097.1</t>
  </si>
  <si>
    <t>FQN59_18115</t>
  </si>
  <si>
    <t>QUR50098.1</t>
  </si>
  <si>
    <t>FQN59_18120</t>
  </si>
  <si>
    <t>QUR51115.1</t>
  </si>
  <si>
    <t>FQN59_18125</t>
  </si>
  <si>
    <t>QUR50099.1</t>
  </si>
  <si>
    <t>FQN59_18130</t>
  </si>
  <si>
    <t>QUR50100.1</t>
  </si>
  <si>
    <t>FQN59_18135</t>
  </si>
  <si>
    <t>QUR50101.1</t>
  </si>
  <si>
    <t>FQN59_18140</t>
  </si>
  <si>
    <t>QUR50102.1</t>
  </si>
  <si>
    <t>FQN59_18145</t>
  </si>
  <si>
    <t>QUR50103.1</t>
  </si>
  <si>
    <t>FQN59_18150</t>
  </si>
  <si>
    <t>QUR50104.1</t>
  </si>
  <si>
    <t>FQN59_18155</t>
  </si>
  <si>
    <t>QUR50105.1</t>
  </si>
  <si>
    <t>FQN59_18160</t>
  </si>
  <si>
    <t>QUR50106.1</t>
  </si>
  <si>
    <t>FQN59_18165</t>
  </si>
  <si>
    <t>QUR50107.1</t>
  </si>
  <si>
    <t>FQN59_18170</t>
  </si>
  <si>
    <t>QUR50108.1</t>
  </si>
  <si>
    <t>FQN59_18175</t>
  </si>
  <si>
    <t>QUR50109.1</t>
  </si>
  <si>
    <t>FQN59_18180</t>
  </si>
  <si>
    <t>QUR50110.1</t>
  </si>
  <si>
    <t>FQN59_18185</t>
  </si>
  <si>
    <t>FQN59_18190</t>
  </si>
  <si>
    <t>QUR50111.1</t>
  </si>
  <si>
    <t>FQN59_18195</t>
  </si>
  <si>
    <t>QUR50112.1</t>
  </si>
  <si>
    <t>FQN59_18200</t>
  </si>
  <si>
    <t>QUR50113.1</t>
  </si>
  <si>
    <t>FQN59_18205</t>
  </si>
  <si>
    <t>QUR50114.1</t>
  </si>
  <si>
    <t>FQN59_18210</t>
  </si>
  <si>
    <t>QUR50115.1</t>
  </si>
  <si>
    <t>FQN59_18215</t>
  </si>
  <si>
    <t>QUR50116.1</t>
  </si>
  <si>
    <t>FQN59_18220</t>
  </si>
  <si>
    <t>QUR50117.1</t>
  </si>
  <si>
    <t>FQN59_18225</t>
  </si>
  <si>
    <t>QUR50118.1</t>
  </si>
  <si>
    <t>FQN59_18230</t>
  </si>
  <si>
    <t>QUR50119.1</t>
  </si>
  <si>
    <t>FQN59_18235</t>
  </si>
  <si>
    <t>QUR50120.1</t>
  </si>
  <si>
    <t>FQN59_18240</t>
  </si>
  <si>
    <t>QUR50121.1</t>
  </si>
  <si>
    <t>FQN59_18245</t>
  </si>
  <si>
    <t>QUR50122.1</t>
  </si>
  <si>
    <t>FQN59_18250</t>
  </si>
  <si>
    <t>QUR50123.1</t>
  </si>
  <si>
    <t>FQN59_18255</t>
  </si>
  <si>
    <t>QUR50124.1</t>
  </si>
  <si>
    <t>FQN59_18260</t>
  </si>
  <si>
    <t>QUR50125.1</t>
  </si>
  <si>
    <t>FQN59_18265</t>
  </si>
  <si>
    <t>QUR50126.1</t>
  </si>
  <si>
    <t>FQN59_18270</t>
  </si>
  <si>
    <t>QUR50127.1</t>
  </si>
  <si>
    <t>FQN59_18275</t>
  </si>
  <si>
    <t>QUR50128.1</t>
  </si>
  <si>
    <t>FQN59_18280</t>
  </si>
  <si>
    <t>QUR50129.1</t>
  </si>
  <si>
    <t>FQN59_18285</t>
  </si>
  <si>
    <t>FQN59_18290</t>
  </si>
  <si>
    <t>QUR50130.1</t>
  </si>
  <si>
    <t>FQN59_18295</t>
  </si>
  <si>
    <t>QUR50131.1</t>
  </si>
  <si>
    <t>FQN59_18300</t>
  </si>
  <si>
    <t>QUR50132.1</t>
  </si>
  <si>
    <t>FQN59_18305</t>
  </si>
  <si>
    <t>QUR50133.1</t>
  </si>
  <si>
    <t>FQN59_18310</t>
  </si>
  <si>
    <t>QUR50134.1</t>
  </si>
  <si>
    <t>FQN59_18315</t>
  </si>
  <si>
    <t>QUR50135.1</t>
  </si>
  <si>
    <t>FQN59_18320</t>
  </si>
  <si>
    <t>QUR50136.1</t>
  </si>
  <si>
    <t>FQN59_18325</t>
  </si>
  <si>
    <t>QUR50137.1</t>
  </si>
  <si>
    <t>FQN59_18330</t>
  </si>
  <si>
    <t>QUR50138.1</t>
  </si>
  <si>
    <t>FQN59_18335</t>
  </si>
  <si>
    <t>QUR50139.1</t>
  </si>
  <si>
    <t>FQN59_18340</t>
  </si>
  <si>
    <t>QUR50140.1</t>
  </si>
  <si>
    <t>FQN59_18345</t>
  </si>
  <si>
    <t>QUR50141.1</t>
  </si>
  <si>
    <t>FQN59_18350</t>
  </si>
  <si>
    <t>QUR50142.1</t>
  </si>
  <si>
    <t>FQN59_18355</t>
  </si>
  <si>
    <t>FQN59_18360</t>
  </si>
  <si>
    <t>QUR50143.1</t>
  </si>
  <si>
    <t>FQN59_18365</t>
  </si>
  <si>
    <t>QUR50144.1</t>
  </si>
  <si>
    <t>FQN59_18370</t>
  </si>
  <si>
    <t>QUR50145.1</t>
  </si>
  <si>
    <t>FQN59_18375</t>
  </si>
  <si>
    <t>QUR50146.1</t>
  </si>
  <si>
    <t>FQN59_18380</t>
  </si>
  <si>
    <t>QUR50147.1</t>
  </si>
  <si>
    <t>FQN59_18385</t>
  </si>
  <si>
    <t>QUR50148.1</t>
  </si>
  <si>
    <t>FQN59_18390</t>
  </si>
  <si>
    <t>QUR50149.1</t>
  </si>
  <si>
    <t>FQN59_18395</t>
  </si>
  <si>
    <t>QUR50150.1</t>
  </si>
  <si>
    <t>FQN59_18400</t>
  </si>
  <si>
    <t>QUR50151.1</t>
  </si>
  <si>
    <t>FQN59_18405</t>
  </si>
  <si>
    <t>QUR50152.1</t>
  </si>
  <si>
    <t>FQN59_18410</t>
  </si>
  <si>
    <t>QUR50153.1</t>
  </si>
  <si>
    <t>FQN59_18415</t>
  </si>
  <si>
    <t>QUR50154.1</t>
  </si>
  <si>
    <t>FQN59_18420</t>
  </si>
  <si>
    <t>QUR50155.1</t>
  </si>
  <si>
    <t>FQN59_18425</t>
  </si>
  <si>
    <t>FQN59_18430</t>
  </si>
  <si>
    <t>QUR50156.1</t>
  </si>
  <si>
    <t>FQN59_18435</t>
  </si>
  <si>
    <t>QUR50157.1</t>
  </si>
  <si>
    <t>FQN59_18440</t>
  </si>
  <si>
    <t>QUR50158.1</t>
  </si>
  <si>
    <t>FQN59_18445</t>
  </si>
  <si>
    <t>QUR50159.1</t>
  </si>
  <si>
    <t>FQN59_18450</t>
  </si>
  <si>
    <t>QUR50160.1</t>
  </si>
  <si>
    <t>FQN59_18455</t>
  </si>
  <si>
    <t>QUR50161.1</t>
  </si>
  <si>
    <t>FQN59_18460</t>
  </si>
  <si>
    <t>QUR51116.1</t>
  </si>
  <si>
    <t>FQN59_18465</t>
  </si>
  <si>
    <t>FQN59_18470</t>
  </si>
  <si>
    <t>QUR50162.1</t>
  </si>
  <si>
    <t>FQN59_18475</t>
  </si>
  <si>
    <t>QUR50163.1</t>
  </si>
  <si>
    <t>FQN59_18480</t>
  </si>
  <si>
    <t>QUR50164.1</t>
  </si>
  <si>
    <t>FQN59_18485</t>
  </si>
  <si>
    <t>QUR51117.1</t>
  </si>
  <si>
    <t>FQN59_18490</t>
  </si>
  <si>
    <t>QUR50165.1</t>
  </si>
  <si>
    <t>FQN59_18495</t>
  </si>
  <si>
    <t>QUR50166.1</t>
  </si>
  <si>
    <t>FQN59_18500</t>
  </si>
  <si>
    <t>QUR50167.1</t>
  </si>
  <si>
    <t>FQN59_18505</t>
  </si>
  <si>
    <t>QUR50168.1</t>
  </si>
  <si>
    <t>FQN59_18510</t>
  </si>
  <si>
    <t>QUR50169.1</t>
  </si>
  <si>
    <t>FQN59_18515</t>
  </si>
  <si>
    <t>QUR50170.1</t>
  </si>
  <si>
    <t>FQN59_18520</t>
  </si>
  <si>
    <t>QUR50171.1</t>
  </si>
  <si>
    <t>FQN59_18525</t>
  </si>
  <si>
    <t>QUR50172.1</t>
  </si>
  <si>
    <t>FQN59_18530</t>
  </si>
  <si>
    <t>QUR51118.1</t>
  </si>
  <si>
    <t>FQN59_18535</t>
  </si>
  <si>
    <t>QUR50173.1</t>
  </si>
  <si>
    <t>FQN59_18540</t>
  </si>
  <si>
    <t>QUR50174.1</t>
  </si>
  <si>
    <t>FQN59_18545</t>
  </si>
  <si>
    <t>QUR50175.1</t>
  </si>
  <si>
    <t>FQN59_18550</t>
  </si>
  <si>
    <t>QUR50176.1</t>
  </si>
  <si>
    <t>FQN59_18555</t>
  </si>
  <si>
    <t>QUR50177.1</t>
  </si>
  <si>
    <t>FQN59_18560</t>
  </si>
  <si>
    <t>QUR50178.1</t>
  </si>
  <si>
    <t>FQN59_18565</t>
  </si>
  <si>
    <t>QUR50179.1</t>
  </si>
  <si>
    <t>FQN59_18570</t>
  </si>
  <si>
    <t>QUR50180.1</t>
  </si>
  <si>
    <t>FQN59_18575</t>
  </si>
  <si>
    <t>QUR50181.1</t>
  </si>
  <si>
    <t>FQN59_18580</t>
  </si>
  <si>
    <t>QUR50182.1</t>
  </si>
  <si>
    <t>FQN59_18585</t>
  </si>
  <si>
    <t>QUR50183.1</t>
  </si>
  <si>
    <t>FQN59_18590</t>
  </si>
  <si>
    <t>QUR50184.1</t>
  </si>
  <si>
    <t>FQN59_18595</t>
  </si>
  <si>
    <t>QUR50185.1</t>
  </si>
  <si>
    <t>FQN59_18600</t>
  </si>
  <si>
    <t>QUR50186.1</t>
  </si>
  <si>
    <t>FQN59_18605</t>
  </si>
  <si>
    <t>QUR50187.1</t>
  </si>
  <si>
    <t>FQN59_18610</t>
  </si>
  <si>
    <t>QUR50188.1</t>
  </si>
  <si>
    <t>FQN59_18615</t>
  </si>
  <si>
    <t>QUR50189.1</t>
  </si>
  <si>
    <t>FQN59_18620</t>
  </si>
  <si>
    <t>QUR50190.1</t>
  </si>
  <si>
    <t>FQN59_18625</t>
  </si>
  <si>
    <t>QUR50191.1</t>
  </si>
  <si>
    <t>FQN59_18630</t>
  </si>
  <si>
    <t>QUR50192.1</t>
  </si>
  <si>
    <t>FQN59_18635</t>
  </si>
  <si>
    <t>QUR50193.1</t>
  </si>
  <si>
    <t>FQN59_18640</t>
  </si>
  <si>
    <t>QUR50194.1</t>
  </si>
  <si>
    <t>FQN59_18645</t>
  </si>
  <si>
    <t>QUR50195.1</t>
  </si>
  <si>
    <t>FQN59_18650</t>
  </si>
  <si>
    <t>QUR50196.1</t>
  </si>
  <si>
    <t>FQN59_18655</t>
  </si>
  <si>
    <t>FQN59_18660</t>
  </si>
  <si>
    <t>QUR50197.1</t>
  </si>
  <si>
    <t>FQN59_18665</t>
  </si>
  <si>
    <t>QUR51119.1</t>
  </si>
  <si>
    <t>FQN59_18670</t>
  </si>
  <si>
    <t>QUR51120.1</t>
  </si>
  <si>
    <t>FQN59_18675</t>
  </si>
  <si>
    <t>QUR50198.1</t>
  </si>
  <si>
    <t>FQN59_18680</t>
  </si>
  <si>
    <t>QUR50199.1</t>
  </si>
  <si>
    <t>FQN59_18685</t>
  </si>
  <si>
    <t>QUR50200.1</t>
  </si>
  <si>
    <t>FQN59_18690</t>
  </si>
  <si>
    <t>QUR50201.1</t>
  </si>
  <si>
    <t>FQN59_18695</t>
  </si>
  <si>
    <t>QUR50202.1</t>
  </si>
  <si>
    <t>FQN59_18700</t>
  </si>
  <si>
    <t>QUR50203.1</t>
  </si>
  <si>
    <t>FQN59_18705</t>
  </si>
  <si>
    <t>QUR50204.1</t>
  </si>
  <si>
    <t>FQN59_18710</t>
  </si>
  <si>
    <t>QUR50205.1</t>
  </si>
  <si>
    <t>FQN59_18715</t>
  </si>
  <si>
    <t>QUR50206.1</t>
  </si>
  <si>
    <t>FQN59_18720</t>
  </si>
  <si>
    <t>QUR50207.1</t>
  </si>
  <si>
    <t>FQN59_18725</t>
  </si>
  <si>
    <t>QUR50208.1</t>
  </si>
  <si>
    <t>FQN59_18730</t>
  </si>
  <si>
    <t>QUR50209.1</t>
  </si>
  <si>
    <t>FQN59_18735</t>
  </si>
  <si>
    <t>QUR50210.1</t>
  </si>
  <si>
    <t>FQN59_18740</t>
  </si>
  <si>
    <t>QUR50211.1</t>
  </si>
  <si>
    <t>FQN59_18745</t>
  </si>
  <si>
    <t>QUR50212.1</t>
  </si>
  <si>
    <t>FQN59_18750</t>
  </si>
  <si>
    <t>QUR50213.1</t>
  </si>
  <si>
    <t>FQN59_18755</t>
  </si>
  <si>
    <t>QUR50214.1</t>
  </si>
  <si>
    <t>FQN59_18760</t>
  </si>
  <si>
    <t>QUR50215.1</t>
  </si>
  <si>
    <t>FQN59_18765</t>
  </si>
  <si>
    <t>QUR50216.1</t>
  </si>
  <si>
    <t>FQN59_18770</t>
  </si>
  <si>
    <t>QUR50217.1</t>
  </si>
  <si>
    <t>FQN59_18775</t>
  </si>
  <si>
    <t>QUR50218.1</t>
  </si>
  <si>
    <t>FQN59_18780</t>
  </si>
  <si>
    <t>QUR50219.1</t>
  </si>
  <si>
    <t>FQN59_18785</t>
  </si>
  <si>
    <t>QUR50220.1</t>
  </si>
  <si>
    <t>FQN59_18790</t>
  </si>
  <si>
    <t>QUR50221.1</t>
  </si>
  <si>
    <t>FQN59_18795</t>
  </si>
  <si>
    <t>QUR50222.1</t>
  </si>
  <si>
    <t>FQN59_18800</t>
  </si>
  <si>
    <t>QUR50223.1</t>
  </si>
  <si>
    <t>FQN59_18805</t>
  </si>
  <si>
    <t>QUR50224.1</t>
  </si>
  <si>
    <t>FQN59_18810</t>
  </si>
  <si>
    <t>QUR50225.1</t>
  </si>
  <si>
    <t>FQN59_18815</t>
  </si>
  <si>
    <t>QUR50226.1</t>
  </si>
  <si>
    <t>FQN59_18820</t>
  </si>
  <si>
    <t>QUR50227.1</t>
  </si>
  <si>
    <t>FQN59_18825</t>
  </si>
  <si>
    <t>QUR50228.1</t>
  </si>
  <si>
    <t>FQN59_18830</t>
  </si>
  <si>
    <t>QUR50229.1</t>
  </si>
  <si>
    <t>FQN59_18835</t>
  </si>
  <si>
    <t>QUR50230.1</t>
  </si>
  <si>
    <t>FQN59_18840</t>
  </si>
  <si>
    <t>QUR50231.1</t>
  </si>
  <si>
    <t>FQN59_18845</t>
  </si>
  <si>
    <t>QUR50232.1</t>
  </si>
  <si>
    <t>FQN59_18850</t>
  </si>
  <si>
    <t>QUR50233.1</t>
  </si>
  <si>
    <t>FQN59_18855</t>
  </si>
  <si>
    <t>QUR50234.1</t>
  </si>
  <si>
    <t>FQN59_18860</t>
  </si>
  <si>
    <t>QUR50235.1</t>
  </si>
  <si>
    <t>FQN59_18865</t>
  </si>
  <si>
    <t>QUR50236.1</t>
  </si>
  <si>
    <t>FQN59_18870</t>
  </si>
  <si>
    <t>QUR50237.1</t>
  </si>
  <si>
    <t>FQN59_18875</t>
  </si>
  <si>
    <t>QUR50238.1</t>
  </si>
  <si>
    <t>FQN59_18880</t>
  </si>
  <si>
    <t>QUR50239.1</t>
  </si>
  <si>
    <t>FQN59_18885</t>
  </si>
  <si>
    <t>QUR50240.1</t>
  </si>
  <si>
    <t>FQN59_18890</t>
  </si>
  <si>
    <t>QUR50241.1</t>
  </si>
  <si>
    <t>FQN59_18895</t>
  </si>
  <si>
    <t>QUR50242.1</t>
  </si>
  <si>
    <t>FQN59_18900</t>
  </si>
  <si>
    <t>QUR50243.1</t>
  </si>
  <si>
    <t>FQN59_18905</t>
  </si>
  <si>
    <t>QUR50244.1</t>
  </si>
  <si>
    <t>FQN59_18910</t>
  </si>
  <si>
    <t>QUR50245.1</t>
  </si>
  <si>
    <t>FQN59_18915</t>
  </si>
  <si>
    <t>QUR50246.1</t>
  </si>
  <si>
    <t>FQN59_18920</t>
  </si>
  <si>
    <t>QUR50247.1</t>
  </si>
  <si>
    <t>FQN59_18925</t>
  </si>
  <si>
    <t>QUR50248.1</t>
  </si>
  <si>
    <t>FQN59_18930</t>
  </si>
  <si>
    <t>QUR50249.1</t>
  </si>
  <si>
    <t>FQN59_18935</t>
  </si>
  <si>
    <t>QUR50250.1</t>
  </si>
  <si>
    <t>FQN59_18940</t>
  </si>
  <si>
    <t>QUR50251.1</t>
  </si>
  <si>
    <t>FQN59_18945</t>
  </si>
  <si>
    <t>QUR50252.1</t>
  </si>
  <si>
    <t>FQN59_18950</t>
  </si>
  <si>
    <t>QUR50253.1</t>
  </si>
  <si>
    <t>FQN59_18955</t>
  </si>
  <si>
    <t>QUR50254.1</t>
  </si>
  <si>
    <t>FQN59_18960</t>
  </si>
  <si>
    <t>QUR50255.1</t>
  </si>
  <si>
    <t>FQN59_18965</t>
  </si>
  <si>
    <t>QUR50256.1</t>
  </si>
  <si>
    <t>FQN59_18970</t>
  </si>
  <si>
    <t>QUR50257.1</t>
  </si>
  <si>
    <t>FQN59_18975</t>
  </si>
  <si>
    <t>QUR50258.1</t>
  </si>
  <si>
    <t>FQN59_18980</t>
  </si>
  <si>
    <t>QUR50259.1</t>
  </si>
  <si>
    <t>FQN59_18985</t>
  </si>
  <si>
    <t>QUR50260.1</t>
  </si>
  <si>
    <t>FQN59_18990</t>
  </si>
  <si>
    <t>QUR50261.1</t>
  </si>
  <si>
    <t>FQN59_18995</t>
  </si>
  <si>
    <t>QUR50262.1</t>
  </si>
  <si>
    <t>FQN59_19000</t>
  </si>
  <si>
    <t>QUR50263.1</t>
  </si>
  <si>
    <t>FQN59_19005</t>
  </si>
  <si>
    <t>QUR50264.1</t>
  </si>
  <si>
    <t>FQN59_19010</t>
  </si>
  <si>
    <t>QUR50265.1</t>
  </si>
  <si>
    <t>FQN59_19015</t>
  </si>
  <si>
    <t>QUR50266.1</t>
  </si>
  <si>
    <t>FQN59_19020</t>
  </si>
  <si>
    <t>QUR50267.1</t>
  </si>
  <si>
    <t>FQN59_19025</t>
  </si>
  <si>
    <t>QUR50268.1</t>
  </si>
  <si>
    <t>FQN59_19030</t>
  </si>
  <si>
    <t>QUR50269.1</t>
  </si>
  <si>
    <t>FQN59_19035</t>
  </si>
  <si>
    <t>QUR50270.1</t>
  </si>
  <si>
    <t>FQN59_19040</t>
  </si>
  <si>
    <t>QUR50271.1</t>
  </si>
  <si>
    <t>FQN59_19045</t>
  </si>
  <si>
    <t>QUR50272.1</t>
  </si>
  <si>
    <t>FQN59_19050</t>
  </si>
  <si>
    <t>QUR50273.1</t>
  </si>
  <si>
    <t>FQN59_19055</t>
  </si>
  <si>
    <t>QUR50274.1</t>
  </si>
  <si>
    <t>FQN59_19060</t>
  </si>
  <si>
    <t>QUR50275.1</t>
  </si>
  <si>
    <t>FQN59_19065</t>
  </si>
  <si>
    <t>QUR50276.1</t>
  </si>
  <si>
    <t>FQN59_19070</t>
  </si>
  <si>
    <t>QUR50277.1</t>
  </si>
  <si>
    <t>FQN59_19075</t>
  </si>
  <si>
    <t>QUR50278.1</t>
  </si>
  <si>
    <t>FQN59_19080</t>
  </si>
  <si>
    <t>QUR50279.1</t>
  </si>
  <si>
    <t>FQN59_19085</t>
  </si>
  <si>
    <t>QUR50280.1</t>
  </si>
  <si>
    <t>FQN59_19090</t>
  </si>
  <si>
    <t>QUR50281.1</t>
  </si>
  <si>
    <t>FQN59_19095</t>
  </si>
  <si>
    <t>QUR50282.1</t>
  </si>
  <si>
    <t>FQN59_19100</t>
  </si>
  <si>
    <t>QUR50283.1</t>
  </si>
  <si>
    <t>FQN59_19105</t>
  </si>
  <si>
    <t>QUR50284.1</t>
  </si>
  <si>
    <t>FQN59_19110</t>
  </si>
  <si>
    <t>QUR50285.1</t>
  </si>
  <si>
    <t>FQN59_19115</t>
  </si>
  <si>
    <t>QUR50286.1</t>
  </si>
  <si>
    <t>FQN59_19120</t>
  </si>
  <si>
    <t>QUR50287.1</t>
  </si>
  <si>
    <t>FQN59_19125</t>
  </si>
  <si>
    <t>QUR50288.1</t>
  </si>
  <si>
    <t>FQN59_19130</t>
  </si>
  <si>
    <t>QUR50289.1</t>
  </si>
  <si>
    <t>FQN59_19135</t>
  </si>
  <si>
    <t>QUR50290.1</t>
  </si>
  <si>
    <t>FQN59_19140</t>
  </si>
  <si>
    <t>QUR50291.1</t>
  </si>
  <si>
    <t>FQN59_19145</t>
  </si>
  <si>
    <t>QUR50292.1</t>
  </si>
  <si>
    <t>FQN59_19150</t>
  </si>
  <si>
    <t>QUR50293.1</t>
  </si>
  <si>
    <t>FQN59_19155</t>
  </si>
  <si>
    <t>QUR50294.1</t>
  </si>
  <si>
    <t>FQN59_19160</t>
  </si>
  <si>
    <t>QUR50295.1</t>
  </si>
  <si>
    <t>FQN59_19165</t>
  </si>
  <si>
    <t>QUR50296.1</t>
  </si>
  <si>
    <t>FQN59_19170</t>
  </si>
  <si>
    <t>QUR50297.1</t>
  </si>
  <si>
    <t>FQN59_19175</t>
  </si>
  <si>
    <t>QUR50298.1</t>
  </si>
  <si>
    <t>FQN59_19180</t>
  </si>
  <si>
    <t>QUR50299.1</t>
  </si>
  <si>
    <t>FQN59_19185</t>
  </si>
  <si>
    <t>QUR50300.1</t>
  </si>
  <si>
    <t>FQN59_19190</t>
  </si>
  <si>
    <t>QUR50301.1</t>
  </si>
  <si>
    <t>FQN59_19195</t>
  </si>
  <si>
    <t>QUR50302.1</t>
  </si>
  <si>
    <t>FQN59_19200</t>
  </si>
  <si>
    <t>QUR50303.1</t>
  </si>
  <si>
    <t>FQN59_19205</t>
  </si>
  <si>
    <t>QUR50304.1</t>
  </si>
  <si>
    <t>FQN59_19210</t>
  </si>
  <si>
    <t>QUR50305.1</t>
  </si>
  <si>
    <t>FQN59_19215</t>
  </si>
  <si>
    <t>QUR50306.1</t>
  </si>
  <si>
    <t>FQN59_19220</t>
  </si>
  <si>
    <t>QUR50307.1</t>
  </si>
  <si>
    <t>FQN59_19225</t>
  </si>
  <si>
    <t>QUR50308.1</t>
  </si>
  <si>
    <t>FQN59_19230</t>
  </si>
  <si>
    <t>QUR50309.1</t>
  </si>
  <si>
    <t>FQN59_19235</t>
  </si>
  <si>
    <t>QUR50310.1</t>
  </si>
  <si>
    <t>FQN59_19240</t>
  </si>
  <si>
    <t>QUR50311.1</t>
  </si>
  <si>
    <t>FQN59_19245</t>
  </si>
  <si>
    <t>FQN59_19250</t>
  </si>
  <si>
    <t>QUR50312.1</t>
  </si>
  <si>
    <t>FQN59_19255</t>
  </si>
  <si>
    <t>QUR50313.1</t>
  </si>
  <si>
    <t>FQN59_19260</t>
  </si>
  <si>
    <t>QUR50314.1</t>
  </si>
  <si>
    <t>FQN59_19265</t>
  </si>
  <si>
    <t>QUR50315.1</t>
  </si>
  <si>
    <t>FQN59_19270</t>
  </si>
  <si>
    <t>QUR50316.1</t>
  </si>
  <si>
    <t>FQN59_19275</t>
  </si>
  <si>
    <t>QUR50317.1</t>
  </si>
  <si>
    <t>FQN59_19280</t>
  </si>
  <si>
    <t>QUR51121.1</t>
  </si>
  <si>
    <t>FQN59_19285</t>
  </si>
  <si>
    <t>QUR50318.1</t>
  </si>
  <si>
    <t>FQN59_19290</t>
  </si>
  <si>
    <t>QUR50319.1</t>
  </si>
  <si>
    <t>FQN59_19295</t>
  </si>
  <si>
    <t>QUR50320.1</t>
  </si>
  <si>
    <t>FQN59_19300</t>
  </si>
  <si>
    <t>QUR50321.1</t>
  </si>
  <si>
    <t>FQN59_19305</t>
  </si>
  <si>
    <t>QUR50322.1</t>
  </si>
  <si>
    <t>FQN59_19310</t>
  </si>
  <si>
    <t>QUR50323.1</t>
  </si>
  <si>
    <t>FQN59_19315</t>
  </si>
  <si>
    <t>QUR50324.1</t>
  </si>
  <si>
    <t>FQN59_19320</t>
  </si>
  <si>
    <t>QUR50325.1</t>
  </si>
  <si>
    <t>FQN59_19325</t>
  </si>
  <si>
    <t>QUR50326.1</t>
  </si>
  <si>
    <t>FQN59_19330</t>
  </si>
  <si>
    <t>QUR50327.1</t>
  </si>
  <si>
    <t>FQN59_19335</t>
  </si>
  <si>
    <t>QUR50328.1</t>
  </si>
  <si>
    <t>FQN59_19340</t>
  </si>
  <si>
    <t>QUR50329.1</t>
  </si>
  <si>
    <t>FQN59_19345</t>
  </si>
  <si>
    <t>FQN59_19350</t>
  </si>
  <si>
    <t>QUR50330.1</t>
  </si>
  <si>
    <t>FQN59_19355</t>
  </si>
  <si>
    <t>QUR50331.1</t>
  </si>
  <si>
    <t>FQN59_19360</t>
  </si>
  <si>
    <t>QUR50332.1</t>
  </si>
  <si>
    <t>FQN59_19365</t>
  </si>
  <si>
    <t>QUR50333.1</t>
  </si>
  <si>
    <t>FQN59_19370</t>
  </si>
  <si>
    <t>QUR50334.1</t>
  </si>
  <si>
    <t>FQN59_19375</t>
  </si>
  <si>
    <t>QUR50335.1</t>
  </si>
  <si>
    <t>FQN59_19380</t>
  </si>
  <si>
    <t>QUR50336.1</t>
  </si>
  <si>
    <t>FQN59_19385</t>
  </si>
  <si>
    <t>QUR50337.1</t>
  </si>
  <si>
    <t>FQN59_19390</t>
  </si>
  <si>
    <t>QUR50338.1</t>
  </si>
  <si>
    <t>FQN59_19395</t>
  </si>
  <si>
    <t>QUR50339.1</t>
  </si>
  <si>
    <t>FQN59_19400</t>
  </si>
  <si>
    <t>QUR50340.1</t>
  </si>
  <si>
    <t>FQN59_19405</t>
  </si>
  <si>
    <t>QUR50341.1</t>
  </si>
  <si>
    <t>FQN59_19410</t>
  </si>
  <si>
    <t>QUR50342.1</t>
  </si>
  <si>
    <t>FQN59_19415</t>
  </si>
  <si>
    <t>QUR50343.1</t>
  </si>
  <si>
    <t>FQN59_19420</t>
  </si>
  <si>
    <t>QUR50344.1</t>
  </si>
  <si>
    <t>FQN59_19425</t>
  </si>
  <si>
    <t>QUR50345.1</t>
  </si>
  <si>
    <t>FQN59_19430</t>
  </si>
  <si>
    <t>QUR50346.1</t>
  </si>
  <si>
    <t>FQN59_19435</t>
  </si>
  <si>
    <t>QUR50347.1</t>
  </si>
  <si>
    <t>FQN59_19440</t>
  </si>
  <si>
    <t>QUR50348.1</t>
  </si>
  <si>
    <t>FQN59_19445</t>
  </si>
  <si>
    <t>QUR50349.1</t>
  </si>
  <si>
    <t>FQN59_19450</t>
  </si>
  <si>
    <t>QUR50350.1</t>
  </si>
  <si>
    <t>FQN59_19455</t>
  </si>
  <si>
    <t>QUR50351.1</t>
  </si>
  <si>
    <t>FQN59_19460</t>
  </si>
  <si>
    <t>QUR50352.1</t>
  </si>
  <si>
    <t>FQN59_19465</t>
  </si>
  <si>
    <t>QUR50353.1</t>
  </si>
  <si>
    <t>FQN59_19470</t>
  </si>
  <si>
    <t>QUR50354.1</t>
  </si>
  <si>
    <t>FQN59_19475</t>
  </si>
  <si>
    <t>QUR50355.1</t>
  </si>
  <si>
    <t>FQN59_19480</t>
  </si>
  <si>
    <t>QUR50356.1</t>
  </si>
  <si>
    <t>FQN59_19485</t>
  </si>
  <si>
    <t>QUR50357.1</t>
  </si>
  <si>
    <t>FQN59_19490</t>
  </si>
  <si>
    <t>QUR50358.1</t>
  </si>
  <si>
    <t>FQN59_19495</t>
  </si>
  <si>
    <t>QUR50359.1</t>
  </si>
  <si>
    <t>FQN59_19500</t>
  </si>
  <si>
    <t>QUR50360.1</t>
  </si>
  <si>
    <t>FQN59_19505</t>
  </si>
  <si>
    <t>QUR50361.1</t>
  </si>
  <si>
    <t>FQN59_19510</t>
  </si>
  <si>
    <t>QUR50362.1</t>
  </si>
  <si>
    <t>FQN59_19515</t>
  </si>
  <si>
    <t>QUR50363.1</t>
  </si>
  <si>
    <t>FQN59_19520</t>
  </si>
  <si>
    <t>QUR50364.1</t>
  </si>
  <si>
    <t>FQN59_19525</t>
  </si>
  <si>
    <t>QUR50365.1</t>
  </si>
  <si>
    <t>FQN59_19530</t>
  </si>
  <si>
    <t>QUR50366.1</t>
  </si>
  <si>
    <t>FQN59_19535</t>
  </si>
  <si>
    <t>QUR50367.1</t>
  </si>
  <si>
    <t>FQN59_19540</t>
  </si>
  <si>
    <t>QUR50368.1</t>
  </si>
  <si>
    <t>FQN59_19545</t>
  </si>
  <si>
    <t>QUR50369.1</t>
  </si>
  <si>
    <t>FQN59_19550</t>
  </si>
  <si>
    <t>QUR50370.1</t>
  </si>
  <si>
    <t>FQN59_19555</t>
  </si>
  <si>
    <t>QUR50371.1</t>
  </si>
  <si>
    <t>FQN59_19560</t>
  </si>
  <si>
    <t>QUR50372.1</t>
  </si>
  <si>
    <t>FQN59_19565</t>
  </si>
  <si>
    <t>QUR50373.1</t>
  </si>
  <si>
    <t>FQN59_19570</t>
  </si>
  <si>
    <t>QUR50374.1</t>
  </si>
  <si>
    <t>FQN59_19575</t>
  </si>
  <si>
    <t>QUR50375.1</t>
  </si>
  <si>
    <t>FQN59_19580</t>
  </si>
  <si>
    <t>QUR50376.1</t>
  </si>
  <si>
    <t>FQN59_19585</t>
  </si>
  <si>
    <t>QUR50377.1</t>
  </si>
  <si>
    <t>FQN59_19590</t>
  </si>
  <si>
    <t>FQN59_19595</t>
  </si>
  <si>
    <t>QUR50378.1</t>
  </si>
  <si>
    <t>FQN59_19600</t>
  </si>
  <si>
    <t>QUR50379.1</t>
  </si>
  <si>
    <t>FQN59_19605</t>
  </si>
  <si>
    <t>QUR50380.1</t>
  </si>
  <si>
    <t>FQN59_19610</t>
  </si>
  <si>
    <t>QUR50381.1</t>
  </si>
  <si>
    <t>FQN59_19615</t>
  </si>
  <si>
    <t>QUR50382.1</t>
  </si>
  <si>
    <t>FQN59_19620</t>
  </si>
  <si>
    <t>QUR50383.1</t>
  </si>
  <si>
    <t>FQN59_19625</t>
  </si>
  <si>
    <t>QUR50384.1</t>
  </si>
  <si>
    <t>FQN59_19630</t>
  </si>
  <si>
    <t>QUR50385.1</t>
  </si>
  <si>
    <t>FQN59_19635</t>
  </si>
  <si>
    <t>FQN59_19640</t>
  </si>
  <si>
    <t>QUR50386.1</t>
  </si>
  <si>
    <t>FQN59_19645</t>
  </si>
  <si>
    <t>QUR50387.1</t>
  </si>
  <si>
    <t>FQN59_19650</t>
  </si>
  <si>
    <t>QUR50388.1</t>
  </si>
  <si>
    <t>FQN59_19655</t>
  </si>
  <si>
    <t>QUR50389.1</t>
  </si>
  <si>
    <t>FQN59_19660</t>
  </si>
  <si>
    <t>QUR50390.1</t>
  </si>
  <si>
    <t>FQN59_19665</t>
  </si>
  <si>
    <t>QUR50391.1</t>
  </si>
  <si>
    <t>FQN59_19670</t>
  </si>
  <si>
    <t>QUR50392.1</t>
  </si>
  <si>
    <t>FQN59_19675</t>
  </si>
  <si>
    <t>QUR50393.1</t>
  </si>
  <si>
    <t>FQN59_19680</t>
  </si>
  <si>
    <t>QUR50394.1</t>
  </si>
  <si>
    <t>FQN59_19685</t>
  </si>
  <si>
    <t>QUR50395.1</t>
  </si>
  <si>
    <t>FQN59_19690</t>
  </si>
  <si>
    <t>QUR50396.1</t>
  </si>
  <si>
    <t>FQN59_19695</t>
  </si>
  <si>
    <t>QUR50397.1</t>
  </si>
  <si>
    <t>FQN59_19700</t>
  </si>
  <si>
    <t>QUR50398.1</t>
  </si>
  <si>
    <t>FQN59_19705</t>
  </si>
  <si>
    <t>QUR50399.1</t>
  </si>
  <si>
    <t>FQN59_19710</t>
  </si>
  <si>
    <t>QUR50400.1</t>
  </si>
  <si>
    <t>FQN59_19715</t>
  </si>
  <si>
    <t>QUR50401.1</t>
  </si>
  <si>
    <t>FQN59_19720</t>
  </si>
  <si>
    <t>FQN59_19725</t>
  </si>
  <si>
    <t>QUR50402.1</t>
  </si>
  <si>
    <t>FQN59_19730</t>
  </si>
  <si>
    <t>QUR50403.1</t>
  </si>
  <si>
    <t>FQN59_19735</t>
  </si>
  <si>
    <t>QUR50404.1</t>
  </si>
  <si>
    <t>FQN59_19740</t>
  </si>
  <si>
    <t>QUR50405.1</t>
  </si>
  <si>
    <t>FQN59_19745</t>
  </si>
  <si>
    <t>QUR50406.1</t>
  </si>
  <si>
    <t>FQN59_19750</t>
  </si>
  <si>
    <t>QUR50407.1</t>
  </si>
  <si>
    <t>FQN59_19755</t>
  </si>
  <si>
    <t>QUR50408.1</t>
  </si>
  <si>
    <t>FQN59_19760</t>
  </si>
  <si>
    <t>QUR50409.1</t>
  </si>
  <si>
    <t>FQN59_19765</t>
  </si>
  <si>
    <t>QUR50410.1</t>
  </si>
  <si>
    <t>FQN59_19770</t>
  </si>
  <si>
    <t>QUR50411.1</t>
  </si>
  <si>
    <t>FQN59_19775</t>
  </si>
  <si>
    <t>QUR50412.1</t>
  </si>
  <si>
    <t>FQN59_19780</t>
  </si>
  <si>
    <t>QUR50413.1</t>
  </si>
  <si>
    <t>FQN59_19785</t>
  </si>
  <si>
    <t>QUR50414.1</t>
  </si>
  <si>
    <t>FQN59_19790</t>
  </si>
  <si>
    <t>QUR50415.1</t>
  </si>
  <si>
    <t>FQN59_19795</t>
  </si>
  <si>
    <t>QUR50416.1</t>
  </si>
  <si>
    <t>FQN59_19800</t>
  </si>
  <si>
    <t>QUR50417.1</t>
  </si>
  <si>
    <t>FQN59_19805</t>
  </si>
  <si>
    <t>QUR50418.1</t>
  </si>
  <si>
    <t>FQN59_19810</t>
  </si>
  <si>
    <t>QUR50419.1</t>
  </si>
  <si>
    <t>FQN59_19815</t>
  </si>
  <si>
    <t>QUR50420.1</t>
  </si>
  <si>
    <t>FQN59_19820</t>
  </si>
  <si>
    <t>QUR50421.1</t>
  </si>
  <si>
    <t>FQN59_19825</t>
  </si>
  <si>
    <t>QUR50422.1</t>
  </si>
  <si>
    <t>FQN59_19830</t>
  </si>
  <si>
    <t>QUR50423.1</t>
  </si>
  <si>
    <t>FQN59_19835</t>
  </si>
  <si>
    <t>QUR50424.1</t>
  </si>
  <si>
    <t>FQN59_19840</t>
  </si>
  <si>
    <t>QUR50425.1</t>
  </si>
  <si>
    <t>FQN59_19845</t>
  </si>
  <si>
    <t>QUR50426.1</t>
  </si>
  <si>
    <t>FQN59_19850</t>
  </si>
  <si>
    <t>QUR50427.1</t>
  </si>
  <si>
    <t>FQN59_19855</t>
  </si>
  <si>
    <t>QUR50428.1</t>
  </si>
  <si>
    <t>FQN59_19860</t>
  </si>
  <si>
    <t>QUR50429.1</t>
  </si>
  <si>
    <t>FQN59_19865</t>
  </si>
  <si>
    <t>QUR50430.1</t>
  </si>
  <si>
    <t>FQN59_19870</t>
  </si>
  <si>
    <t>QUR50431.1</t>
  </si>
  <si>
    <t>FQN59_19875</t>
  </si>
  <si>
    <t>QUR51122.1</t>
  </si>
  <si>
    <t>FQN59_19880</t>
  </si>
  <si>
    <t>QUR50432.1</t>
  </si>
  <si>
    <t>FQN59_19885</t>
  </si>
  <si>
    <t>QUR50433.1</t>
  </si>
  <si>
    <t>FQN59_19890</t>
  </si>
  <si>
    <t>QUR50434.1</t>
  </si>
  <si>
    <t>FQN59_19895</t>
  </si>
  <si>
    <t>QUR50435.1</t>
  </si>
  <si>
    <t>FQN59_19900</t>
  </si>
  <si>
    <t>QUR50436.1</t>
  </si>
  <si>
    <t>FQN59_19905</t>
  </si>
  <si>
    <t>QUR50437.1</t>
  </si>
  <si>
    <t>FQN59_19910</t>
  </si>
  <si>
    <t>QUR50438.1</t>
  </si>
  <si>
    <t>FQN59_19915</t>
  </si>
  <si>
    <t>QUR50439.1</t>
  </si>
  <si>
    <t>FQN59_19920</t>
  </si>
  <si>
    <t>QUR50440.1</t>
  </si>
  <si>
    <t>FQN59_19925</t>
  </si>
  <si>
    <t>QUR50441.1</t>
  </si>
  <si>
    <t>FQN59_19930</t>
  </si>
  <si>
    <t>QUR50442.1</t>
  </si>
  <si>
    <t>FQN59_19935</t>
  </si>
  <si>
    <t>QUR50443.1</t>
  </si>
  <si>
    <t>FQN59_19940</t>
  </si>
  <si>
    <t>QUR50444.1</t>
  </si>
  <si>
    <t>FQN59_19945</t>
  </si>
  <si>
    <t>QUR50445.1</t>
  </si>
  <si>
    <t>FQN59_19950</t>
  </si>
  <si>
    <t>QUR50446.1</t>
  </si>
  <si>
    <t>FQN59_19955</t>
  </si>
  <si>
    <t>QUR50447.1</t>
  </si>
  <si>
    <t>FQN59_19960</t>
  </si>
  <si>
    <t>QUR50448.1</t>
  </si>
  <si>
    <t>FQN59_19965</t>
  </si>
  <si>
    <t>QUR50449.1</t>
  </si>
  <si>
    <t>FQN59_19970</t>
  </si>
  <si>
    <t>QUR50450.1</t>
  </si>
  <si>
    <t>FQN59_19975</t>
  </si>
  <si>
    <t>FQN59_19980</t>
  </si>
  <si>
    <t>QUR50451.1</t>
  </si>
  <si>
    <t>FQN59_19985</t>
  </si>
  <si>
    <t>QUR50452.1</t>
  </si>
  <si>
    <t>FQN59_19990</t>
  </si>
  <si>
    <t>QUR50453.1</t>
  </si>
  <si>
    <t>FQN59_19995</t>
  </si>
  <si>
    <t>QUR50454.1</t>
  </si>
  <si>
    <t>FQN59_20000</t>
  </si>
  <si>
    <t>QUR50455.1</t>
  </si>
  <si>
    <t>FQN59_20005</t>
  </si>
  <si>
    <t>QUR50456.1</t>
  </si>
  <si>
    <t>FQN59_20010</t>
  </si>
  <si>
    <t>QUR50457.1</t>
  </si>
  <si>
    <t>FQN59_20015</t>
  </si>
  <si>
    <t>QUR50458.1</t>
  </si>
  <si>
    <t>FQN59_20020</t>
  </si>
  <si>
    <t>QUR50459.1</t>
  </si>
  <si>
    <t>FQN59_20025</t>
  </si>
  <si>
    <t>QUR51123.1</t>
  </si>
  <si>
    <t>FQN59_20030</t>
  </si>
  <si>
    <t>QUR50460.1</t>
  </si>
  <si>
    <t>FQN59_20035</t>
  </si>
  <si>
    <t>QUR50461.1</t>
  </si>
  <si>
    <t>FQN59_20040</t>
  </si>
  <si>
    <t>QUR50462.1</t>
  </si>
  <si>
    <t>FQN59_20045</t>
  </si>
  <si>
    <t>QUR50463.1</t>
  </si>
  <si>
    <t>FQN59_20050</t>
  </si>
  <si>
    <t>QUR50464.1</t>
  </si>
  <si>
    <t>FQN59_20055</t>
  </si>
  <si>
    <t>QUR50465.1</t>
  </si>
  <si>
    <t>FQN59_20060</t>
  </si>
  <si>
    <t>QUR50466.1</t>
  </si>
  <si>
    <t>FQN59_20065</t>
  </si>
  <si>
    <t>QUR50467.1</t>
  </si>
  <si>
    <t>FQN59_20070</t>
  </si>
  <si>
    <t>QUR50468.1</t>
  </si>
  <si>
    <t>FQN59_20075</t>
  </si>
  <si>
    <t>QUR50469.1</t>
  </si>
  <si>
    <t>FQN59_20080</t>
  </si>
  <si>
    <t>QUR50470.1</t>
  </si>
  <si>
    <t>FQN59_20085</t>
  </si>
  <si>
    <t>QUR51124.1</t>
  </si>
  <si>
    <t>FQN59_20090</t>
  </si>
  <si>
    <t>QUR50471.1</t>
  </si>
  <si>
    <t>FQN59_20095</t>
  </si>
  <si>
    <t>QUR50472.1</t>
  </si>
  <si>
    <t>FQN59_20100</t>
  </si>
  <si>
    <t>QUR50473.1</t>
  </si>
  <si>
    <t>FQN59_20105</t>
  </si>
  <si>
    <t>QUR50474.1</t>
  </si>
  <si>
    <t>FQN59_20110</t>
  </si>
  <si>
    <t>QUR50475.1</t>
  </si>
  <si>
    <t>FQN59_20115</t>
  </si>
  <si>
    <t>QUR50476.1</t>
  </si>
  <si>
    <t>FQN59_20120</t>
  </si>
  <si>
    <t>QUR50477.1</t>
  </si>
  <si>
    <t>FQN59_20125</t>
  </si>
  <si>
    <t>QUR50478.1</t>
  </si>
  <si>
    <t>FQN59_20130</t>
  </si>
  <si>
    <t>QUR50479.1</t>
  </si>
  <si>
    <t>FQN59_20135</t>
  </si>
  <si>
    <t>QUR50480.1</t>
  </si>
  <si>
    <t>FQN59_20140</t>
  </si>
  <si>
    <t>QUR50481.1</t>
  </si>
  <si>
    <t>FQN59_20145</t>
  </si>
  <si>
    <t>QUR50482.1</t>
  </si>
  <si>
    <t>FQN59_20150</t>
  </si>
  <si>
    <t>QUR50483.1</t>
  </si>
  <si>
    <t>FQN59_20155</t>
  </si>
  <si>
    <t>QUR51125.1</t>
  </si>
  <si>
    <t>FQN59_20160</t>
  </si>
  <si>
    <t>QUR50484.1</t>
  </si>
  <si>
    <t>FQN59_20165</t>
  </si>
  <si>
    <t>QUR50485.1</t>
  </si>
  <si>
    <t>FQN59_20170</t>
  </si>
  <si>
    <t>QUR50486.1</t>
  </si>
  <si>
    <t>FQN59_20175</t>
  </si>
  <si>
    <t>QUR50487.1</t>
  </si>
  <si>
    <t>FQN59_20180</t>
  </si>
  <si>
    <t>QUR50488.1</t>
  </si>
  <si>
    <t>FQN59_20185</t>
  </si>
  <si>
    <t>QUR50489.1</t>
  </si>
  <si>
    <t>FQN59_20190</t>
  </si>
  <si>
    <t>QUR50490.1</t>
  </si>
  <si>
    <t>FQN59_20195</t>
  </si>
  <si>
    <t>QUR50491.1</t>
  </si>
  <si>
    <t>FQN59_20200</t>
  </si>
  <si>
    <t>QUR50492.1</t>
  </si>
  <si>
    <t>FQN59_20205</t>
  </si>
  <si>
    <t>FQN59_20210</t>
  </si>
  <si>
    <t>QUR50493.1</t>
  </si>
  <si>
    <t>FQN59_20215</t>
  </si>
  <si>
    <t>QUR50494.1</t>
  </si>
  <si>
    <t>FQN59_20220</t>
  </si>
  <si>
    <t>QUR50495.1</t>
  </si>
  <si>
    <t>FQN59_20225</t>
  </si>
  <si>
    <t>QUR50496.1</t>
  </si>
  <si>
    <t>FQN59_20230</t>
  </si>
  <si>
    <t>QUR50497.1</t>
  </si>
  <si>
    <t>FQN59_20235</t>
  </si>
  <si>
    <t>QUR50498.1</t>
  </si>
  <si>
    <t>FQN59_20240</t>
  </si>
  <si>
    <t>QUR50499.1</t>
  </si>
  <si>
    <t>FQN59_20245</t>
  </si>
  <si>
    <t>QUR50500.1</t>
  </si>
  <si>
    <t>FQN59_20250</t>
  </si>
  <si>
    <t>QUR50501.1</t>
  </si>
  <si>
    <t>FQN59_20255</t>
  </si>
  <si>
    <t>QUR50502.1</t>
  </si>
  <si>
    <t>FQN59_20260</t>
  </si>
  <si>
    <t>QUR50503.1</t>
  </si>
  <si>
    <t>FQN59_20265</t>
  </si>
  <si>
    <t>QUR50504.1</t>
  </si>
  <si>
    <t>FQN59_20270</t>
  </si>
  <si>
    <t>QUR50505.1</t>
  </si>
  <si>
    <t>FQN59_20275</t>
  </si>
  <si>
    <t>QUR50506.1</t>
  </si>
  <si>
    <t>FQN59_20280</t>
  </si>
  <si>
    <t>QUR50507.1</t>
  </si>
  <si>
    <t>FQN59_20285</t>
  </si>
  <si>
    <t>QUR50508.1</t>
  </si>
  <si>
    <t>FQN59_20290</t>
  </si>
  <si>
    <t>QUR50509.1</t>
  </si>
  <si>
    <t>FQN59_20295</t>
  </si>
  <si>
    <t>QUR50510.1</t>
  </si>
  <si>
    <t>FQN59_20300</t>
  </si>
  <si>
    <t>QUR50511.1</t>
  </si>
  <si>
    <t>FQN59_20305</t>
  </si>
  <si>
    <t>QUR50512.1</t>
  </si>
  <si>
    <t>FQN59_20310</t>
  </si>
  <si>
    <t>QUR50513.1</t>
  </si>
  <si>
    <t>FQN59_20315</t>
  </si>
  <si>
    <t>QUR50514.1</t>
  </si>
  <si>
    <t>FQN59_20320</t>
  </si>
  <si>
    <t>QUR50515.1</t>
  </si>
  <si>
    <t>FQN59_20325</t>
  </si>
  <si>
    <t>QUR50516.1</t>
  </si>
  <si>
    <t>FQN59_20330</t>
  </si>
  <si>
    <t>FQN59_20335</t>
  </si>
  <si>
    <t>QUR50517.1</t>
  </si>
  <si>
    <t>FQN59_20340</t>
  </si>
  <si>
    <t>QUR50518.1</t>
  </si>
  <si>
    <t>FQN59_20345</t>
  </si>
  <si>
    <t>QUR50519.1</t>
  </si>
  <si>
    <t>FQN59_20350</t>
  </si>
  <si>
    <t>QUR50520.1</t>
  </si>
  <si>
    <t>FQN59_20355</t>
  </si>
  <si>
    <t>QUR50521.1</t>
  </si>
  <si>
    <t>FQN59_20360</t>
  </si>
  <si>
    <t>QUR50522.1</t>
  </si>
  <si>
    <t>FQN59_20365</t>
  </si>
  <si>
    <t>QUR50523.1</t>
  </si>
  <si>
    <t>FQN59_20370</t>
  </si>
  <si>
    <t>QUR50524.1</t>
  </si>
  <si>
    <t>FQN59_20375</t>
  </si>
  <si>
    <t>QUR50525.1</t>
  </si>
  <si>
    <t>FQN59_20380</t>
  </si>
  <si>
    <t>QUR50526.1</t>
  </si>
  <si>
    <t>FQN59_20385</t>
  </si>
  <si>
    <t>QUR50527.1</t>
  </si>
  <si>
    <t>FQN59_20390</t>
  </si>
  <si>
    <t>QUR50528.1</t>
  </si>
  <si>
    <t>FQN59_20395</t>
  </si>
  <si>
    <t>QUR50529.1</t>
  </si>
  <si>
    <t>FQN59_20400</t>
  </si>
  <si>
    <t>QUR50530.1</t>
  </si>
  <si>
    <t>FQN59_20405</t>
  </si>
  <si>
    <t>QUR50531.1</t>
  </si>
  <si>
    <t>FQN59_20410</t>
  </si>
  <si>
    <t>QUR50532.1</t>
  </si>
  <si>
    <t>FQN59_20415</t>
  </si>
  <si>
    <t>QUR50533.1</t>
  </si>
  <si>
    <t>FQN59_20420</t>
  </si>
  <si>
    <t>QUR50534.1</t>
  </si>
  <si>
    <t>FQN59_20425</t>
  </si>
  <si>
    <t>QUR50535.1</t>
  </si>
  <si>
    <t>FQN59_20430</t>
  </si>
  <si>
    <t>QUR50536.1</t>
  </si>
  <si>
    <t>FQN59_20435</t>
  </si>
  <si>
    <t>FQN59_20440</t>
  </si>
  <si>
    <t>QUR50537.1</t>
  </si>
  <si>
    <t>FQN59_20445</t>
  </si>
  <si>
    <t>QUR50538.1</t>
  </si>
  <si>
    <t>FQN59_20450</t>
  </si>
  <si>
    <t>QUR50539.1</t>
  </si>
  <si>
    <t>FQN59_20455</t>
  </si>
  <si>
    <t>QUR50540.1</t>
  </si>
  <si>
    <t>FQN59_20460</t>
  </si>
  <si>
    <t>QUR50541.1</t>
  </si>
  <si>
    <t>FQN59_20465</t>
  </si>
  <si>
    <t>QUR50542.1</t>
  </si>
  <si>
    <t>FQN59_20470</t>
  </si>
  <si>
    <t>FQN59_20475</t>
  </si>
  <si>
    <t>QUR50543.1</t>
  </si>
  <si>
    <t>FQN59_20480</t>
  </si>
  <si>
    <t>QUR50544.1</t>
  </si>
  <si>
    <t>FQN59_20485</t>
  </si>
  <si>
    <t>QUR50545.1</t>
  </si>
  <si>
    <t>FQN59_20490</t>
  </si>
  <si>
    <t>QUR50546.1</t>
  </si>
  <si>
    <t>FQN59_20495</t>
  </si>
  <si>
    <t>QUR50547.1</t>
  </si>
  <si>
    <t>FQN59_20500</t>
  </si>
  <si>
    <t>QUR50548.1</t>
  </si>
  <si>
    <t>FQN59_20505</t>
  </si>
  <si>
    <t>QUR50549.1</t>
  </si>
  <si>
    <t>FQN59_20510</t>
  </si>
  <si>
    <t>QUR50550.1</t>
  </si>
  <si>
    <t>FQN59_20515</t>
  </si>
  <si>
    <t>QUR50551.1</t>
  </si>
  <si>
    <t>FQN59_20520</t>
  </si>
  <si>
    <t>QUR50552.1</t>
  </si>
  <si>
    <t>FQN59_20525</t>
  </si>
  <si>
    <t>QUR50553.1</t>
  </si>
  <si>
    <t>FQN59_20530</t>
  </si>
  <si>
    <t>QUR50554.1</t>
  </si>
  <si>
    <t>FQN59_20535</t>
  </si>
  <si>
    <t>QUR50555.1</t>
  </si>
  <si>
    <t>FQN59_20540</t>
  </si>
  <si>
    <t>QUR50556.1</t>
  </si>
  <si>
    <t>FQN59_20545</t>
  </si>
  <si>
    <t>QUR50557.1</t>
  </si>
  <si>
    <t>FQN59_20550</t>
  </si>
  <si>
    <t>QUR50558.1</t>
  </si>
  <si>
    <t>FQN59_20555</t>
  </si>
  <si>
    <t>QUR50559.1</t>
  </si>
  <si>
    <t>FQN59_20560</t>
  </si>
  <si>
    <t>QUR50560.1</t>
  </si>
  <si>
    <t>FQN59_20565</t>
  </si>
  <si>
    <t>QUR51126.1</t>
  </si>
  <si>
    <t>FQN59_20570</t>
  </si>
  <si>
    <t>QUR50561.1</t>
  </si>
  <si>
    <t>FQN59_20575</t>
  </si>
  <si>
    <t>QUR50562.1</t>
  </si>
  <si>
    <t>FQN59_20580</t>
  </si>
  <si>
    <t>QUR50563.1</t>
  </si>
  <si>
    <t>FQN59_20585</t>
  </si>
  <si>
    <t>QUR51127.1</t>
  </si>
  <si>
    <t>FQN59_20590</t>
  </si>
  <si>
    <t>QUR50564.1</t>
  </si>
  <si>
    <t>FQN59_20595</t>
  </si>
  <si>
    <t>QUR50565.1</t>
  </si>
  <si>
    <t>FQN59_20600</t>
  </si>
  <si>
    <t>QUR50566.1</t>
  </si>
  <si>
    <t>FQN59_20605</t>
  </si>
  <si>
    <t>QUR50567.1</t>
  </si>
  <si>
    <t>FQN59_20610</t>
  </si>
  <si>
    <t>QUR50568.1</t>
  </si>
  <si>
    <t>FQN59_20615</t>
  </si>
  <si>
    <t>QUR50569.1</t>
  </si>
  <si>
    <t>FQN59_20620</t>
  </si>
  <si>
    <t>QUR50570.1</t>
  </si>
  <si>
    <t>FQN59_20625</t>
  </si>
  <si>
    <t>QUR50571.1</t>
  </si>
  <si>
    <t>FQN59_20630</t>
  </si>
  <si>
    <t>QUR50572.1</t>
  </si>
  <si>
    <t>FQN59_20635</t>
  </si>
  <si>
    <t>QUR50573.1</t>
  </si>
  <si>
    <t>FQN59_20640</t>
  </si>
  <si>
    <t>QUR50574.1</t>
  </si>
  <si>
    <t>FQN59_20645</t>
  </si>
  <si>
    <t>QUR50575.1</t>
  </si>
  <si>
    <t>FQN59_20650</t>
  </si>
  <si>
    <t>QUR50576.1</t>
  </si>
  <si>
    <t>FQN59_20655</t>
  </si>
  <si>
    <t>QUR50577.1</t>
  </si>
  <si>
    <t>FQN59_20660</t>
  </si>
  <si>
    <t>QUR50578.1</t>
  </si>
  <si>
    <t>FQN59_20665</t>
  </si>
  <si>
    <t>QUR50579.1</t>
  </si>
  <si>
    <t>FQN59_20670</t>
  </si>
  <si>
    <t>QUR50580.1</t>
  </si>
  <si>
    <t>FQN59_20675</t>
  </si>
  <si>
    <t>QUR50581.1</t>
  </si>
  <si>
    <t>FQN59_20680</t>
  </si>
  <si>
    <t>QUR50582.1</t>
  </si>
  <si>
    <t>FQN59_20685</t>
  </si>
  <si>
    <t>QUR50583.1</t>
  </si>
  <si>
    <t>FQN59_20690</t>
  </si>
  <si>
    <t>QUR50584.1</t>
  </si>
  <si>
    <t>FQN59_20695</t>
  </si>
  <si>
    <t>QUR50585.1</t>
  </si>
  <si>
    <t>FQN59_20700</t>
  </si>
  <si>
    <t>QUR50586.1</t>
  </si>
  <si>
    <t>FQN59_20705</t>
  </si>
  <si>
    <t>QUR50587.1</t>
  </si>
  <si>
    <t>FQN59_20710</t>
  </si>
  <si>
    <t>FQN59_20715</t>
  </si>
  <si>
    <t>QUR50588.1</t>
  </si>
  <si>
    <t>FQN59_20720</t>
  </si>
  <si>
    <t>QUR50589.1</t>
  </si>
  <si>
    <t>FQN59_20725</t>
  </si>
  <si>
    <t>QUR50590.1</t>
  </si>
  <si>
    <t>FQN59_20730</t>
  </si>
  <si>
    <t>QUR50591.1</t>
  </si>
  <si>
    <t>FQN59_20735</t>
  </si>
  <si>
    <t>QUR50592.1</t>
  </si>
  <si>
    <t>FQN59_20740</t>
  </si>
  <si>
    <t>QUR50593.1</t>
  </si>
  <si>
    <t>FQN59_20745</t>
  </si>
  <si>
    <t>QUR50594.1</t>
  </si>
  <si>
    <t>FQN59_20750</t>
  </si>
  <si>
    <t>FQN59_20755</t>
  </si>
  <si>
    <t>QUR50595.1</t>
  </si>
  <si>
    <t>FQN59_20760</t>
  </si>
  <si>
    <t>FQN59_20765</t>
  </si>
  <si>
    <t>QUR50596.1</t>
  </si>
  <si>
    <t>FQN59_20770</t>
  </si>
  <si>
    <t>QUR50597.1</t>
  </si>
  <si>
    <t>FQN59_20775</t>
  </si>
  <si>
    <t>FQN59_20780</t>
  </si>
  <si>
    <t>QUR50598.1</t>
  </si>
  <si>
    <t>FQN59_20785</t>
  </si>
  <si>
    <t>FQN59_20790</t>
  </si>
  <si>
    <t>QUR50599.1</t>
  </si>
  <si>
    <t>FQN59_20795</t>
  </si>
  <si>
    <t>QUR50600.1</t>
  </si>
  <si>
    <t>FQN59_20800</t>
  </si>
  <si>
    <t>QUR50601.1</t>
  </si>
  <si>
    <t>FQN59_20805</t>
  </si>
  <si>
    <t>QUR50602.1</t>
  </si>
  <si>
    <t>FQN59_20810</t>
  </si>
  <si>
    <t>QUR51128.1</t>
  </si>
  <si>
    <t>FQN59_20815</t>
  </si>
  <si>
    <t>QUR50603.1</t>
  </si>
  <si>
    <t>FQN59_20820</t>
  </si>
  <si>
    <t>QUR50604.1</t>
  </si>
  <si>
    <t>FQN59_20825</t>
  </si>
  <si>
    <t>FQN59_20830</t>
  </si>
  <si>
    <t>QUR50605.1</t>
  </si>
  <si>
    <t>FQN59_20835</t>
  </si>
  <si>
    <t>QUR50606.1</t>
  </si>
  <si>
    <t>FQN59_20840</t>
  </si>
  <si>
    <t>QUR50607.1</t>
  </si>
  <si>
    <t>FQN59_20845</t>
  </si>
  <si>
    <t>FQN59_20850</t>
  </si>
  <si>
    <t>QUR50608.1</t>
  </si>
  <si>
    <t>FQN59_20855</t>
  </si>
  <si>
    <t>QUR51129.1</t>
  </si>
  <si>
    <t>FQN59_20860</t>
  </si>
  <si>
    <t>QUR50609.1</t>
  </si>
  <si>
    <t>FQN59_20865</t>
  </si>
  <si>
    <t>QUR50610.1</t>
  </si>
  <si>
    <t>FQN59_20870</t>
  </si>
  <si>
    <t>QUR50611.1</t>
  </si>
  <si>
    <t>FQN59_20875</t>
  </si>
  <si>
    <t>QUR50612.1</t>
  </si>
  <si>
    <t>FQN59_20880</t>
  </si>
  <si>
    <t>QUR50613.1</t>
  </si>
  <si>
    <t>FQN59_20885</t>
  </si>
  <si>
    <t>QUR50614.1</t>
  </si>
  <si>
    <t>FQN59_20890</t>
  </si>
  <si>
    <t>QUR50615.1</t>
  </si>
  <si>
    <t>FQN59_20895</t>
  </si>
  <si>
    <t>QUR50616.1</t>
  </si>
  <si>
    <t>FQN59_20900</t>
  </si>
  <si>
    <t>QUR50617.1</t>
  </si>
  <si>
    <t>FQN59_20905</t>
  </si>
  <si>
    <t>QUR50618.1</t>
  </si>
  <si>
    <t>FQN59_20910</t>
  </si>
  <si>
    <t>QUR50619.1</t>
  </si>
  <si>
    <t>FQN59_20915</t>
  </si>
  <si>
    <t>QUR50620.1</t>
  </si>
  <si>
    <t>FQN59_20920</t>
  </si>
  <si>
    <t>QUR50621.1</t>
  </si>
  <si>
    <t>FQN59_20925</t>
  </si>
  <si>
    <t>QUR50622.1</t>
  </si>
  <si>
    <t>FQN59_20930</t>
  </si>
  <si>
    <t>QUR50623.1</t>
  </si>
  <si>
    <t>FQN59_20935</t>
  </si>
  <si>
    <t>QUR50624.1</t>
  </si>
  <si>
    <t>FQN59_20940</t>
  </si>
  <si>
    <t>QUR50625.1</t>
  </si>
  <si>
    <t>FQN59_20945</t>
  </si>
  <si>
    <t>QUR50626.1</t>
  </si>
  <si>
    <t>FQN59_20950</t>
  </si>
  <si>
    <t>QUR50627.1</t>
  </si>
  <si>
    <t>FQN59_20955</t>
  </si>
  <si>
    <t>QUR50628.1</t>
  </si>
  <si>
    <t>FQN59_20960</t>
  </si>
  <si>
    <t>QUR50629.1</t>
  </si>
  <si>
    <t>FQN59_20965</t>
  </si>
  <si>
    <t>QUR50630.1</t>
  </si>
  <si>
    <t>FQN59_20970</t>
  </si>
  <si>
    <t>QUR50631.1</t>
  </si>
  <si>
    <t>FQN59_20975</t>
  </si>
  <si>
    <t>QUR50632.1</t>
  </si>
  <si>
    <t>FQN59_20980</t>
  </si>
  <si>
    <t>QUR50633.1</t>
  </si>
  <si>
    <t>FQN59_20985</t>
  </si>
  <si>
    <t>QUR50634.1</t>
  </si>
  <si>
    <t>FQN59_20990</t>
  </si>
  <si>
    <t>QUR50635.1</t>
  </si>
  <si>
    <t>FQN59_20995</t>
  </si>
  <si>
    <t>QUR50636.1</t>
  </si>
  <si>
    <t>FQN59_21000</t>
  </si>
  <si>
    <t>QUR51130.1</t>
  </si>
  <si>
    <t>FQN59_21005</t>
  </si>
  <si>
    <t>QUR50637.1</t>
  </si>
  <si>
    <t>FQN59_21010</t>
  </si>
  <si>
    <t>QUR50638.1</t>
  </si>
  <si>
    <t>FQN59_21015</t>
  </si>
  <si>
    <t>QUR50639.1</t>
  </si>
  <si>
    <t>FQN59_21020</t>
  </si>
  <si>
    <t>QUR50640.1</t>
  </si>
  <si>
    <t>FQN59_21025</t>
  </si>
  <si>
    <t>QUR50641.1</t>
  </si>
  <si>
    <t>FQN59_21030</t>
  </si>
  <si>
    <t>QUR50642.1</t>
  </si>
  <si>
    <t>FQN59_21035</t>
  </si>
  <si>
    <t>QUR50643.1</t>
  </si>
  <si>
    <t>FQN59_21040</t>
  </si>
  <si>
    <t>QUR50644.1</t>
  </si>
  <si>
    <t>FQN59_21045</t>
  </si>
  <si>
    <t>QUR50645.1</t>
  </si>
  <si>
    <t>FQN59_21050</t>
  </si>
  <si>
    <t>QUR50646.1</t>
  </si>
  <si>
    <t>FQN59_21055</t>
  </si>
  <si>
    <t>QUR50647.1</t>
  </si>
  <si>
    <t>FQN59_21060</t>
  </si>
  <si>
    <t>QUR50648.1</t>
  </si>
  <si>
    <t>FQN59_21065</t>
  </si>
  <si>
    <t>QUR51131.1</t>
  </si>
  <si>
    <t>FQN59_21070</t>
  </si>
  <si>
    <t>QUR50649.1</t>
  </si>
  <si>
    <t>FQN59_21075</t>
  </si>
  <si>
    <t>FQN59_21080</t>
  </si>
  <si>
    <t>FQN59_21085</t>
  </si>
  <si>
    <t>QUR50650.1</t>
  </si>
  <si>
    <t>FQN59_21090</t>
  </si>
  <si>
    <t>QUR50651.1</t>
  </si>
  <si>
    <t>FQN59_21095</t>
  </si>
  <si>
    <t>QUR50652.1</t>
  </si>
  <si>
    <t>FQN59_21100</t>
  </si>
  <si>
    <t>QUR50653.1</t>
  </si>
  <si>
    <t>FQN59_21105</t>
  </si>
  <si>
    <t>QUR50654.1</t>
  </si>
  <si>
    <t>FQN59_21110</t>
  </si>
  <si>
    <t>QUR50655.1</t>
  </si>
  <si>
    <t>FQN59_21115</t>
  </si>
  <si>
    <t>QUR50656.1</t>
  </si>
  <si>
    <t>FQN59_21120</t>
  </si>
  <si>
    <t>QUR50657.1</t>
  </si>
  <si>
    <t>FQN59_21125</t>
  </si>
  <si>
    <t>QUR50658.1</t>
  </si>
  <si>
    <t>FQN59_21130</t>
  </si>
  <si>
    <t>QUR50659.1</t>
  </si>
  <si>
    <t>FQN59_21135</t>
  </si>
  <si>
    <t>QUR50660.1</t>
  </si>
  <si>
    <t>FQN59_21140</t>
  </si>
  <si>
    <t>QUR50661.1</t>
  </si>
  <si>
    <t>FQN59_21145</t>
  </si>
  <si>
    <t>QUR50662.1</t>
  </si>
  <si>
    <t>FQN59_21150</t>
  </si>
  <si>
    <t>QUR50663.1</t>
  </si>
  <si>
    <t>FQN59_21155</t>
  </si>
  <si>
    <t>QUR50664.1</t>
  </si>
  <si>
    <t>FQN59_21160</t>
  </si>
  <si>
    <t>QUR50665.1</t>
  </si>
  <si>
    <t>FQN59_21165</t>
  </si>
  <si>
    <t>QUR50666.1</t>
  </si>
  <si>
    <t>FQN59_21170</t>
  </si>
  <si>
    <t>QUR50667.1</t>
  </si>
  <si>
    <t>FQN59_21175</t>
  </si>
  <si>
    <t>QUR50668.1</t>
  </si>
  <si>
    <t>FQN59_21180</t>
  </si>
  <si>
    <t>QUR50669.1</t>
  </si>
  <si>
    <t>FQN59_21185</t>
  </si>
  <si>
    <t>QUR50670.1</t>
  </si>
  <si>
    <t>FQN59_21190</t>
  </si>
  <si>
    <t>QUR50671.1</t>
  </si>
  <si>
    <t>FQN59_21195</t>
  </si>
  <si>
    <t>QUR50672.1</t>
  </si>
  <si>
    <t>FQN59_21200</t>
  </si>
  <si>
    <t>QUR50673.1</t>
  </si>
  <si>
    <t>FQN59_21205</t>
  </si>
  <si>
    <t>QUR50674.1</t>
  </si>
  <si>
    <t>FQN59_21210</t>
  </si>
  <si>
    <t>QUR50675.1</t>
  </si>
  <si>
    <t>FQN59_21215</t>
  </si>
  <si>
    <t>QUR50676.1</t>
  </si>
  <si>
    <t>FQN59_21220</t>
  </si>
  <si>
    <t>QUR50677.1</t>
  </si>
  <si>
    <t>FQN59_21225</t>
  </si>
  <si>
    <t>QUR50678.1</t>
  </si>
  <si>
    <t>FQN59_21230</t>
  </si>
  <si>
    <t>QUR50679.1</t>
  </si>
  <si>
    <t>FQN59_21235</t>
  </si>
  <si>
    <t>QUR50680.1</t>
  </si>
  <si>
    <t>FQN59_21240</t>
  </si>
  <si>
    <t>QUR50681.1</t>
  </si>
  <si>
    <t>FQN59_21245</t>
  </si>
  <si>
    <t>QUR50682.1</t>
  </si>
  <si>
    <t>FQN59_21250</t>
  </si>
  <si>
    <t>QUR50683.1</t>
  </si>
  <si>
    <t>FQN59_21255</t>
  </si>
  <si>
    <t>QUR50684.1</t>
  </si>
  <si>
    <t>FQN59_21260</t>
  </si>
  <si>
    <t>QUR50685.1</t>
  </si>
  <si>
    <t>FQN59_21265</t>
  </si>
  <si>
    <t>QUR50686.1</t>
  </si>
  <si>
    <t>FQN59_21270</t>
  </si>
  <si>
    <t>QUR50687.1</t>
  </si>
  <si>
    <t>FQN59_21275</t>
  </si>
  <si>
    <t>QUR50688.1</t>
  </si>
  <si>
    <t>FQN59_21280</t>
  </si>
  <si>
    <t>QUR50689.1</t>
  </si>
  <si>
    <t>FQN59_21285</t>
  </si>
  <si>
    <t>QUR50690.1</t>
  </si>
  <si>
    <t>FQN59_21290</t>
  </si>
  <si>
    <t>QUR50691.1</t>
  </si>
  <si>
    <t>FQN59_21295</t>
  </si>
  <si>
    <t>QUR50692.1</t>
  </si>
  <si>
    <t>FQN59_21300</t>
  </si>
  <si>
    <t>QUR50693.1</t>
  </si>
  <si>
    <t>FQN59_21305</t>
  </si>
  <si>
    <t>QUR50694.1</t>
  </si>
  <si>
    <t>FQN59_21310</t>
  </si>
  <si>
    <t>QUR50695.1</t>
  </si>
  <si>
    <t>FQN59_21315</t>
  </si>
  <si>
    <t>QUR50696.1</t>
  </si>
  <si>
    <t>FQN59_21320</t>
  </si>
  <si>
    <t>QUR50697.1</t>
  </si>
  <si>
    <t>FQN59_21325</t>
  </si>
  <si>
    <t>QUR50698.1</t>
  </si>
  <si>
    <t>FQN59_21330</t>
  </si>
  <si>
    <t>QUR50699.1</t>
  </si>
  <si>
    <t>FQN59_21335</t>
  </si>
  <si>
    <t>QUR50700.1</t>
  </si>
  <si>
    <t>FQN59_21340</t>
  </si>
  <si>
    <t>QUR50701.1</t>
  </si>
  <si>
    <t>FQN59_21345</t>
  </si>
  <si>
    <t>QUR50702.1</t>
  </si>
  <si>
    <t>FQN59_21350</t>
  </si>
  <si>
    <t>QUR50703.1</t>
  </si>
  <si>
    <t>FQN59_21355</t>
  </si>
  <si>
    <t>QUR50704.1</t>
  </si>
  <si>
    <t>FQN59_21360</t>
  </si>
  <si>
    <t>QUR50705.1</t>
  </si>
  <si>
    <t>FQN59_21365</t>
  </si>
  <si>
    <t>QUR50706.1</t>
  </si>
  <si>
    <t>FQN59_21370</t>
  </si>
  <si>
    <t>QUR50707.1</t>
  </si>
  <si>
    <t>FQN59_21375</t>
  </si>
  <si>
    <t>QUR50708.1</t>
  </si>
  <si>
    <t>FQN59_21380</t>
  </si>
  <si>
    <t>QUR50709.1</t>
  </si>
  <si>
    <t>FQN59_21385</t>
  </si>
  <si>
    <t>QUR50710.1</t>
  </si>
  <si>
    <t>FQN59_21390</t>
  </si>
  <si>
    <t>QUR50711.1</t>
  </si>
  <si>
    <t>FQN59_21395</t>
  </si>
  <si>
    <t>QUR50712.1</t>
  </si>
  <si>
    <t>FQN59_21400</t>
  </si>
  <si>
    <t>QUR50713.1</t>
  </si>
  <si>
    <t>FQN59_21405</t>
  </si>
  <si>
    <t>QUR50714.1</t>
  </si>
  <si>
    <t>FQN59_21410</t>
  </si>
  <si>
    <t>QUR50715.1</t>
  </si>
  <si>
    <t>FQN59_21415</t>
  </si>
  <si>
    <t>QUR50716.1</t>
  </si>
  <si>
    <t>FQN59_21420</t>
  </si>
  <si>
    <t>QUR50717.1</t>
  </si>
  <si>
    <t>FQN59_21425</t>
  </si>
  <si>
    <t>QUR50718.1</t>
  </si>
  <si>
    <t>FQN59_21430</t>
  </si>
  <si>
    <t>QUR50719.1</t>
  </si>
  <si>
    <t>FQN59_21435</t>
  </si>
  <si>
    <t>QUR50720.1</t>
  </si>
  <si>
    <t>FQN59_21440</t>
  </si>
  <si>
    <t>QUR50721.1</t>
  </si>
  <si>
    <t>FQN59_21445</t>
  </si>
  <si>
    <t>QUR50722.1</t>
  </si>
  <si>
    <t>FQN59_21450</t>
  </si>
  <si>
    <t>QUR50723.1</t>
  </si>
  <si>
    <t>FQN59_21455</t>
  </si>
  <si>
    <t>QUR50724.1</t>
  </si>
  <si>
    <t>FQN59_21460</t>
  </si>
  <si>
    <t>QUR50725.1</t>
  </si>
  <si>
    <t>FQN59_21465</t>
  </si>
  <si>
    <t>QUR50726.1</t>
  </si>
  <si>
    <t>FQN59_21470</t>
  </si>
  <si>
    <t>QUR50727.1</t>
  </si>
  <si>
    <t>FQN59_21475</t>
  </si>
  <si>
    <t>QUR50728.1</t>
  </si>
  <si>
    <t>FQN59_21480</t>
  </si>
  <si>
    <t>QUR50729.1</t>
  </si>
  <si>
    <t>FQN59_21485</t>
  </si>
  <si>
    <t>QUR50730.1</t>
  </si>
  <si>
    <t>FQN59_21490</t>
  </si>
  <si>
    <t>QUR50731.1</t>
  </si>
  <si>
    <t>FQN59_21495</t>
  </si>
  <si>
    <t>QUR50732.1</t>
  </si>
  <si>
    <t>FQN59_21500</t>
  </si>
  <si>
    <t>QUR51132.1</t>
  </si>
  <si>
    <t>FQN59_21505</t>
  </si>
  <si>
    <t>QUR50733.1</t>
  </si>
  <si>
    <t>FQN59_21510</t>
  </si>
  <si>
    <t>QUR50734.1</t>
  </si>
  <si>
    <t>FQN59_21515</t>
  </si>
  <si>
    <t>QUR50735.1</t>
  </si>
  <si>
    <t>FQN59_21520</t>
  </si>
  <si>
    <t>QUR50736.1</t>
  </si>
  <si>
    <t>FQN59_21525</t>
  </si>
  <si>
    <t>QUR50737.1</t>
  </si>
  <si>
    <t>FQN59_21530</t>
  </si>
  <si>
    <t>QUR50738.1</t>
  </si>
  <si>
    <t>FQN59_21535</t>
  </si>
  <si>
    <t>QUR50739.1</t>
  </si>
  <si>
    <t>FQN59_21540</t>
  </si>
  <si>
    <t>QUR50740.1</t>
  </si>
  <si>
    <t>FQN59_21545</t>
  </si>
  <si>
    <t>QUR50741.1</t>
  </si>
  <si>
    <t>FQN59_21550</t>
  </si>
  <si>
    <t>QUR50742.1</t>
  </si>
  <si>
    <t>FQN59_21555</t>
  </si>
  <si>
    <t>QUR50743.1</t>
  </si>
  <si>
    <t>FQN59_21560</t>
  </si>
  <si>
    <t>QUR50744.1</t>
  </si>
  <si>
    <t>FQN59_21565</t>
  </si>
  <si>
    <t>QUR50745.1</t>
  </si>
  <si>
    <t>FQN59_21570</t>
  </si>
  <si>
    <t>QUR50746.1</t>
  </si>
  <si>
    <t>FQN59_21575</t>
  </si>
  <si>
    <t>QUR50747.1</t>
  </si>
  <si>
    <t>FQN59_21580</t>
  </si>
  <si>
    <t>QUR50748.1</t>
  </si>
  <si>
    <t>FQN59_21585</t>
  </si>
  <si>
    <t>QUR50749.1</t>
  </si>
  <si>
    <t>FQN59_21590</t>
  </si>
  <si>
    <t>QUR50750.1</t>
  </si>
  <si>
    <t>FQN59_21595</t>
  </si>
  <si>
    <t>QUR50751.1</t>
  </si>
  <si>
    <t>FQN59_21600</t>
  </si>
  <si>
    <t>QUR50752.1</t>
  </si>
  <si>
    <t>FQN59_21605</t>
  </si>
  <si>
    <t>QUR50753.1</t>
  </si>
  <si>
    <t>FQN59_21610</t>
  </si>
  <si>
    <t>QUR50754.1</t>
  </si>
  <si>
    <t>FQN59_21615</t>
  </si>
  <si>
    <t>QUR50755.1</t>
  </si>
  <si>
    <t>FQN59_21620</t>
  </si>
  <si>
    <t>QUR50756.1</t>
  </si>
  <si>
    <t>FQN59_21625</t>
  </si>
  <si>
    <t>QUR50757.1</t>
  </si>
  <si>
    <t>FQN59_21630</t>
  </si>
  <si>
    <t>FQN59_21635</t>
  </si>
  <si>
    <t>FQN59_21640</t>
  </si>
  <si>
    <t>FQN59_21645</t>
  </si>
  <si>
    <t>QUR50758.1</t>
  </si>
  <si>
    <t>FQN59_21650</t>
  </si>
  <si>
    <t>QUR50759.1</t>
  </si>
  <si>
    <t>FQN59_21655</t>
  </si>
  <si>
    <t>QUR50760.1</t>
  </si>
  <si>
    <t>FQN59_21660</t>
  </si>
  <si>
    <t>QUR51133.1</t>
  </si>
  <si>
    <t>FQN59_21665</t>
  </si>
  <si>
    <t>QUR50761.1</t>
  </si>
  <si>
    <t>FQN59_21670</t>
  </si>
  <si>
    <t>QUR50762.1</t>
  </si>
  <si>
    <t>FQN59_21675</t>
  </si>
  <si>
    <t>QUR50763.1</t>
  </si>
  <si>
    <t>FQN59_21680</t>
  </si>
  <si>
    <t>QUR50764.1</t>
  </si>
  <si>
    <t>FQN59_21685</t>
  </si>
  <si>
    <t>QUR51134.1</t>
  </si>
  <si>
    <t>FQN59_21690</t>
  </si>
  <si>
    <t>QUR50765.1</t>
  </si>
  <si>
    <t>FQN59_21695</t>
  </si>
  <si>
    <t>QUR50766.1</t>
  </si>
  <si>
    <t>FQN59_21700</t>
  </si>
  <si>
    <t>QUR50767.1</t>
  </si>
  <si>
    <t>FQN59_21705</t>
  </si>
  <si>
    <t>QUR50768.1</t>
  </si>
  <si>
    <t>FQN59_21710</t>
  </si>
  <si>
    <t>QUR51135.1</t>
  </si>
  <si>
    <t>FQN59_21715</t>
  </si>
  <si>
    <t>QUR50769.1</t>
  </si>
  <si>
    <t>FQN59_21720</t>
  </si>
  <si>
    <t>QUR50770.1</t>
  </si>
  <si>
    <t>FQN59_21725</t>
  </si>
  <si>
    <t>QUR50771.1</t>
  </si>
  <si>
    <t>FQN59_21730</t>
  </si>
  <si>
    <t>QUR50772.1</t>
  </si>
  <si>
    <t>FQN59_21735</t>
  </si>
  <si>
    <t>QUR50773.1</t>
  </si>
  <si>
    <t>FQN59_21740</t>
  </si>
  <si>
    <t>QUR50774.1</t>
  </si>
  <si>
    <t>FQN59_21745</t>
  </si>
  <si>
    <t>QUR50775.1</t>
  </si>
  <si>
    <t>FQN59_21750</t>
  </si>
  <si>
    <t>QUR50776.1</t>
  </si>
  <si>
    <t>FQN59_21755</t>
  </si>
  <si>
    <t>QUR50777.1</t>
  </si>
  <si>
    <t>FQN59_21760</t>
  </si>
  <si>
    <t>QUR50778.1</t>
  </si>
  <si>
    <t>FQN59_21765</t>
  </si>
  <si>
    <t>QUR50779.1</t>
  </si>
  <si>
    <t>FQN59_21770</t>
  </si>
  <si>
    <t>QUR50780.1</t>
  </si>
  <si>
    <t>FQN59_21775</t>
  </si>
  <si>
    <t>QUR50781.1</t>
  </si>
  <si>
    <t>FQN59_21780</t>
  </si>
  <si>
    <t>QUR50782.1</t>
  </si>
  <si>
    <t>FQN59_21785</t>
  </si>
  <si>
    <t>QUR50783.1</t>
  </si>
  <si>
    <t>FQN59_21790</t>
  </si>
  <si>
    <t>QUR50784.1</t>
  </si>
  <si>
    <t>FQN59_21795</t>
  </si>
  <si>
    <t>QUR50785.1</t>
  </si>
  <si>
    <t>FQN59_21800</t>
  </si>
  <si>
    <t>QUR50786.1</t>
  </si>
  <si>
    <t>FQN59_21805</t>
  </si>
  <si>
    <t>QUR50787.1</t>
  </si>
  <si>
    <t>FQN59_21810</t>
  </si>
  <si>
    <t>QUR50788.1</t>
  </si>
  <si>
    <t>FQN59_21815</t>
  </si>
  <si>
    <t>QUR50789.1</t>
  </si>
  <si>
    <t>FQN59_21820</t>
  </si>
  <si>
    <t>QUR50790.1</t>
  </si>
  <si>
    <t>FQN59_21825</t>
  </si>
  <si>
    <t>QUR50791.1</t>
  </si>
  <si>
    <t>FQN59_21830</t>
  </si>
  <si>
    <t>QUR50792.1</t>
  </si>
  <si>
    <t>FQN59_21835</t>
  </si>
  <si>
    <t>QUR50793.1</t>
  </si>
  <si>
    <t>FQN59_21840</t>
  </si>
  <si>
    <t>QUR50794.1</t>
  </si>
  <si>
    <t>FQN59_21845</t>
  </si>
  <si>
    <t>QUR50795.1</t>
  </si>
  <si>
    <t>FQN59_21850</t>
  </si>
  <si>
    <t>QUR50796.1</t>
  </si>
  <si>
    <t>FQN59_21855</t>
  </si>
  <si>
    <t>QUR50797.1</t>
  </si>
  <si>
    <t>FQN59_21860</t>
  </si>
  <si>
    <t>QUR50798.1</t>
  </si>
  <si>
    <t>FQN59_21865</t>
  </si>
  <si>
    <t>QUR50799.1</t>
  </si>
  <si>
    <t>FQN59_21870</t>
  </si>
  <si>
    <t>QUR50800.1</t>
  </si>
  <si>
    <t>FQN59_21875</t>
  </si>
  <si>
    <t>QUR50801.1</t>
  </si>
  <si>
    <t>FQN59_21880</t>
  </si>
  <si>
    <t>QUR50802.1</t>
  </si>
  <si>
    <t>FQN59_21885</t>
  </si>
  <si>
    <t>QUR50803.1</t>
  </si>
  <si>
    <t>FQN59_21890</t>
  </si>
  <si>
    <t>QUR50804.1</t>
  </si>
  <si>
    <t>FQN59_21895</t>
  </si>
  <si>
    <t>QUR50805.1</t>
  </si>
  <si>
    <t>FQN59_21900</t>
  </si>
  <si>
    <t>QUR50806.1</t>
  </si>
  <si>
    <t>FQN59_21905</t>
  </si>
  <si>
    <t>QUR50807.1</t>
  </si>
  <si>
    <t>FQN59_21910</t>
  </si>
  <si>
    <t>QUR50808.1</t>
  </si>
  <si>
    <t>FQN59_21915</t>
  </si>
  <si>
    <t>QUR50809.1</t>
  </si>
  <si>
    <t>FQN59_21920</t>
  </si>
  <si>
    <t>QUR50810.1</t>
  </si>
  <si>
    <t>FQN59_21925</t>
  </si>
  <si>
    <t>QUR50811.1</t>
  </si>
  <si>
    <t>FQN59_21930</t>
  </si>
  <si>
    <t>QUR51136.1</t>
  </si>
  <si>
    <t>FQN59_21935</t>
  </si>
  <si>
    <t>QUR50812.1</t>
  </si>
  <si>
    <t>FQN59_21940</t>
  </si>
  <si>
    <t>QUR50813.1</t>
  </si>
  <si>
    <t>FQN59_21945</t>
  </si>
  <si>
    <t>FQN59_21950</t>
  </si>
  <si>
    <t>QUR50814.1</t>
  </si>
  <si>
    <t>FQN59_21955</t>
  </si>
  <si>
    <t>FQN59_21960</t>
  </si>
  <si>
    <t>QUR50815.1</t>
  </si>
  <si>
    <t>FQN59_21965</t>
  </si>
  <si>
    <t>QUR50816.1</t>
  </si>
  <si>
    <t>FQN59_21970</t>
  </si>
  <si>
    <t>QUR51137.1</t>
  </si>
  <si>
    <t>FQN59_21975</t>
  </si>
  <si>
    <t>QUR51138.1</t>
  </si>
  <si>
    <t>FQN59_21980</t>
  </si>
  <si>
    <t>QUR50817.1</t>
  </si>
  <si>
    <t>FQN59_21985</t>
  </si>
  <si>
    <t>QUR51139.1</t>
  </si>
  <si>
    <t>FQN59_21990</t>
  </si>
  <si>
    <t>QUR51140.1</t>
  </si>
  <si>
    <t>FQN59_21995</t>
  </si>
  <si>
    <t>QUR50818.1</t>
  </si>
  <si>
    <t>FQN59_22000</t>
  </si>
  <si>
    <t>QUR50819.1</t>
  </si>
  <si>
    <t>FQN59_22005</t>
  </si>
  <si>
    <t>QUR50820.1</t>
  </si>
  <si>
    <t>FQN59_22010</t>
  </si>
  <si>
    <t>QUR50821.1</t>
  </si>
  <si>
    <t>FQN59_22015</t>
  </si>
  <si>
    <t>QUR50822.1</t>
  </si>
  <si>
    <t>FQN59_22020</t>
  </si>
  <si>
    <t>QUR50823.1</t>
  </si>
  <si>
    <t>FQN59_22025</t>
  </si>
  <si>
    <t>QUR50824.1</t>
  </si>
  <si>
    <t>FQN59_22030</t>
  </si>
  <si>
    <t>QUR50825.1</t>
  </si>
  <si>
    <t>FQN59_22035</t>
  </si>
  <si>
    <t>QUR50826.1</t>
  </si>
  <si>
    <t>FQN59_22040</t>
  </si>
  <si>
    <t>QUR50827.1</t>
  </si>
  <si>
    <t>FQN59_22045</t>
  </si>
  <si>
    <t>QUR51141.1</t>
  </si>
  <si>
    <t>FQN59_22050</t>
  </si>
  <si>
    <t>QUR50828.1</t>
  </si>
  <si>
    <t>FQN59_22055</t>
  </si>
  <si>
    <t>QUR51142.1</t>
  </si>
  <si>
    <t>FQN59_22060</t>
  </si>
  <si>
    <t>QUR50829.1</t>
  </si>
  <si>
    <t>FQN59_22065</t>
  </si>
  <si>
    <t>QUR50830.1</t>
  </si>
  <si>
    <t>FQN59_22070</t>
  </si>
  <si>
    <t>QUR50831.1</t>
  </si>
  <si>
    <t>FQN59_22075</t>
  </si>
  <si>
    <t>QUR50832.1</t>
  </si>
  <si>
    <t>FQN59_22080</t>
  </si>
  <si>
    <t>QUR50833.1</t>
  </si>
  <si>
    <t>FQN59_22085</t>
  </si>
  <si>
    <t>QUR50834.1</t>
  </si>
  <si>
    <t>FQN59_22090</t>
  </si>
  <si>
    <t>QUR50835.1</t>
  </si>
  <si>
    <t>FQN59_22095</t>
  </si>
  <si>
    <t>QUR50836.1</t>
  </si>
  <si>
    <t>FQN59_22100</t>
  </si>
  <si>
    <t>QUR50837.1</t>
  </si>
  <si>
    <t>FQN59_22105</t>
  </si>
  <si>
    <t>FQN59_22110</t>
  </si>
  <si>
    <t>QUR50838.1</t>
  </si>
  <si>
    <t>FQN59_22115</t>
  </si>
  <si>
    <t>QUR50839.1</t>
  </si>
  <si>
    <t>FQN59_22120</t>
  </si>
  <si>
    <t>QUR50840.1</t>
  </si>
  <si>
    <t>FQN59_22125</t>
  </si>
  <si>
    <t>QUR50841.1</t>
  </si>
  <si>
    <t>FQN59_22130</t>
  </si>
  <si>
    <t>QUR50842.1</t>
  </si>
  <si>
    <t>FQN59_22135</t>
  </si>
  <si>
    <t>QUR50843.1</t>
  </si>
  <si>
    <t>FQN59_22140</t>
  </si>
  <si>
    <t>QUR50844.1</t>
  </si>
  <si>
    <t>FQN59_22145</t>
  </si>
  <si>
    <t>QUR50845.1</t>
  </si>
  <si>
    <t>FQN59_22150</t>
  </si>
  <si>
    <t>QUR50846.1</t>
  </si>
  <si>
    <t>FQN59_22155</t>
  </si>
  <si>
    <t>QUR50847.1</t>
  </si>
  <si>
    <t>FQN59_22160</t>
  </si>
  <si>
    <t>QUR50848.1</t>
  </si>
  <si>
    <t>FQN59_22165</t>
  </si>
  <si>
    <t>QUR50849.1</t>
  </si>
  <si>
    <t>FQN59_22170</t>
  </si>
  <si>
    <t>QUR50850.1</t>
  </si>
  <si>
    <t>FQN59_22175</t>
  </si>
  <si>
    <t>QUR50851.1</t>
  </si>
  <si>
    <t>FQN59_22180</t>
  </si>
  <si>
    <t>QUR50852.1</t>
  </si>
  <si>
    <t>FQN59_22185</t>
  </si>
  <si>
    <t>QUR50853.1</t>
  </si>
  <si>
    <t>FQN59_22190</t>
  </si>
  <si>
    <t>QUR50854.1</t>
  </si>
  <si>
    <t>FQN59_22195</t>
  </si>
  <si>
    <t>QUR50855.1</t>
  </si>
  <si>
    <t>FQN59_22200</t>
  </si>
  <si>
    <t>QUR50856.1</t>
  </si>
  <si>
    <t>FQN59_22205</t>
  </si>
  <si>
    <t>QUR50857.1</t>
  </si>
  <si>
    <t>FQN59_22210</t>
  </si>
  <si>
    <t>QUR50858.1</t>
  </si>
  <si>
    <t>FQN59_22215</t>
  </si>
  <si>
    <t>QUR50859.1</t>
  </si>
  <si>
    <t>FQN59_22220</t>
  </si>
  <si>
    <t>QUR50860.1</t>
  </si>
  <si>
    <t>FQN59_22225</t>
  </si>
  <si>
    <t>QUR50861.1</t>
  </si>
  <si>
    <t>FQN59_22230</t>
  </si>
  <si>
    <t>QUR50862.1</t>
  </si>
  <si>
    <t>FQN59_22235</t>
  </si>
  <si>
    <t>QUR50863.1</t>
  </si>
  <si>
    <t>FQN59_22240</t>
  </si>
  <si>
    <t>QUR50864.1</t>
  </si>
  <si>
    <t>FQN59_22245</t>
  </si>
  <si>
    <t>QUR50865.1</t>
  </si>
  <si>
    <t>FQN59_22250</t>
  </si>
  <si>
    <t>QUR50866.1</t>
  </si>
  <si>
    <t>FQN59_22255</t>
  </si>
  <si>
    <t>QUR50867.1</t>
  </si>
  <si>
    <t>FQN59_22260</t>
  </si>
  <si>
    <t>QUR50868.1</t>
  </si>
  <si>
    <t>FQN59_22265</t>
  </si>
  <si>
    <t>QUR50869.1</t>
  </si>
  <si>
    <t>FQN59_22270</t>
  </si>
  <si>
    <t>QUR50870.1</t>
  </si>
  <si>
    <t>FQN59_22275</t>
  </si>
  <si>
    <t>QUR50871.1</t>
  </si>
  <si>
    <t>FQN59_22280</t>
  </si>
  <si>
    <t>QUR50872.1</t>
  </si>
  <si>
    <t>FQN59_22285</t>
  </si>
  <si>
    <t>QUR50873.1</t>
  </si>
  <si>
    <t>FQN59_22290</t>
  </si>
  <si>
    <t>QUR50874.1</t>
  </si>
  <si>
    <t>FQN59_22295</t>
  </si>
  <si>
    <t>QUR50875.1</t>
  </si>
  <si>
    <t>FQN59_22300</t>
  </si>
  <si>
    <t>QUR51143.1</t>
  </si>
  <si>
    <t>FQN59_22305</t>
  </si>
  <si>
    <t>QUR50876.1</t>
  </si>
  <si>
    <t>FQN59_22310</t>
  </si>
  <si>
    <t>QUR50877.1</t>
  </si>
  <si>
    <t>FQN59_22315</t>
  </si>
  <si>
    <t>QUR50878.1</t>
  </si>
  <si>
    <t>FQN59_22320</t>
  </si>
  <si>
    <t>QUR50879.1</t>
  </si>
  <si>
    <t>FQN59_22325</t>
  </si>
  <si>
    <t>QUR50880.1</t>
  </si>
  <si>
    <t>FQN59_22330</t>
  </si>
  <si>
    <t>QUR50881.1</t>
  </si>
  <si>
    <t>FQN59_22335</t>
  </si>
  <si>
    <t>QUR50882.1</t>
  </si>
  <si>
    <t>FQN59_22340</t>
  </si>
  <si>
    <t>QUR50883.1</t>
  </si>
  <si>
    <t>FQN59_22345</t>
  </si>
  <si>
    <t>QUR50884.1</t>
  </si>
  <si>
    <t>FQN59_22350</t>
  </si>
  <si>
    <t>FQN59_22355</t>
  </si>
  <si>
    <t>QUR50885.1</t>
  </si>
  <si>
    <t>FQN59_22360</t>
  </si>
  <si>
    <t>FQN59_22365</t>
  </si>
  <si>
    <t>QUR50886.1</t>
  </si>
  <si>
    <t>FQN59_22370</t>
  </si>
  <si>
    <t>FQN59_22375</t>
  </si>
  <si>
    <t>QUR50887.1</t>
  </si>
  <si>
    <t>FQN59_22380</t>
  </si>
  <si>
    <t>QUR50888.1</t>
  </si>
  <si>
    <t>FQN59_22385</t>
  </si>
  <si>
    <t>QUR50889.1</t>
  </si>
  <si>
    <t>FQN59_22390</t>
  </si>
  <si>
    <t>QUR50890.1</t>
  </si>
  <si>
    <t>FQN59_22395</t>
  </si>
  <si>
    <t>QUR50891.1</t>
  </si>
  <si>
    <t>FQN59_22400</t>
  </si>
  <si>
    <t>QUR50892.1</t>
  </si>
  <si>
    <t>FQN59_22405</t>
  </si>
  <si>
    <t>QUR50893.1</t>
  </si>
  <si>
    <t>FQN59_22410</t>
  </si>
  <si>
    <t>QUR50894.1</t>
  </si>
  <si>
    <t>FQN59_22415</t>
  </si>
  <si>
    <t>QUR50895.1</t>
  </si>
  <si>
    <t>FQN59_22420</t>
  </si>
  <si>
    <t>QUR50896.1</t>
  </si>
  <si>
    <t>FQN59_22425</t>
  </si>
  <si>
    <t>QUR50897.1</t>
  </si>
  <si>
    <t>FQN59_22430</t>
  </si>
  <si>
    <t>QUR50898.1</t>
  </si>
  <si>
    <t>FQN59_22435</t>
  </si>
  <si>
    <t>QUR50899.1</t>
  </si>
  <si>
    <t>FQN59_22440</t>
  </si>
  <si>
    <t>QUR50900.1</t>
  </si>
  <si>
    <t>FQN59_22445</t>
  </si>
  <si>
    <t>QUR50901.1</t>
  </si>
  <si>
    <t>FQN59_22450</t>
  </si>
  <si>
    <t>QUR50902.1</t>
  </si>
  <si>
    <t>FQN59_22455</t>
  </si>
  <si>
    <t>QUR50903.1</t>
  </si>
  <si>
    <t>FQN59_22460</t>
  </si>
  <si>
    <t>QUR50904.1</t>
  </si>
  <si>
    <t>FQN59_22465</t>
  </si>
  <si>
    <t>QUR50905.1</t>
  </si>
  <si>
    <t>FQN59_22470</t>
  </si>
  <si>
    <t>QUR50906.1</t>
  </si>
  <si>
    <t>FQN59_22475</t>
  </si>
  <si>
    <t>QUR50907.1</t>
  </si>
  <si>
    <t>FQN59_22480</t>
  </si>
  <si>
    <t>QUR50908.1</t>
  </si>
  <si>
    <t>FQN59_22485</t>
  </si>
  <si>
    <t>QUR50909.1</t>
  </si>
  <si>
    <t>FQN59_22490</t>
  </si>
  <si>
    <t>QUR50910.1</t>
  </si>
  <si>
    <t>FQN59_22495</t>
  </si>
  <si>
    <t>QUR50911.1</t>
  </si>
  <si>
    <t>FQN59_22500</t>
  </si>
  <si>
    <t>QUR50912.1</t>
  </si>
  <si>
    <t>FQN59_22505</t>
  </si>
  <si>
    <t>QUR50913.1</t>
  </si>
  <si>
    <t>FQN59_22510</t>
  </si>
  <si>
    <t>QUR50914.1</t>
  </si>
  <si>
    <t>FQN59_22515</t>
  </si>
  <si>
    <t>QUR50915.1</t>
  </si>
  <si>
    <t>FQN59_22520</t>
  </si>
  <si>
    <t>QUR50916.1</t>
  </si>
  <si>
    <t>FQN59_22525</t>
  </si>
  <si>
    <t>QUR50917.1</t>
  </si>
  <si>
    <t>FQN59_22530</t>
  </si>
  <si>
    <t>QUR50918.1</t>
  </si>
  <si>
    <t>FQN59_22535</t>
  </si>
  <si>
    <t>QUR50919.1</t>
  </si>
  <si>
    <t>FQN59_22540</t>
  </si>
  <si>
    <t>QUR50920.1</t>
  </si>
  <si>
    <t>FQN59_22545</t>
  </si>
  <si>
    <t>QUR50921.1</t>
  </si>
  <si>
    <t>FQN59_22550</t>
  </si>
  <si>
    <t>QUR50922.1</t>
  </si>
  <si>
    <t>FQN59_22555</t>
  </si>
  <si>
    <t>QUR50923.1</t>
  </si>
  <si>
    <t>FQN59_22560</t>
  </si>
  <si>
    <t>QUR50924.1</t>
  </si>
  <si>
    <t>FQN59_22565</t>
  </si>
  <si>
    <t>QUR50925.1</t>
  </si>
  <si>
    <t>FQN59_22570</t>
  </si>
  <si>
    <t>QUR50926.1</t>
  </si>
  <si>
    <t>FQN59_22575</t>
  </si>
  <si>
    <t>QUR50927.1</t>
  </si>
  <si>
    <t>FQN59_22580</t>
  </si>
  <si>
    <t>QUR50928.1</t>
  </si>
  <si>
    <t>FQN59_22585</t>
  </si>
  <si>
    <t>QUR50929.1</t>
  </si>
  <si>
    <t>FQN59_22590</t>
  </si>
  <si>
    <t>QUR50930.1</t>
  </si>
  <si>
    <t>FQN59_22595</t>
  </si>
  <si>
    <t>QUR50931.1</t>
  </si>
  <si>
    <t>FQN59_22600</t>
  </si>
  <si>
    <t>QUR50932.1</t>
  </si>
  <si>
    <t>FQN59_22605</t>
  </si>
  <si>
    <t>QUR50933.1</t>
  </si>
  <si>
    <t>FQN59_22610</t>
  </si>
  <si>
    <t>QUR50934.1</t>
  </si>
  <si>
    <t>FQN59_22615</t>
  </si>
  <si>
    <t>QUR50935.1</t>
  </si>
  <si>
    <t>FQN59_22620</t>
  </si>
  <si>
    <t>QUR50936.1</t>
  </si>
  <si>
    <t>FQN59_22625</t>
  </si>
  <si>
    <t>QUR50937.1</t>
  </si>
  <si>
    <t>FQN59_22630</t>
  </si>
  <si>
    <t>QUR50938.1</t>
  </si>
  <si>
    <t>FQN59_22635</t>
  </si>
  <si>
    <t>QUR50939.1</t>
  </si>
  <si>
    <t>FQN59_22640</t>
  </si>
  <si>
    <t>QUR50940.1</t>
  </si>
  <si>
    <t>FQN59_22645</t>
  </si>
  <si>
    <t>QUR50941.1</t>
  </si>
  <si>
    <t>FQN59_22650</t>
  </si>
  <si>
    <t>QUR50942.1</t>
  </si>
  <si>
    <t>FQN59_22655</t>
  </si>
  <si>
    <t>QUR50943.1</t>
  </si>
  <si>
    <t>FQN59_22660</t>
  </si>
  <si>
    <t>QUR50944.1</t>
  </si>
  <si>
    <t>FQN59_22665</t>
  </si>
  <si>
    <t>QUR50945.1</t>
  </si>
  <si>
    <t>FQN59_22670</t>
  </si>
  <si>
    <t>QUR50946.1</t>
  </si>
  <si>
    <t>FQN59_22675</t>
  </si>
  <si>
    <t>QUR50947.1</t>
  </si>
  <si>
    <t>FQN59_22680</t>
  </si>
  <si>
    <t>QUR50948.1</t>
  </si>
  <si>
    <t>FQN59_22685</t>
  </si>
  <si>
    <t>QUR50949.1</t>
  </si>
  <si>
    <t>FQN59_22690</t>
  </si>
  <si>
    <t>QUR50950.1</t>
  </si>
  <si>
    <t>FQN59_22695</t>
  </si>
  <si>
    <t>QUR50951.1</t>
  </si>
  <si>
    <t>FQN59_22700</t>
  </si>
  <si>
    <t>QUR50952.1</t>
  </si>
  <si>
    <t>FQN59_22705</t>
  </si>
  <si>
    <t>QUR50953.1</t>
  </si>
  <si>
    <t>FQN59_22710</t>
  </si>
  <si>
    <t>QUR50954.1</t>
  </si>
  <si>
    <t>FQN59_22715</t>
  </si>
  <si>
    <t>QUR51144.1</t>
  </si>
  <si>
    <t>FQN59_22720</t>
  </si>
  <si>
    <t>QUR50955.1</t>
  </si>
  <si>
    <t>FQN59_22725</t>
  </si>
  <si>
    <t>QUR50956.1</t>
  </si>
  <si>
    <t>FQN59_22730</t>
  </si>
  <si>
    <t>QUR50957.1</t>
  </si>
  <si>
    <t>FQN59_22735</t>
  </si>
  <si>
    <t>QUR50958.1</t>
  </si>
  <si>
    <t>FQN59_22740</t>
  </si>
  <si>
    <t>QUR50959.1</t>
  </si>
  <si>
    <t>FQN59_22745</t>
  </si>
  <si>
    <t>QUR50960.1</t>
  </si>
  <si>
    <t>FQN59_22750</t>
  </si>
  <si>
    <t>QUR50961.1</t>
  </si>
  <si>
    <t>FQN59_22755</t>
  </si>
  <si>
    <t>QUR50962.1</t>
  </si>
  <si>
    <t>FQN59_22760</t>
  </si>
  <si>
    <t>FQN59_22765</t>
  </si>
  <si>
    <t>QUR50963.1</t>
  </si>
  <si>
    <t>FQN59_22770</t>
  </si>
  <si>
    <t>QUR50964.1</t>
  </si>
  <si>
    <t>FQN59_22775</t>
  </si>
  <si>
    <t>QUR50965.1</t>
  </si>
  <si>
    <t>FQN59_22780</t>
  </si>
  <si>
    <t>QUR50966.1</t>
  </si>
  <si>
    <t>FQN59_22785</t>
  </si>
  <si>
    <t>QUR50967.1</t>
  </si>
  <si>
    <t>FQN59_22790</t>
  </si>
  <si>
    <t>FQN59_22795</t>
  </si>
  <si>
    <t>FQN59_22800</t>
  </si>
  <si>
    <t>QUR50968.1</t>
  </si>
  <si>
    <t>FQN59_22805</t>
  </si>
  <si>
    <t>QUR51145.1</t>
  </si>
  <si>
    <t>FQN59_22810</t>
  </si>
  <si>
    <t>QUR50969.1</t>
  </si>
  <si>
    <t>FQN59_22815</t>
  </si>
  <si>
    <t>QUR50970.1</t>
  </si>
  <si>
    <t>FQN59_22820</t>
  </si>
  <si>
    <t>QUR50971.1</t>
  </si>
  <si>
    <t>FQN59_22825</t>
  </si>
  <si>
    <t>FQN59_22830</t>
  </si>
  <si>
    <t>FQN59_22835</t>
  </si>
  <si>
    <t>QUR50972.1</t>
  </si>
  <si>
    <t>FQN59_22840</t>
  </si>
  <si>
    <t>QUR50973.1</t>
  </si>
  <si>
    <t>FQN59_22845</t>
  </si>
  <si>
    <t>QUR50974.1</t>
  </si>
  <si>
    <t>FQN59_22850</t>
  </si>
  <si>
    <t>QUR50975.1</t>
  </si>
  <si>
    <t>FQN59_22855</t>
  </si>
  <si>
    <t>QUR50976.1</t>
  </si>
  <si>
    <t>FQN59_22860</t>
  </si>
  <si>
    <t>QUR50977.1</t>
  </si>
  <si>
    <t>FQN59_22865</t>
  </si>
  <si>
    <t>QUR50978.1</t>
  </si>
  <si>
    <t>FQN59_22870</t>
  </si>
  <si>
    <t>QUR50979.1</t>
  </si>
  <si>
    <t>FQN59_22875</t>
  </si>
  <si>
    <t>QUR50980.1</t>
  </si>
  <si>
    <t>FQN59_22880</t>
  </si>
  <si>
    <t>QUR50981.1</t>
  </si>
  <si>
    <t>FQN59_22885</t>
  </si>
  <si>
    <t>QUR50982.1</t>
  </si>
  <si>
    <t>FQN59_22890</t>
  </si>
  <si>
    <t>QUR50983.1</t>
  </si>
  <si>
    <t>FQN59_22895</t>
  </si>
  <si>
    <t>QUR50984.1</t>
  </si>
  <si>
    <t>FQN59_22900</t>
  </si>
  <si>
    <t>QUR50985.1</t>
  </si>
  <si>
    <t>FQN59_22905</t>
  </si>
  <si>
    <t>QUR50986.1</t>
  </si>
  <si>
    <t>FQN59_22910</t>
  </si>
  <si>
    <t>3.5.2.7</t>
  </si>
  <si>
    <t>3.1.3.7</t>
  </si>
  <si>
    <t>4.3.1.3</t>
  </si>
  <si>
    <t>2.1.1.33</t>
  </si>
  <si>
    <t>1.4.1.13</t>
  </si>
  <si>
    <t>4.3.2.1</t>
  </si>
  <si>
    <t>2.4.2.10</t>
  </si>
  <si>
    <t>1.1.1.193</t>
  </si>
  <si>
    <t>3.5.4.26</t>
  </si>
  <si>
    <t>5.1.1.3</t>
  </si>
  <si>
    <t>6.3.1.1</t>
  </si>
  <si>
    <t>4.3.2.2</t>
  </si>
  <si>
    <t>6.1.1.22</t>
  </si>
  <si>
    <t>2.7.4.25</t>
  </si>
  <si>
    <t>1.17.7.4</t>
  </si>
  <si>
    <t>3.6.5.-"</t>
  </si>
  <si>
    <t>2.1.1.45</t>
  </si>
  <si>
    <t>3.6.1.1</t>
  </si>
  <si>
    <t>2.8.1.13</t>
  </si>
  <si>
    <t>6.3.4.4</t>
  </si>
  <si>
    <t>6.1.1.21</t>
  </si>
  <si>
    <t>3.6.1.9</t>
  </si>
  <si>
    <t>6.1.1.9</t>
  </si>
  <si>
    <t>1.4.1.4</t>
  </si>
  <si>
    <t>3.1.22.4</t>
  </si>
  <si>
    <t>1.7.1.13</t>
  </si>
  <si>
    <t>2.7.4.16</t>
  </si>
  <si>
    <t>2.7.1.130</t>
  </si>
  <si>
    <t>2.4.2.21</t>
  </si>
  <si>
    <t>1.17.4.1</t>
  </si>
  <si>
    <t>4.1.2.25</t>
  </si>
  <si>
    <t>1.2.1.38</t>
  </si>
  <si>
    <t>4.2.1.126</t>
  </si>
  <si>
    <t>5.3.1.9</t>
  </si>
  <si>
    <t>1.1.1.94</t>
  </si>
  <si>
    <t>6.1.1.6</t>
  </si>
  <si>
    <t>2.7.7.18</t>
  </si>
  <si>
    <t>2.7.4.8</t>
  </si>
  <si>
    <t>5.1.99.1</t>
  </si>
  <si>
    <t>1.1.1.262</t>
  </si>
  <si>
    <t>2.5.1.78</t>
  </si>
  <si>
    <t>6.3.3.2</t>
  </si>
  <si>
    <t>4.1.1.11</t>
  </si>
  <si>
    <t>7.2.2.21</t>
  </si>
  <si>
    <t>4.2.3.1</t>
  </si>
  <si>
    <t>1.1.1.3</t>
  </si>
  <si>
    <t>2.5.1.55</t>
  </si>
  <si>
    <t>3.4.11.4</t>
  </si>
  <si>
    <t>2.1.2.10</t>
  </si>
  <si>
    <t>6.3.1.5</t>
  </si>
  <si>
    <t>2.6.1.83</t>
  </si>
  <si>
    <t>5.1.1.7</t>
  </si>
  <si>
    <t>6.3.5.4</t>
  </si>
  <si>
    <t>3.1.1.29</t>
  </si>
  <si>
    <t>2.5.1.9</t>
  </si>
  <si>
    <t>1.5.1.20</t>
  </si>
  <si>
    <t>2.6.1.42</t>
  </si>
  <si>
    <t>2.3.1.39</t>
  </si>
  <si>
    <t>2.1.2.9</t>
  </si>
  <si>
    <t>2.7.1.35</t>
  </si>
  <si>
    <t>1.7.99.1</t>
  </si>
  <si>
    <t>3.5.1.1</t>
  </si>
  <si>
    <t>5.1.3.1</t>
  </si>
  <si>
    <t>5.4.2.10</t>
  </si>
  <si>
    <t>2.7.1.6</t>
  </si>
  <si>
    <t>2.7.1.15</t>
  </si>
  <si>
    <t>4.2.1.2</t>
  </si>
  <si>
    <t>2.7.1.24</t>
  </si>
  <si>
    <t>4.2.1.46</t>
  </si>
  <si>
    <t>5.1.3.13</t>
  </si>
  <si>
    <t>6.3.5.2</t>
  </si>
  <si>
    <t>2.1.1.193</t>
  </si>
  <si>
    <t>2.7.1.30</t>
  </si>
  <si>
    <t>4.2.1.8</t>
  </si>
  <si>
    <t>1.1.1.37</t>
  </si>
  <si>
    <t>1.8.1.9</t>
  </si>
  <si>
    <t>2.1.1.13</t>
  </si>
  <si>
    <t>6.1.1.5</t>
  </si>
  <si>
    <t>1.11.1.</t>
  </si>
  <si>
    <t>1.4.4.2</t>
  </si>
  <si>
    <t>2.5.1.7</t>
  </si>
  <si>
    <t>1.1.1.267</t>
  </si>
  <si>
    <t>1.4.1.1</t>
  </si>
  <si>
    <t>2.7.2.8</t>
  </si>
  <si>
    <t>2.6.1.52</t>
  </si>
  <si>
    <t>5.1.3.2</t>
  </si>
  <si>
    <t>6.3.4.2</t>
  </si>
  <si>
    <t>2.7.7.38</t>
  </si>
  <si>
    <t>2.4.1.129</t>
  </si>
  <si>
    <t>2.3.1.234</t>
  </si>
  <si>
    <t>6.1.1.11</t>
  </si>
  <si>
    <t>1.1.1.336</t>
  </si>
  <si>
    <t>2.7.4.6</t>
  </si>
  <si>
    <t>2.5.1.74</t>
  </si>
  <si>
    <t>2.6.99.2</t>
  </si>
  <si>
    <t>2.7.1.23</t>
  </si>
  <si>
    <t>2.7.1.90</t>
  </si>
  <si>
    <t>2.4.2.22</t>
  </si>
  <si>
    <t>1.1.1.100</t>
  </si>
  <si>
    <t>2.3.1.46</t>
  </si>
  <si>
    <t>3.6.5.n1</t>
  </si>
  <si>
    <t>6.1.1.12</t>
  </si>
  <si>
    <t>6.3.4.19</t>
  </si>
  <si>
    <t>4.3.1.17</t>
  </si>
  <si>
    <t>5.3.1.14</t>
  </si>
  <si>
    <t>4.1.2.19</t>
  </si>
  <si>
    <t>3.5.2.3</t>
  </si>
  <si>
    <t>2.3.1.29</t>
  </si>
  <si>
    <t>3.1.21.2</t>
  </si>
  <si>
    <t>1.1.1.</t>
  </si>
  <si>
    <t>2.6.1.85</t>
  </si>
  <si>
    <t>1.3.1.1</t>
  </si>
  <si>
    <t>2.4.2.9</t>
  </si>
  <si>
    <t>1.3.1.98</t>
  </si>
  <si>
    <t>4.1.3.36</t>
  </si>
  <si>
    <t>2.2.1.9</t>
  </si>
  <si>
    <t>5.4.4.2</t>
  </si>
  <si>
    <t>3.5.4.3</t>
  </si>
  <si>
    <t>3.2.2.4</t>
  </si>
  <si>
    <t>1.3.1.14</t>
  </si>
  <si>
    <t>3.1.11.2</t>
  </si>
  <si>
    <t>3.1.3.3</t>
  </si>
  <si>
    <t>4.2.1.3</t>
  </si>
  <si>
    <t>2.6.1.1</t>
  </si>
  <si>
    <t>4.1.1.12</t>
  </si>
  <si>
    <t>2.1.1.131</t>
  </si>
  <si>
    <t>2.1.1.133</t>
  </si>
  <si>
    <t>2.7.1.49</t>
  </si>
  <si>
    <t>2.7.4.7</t>
  </si>
  <si>
    <t>2.5.1.3</t>
  </si>
  <si>
    <t>4.1.99.17</t>
  </si>
  <si>
    <t>2.7.9.1</t>
  </si>
  <si>
    <t>2.1.1.190</t>
  </si>
  <si>
    <t>6.3.4.3</t>
  </si>
  <si>
    <t>6.1.1.15</t>
  </si>
  <si>
    <t>2.5.1.47</t>
  </si>
  <si>
    <t>3.1.3.15</t>
  </si>
  <si>
    <t>4.2.1.19</t>
  </si>
  <si>
    <t>2.6.1.9</t>
  </si>
  <si>
    <t>1.1.1.23</t>
  </si>
  <si>
    <t>2.4.2.17</t>
  </si>
  <si>
    <t>2.8.4.4</t>
  </si>
  <si>
    <t>4.1.1.96</t>
  </si>
  <si>
    <t>3.2.1.1</t>
  </si>
  <si>
    <t>3.1.25.</t>
  </si>
  <si>
    <t>2.1.3.2</t>
  </si>
  <si>
    <t>6.1.1.20</t>
  </si>
  <si>
    <t>2.1.1.228</t>
  </si>
  <si>
    <t>URL</t>
  </si>
  <si>
    <t>https://www.ncbi.nlm.nih.gov/datasets/genome/GCF_018279895.1/</t>
  </si>
  <si>
    <t>NCBI RefSeq assembly</t>
  </si>
  <si>
    <t>GCF_018279895.1</t>
  </si>
  <si>
    <t>BioSample ID</t>
  </si>
  <si>
    <t>SAMN12372652</t>
  </si>
  <si>
    <t xml:space="preserve">Sample name </t>
  </si>
  <si>
    <t xml:space="preserve">Assembly number </t>
  </si>
  <si>
    <t>Chromosome ref seq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</si>
  <si>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</si>
  <si>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</si>
  <si>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</si>
  <si>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</si>
  <si>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</si>
  <si>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</si>
  <si>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</si>
  <si>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</si>
  <si>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</si>
  <si>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</si>
  <si>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</si>
  <si>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 xml:space="preserve">Genes </t>
  </si>
  <si>
    <t xml:space="preserve">Protein-coding </t>
  </si>
  <si>
    <t xml:space="preserve">Chromosome </t>
  </si>
  <si>
    <t xml:space="preserve">CheckM analysis </t>
  </si>
  <si>
    <t>Completeness</t>
  </si>
  <si>
    <t>Contamination</t>
  </si>
  <si>
    <t>ASM1827989v1</t>
  </si>
  <si>
    <t>NZ_CP042285.1</t>
  </si>
  <si>
    <t>Ref Seq</t>
  </si>
  <si>
    <t>Gen Bank</t>
  </si>
  <si>
    <t>KEGG enzyme URL</t>
  </si>
  <si>
    <t>KEGG reaction URL</t>
  </si>
  <si>
    <t>https://www.genome.jp/entry/R00505/R09009</t>
  </si>
  <si>
    <t>new EC number</t>
  </si>
  <si>
    <t>C00052 </t>
  </si>
  <si>
    <t>reactant</t>
  </si>
  <si>
    <t>product</t>
  </si>
  <si>
    <t> C03733</t>
  </si>
  <si>
    <t>C00935 </t>
  </si>
  <si>
    <t>C18094</t>
  </si>
  <si>
    <t>https://www.kegg.jp/entry/R02584</t>
  </si>
  <si>
    <r>
      <t>C00002 | C00585</t>
    </r>
    <r>
      <rPr>
        <sz val="11"/>
        <color rgb="FF000000"/>
        <rFont val="Consolas"/>
        <family val="2"/>
      </rPr>
      <t> </t>
    </r>
  </si>
  <si>
    <t>https://www.kegg.jp/entry/R00261/R00489/R01682/R02466</t>
  </si>
  <si>
    <t>C00025</t>
  </si>
  <si>
    <t>C00049</t>
  </si>
  <si>
    <t>https://www.kegg.jp/entry/R00513/R00964/R00517/R00968/R08232</t>
  </si>
  <si>
    <t>C00099 | C00011</t>
  </si>
  <si>
    <t>C00002 | C00299</t>
  </si>
  <si>
    <t>C00002 | C00475</t>
  </si>
  <si>
    <r>
      <t> </t>
    </r>
    <r>
      <rPr>
        <sz val="11"/>
        <color rgb="FF003399"/>
        <rFont val="Aptos Display"/>
        <family val="2"/>
        <scheme val="major"/>
      </rPr>
      <t>C00008</t>
    </r>
    <r>
      <rPr>
        <sz val="11"/>
        <color rgb="FF000000"/>
        <rFont val="Aptos Display"/>
        <family val="2"/>
        <scheme val="major"/>
      </rPr>
      <t xml:space="preserve"> | </t>
    </r>
    <r>
      <rPr>
        <sz val="11"/>
        <color rgb="FF003399"/>
        <rFont val="Aptos Display"/>
        <family val="2"/>
        <scheme val="major"/>
      </rPr>
      <t>C01167</t>
    </r>
  </si>
  <si>
    <r>
      <t>C00334</t>
    </r>
    <r>
      <rPr>
        <sz val="11"/>
        <color rgb="FF000000"/>
        <rFont val="Aptos Display"/>
        <family val="2"/>
        <scheme val="major"/>
      </rPr>
      <t xml:space="preserve"> | </t>
    </r>
    <r>
      <rPr>
        <sz val="11"/>
        <color rgb="FF003399"/>
        <rFont val="Aptos Display"/>
        <family val="2"/>
        <scheme val="major"/>
      </rPr>
      <t>C00011</t>
    </r>
  </si>
  <si>
    <r>
      <t> </t>
    </r>
    <r>
      <rPr>
        <sz val="11"/>
        <color rgb="FF003399"/>
        <rFont val="Aptos Display"/>
        <family val="2"/>
        <scheme val="major"/>
      </rPr>
      <t>C00008 |</t>
    </r>
    <r>
      <rPr>
        <sz val="11"/>
        <color rgb="FF000000"/>
        <rFont val="Aptos Display"/>
        <family val="2"/>
        <scheme val="major"/>
      </rPr>
      <t> </t>
    </r>
    <r>
      <rPr>
        <sz val="11"/>
        <color rgb="FF003399"/>
        <rFont val="Aptos Display"/>
        <family val="2"/>
        <scheme val="major"/>
      </rPr>
      <t>C00105</t>
    </r>
  </si>
  <si>
    <t>https://www.kegg.jp/entry/R01226/R01216</t>
  </si>
  <si>
    <t xml:space="preserve">C00143 | C00141 | C00001 </t>
  </si>
  <si>
    <t>C00101 | C00966</t>
  </si>
  <si>
    <t>C00966</t>
  </si>
  <si>
    <t xml:space="preserve"> C00141 | C00067</t>
  </si>
  <si>
    <t>https://www.kegg.jp/dbget-bin/www_bget?ec:2.7.10.2</t>
  </si>
  <si>
    <r>
      <t> </t>
    </r>
    <r>
      <rPr>
        <sz val="11"/>
        <color rgb="FF003399"/>
        <rFont val="Aptos Display"/>
        <family val="2"/>
      </rPr>
      <t>C00008</t>
    </r>
    <r>
      <rPr>
        <sz val="11"/>
        <color rgb="FF000000"/>
        <rFont val="Aptos Display"/>
        <family val="2"/>
      </rPr>
      <t xml:space="preserve"> | </t>
    </r>
    <r>
      <rPr>
        <sz val="11"/>
        <color rgb="FF003399"/>
        <rFont val="Aptos Display"/>
        <family val="2"/>
      </rPr>
      <t>C01167</t>
    </r>
  </si>
  <si>
    <t>https://www.kegg.jp/entry/R10147</t>
  </si>
  <si>
    <t>C00441  | C00022</t>
  </si>
  <si>
    <t>C20258  | C00001</t>
  </si>
  <si>
    <t>https://www.kegg.jp/entry/R00382</t>
  </si>
  <si>
    <t>C00003 | C00039(n) | C02128(m)</t>
  </si>
  <si>
    <t>https://www.kegg.jp/entry/R00529/R04929</t>
  </si>
  <si>
    <t>C00002 | C00059</t>
  </si>
  <si>
    <t xml:space="preserve"> C00013 | C00224</t>
  </si>
  <si>
    <t xml:space="preserve">C00002 | C05697 </t>
  </si>
  <si>
    <t xml:space="preserve"> C00013 | C05686</t>
  </si>
  <si>
    <t>https://www.kegg.jp/entry/R00188/R00508</t>
  </si>
  <si>
    <t>C00054 | C00001</t>
  </si>
  <si>
    <t>C00020 | C00009</t>
  </si>
  <si>
    <t>https://www.kegg.jp/entry/R12986/R00307/R00878/R01432</t>
  </si>
  <si>
    <t>C02205</t>
  </si>
  <si>
    <t>C22501</t>
  </si>
  <si>
    <t>C00267</t>
  </si>
  <si>
    <t>C22502</t>
  </si>
  <si>
    <t>https://www.kegg.jp/entry/R10209</t>
  </si>
  <si>
    <t>C01977 | C16675</t>
  </si>
  <si>
    <t>C20446 | C00242</t>
  </si>
  <si>
    <t>https://www.kegg.jp/entry/R05634</t>
  </si>
  <si>
    <t xml:space="preserve">C11435 | C00002 </t>
  </si>
  <si>
    <t>C11436 | C00008</t>
  </si>
  <si>
    <t>https://www.kegg.jp/entry/R01567/R02099/R08233</t>
  </si>
  <si>
    <t xml:space="preserve">C00002 |  C00214 </t>
  </si>
  <si>
    <t xml:space="preserve"> C00008 | C00364</t>
  </si>
  <si>
    <t>https://www.kegg.jp/entry/R03269</t>
  </si>
  <si>
    <t>C04352</t>
  </si>
  <si>
    <t>C01134 | C00011</t>
  </si>
  <si>
    <t>https://www.kegg.jp/entry/R04231</t>
  </si>
  <si>
    <t xml:space="preserve">C00063 | C03492 | C00097 </t>
  </si>
  <si>
    <t>C00055 | C00013 | C04352</t>
  </si>
  <si>
    <t>https://www.kegg.jp/entry/R00379/R00375/R00376/R00377/R00378/R11029</t>
  </si>
  <si>
    <t>C00013 | C00039(n+1)</t>
  </si>
  <si>
    <t>https://www.kegg.jp/entry/R08550/R03815/R07618/R01698</t>
  </si>
  <si>
    <t>C16832 | C00003</t>
  </si>
  <si>
    <t>C16237 | C00004 | C00080</t>
  </si>
  <si>
    <t>https://www.kegg.jp/entry/R05712</t>
  </si>
  <si>
    <t>C00014 | 2 C00001 | 6 C00125</t>
  </si>
  <si>
    <t>C00088 | 6 C00126 | 6 C00080</t>
  </si>
  <si>
    <t>https://www.kegg.jp/entry/R03663</t>
  </si>
  <si>
    <t>C00002 | C00188 |C01651</t>
  </si>
  <si>
    <t>check</t>
  </si>
  <si>
    <t>https://www.kegg.jp/entry/R05635/R04268</t>
  </si>
  <si>
    <t xml:space="preserve">C11439 | C00001 </t>
  </si>
  <si>
    <t>C11440 | C00058</t>
  </si>
  <si>
    <t xml:space="preserve">C04258 | C00001 </t>
  </si>
  <si>
    <t>C00058 | C03617</t>
  </si>
  <si>
    <t>https://www.kegg.jp/entry/R09641</t>
  </si>
  <si>
    <t>C00029 | C17556</t>
  </si>
  <si>
    <t>C00105 | C19772</t>
  </si>
  <si>
    <t>https://www.kegg.jp/entry/R00888</t>
  </si>
  <si>
    <t>C00096</t>
  </si>
  <si>
    <t>C01222 | C00001</t>
  </si>
  <si>
    <t>https://www.kegg.jp/entry/R02328</t>
  </si>
  <si>
    <t>C00459 | C00103</t>
  </si>
  <si>
    <t>C00013 | C00842</t>
  </si>
  <si>
    <t>https://www.kegg.jp/entry/R02035</t>
  </si>
  <si>
    <t>C01236 | C00001</t>
  </si>
  <si>
    <t>C00345</t>
  </si>
  <si>
    <t>https://www.kegg.jp/entry/R11182</t>
  </si>
  <si>
    <t xml:space="preserve">C00111 | C00024 </t>
  </si>
  <si>
    <t xml:space="preserve"> C20960 | C00010</t>
  </si>
  <si>
    <t>https://www.kegg.jp/entry/R01516/R01518</t>
  </si>
  <si>
    <t>C01159 | C00615</t>
  </si>
  <si>
    <t>C00197  | C04262</t>
  </si>
  <si>
    <t>C00631</t>
  </si>
  <si>
    <t>C00197</t>
  </si>
  <si>
    <t>https://www.kegg.jp/entry/R00674/R02340/R02722</t>
  </si>
  <si>
    <t xml:space="preserve">C00065 | C00463 </t>
  </si>
  <si>
    <t>C00078 | C00001</t>
  </si>
  <si>
    <t>C03506</t>
  </si>
  <si>
    <t>C00463  | C00118</t>
  </si>
  <si>
    <t>https://www.kegg.jp/entry/R01073</t>
  </si>
  <si>
    <t>C04302 | C00013</t>
  </si>
  <si>
    <t xml:space="preserve"> C00108 | C00119</t>
  </si>
  <si>
    <t>https://www.kegg.jp/entry/R03508</t>
  </si>
  <si>
    <t>C01302</t>
  </si>
  <si>
    <t>C00065 | C00463</t>
  </si>
  <si>
    <t xml:space="preserve"> C00463 | C00118</t>
  </si>
  <si>
    <t>C00065 | C03506</t>
  </si>
  <si>
    <t xml:space="preserve"> C00078 | C00118 | C00001</t>
  </si>
  <si>
    <t>https://www.kegg.jp/entry/R00256/R00575/R01395/R10948/R10949/R07641</t>
  </si>
  <si>
    <t xml:space="preserve">C00064 | C00001 </t>
  </si>
  <si>
    <t>C00025 | C00014</t>
  </si>
  <si>
    <t>2 C00002 | C00064 | C00288 | C00001</t>
  </si>
  <si>
    <t>2 C00008 | C00009 | C00025 | C00169</t>
  </si>
  <si>
    <t xml:space="preserve">C00002 | C01563 </t>
  </si>
  <si>
    <t>C00008 | C00169</t>
  </si>
  <si>
    <t>C00002 | C00288</t>
  </si>
  <si>
    <t>C00008 | C20969</t>
  </si>
  <si>
    <t>C00014 |  C20969</t>
  </si>
  <si>
    <t>C01563 |  C00009</t>
  </si>
  <si>
    <t>2 C00002  |  C00288  | C00014</t>
  </si>
  <si>
    <t xml:space="preserve"> 2 C00008 | C00009 | C00169</t>
  </si>
  <si>
    <t xml:space="preserve">C00096 </t>
  </si>
  <si>
    <t>https://www.kegg.jp/entry/R00420/R00414/R02707</t>
  </si>
  <si>
    <t>C00043</t>
  </si>
  <si>
    <t>C01170</t>
  </si>
  <si>
    <t>C00043 | C00001</t>
  </si>
  <si>
    <t xml:space="preserve">C00645 | C00015 </t>
  </si>
  <si>
    <t>C00645 | C00015</t>
  </si>
  <si>
    <t xml:space="preserve"> C01170 | C00001</t>
  </si>
  <si>
    <t xml:space="preserve">C00234 | C04677 </t>
  </si>
  <si>
    <t xml:space="preserve"> C00101 | C04734</t>
  </si>
  <si>
    <t>https://www.kegg.jp/entry/R01127</t>
  </si>
  <si>
    <t>https://www.kegg.jp/entry/R04560</t>
  </si>
  <si>
    <t>C00130 | C00001</t>
  </si>
  <si>
    <t xml:space="preserve"> C04734</t>
  </si>
  <si>
    <t>https://www.kegg.jp/entry/R00127/R01547/R11319</t>
  </si>
  <si>
    <t>C00002 | C00020</t>
  </si>
  <si>
    <t xml:space="preserve"> 2 C00008</t>
  </si>
  <si>
    <t>C00002 | C00360</t>
  </si>
  <si>
    <t>C00008 |C00206</t>
  </si>
  <si>
    <t>C03028 | C00020</t>
  </si>
  <si>
    <t>C00068 | C00008</t>
  </si>
  <si>
    <t>https://www.kegg.jp/entry/R01132/R01229/R02142/R08237/R08238/R08245</t>
  </si>
  <si>
    <t>C00130 | C00013</t>
  </si>
  <si>
    <t xml:space="preserve"> C00262 | C00119</t>
  </si>
  <si>
    <t>C00144 | C00013</t>
  </si>
  <si>
    <t xml:space="preserve"> C00242 | C00119</t>
  </si>
  <si>
    <t xml:space="preserve">C00655 | C00013 </t>
  </si>
  <si>
    <t>C00385 | C00119</t>
  </si>
  <si>
    <t xml:space="preserve">C02380 | C00119 </t>
  </si>
  <si>
    <t>C04646 | C00013</t>
  </si>
  <si>
    <t>C16614 | C00119</t>
  </si>
  <si>
    <t>C16615 | C00013</t>
  </si>
  <si>
    <t xml:space="preserve">C07648 | C00119 </t>
  </si>
  <si>
    <t xml:space="preserve"> C16619 | C00013</t>
  </si>
  <si>
    <t xml:space="preserve">C01909 |C17023 | 2 C00019 | 2 C05359 | 2 C00080 </t>
  </si>
  <si>
    <t xml:space="preserve"> C00120 | 2 C00073 | 2 C05198</t>
  </si>
  <si>
    <t>https://www.kegg.jp/entry/R01078</t>
  </si>
  <si>
    <t>https://www.kegg.jp/entry/R03231</t>
  </si>
  <si>
    <t xml:space="preserve">C00019 | C01092 </t>
  </si>
  <si>
    <t xml:space="preserve"> C04425 | C01037</t>
  </si>
  <si>
    <t>https://www.kegg.jp/entry/R09543</t>
  </si>
  <si>
    <t xml:space="preserve">C00019 | C01209 </t>
  </si>
  <si>
    <t xml:space="preserve"> C00021 | C19673</t>
  </si>
  <si>
    <t>https://www.kegg.jp/entry/R03182/R12933/R12934</t>
  </si>
  <si>
    <t>C00002 | C01037 | C00011</t>
  </si>
  <si>
    <t>C00008 | C00009 | C01909</t>
  </si>
  <si>
    <t xml:space="preserve">C01037 | C00011 </t>
  </si>
  <si>
    <t>C22458</t>
  </si>
  <si>
    <t>C22458 | C00002</t>
  </si>
  <si>
    <t xml:space="preserve"> C01909 | C00008 | C00009</t>
  </si>
  <si>
    <t>https://www.kegg.jp/entry/R03020</t>
  </si>
  <si>
    <t>C00868</t>
  </si>
  <si>
    <t>C02764</t>
  </si>
  <si>
    <t>https://www.kegg.jp/entry/R00996/R11098/R11101/R00220/R06131</t>
  </si>
  <si>
    <t>C00188</t>
  </si>
  <si>
    <t xml:space="preserve"> C00109 | C00014</t>
  </si>
  <si>
    <t>C20905 | C00001</t>
  </si>
  <si>
    <t>C00109 | C00014</t>
  </si>
  <si>
    <t xml:space="preserve">C17234 </t>
  </si>
  <si>
    <t>C20905</t>
  </si>
  <si>
    <t xml:space="preserve">C00065 </t>
  </si>
  <si>
    <t>C00022 | C00014</t>
  </si>
  <si>
    <t>C05167</t>
  </si>
  <si>
    <t>C00161 | C00014</t>
  </si>
  <si>
    <t>https://www.kegg.jp/entry/R04591</t>
  </si>
  <si>
    <t>C00002 |C04751 | C00049</t>
  </si>
  <si>
    <t>C00008 | C00009 | C04823</t>
  </si>
  <si>
    <t>https://www.kegg.jp/entry/R04640</t>
  </si>
  <si>
    <t>C04896</t>
  </si>
  <si>
    <t>C04916</t>
  </si>
  <si>
    <t>error message?</t>
  </si>
  <si>
    <t>https://www.kegg.jp/entry/R04037</t>
  </si>
  <si>
    <t xml:space="preserve">C02741 | C00001 </t>
  </si>
  <si>
    <t>https://www.kegg.jp/entry/R04035</t>
  </si>
  <si>
    <t>C02739 | C00001</t>
  </si>
  <si>
    <t>C02741 | C00013</t>
  </si>
  <si>
    <t>https://www.kegg.jp/entry/R00480</t>
  </si>
  <si>
    <t xml:space="preserve">C00002  | C00049 </t>
  </si>
  <si>
    <t>C00008 | C03082</t>
  </si>
  <si>
    <t>no kegg rxn</t>
  </si>
  <si>
    <t>https://www.kegg.jp/entry/R04314</t>
  </si>
  <si>
    <t>C04250 | C02743</t>
  </si>
  <si>
    <t>https://www.kegg.jp/entry/R07607</t>
  </si>
  <si>
    <t>C03023 | C00343 | C00001</t>
  </si>
  <si>
    <t>C15653 | C00342</t>
  </si>
  <si>
    <t>https://www.kegg.jp/entry/R01652/R04426/R10052/R00994</t>
  </si>
  <si>
    <t>C00233 | C00011</t>
  </si>
  <si>
    <t>C04236</t>
  </si>
  <si>
    <t xml:space="preserve">C04411 | C00003 </t>
  </si>
  <si>
    <t>C04236 | C00004 | C00080</t>
  </si>
  <si>
    <t xml:space="preserve"> C00233 | C00011 | C00004 | C00080</t>
  </si>
  <si>
    <t>C00109 | C00011 | C00004 | C00080</t>
  </si>
  <si>
    <t>C06032 | C00003</t>
  </si>
  <si>
    <t>https://www.kegg.jp/entry/R01016</t>
  </si>
  <si>
    <t>C00111 </t>
  </si>
  <si>
    <t xml:space="preserve"> C00546 | C00009</t>
  </si>
  <si>
    <t>https://www.kegg.jp/entry/R03968/R04001/R10170</t>
  </si>
  <si>
    <t>C02504</t>
  </si>
  <si>
    <t>C02631 | C00001</t>
  </si>
  <si>
    <t xml:space="preserve">C04411 </t>
  </si>
  <si>
    <t>C04411</t>
  </si>
  <si>
    <t>https://www.kegg.jp/entry/R01213</t>
  </si>
  <si>
    <t>C02504 | C00010</t>
  </si>
  <si>
    <t xml:space="preserve"> C00024 | C00141 | C00001</t>
  </si>
  <si>
    <t>https://www.kegg.jp/entry/R00006/R00226/R00014/R03050/R04672/R04673/R08648</t>
  </si>
  <si>
    <t xml:space="preserve">C00022 | C00109 </t>
  </si>
  <si>
    <t>C06006 | C00011</t>
  </si>
  <si>
    <t>C00900 | C00011</t>
  </si>
  <si>
    <t>2 C00022</t>
  </si>
  <si>
    <t xml:space="preserve">C06010 | C00011 </t>
  </si>
  <si>
    <t>C00022| C00068</t>
  </si>
  <si>
    <t>C05125 | C00011</t>
  </si>
  <si>
    <t xml:space="preserve">C00900 | C00068 </t>
  </si>
  <si>
    <t>C05125 | C00022</t>
  </si>
  <si>
    <t xml:space="preserve">C06010 | C00068 </t>
  </si>
  <si>
    <t xml:space="preserve"> C05125 | C00022</t>
  </si>
  <si>
    <t xml:space="preserve">C00109 | C05125 </t>
  </si>
  <si>
    <t>C06006 | C00068</t>
  </si>
  <si>
    <t>https://www.kegg.jp/entry/R01209/R04441/R05070</t>
  </si>
  <si>
    <t>C04039</t>
  </si>
  <si>
    <t xml:space="preserve"> C00141 | C00001</t>
  </si>
  <si>
    <t>C04272</t>
  </si>
  <si>
    <t>C00141 | C00001</t>
  </si>
  <si>
    <t xml:space="preserve">C06007 </t>
  </si>
  <si>
    <t xml:space="preserve"> C00671 | C00001</t>
  </si>
  <si>
    <t xml:space="preserve">C01269 </t>
  </si>
  <si>
    <t xml:space="preserve"> C00251 | C00009</t>
  </si>
  <si>
    <t>https://www.kegg.jp/entry/R01714</t>
  </si>
  <si>
    <t>https://www.kegg.jp/entry/R03348</t>
  </si>
  <si>
    <t xml:space="preserve">C01185 | C00013 | C00011 </t>
  </si>
  <si>
    <t xml:space="preserve">C00131 | C00039 </t>
  </si>
  <si>
    <t>C00013 | C00039</t>
  </si>
  <si>
    <t>C00286 | C00039</t>
  </si>
  <si>
    <t xml:space="preserve">C00458 | C00039 </t>
  </si>
  <si>
    <t>https://www.kegg.jp/entry/R01878/R02485/R08221</t>
  </si>
  <si>
    <t>https://www.kegg.jp/entry/R00965</t>
  </si>
  <si>
    <t>C00475 |  C00001</t>
  </si>
  <si>
    <t xml:space="preserve"> C00299 | C00014</t>
  </si>
  <si>
    <t xml:space="preserve">C00881 | C00001 </t>
  </si>
  <si>
    <t xml:space="preserve"> C00526 | C00014</t>
  </si>
  <si>
    <t>C16635 | C00001</t>
  </si>
  <si>
    <t>C12739 | C00014</t>
  </si>
  <si>
    <t>C01103 </t>
  </si>
  <si>
    <t xml:space="preserve"> C00105 | C00011</t>
  </si>
  <si>
    <t>https://www.kegg.jp/entry/R12803/R04550</t>
  </si>
  <si>
    <t>C06022 | C04688</t>
  </si>
  <si>
    <t>C04652 | C00229</t>
  </si>
  <si>
    <t>C01271 | C22409</t>
  </si>
  <si>
    <t xml:space="preserve"> C22410 | C00229</t>
  </si>
  <si>
    <t>https://www.kegg.jp/entry/R12920/R04567</t>
  </si>
  <si>
    <t>C04688 | C00043</t>
  </si>
  <si>
    <t xml:space="preserve"> C00229 | C04738</t>
  </si>
  <si>
    <t>C01271 | C00043</t>
  </si>
  <si>
    <t>C00229 | C22418</t>
  </si>
  <si>
    <t>C00235 | C17324</t>
  </si>
  <si>
    <t xml:space="preserve"> C00013| C04432</t>
  </si>
  <si>
    <t>https://www.kegg.jp/entry/R01122</t>
  </si>
  <si>
    <t>https://www.kegg.jp/entry/R01056/R09030</t>
  </si>
  <si>
    <t>C00117</t>
  </si>
  <si>
    <t>C00199</t>
  </si>
  <si>
    <t>C02962</t>
  </si>
  <si>
    <t>C18096</t>
  </si>
  <si>
    <t>https://www.kegg.jp/entry/R02961</t>
  </si>
  <si>
    <t xml:space="preserve">C00019 | C00821 </t>
  </si>
  <si>
    <t>C00021 | C03391</t>
  </si>
  <si>
    <t>C00019 | C00821</t>
  </si>
  <si>
    <t xml:space="preserve"> C00008 | C00404</t>
  </si>
  <si>
    <t>C00002 | C00404</t>
  </si>
  <si>
    <t>https://www.kegg.jp/entry/R02184</t>
  </si>
  <si>
    <t>https://www.kegg.jp/entry/R07767/R12423/R12424</t>
  </si>
  <si>
    <t>C16236 | C22154 | 2 C00019 | 2 C22150 | 8 C00080</t>
  </si>
  <si>
    <t>C16832 | C22155 | 2 C00283 | 4 C14818 | 2 C00073 | 2 C05198 | 2 C22151</t>
  </si>
  <si>
    <t xml:space="preserve">C22160 | C22154 | 2 C00019 | 2 C22150 | 8 C00080 </t>
  </si>
  <si>
    <t>C15973 | C22155 | 2 C00283 | 4 C14818 | 2 C00073 | 2 C05198 | 2 C22151</t>
  </si>
  <si>
    <t xml:space="preserve"> C22159 | C22154 | 2 C00019 | 2 C22150 | 8 C00080</t>
  </si>
  <si>
    <t xml:space="preserve"> C02972 |C22155  2 C00283 |4 C14818 | 2 C00073 |2 C05198 | 2 C22151</t>
  </si>
  <si>
    <t>https://www.kegg.jp/entry/R01248/R01251/R03291/R03293</t>
  </si>
  <si>
    <t>C00148 | C00003</t>
  </si>
  <si>
    <t xml:space="preserve"> C03912 | C00004 | C00080</t>
  </si>
  <si>
    <t xml:space="preserve">C00148 | C00006 </t>
  </si>
  <si>
    <t>C03912 | C00005 | C00080</t>
  </si>
  <si>
    <t xml:space="preserve">C01157 | C00003 </t>
  </si>
  <si>
    <t>https://www.genome.jp/entry/R01224/R07168</t>
  </si>
  <si>
    <t xml:space="preserve">C00440 | C00006 </t>
  </si>
  <si>
    <t xml:space="preserve"> C00143 | C00004 | C00080</t>
  </si>
  <si>
    <t>C00008 | C00055</t>
  </si>
  <si>
    <t xml:space="preserve"> C00020 | C00455 | C00039(n|m)</t>
  </si>
  <si>
    <t>C00459 | C00039</t>
  </si>
  <si>
    <t>C00020 | C00013 | C02992</t>
  </si>
  <si>
    <t>C03506 || C00011 | C00001</t>
  </si>
  <si>
    <t>C04281  C00004  C00080</t>
  </si>
  <si>
    <t xml:space="preserve">C01157  C00006 </t>
  </si>
  <si>
    <t>C04281  C00005  C00080</t>
  </si>
  <si>
    <t xml:space="preserve"> C01222  C00001</t>
  </si>
  <si>
    <t>C00143  C00005  C00080</t>
  </si>
  <si>
    <t xml:space="preserve">C00440  C00003 </t>
  </si>
  <si>
    <t>C00677 | C00039 (n)</t>
  </si>
  <si>
    <t>https://www.kegg.jp/entry/R00245/R00707/R00708/R04444/R04445/R05051/R13148</t>
  </si>
  <si>
    <t>C01165 + C00003 + C00001</t>
  </si>
  <si>
    <t>C00025 + C00004 + C00080</t>
  </si>
  <si>
    <t xml:space="preserve"> C00025 + C00004 + C00080</t>
  </si>
  <si>
    <t>C05947 + C00004 + C00080</t>
  </si>
  <si>
    <t>C05938 + C00003 + C00001</t>
  </si>
  <si>
    <t>C01165 + C00006 + C00001</t>
  </si>
  <si>
    <t xml:space="preserve"> C00025 + C00005 + C00080</t>
  </si>
  <si>
    <t>https://www.kegg.jp/entry/R00239</t>
  </si>
  <si>
    <t xml:space="preserve">C00002 + C00025 </t>
  </si>
  <si>
    <t>C00008 + C03287</t>
  </si>
  <si>
    <t>C01165 + C00009 + C00006</t>
  </si>
  <si>
    <t>https://www.kegg.jp/entry/R03313</t>
  </si>
  <si>
    <t xml:space="preserve"> C03287 + C00005 + C00080</t>
  </si>
  <si>
    <t>https://www.kegg.jp/entry/R07245</t>
  </si>
  <si>
    <t>C00169 + C00437</t>
  </si>
  <si>
    <t xml:space="preserve"> C00009 + C15532</t>
  </si>
  <si>
    <t>https://www.kegg.jp/entry/R00444/R00435/R00441/R00442/R00443/R10813</t>
  </si>
  <si>
    <t>C00201 + C00046</t>
  </si>
  <si>
    <t>C00013 + C00046</t>
  </si>
  <si>
    <t>C00002 + C00046</t>
  </si>
  <si>
    <t xml:space="preserve"> C00013 + C00046</t>
  </si>
  <si>
    <t>C00044 + C00046</t>
  </si>
  <si>
    <t xml:space="preserve">C00063 + C00046 </t>
  </si>
  <si>
    <t>C00075 + C00046</t>
  </si>
  <si>
    <t>n C00201</t>
  </si>
  <si>
    <t xml:space="preserve"> C20864(n) + (n-1) C00013</t>
  </si>
  <si>
    <t>C04188</t>
  </si>
  <si>
    <t>C04582</t>
  </si>
  <si>
    <t>https://www.kegg.jp/entry/R04420</t>
  </si>
  <si>
    <t>https://www.kegg.jp/entry/R05578</t>
  </si>
  <si>
    <t xml:space="preserve">C01641 + C00025 + C00002 </t>
  </si>
  <si>
    <t xml:space="preserve"> C02987 + C00013 + C00020</t>
  </si>
  <si>
    <t>https://www.kegg.jp/entry/R03018/R02971/R04391</t>
  </si>
  <si>
    <t>C00002 + C00864</t>
  </si>
  <si>
    <t>C00008 + C03492</t>
  </si>
  <si>
    <t xml:space="preserve">C00002 + C00831 </t>
  </si>
  <si>
    <t>C00008 + C01134</t>
  </si>
  <si>
    <t xml:space="preserve">C00002 + C04079 </t>
  </si>
  <si>
    <t xml:space="preserve"> C00008 + C04352</t>
  </si>
  <si>
    <t>https://www.kegg.jp/entry/R00833</t>
  </si>
  <si>
    <t>C01213</t>
  </si>
  <si>
    <t>C00091</t>
  </si>
  <si>
    <t>https://www.kegg.jp/entry/R00132/R10092</t>
  </si>
  <si>
    <t>C01353</t>
  </si>
  <si>
    <t>C00011 + C00001</t>
  </si>
  <si>
    <t>C00288 + C00080</t>
  </si>
  <si>
    <t>https://www.kegg.jp/entry/R01130/R08240</t>
  </si>
  <si>
    <t>C00130 + C00003 + C00001</t>
  </si>
  <si>
    <t xml:space="preserve"> C00655 + C00004 + C00080</t>
  </si>
  <si>
    <t xml:space="preserve">C04646 + C00003 + C00001 </t>
  </si>
  <si>
    <t xml:space="preserve"> C16618 + C00004 + C00080</t>
  </si>
  <si>
    <t>C00655 + C00004 + C00080</t>
  </si>
  <si>
    <t>C04646 + C00003 + C00001</t>
  </si>
  <si>
    <t>no link  ;(</t>
  </si>
  <si>
    <t>https://www.kegg.jp/entry/R04273</t>
  </si>
  <si>
    <t>C03798</t>
  </si>
  <si>
    <t xml:space="preserve"> C03633</t>
  </si>
  <si>
    <t xml:space="preserve">C00009 + C00013 + C00019 </t>
  </si>
  <si>
    <t>https://www.kegg.jp/entry/R00177/R04771</t>
  </si>
  <si>
    <t>C00002 + C00073 + C00001</t>
  </si>
  <si>
    <t xml:space="preserve">C00002 + C05335 + C00001 </t>
  </si>
  <si>
    <t xml:space="preserve"> C00009 + C00013 + C05691</t>
  </si>
  <si>
    <t>https://www.kegg.jp/entry/R03503</t>
  </si>
  <si>
    <t>C00002 + C01300</t>
  </si>
  <si>
    <t>C00020 + C04807</t>
  </si>
  <si>
    <t>https://www.kegg.jp/entry/R10220</t>
  </si>
  <si>
    <t>C00019 + C20446</t>
  </si>
  <si>
    <t>C00073 + C00147 + C19647</t>
  </si>
  <si>
    <t>no rxn</t>
  </si>
  <si>
    <t>https://www.kegg.jp/entry/R03193</t>
  </si>
  <si>
    <t xml:space="preserve">C00002 + C01050 + C00041 </t>
  </si>
  <si>
    <t xml:space="preserve"> C00008 + C00009 + C01212</t>
  </si>
  <si>
    <t>https://www.kegg.jp/entry/R05662/R06173/R05032/R06172/R06174</t>
  </si>
  <si>
    <t xml:space="preserve">C04851 + C00043 </t>
  </si>
  <si>
    <t>C05893 + C00015</t>
  </si>
  <si>
    <t>G10552 + G10610</t>
  </si>
  <si>
    <t xml:space="preserve"> G10553 + G10619</t>
  </si>
  <si>
    <t>C05897 + C00043</t>
  </si>
  <si>
    <t xml:space="preserve"> C05898 + C00015</t>
  </si>
  <si>
    <t xml:space="preserve">G10551 + G10610 </t>
  </si>
  <si>
    <t xml:space="preserve"> G10550 + G10619</t>
  </si>
  <si>
    <t>G10556 + G10610</t>
  </si>
  <si>
    <t>G10555 + G10619</t>
  </si>
  <si>
    <t>https://www.kegg.jp/entry/R02783</t>
  </si>
  <si>
    <t xml:space="preserve">C00002 + C01212 + C00217 </t>
  </si>
  <si>
    <t xml:space="preserve"> C00008 + C00009 + C00692</t>
  </si>
  <si>
    <t>https://www.kegg.jp/entry/R05629/R05630</t>
  </si>
  <si>
    <t xml:space="preserve">C04702 + C17556 </t>
  </si>
  <si>
    <t>C00105 + C04851</t>
  </si>
  <si>
    <t>C04882 + C17556</t>
  </si>
  <si>
    <t xml:space="preserve"> C00105 + C05897</t>
  </si>
  <si>
    <t>https://www.kegg.jp/entry/R02777</t>
  </si>
  <si>
    <t xml:space="preserve">C03319 + C00006 </t>
  </si>
  <si>
    <t xml:space="preserve"> C00688 + C00005 + C00080</t>
  </si>
  <si>
    <t>https://www.kegg.jp/entry/R04463</t>
  </si>
  <si>
    <t>C00002 + C04376 + C00064 + C00001</t>
  </si>
  <si>
    <t>C00008 + C00009 + C04640 + C00025</t>
  </si>
  <si>
    <t xml:space="preserve"> 5.6.2.4</t>
  </si>
  <si>
    <t>https://www.genome.jp/dbget-bin/www_bget?ec:5.6.2.4</t>
  </si>
  <si>
    <t>https://www.kegg.jp/entry/R03083</t>
  </si>
  <si>
    <t>C04691</t>
  </si>
  <si>
    <t>C00944 + C00009</t>
  </si>
  <si>
    <t>C00002 + C00041 + C01635</t>
  </si>
  <si>
    <t>https://www.kegg.jp/entry/R03038</t>
  </si>
  <si>
    <t xml:space="preserve"> C00020 + C00013 + C00886</t>
  </si>
  <si>
    <t>https://www.kegg.jp/entry/R04562/R01074/R05145</t>
  </si>
  <si>
    <t>C00002 + C00120 + C04735</t>
  </si>
  <si>
    <t xml:space="preserve"> C00020 + C00013 + C04681</t>
  </si>
  <si>
    <t>C00002 + C00120</t>
  </si>
  <si>
    <t xml:space="preserve"> C00013 + C05921</t>
  </si>
  <si>
    <t>C05921 + C06249</t>
  </si>
  <si>
    <t xml:space="preserve"> C00020 + C06250</t>
  </si>
  <si>
    <t>https://www.kegg.jp/entry/R02055</t>
  </si>
  <si>
    <t xml:space="preserve">C02737 </t>
  </si>
  <si>
    <t>C00350 +  C00011</t>
  </si>
  <si>
    <t>C11436</t>
  </si>
  <si>
    <t>https://www.kegg.jp/entry/R05637</t>
  </si>
  <si>
    <t>C11453 + C00055</t>
  </si>
  <si>
    <t>https://www.genome.jp/dbget-bin/www_bget?ec:2.1.1.182</t>
  </si>
  <si>
    <t>https://www.genome.jp/entry/R10716</t>
  </si>
  <si>
    <t>https://www.kegg.jp/entry/R01243/R03980/R04856/R06280</t>
  </si>
  <si>
    <t xml:space="preserve">C00850 + C00001 </t>
  </si>
  <si>
    <t xml:space="preserve"> C15584 + C00059</t>
  </si>
  <si>
    <t xml:space="preserve">C02538 + C00001 </t>
  </si>
  <si>
    <t xml:space="preserve"> C00059 + C00468</t>
  </si>
  <si>
    <t>C06125 + C00001</t>
  </si>
  <si>
    <t>C02686 + C00059</t>
  </si>
  <si>
    <t>G11122 + C00001</t>
  </si>
  <si>
    <t>G11121 + C00059</t>
  </si>
  <si>
    <t>https://www.kegg.jp/entry/R04606</t>
  </si>
  <si>
    <t>C04652 + C04824</t>
  </si>
  <si>
    <t xml:space="preserve"> C00015 + C04932</t>
  </si>
  <si>
    <t>https://www.kegg.jp/entry/R01518</t>
  </si>
  <si>
    <t>C00631 </t>
  </si>
  <si>
    <t xml:space="preserve">C00631 </t>
  </si>
  <si>
    <t>https://www.kegg.jp/entry/R05636</t>
  </si>
  <si>
    <t xml:space="preserve">C00022 + C00118 </t>
  </si>
  <si>
    <t>C11437 + C00011</t>
  </si>
  <si>
    <t>https://www.kegg.jp/entry/R00551</t>
  </si>
  <si>
    <t xml:space="preserve">C00062 + C00001 </t>
  </si>
  <si>
    <t>C00077 + C00086</t>
  </si>
  <si>
    <t>https://www.kegg.jp/entry/R01343/R00667/R00668</t>
  </si>
  <si>
    <t xml:space="preserve">C00077 + C00161 </t>
  </si>
  <si>
    <t xml:space="preserve"> C01165 + C00151</t>
  </si>
  <si>
    <t>C00077 + C00026</t>
  </si>
  <si>
    <t>C01165 + C00025</t>
  </si>
  <si>
    <t>C04322 + C00025 + C00001</t>
  </si>
  <si>
    <t>https://www.kegg.jp/entry/R01150</t>
  </si>
  <si>
    <t xml:space="preserve"> C00008 + C00009 + C00993</t>
  </si>
  <si>
    <t>https://www.kegg.jp/entry/R00424/R00428/R04639/R05046/R05048</t>
  </si>
  <si>
    <t xml:space="preserve">C00044 + C00001 </t>
  </si>
  <si>
    <t xml:space="preserve"> C04895 + C00058</t>
  </si>
  <si>
    <t>C00044 + C00001</t>
  </si>
  <si>
    <t xml:space="preserve"> C05922</t>
  </si>
  <si>
    <t xml:space="preserve">C04895 + C00001 </t>
  </si>
  <si>
    <t xml:space="preserve"> C06148</t>
  </si>
  <si>
    <t xml:space="preserve">C05922 + C00001 </t>
  </si>
  <si>
    <t>C05923 + C00058</t>
  </si>
  <si>
    <t>C05923</t>
  </si>
  <si>
    <t>C06148</t>
  </si>
  <si>
    <t>https://www.kegg.jp/entry/R01015</t>
  </si>
  <si>
    <t xml:space="preserve">C00118 </t>
  </si>
  <si>
    <t> C00111</t>
  </si>
  <si>
    <t>5.6.2.4</t>
  </si>
  <si>
    <t xml:space="preserve">C11434 + C00063 </t>
  </si>
  <si>
    <t xml:space="preserve"> C11435 + C00013</t>
  </si>
  <si>
    <t>https://www.kegg.jp/entry/R07282/R00437/R00438/R00439/R00440</t>
  </si>
  <si>
    <t>C00046 + C00009</t>
  </si>
  <si>
    <t xml:space="preserve"> C00046 + C00454</t>
  </si>
  <si>
    <t xml:space="preserve">C00046 + C00009 </t>
  </si>
  <si>
    <t xml:space="preserve"> C00046 + C00008</t>
  </si>
  <si>
    <t>C00046 + C00015</t>
  </si>
  <si>
    <t xml:space="preserve"> C00046 + C00035</t>
  </si>
  <si>
    <t xml:space="preserve"> C00046 + C00112</t>
  </si>
  <si>
    <t>https://www.kegg.jp/entry/R03659/R04773</t>
  </si>
  <si>
    <t xml:space="preserve">C00002 + C00073 + C01647 </t>
  </si>
  <si>
    <t>C00020 + C00013 + C02430</t>
  </si>
  <si>
    <t xml:space="preserve">C00002 + C05335 + C01647 </t>
  </si>
  <si>
    <t xml:space="preserve"> C00020 + C00013 + C05336</t>
  </si>
  <si>
    <t>https://www.kegg.jp/entry/R00341</t>
  </si>
  <si>
    <t xml:space="preserve">C00002 + C00036 </t>
  </si>
  <si>
    <t>C00008 + C00074 + C00011</t>
  </si>
  <si>
    <t xml:space="preserve">C00002 + C00493 </t>
  </si>
  <si>
    <t>https://www.kegg.jp/entry/R02412</t>
  </si>
  <si>
    <t>C00008 + C03175</t>
  </si>
  <si>
    <t>https://www.kegg.jp/entry/R02768/R04355/R04726/R04952/R04957/R04960/R04963/R04968/R07762/R10115/R10119</t>
  </si>
  <si>
    <t xml:space="preserve">C00173 + C01209 </t>
  </si>
  <si>
    <t>C00685 + C00011 + C00229</t>
  </si>
  <si>
    <t xml:space="preserve">C03939 + C01209 </t>
  </si>
  <si>
    <t>C05223 + C01209</t>
  </si>
  <si>
    <t>C05759 + C00011 + C00229</t>
  </si>
  <si>
    <t xml:space="preserve">C05745 + C01209 </t>
  </si>
  <si>
    <t>C05749 + C01209</t>
  </si>
  <si>
    <t>C05750 + C00011 + C00229</t>
  </si>
  <si>
    <t xml:space="preserve">C05752 + C01209 </t>
  </si>
  <si>
    <t xml:space="preserve"> C05753 + C00011 + C00229</t>
  </si>
  <si>
    <t xml:space="preserve">C05755 + C01209 </t>
  </si>
  <si>
    <t>C05756 + C00011 + C00229</t>
  </si>
  <si>
    <t xml:space="preserve">C05761 + C01209 </t>
  </si>
  <si>
    <t xml:space="preserve"> C05762 + C00011 + C00229</t>
  </si>
  <si>
    <t>C05764 + C01209</t>
  </si>
  <si>
    <t xml:space="preserve"> C16219 + C00229 + C00011</t>
  </si>
  <si>
    <t>C19673 + C01209</t>
  </si>
  <si>
    <t>C20372 + C00011 + C00229</t>
  </si>
  <si>
    <t>C20375 + C01209</t>
  </si>
  <si>
    <t>C20376 + C00011 + C00229</t>
  </si>
  <si>
    <t>no link</t>
  </si>
  <si>
    <t xml:space="preserve">C00002 + C00097 + C01639 </t>
  </si>
  <si>
    <t xml:space="preserve"> C00020 + C00013 + C03125</t>
  </si>
  <si>
    <t>https://www.kegg.jp/entry/R03650</t>
  </si>
  <si>
    <t>https://www.kegg.jp/entry/R04198/R04199</t>
  </si>
  <si>
    <t>C03972 + C00003 + C00001</t>
  </si>
  <si>
    <t xml:space="preserve"> C20258 + C00004 + C00080</t>
  </si>
  <si>
    <t>C03972 + C00006 + C00001</t>
  </si>
  <si>
    <t>C20258 + C00005 + C00080</t>
  </si>
  <si>
    <t xml:space="preserve">C03557 + C00022 </t>
  </si>
  <si>
    <t>C03167 + C00041</t>
  </si>
  <si>
    <t>https://www.kegg.jp/entry/R04152</t>
  </si>
  <si>
    <t>https://www.kegg.jp/entry/R00747</t>
  </si>
  <si>
    <t xml:space="preserve">C03167 + C00001 </t>
  </si>
  <si>
    <t xml:space="preserve"> C00084 + C00009</t>
  </si>
  <si>
    <t>https://www.kegg.jp/entry/R01244</t>
  </si>
  <si>
    <t xml:space="preserve">C00147 + C00001 </t>
  </si>
  <si>
    <t>C00262 + C00014</t>
  </si>
  <si>
    <t>https://www.kegg.jp/entry/R01066</t>
  </si>
  <si>
    <t>C00673</t>
  </si>
  <si>
    <t xml:space="preserve"> C00118 + C00084</t>
  </si>
  <si>
    <t>https://www.kegg.jp/entry/R00379/R00375/R00376/R00377/R00378/R11030</t>
  </si>
  <si>
    <t>https://www.kegg.jp/entry/R00379/R00375/R00376/R00377/R00378/R11031</t>
  </si>
  <si>
    <t>https://www.kegg.jp/entry/R00379/R00375/R00376/R00377/R00378/R11032</t>
  </si>
  <si>
    <t>https://www.kegg.jp/entry/R00379/R00375/R00376/R00377/R00378/R11033</t>
  </si>
  <si>
    <t>https://www.kegg.jp/entry/R00379/R00375/R00376/R00377/R00378/R11034</t>
  </si>
  <si>
    <t xml:space="preserve">C00131 + C00039 </t>
  </si>
  <si>
    <t xml:space="preserve"> C00013 + C00039</t>
  </si>
  <si>
    <t>C00286 + C00039</t>
  </si>
  <si>
    <t xml:space="preserve">C00458 + C00039 </t>
  </si>
  <si>
    <t>C00013 + C00039</t>
  </si>
  <si>
    <t xml:space="preserve">C00459 + C00039 </t>
  </si>
  <si>
    <t>C11039</t>
  </si>
  <si>
    <t xml:space="preserve"> C21031</t>
  </si>
  <si>
    <t>https://www.kegg.jp/entry/R00380/R04858</t>
  </si>
  <si>
    <t>C00019 + C00039</t>
  </si>
  <si>
    <t xml:space="preserve"> C00021 + C02967</t>
  </si>
  <si>
    <t>C00019 + C00856</t>
  </si>
  <si>
    <t>C00021 + C02967</t>
  </si>
  <si>
    <t>https://www.kegg.jp/entry/R03657</t>
  </si>
  <si>
    <t>C00002 + C00123 + C01645</t>
  </si>
  <si>
    <t>C00020 + C00013 + C02047</t>
  </si>
  <si>
    <t>https://www.kegg.jp/entry/R00481/R00357</t>
  </si>
  <si>
    <t xml:space="preserve">C00049 + C00007 </t>
  </si>
  <si>
    <t xml:space="preserve"> C05840 + C00027</t>
  </si>
  <si>
    <t xml:space="preserve">C00049 + C00001 + C00007 </t>
  </si>
  <si>
    <t xml:space="preserve"> C00036 + C00014 + C00027</t>
  </si>
  <si>
    <t xml:space="preserve"> C16237 + C00004 + C00080</t>
  </si>
  <si>
    <t xml:space="preserve">C02972 + C00003 </t>
  </si>
  <si>
    <t xml:space="preserve"> C02051 + C00004 + C00080</t>
  </si>
  <si>
    <t xml:space="preserve">C15973 + C00003 </t>
  </si>
  <si>
    <t>C15972 + C00004 + C00080</t>
  </si>
  <si>
    <t xml:space="preserve">C00579 + C00003 </t>
  </si>
  <si>
    <t xml:space="preserve"> C00248 + C00004 + C00080</t>
  </si>
  <si>
    <t>C01236 + C00001</t>
  </si>
  <si>
    <t xml:space="preserve"> C00345</t>
  </si>
  <si>
    <t>https://www.kegg.jp/entry/R02918</t>
  </si>
  <si>
    <t xml:space="preserve">C00002 + C00082 + C00787 </t>
  </si>
  <si>
    <t xml:space="preserve"> C00020 + C00013 + C02839</t>
  </si>
  <si>
    <t>https://www.kegg.jp/entry/R00026/R00306/R02558/R02887/R02985/R03527/R04949/R04998/R06077/R06092/R06104/R10035/R10039/R10040/R13051/R13052/R13065/R13081</t>
  </si>
  <si>
    <t xml:space="preserve">C00185 + C00001 </t>
  </si>
  <si>
    <t>2 C00221</t>
  </si>
  <si>
    <t>C00185 + C00001</t>
  </si>
  <si>
    <t>2 C00031</t>
  </si>
  <si>
    <t xml:space="preserve">C00844 + C00001 </t>
  </si>
  <si>
    <t>C00561 + C00031</t>
  </si>
  <si>
    <t xml:space="preserve">C00844 + C00031 </t>
  </si>
  <si>
    <t xml:space="preserve"> C08325 + C00001</t>
  </si>
  <si>
    <t xml:space="preserve">C00963 + C00001 </t>
  </si>
  <si>
    <t xml:space="preserve"> C00031 + C01335</t>
  </si>
  <si>
    <t>C05713 + C00001</t>
  </si>
  <si>
    <t>C05712 + C00031</t>
  </si>
  <si>
    <t xml:space="preserve">C05839 + C00001 </t>
  </si>
  <si>
    <t>C05838 + C00031</t>
  </si>
  <si>
    <t xml:space="preserve">G00289 + C00001 </t>
  </si>
  <si>
    <t xml:space="preserve"> 2 C00221</t>
  </si>
  <si>
    <t> 2 C00031</t>
  </si>
  <si>
    <t>C05143 + C00001</t>
  </si>
  <si>
    <t>C03742 + C00221</t>
  </si>
  <si>
    <t xml:space="preserve">C08334 + C00001 </t>
  </si>
  <si>
    <t xml:space="preserve"> C18796 + C00221</t>
  </si>
  <si>
    <t>C01594 + C00001</t>
  </si>
  <si>
    <t xml:space="preserve"> C02659 + C00221</t>
  </si>
  <si>
    <t xml:space="preserve">C10216 + C00001 </t>
  </si>
  <si>
    <t xml:space="preserve"> C10208 + C00221</t>
  </si>
  <si>
    <t xml:space="preserve">C09126 + C00001 </t>
  </si>
  <si>
    <t>C06563 + C00221</t>
  </si>
  <si>
    <t xml:space="preserve">C05623 + C00001 </t>
  </si>
  <si>
    <t xml:space="preserve"> C00389 + C00221</t>
  </si>
  <si>
    <t xml:space="preserve">C09099 + C00001 </t>
  </si>
  <si>
    <t xml:space="preserve"> C00509 + C00221</t>
  </si>
  <si>
    <t>https://www.kegg.jp/entry/R12500</t>
  </si>
  <si>
    <t xml:space="preserve">C01978 + C00028 + C00001 </t>
  </si>
  <si>
    <t xml:space="preserve"> C19647 + C00030</t>
  </si>
  <si>
    <t>https://www.kegg.jp/entry/R04144</t>
  </si>
  <si>
    <t>C00002 + C03090 + C00037</t>
  </si>
  <si>
    <t xml:space="preserve"> C00008 + C00009 + C03838</t>
  </si>
  <si>
    <t>https://www.kegg.jp/entry/R00549</t>
  </si>
  <si>
    <t>C00002 + C00255</t>
  </si>
  <si>
    <t xml:space="preserve"> C00008 + C00061</t>
  </si>
  <si>
    <t>https://www.kegg.jp/entry/R00161</t>
  </si>
  <si>
    <t xml:space="preserve">C00002 + C00061 </t>
  </si>
  <si>
    <t>C00013 + C00016</t>
  </si>
  <si>
    <t>https://www.kegg.jp/entry/R02059</t>
  </si>
  <si>
    <t>C00357 + C00001</t>
  </si>
  <si>
    <t xml:space="preserve"> C00352 + C00033</t>
  </si>
  <si>
    <t xml:space="preserve">C00357 + C00001 </t>
  </si>
  <si>
    <t>https://www.kegg.jp/entry/R04209</t>
  </si>
  <si>
    <t xml:space="preserve">C04751 </t>
  </si>
  <si>
    <t xml:space="preserve"> C03373 + C00011</t>
  </si>
  <si>
    <t>https://www.kegg.jp/entry/R07405</t>
  </si>
  <si>
    <t xml:space="preserve">C15667 </t>
  </si>
  <si>
    <t>C04751</t>
  </si>
  <si>
    <t>https://www.kegg.jp/entry/R02100/R11896</t>
  </si>
  <si>
    <t>C00460 + C00001</t>
  </si>
  <si>
    <t xml:space="preserve"> C00365 + C00013</t>
  </si>
  <si>
    <t>C21751 + C00001</t>
  </si>
  <si>
    <t xml:space="preserve"> C04242 + C00013</t>
  </si>
  <si>
    <t>https://www.kegg.jp/entry/R01482/R01983</t>
  </si>
  <si>
    <t>C00191</t>
  </si>
  <si>
    <t>C00905</t>
  </si>
  <si>
    <t>C00333</t>
  </si>
  <si>
    <t>C00558</t>
  </si>
  <si>
    <t>https://www.kegg.jp/entry/R03654</t>
  </si>
  <si>
    <t>C00002 + C00037 + C01642</t>
  </si>
  <si>
    <t xml:space="preserve"> C00020 + C00013 + C02412</t>
  </si>
  <si>
    <t>https://www.kegg.jp/entry/R02291</t>
  </si>
  <si>
    <t>C00441 + C00009 + C00006</t>
  </si>
  <si>
    <t xml:space="preserve"> C03082 + C00005 + C00080</t>
  </si>
  <si>
    <t>??</t>
  </si>
  <si>
    <t>https://www.kegg.jp/entry/R03084</t>
  </si>
  <si>
    <t xml:space="preserve">C00944 </t>
  </si>
  <si>
    <t>C02637 + C00001</t>
  </si>
  <si>
    <t>https://www.kegg.jp/entry/R00200/R00430/R00572/R00659/R00724/R01138/R01858/R02320</t>
  </si>
  <si>
    <t>https://www.kegg.jp/entry/R12183/R12184/R01492/R05220/R07268</t>
  </si>
  <si>
    <t>https://www.kegg.jp/entry/R03035</t>
  </si>
  <si>
    <t xml:space="preserve">C00002 + C01134 </t>
  </si>
  <si>
    <t>C00013 + C00882</t>
  </si>
  <si>
    <t>https://www.kegg.jp/entry/R03067/R03066</t>
  </si>
  <si>
    <t xml:space="preserve">C04807 + C00568 </t>
  </si>
  <si>
    <t>C00013 + C00921</t>
  </si>
  <si>
    <t xml:space="preserve">C01300 + C00568 </t>
  </si>
  <si>
    <t xml:space="preserve"> C00921 + C00001</t>
  </si>
  <si>
    <t>https://www.kegg.jp/entry/R00230/R00921</t>
  </si>
  <si>
    <t>C00024 + C00009</t>
  </si>
  <si>
    <t xml:space="preserve"> C00010 + C00227</t>
  </si>
  <si>
    <t xml:space="preserve">C00100 + C00009 </t>
  </si>
  <si>
    <t xml:space="preserve"> C02876 + C00010</t>
  </si>
  <si>
    <t>https://www.kegg.jp/entry/R00158</t>
  </si>
  <si>
    <t xml:space="preserve">C00002 + C00105 </t>
  </si>
  <si>
    <t xml:space="preserve"> C00008 + C00015</t>
  </si>
  <si>
    <t xml:space="preserve">C00024 + C00058 </t>
  </si>
  <si>
    <t>C00010 + C00022</t>
  </si>
  <si>
    <t>https://www.kegg.jp/entry/R00212/R06987</t>
  </si>
  <si>
    <t xml:space="preserve">C00109 + C00010 </t>
  </si>
  <si>
    <t xml:space="preserve"> C00100 + C00058</t>
  </si>
  <si>
    <t>https://www.kegg.jp/entry/R04710</t>
  </si>
  <si>
    <t>C00019 + C05196 + C05197</t>
  </si>
  <si>
    <t xml:space="preserve"> C05198 + C00073 + C05199 + C05312</t>
  </si>
  <si>
    <t>https://www.kegg.jp/entry/R00658/R04206</t>
  </si>
  <si>
    <t>C00074 + C00001</t>
  </si>
  <si>
    <t>C03356</t>
  </si>
  <si>
    <t xml:space="preserve"> C04309 + C00001</t>
  </si>
  <si>
    <t>https://www.kegg.jp/entry/R12570</t>
  </si>
  <si>
    <t>C00342 + C15498</t>
  </si>
  <si>
    <t>C00343 + C00001 + C01335</t>
  </si>
  <si>
    <t>https://www.kegg.jp/entry/R04315/R02014/R02020/R02022/R02023</t>
  </si>
  <si>
    <t>https://www.kegg.jp/entry/R04385</t>
  </si>
  <si>
    <t xml:space="preserve">C00002 + C06250 + C00288 </t>
  </si>
  <si>
    <t xml:space="preserve"> C00008 + C00009 + C04419</t>
  </si>
  <si>
    <t>https://www.kegg.jp/dbget-bin/www_bget?ec:6.3.5.5</t>
  </si>
  <si>
    <t>C00002 + C00022</t>
  </si>
  <si>
    <t xml:space="preserve"> C00008 + C00074</t>
  </si>
  <si>
    <t>C00044 + C00022</t>
  </si>
  <si>
    <t>C00035 + C00074</t>
  </si>
  <si>
    <t xml:space="preserve">C00063 + C00022 </t>
  </si>
  <si>
    <t xml:space="preserve"> C00112 + C00074</t>
  </si>
  <si>
    <t>C00075 + C00022</t>
  </si>
  <si>
    <t xml:space="preserve"> C00015 + C00074</t>
  </si>
  <si>
    <t xml:space="preserve">C00081 + C00022 </t>
  </si>
  <si>
    <t xml:space="preserve"> C00104 + C00074</t>
  </si>
  <si>
    <t xml:space="preserve">C00131 + C00022 </t>
  </si>
  <si>
    <t xml:space="preserve"> C00206 + C00074</t>
  </si>
  <si>
    <t xml:space="preserve">C00286 + C00022 </t>
  </si>
  <si>
    <t>C00361 + C00074</t>
  </si>
  <si>
    <t>C00201 + C00022</t>
  </si>
  <si>
    <t xml:space="preserve"> C00454 + C00074</t>
  </si>
  <si>
    <t xml:space="preserve">C00002 + C00853 </t>
  </si>
  <si>
    <t xml:space="preserve"> C00536 + C00194</t>
  </si>
  <si>
    <t>C06505 + C00002</t>
  </si>
  <si>
    <t xml:space="preserve"> C06506 + C00536</t>
  </si>
  <si>
    <t xml:space="preserve">C00002 + C05774 </t>
  </si>
  <si>
    <t xml:space="preserve"> C00536 + C06508</t>
  </si>
  <si>
    <t>C00677 + C00343 + C00001</t>
  </si>
  <si>
    <t xml:space="preserve"> C03802 + C00342</t>
  </si>
  <si>
    <t xml:space="preserve">C00131 + C00343 + C00001 </t>
  </si>
  <si>
    <t xml:space="preserve"> C00002 + C00342</t>
  </si>
  <si>
    <t>C00286 + C00343 + C00001</t>
  </si>
  <si>
    <t>C00044 + C00342</t>
  </si>
  <si>
    <t>C00458 + C00343 + C00001</t>
  </si>
  <si>
    <t xml:space="preserve"> C00063 + C00342</t>
  </si>
  <si>
    <t>C00460 + C00343 + C00001</t>
  </si>
  <si>
    <t xml:space="preserve"> C00075 + C00342</t>
  </si>
  <si>
    <t>https://www.kegg.jp/entry/R03664</t>
  </si>
  <si>
    <t>C00002 + C00078 + C01652</t>
  </si>
  <si>
    <t>C00020 + C00013 + C03512</t>
  </si>
  <si>
    <t xml:space="preserve"> C00020 + C00013 + C03512</t>
  </si>
  <si>
    <t xml:space="preserve">C11039 </t>
  </si>
  <si>
    <t>C21031</t>
  </si>
  <si>
    <t>https://www.kegg.jp/entry/R00425</t>
  </si>
  <si>
    <t>https://www.kegg.jp/entry/R07281</t>
  </si>
  <si>
    <t xml:space="preserve">C00199 </t>
  </si>
  <si>
    <t xml:space="preserve"> C15556 + C00058</t>
  </si>
  <si>
    <t>C00111</t>
  </si>
  <si>
    <t>C00546 + C00009</t>
  </si>
  <si>
    <t>https://www.kegg.jp/entry/R04779/R00756/R00767/R00769/R00770/R01843/R03236/R03237/R03238/R03239</t>
  </si>
  <si>
    <t>C00002 + C05345</t>
  </si>
  <si>
    <t xml:space="preserve"> C00008 + C05378</t>
  </si>
  <si>
    <t xml:space="preserve">C00002 + C00085 </t>
  </si>
  <si>
    <t>C00008 + C00354</t>
  </si>
  <si>
    <t xml:space="preserve">C00063 + C00085 </t>
  </si>
  <si>
    <t xml:space="preserve"> C00112 + C00354</t>
  </si>
  <si>
    <t xml:space="preserve">C00075 + C00085 </t>
  </si>
  <si>
    <t xml:space="preserve"> C00015 + C00354</t>
  </si>
  <si>
    <t>C00081 + C00085</t>
  </si>
  <si>
    <t xml:space="preserve"> C00104 + C00354</t>
  </si>
  <si>
    <t>C00002 + C05382</t>
  </si>
  <si>
    <t>C00008 + C00447</t>
  </si>
  <si>
    <t xml:space="preserve">C01097 + C00002 </t>
  </si>
  <si>
    <t xml:space="preserve"> C03785 + C00008</t>
  </si>
  <si>
    <t xml:space="preserve">C00063 + C01097 </t>
  </si>
  <si>
    <t>C00112 + C03785</t>
  </si>
  <si>
    <t xml:space="preserve">C00075 + C01097 </t>
  </si>
  <si>
    <t xml:space="preserve"> C00015 + C03785</t>
  </si>
  <si>
    <t xml:space="preserve">C00081 + C01097 </t>
  </si>
  <si>
    <t xml:space="preserve"> C00104 + C03785</t>
  </si>
  <si>
    <t xml:space="preserve">C01159 + C00615 </t>
  </si>
  <si>
    <t xml:space="preserve"> C00197 + C04262</t>
  </si>
  <si>
    <t>https://www.kegg.jp/entry/R01068/R01070/R01829/R02568</t>
  </si>
  <si>
    <t>C00354</t>
  </si>
  <si>
    <t>C00111 + C00118</t>
  </si>
  <si>
    <t>C05378</t>
  </si>
  <si>
    <t xml:space="preserve">C00447 </t>
  </si>
  <si>
    <t xml:space="preserve"> C00111 + C00279</t>
  </si>
  <si>
    <t>C01094</t>
  </si>
  <si>
    <t xml:space="preserve"> C00111 + C00577</t>
  </si>
  <si>
    <t>https://www.kegg.jp/entry/R00619</t>
  </si>
  <si>
    <t xml:space="preserve">C00002 + C00378 </t>
  </si>
  <si>
    <t xml:space="preserve"> C00020 + C00068</t>
  </si>
  <si>
    <t>https://www.kegg.jp/entry/R02755</t>
  </si>
  <si>
    <t xml:space="preserve">C00680 + C00006 + C00001 </t>
  </si>
  <si>
    <t xml:space="preserve"> C03871 + C00014 + C00005 + C00080</t>
  </si>
  <si>
    <t>https://www.kegg.jp/entry/R00765</t>
  </si>
  <si>
    <t xml:space="preserve">C00352 + C00001 </t>
  </si>
  <si>
    <t>C00085 + C00014</t>
  </si>
  <si>
    <t>https://www.kegg.jp/entry/R03646</t>
  </si>
  <si>
    <t>C00002 + C00062 + C01636</t>
  </si>
  <si>
    <t xml:space="preserve"> C00020 + C00013 + C02163</t>
  </si>
  <si>
    <t>https://www.kegg.jp/entry/R02914</t>
  </si>
  <si>
    <t>C03680 </t>
  </si>
  <si>
    <t xml:space="preserve"> C00785 + C00001</t>
  </si>
  <si>
    <t>https://www.kegg.jp/entry/R02287/R03189</t>
  </si>
  <si>
    <t>C00664 + C00025</t>
  </si>
  <si>
    <t xml:space="preserve"> C00101 + C00439</t>
  </si>
  <si>
    <t>C03479 + C00025</t>
  </si>
  <si>
    <t xml:space="preserve"> C00101 + C01045</t>
  </si>
  <si>
    <t>https://www.kegg.jp/entry/R02288</t>
  </si>
  <si>
    <t xml:space="preserve">C03680 + C00001 </t>
  </si>
  <si>
    <t xml:space="preserve"> C00439</t>
  </si>
  <si>
    <t>https://www.kegg.jp/entry/R01168/R06132</t>
  </si>
  <si>
    <t>C00135</t>
  </si>
  <si>
    <t xml:space="preserve"> C00785 + C00014</t>
  </si>
  <si>
    <t xml:space="preserve">C05167 </t>
  </si>
  <si>
    <t xml:space="preserve"> C11823 + C00014</t>
  </si>
  <si>
    <t>https://www.kegg.jp/entry/R00600</t>
  </si>
  <si>
    <t>C00019 + C01977</t>
  </si>
  <si>
    <t>C00021 + C04160</t>
  </si>
  <si>
    <t>https://www.kegg.jp/entry/R00114/R00248/R00256</t>
  </si>
  <si>
    <t>https://www.kegg.jp/entry/R00114/R00248/R00257</t>
  </si>
  <si>
    <t>https://www.kegg.jp/entry/R00114/R00248/R00258</t>
  </si>
  <si>
    <t xml:space="preserve"> C00064 + C00026 + C00005 + C00080</t>
  </si>
  <si>
    <t>C00025 + C00006 + C00001</t>
  </si>
  <si>
    <t xml:space="preserve"> C00026 + C00014 + C00005 + C00080</t>
  </si>
  <si>
    <t xml:space="preserve">C00064 + C00001 </t>
  </si>
  <si>
    <t xml:space="preserve"> C00025 + C00014</t>
  </si>
  <si>
    <t>https://www.kegg.jp/entry/R01086</t>
  </si>
  <si>
    <t>C03406</t>
  </si>
  <si>
    <t>C00122 + C00062</t>
  </si>
  <si>
    <t>https://www.kegg.jp/entry/R01870/R08231</t>
  </si>
  <si>
    <t xml:space="preserve">C01103 + C00013 </t>
  </si>
  <si>
    <t xml:space="preserve"> C00295 + C00119</t>
  </si>
  <si>
    <t xml:space="preserve">C07649 + C00119 </t>
  </si>
  <si>
    <t xml:space="preserve"> C16634 + C00013</t>
  </si>
  <si>
    <t>https://www.kegg.jp/entry/R03458</t>
  </si>
  <si>
    <t>C04454 + C00006</t>
  </si>
  <si>
    <t xml:space="preserve"> C01268 + C00005 + C00080</t>
  </si>
  <si>
    <t>https://www.kegg.jp/entry/R03459</t>
  </si>
  <si>
    <t xml:space="preserve">C01304 + C00001 </t>
  </si>
  <si>
    <t xml:space="preserve"> C01268 + C00014</t>
  </si>
  <si>
    <t>https://www.kegg.jp/entry/R00260</t>
  </si>
  <si>
    <t xml:space="preserve"> C00217</t>
  </si>
  <si>
    <t>https://www.kegg.jp/entry/R00483</t>
  </si>
  <si>
    <t xml:space="preserve">C00002 + C00049 + C00014 </t>
  </si>
  <si>
    <t xml:space="preserve"> C00020 + C00013 + C00152</t>
  </si>
  <si>
    <t>https://www.kegg.jp/entry/R01083/R04559/R12851</t>
  </si>
  <si>
    <t xml:space="preserve">C03794 </t>
  </si>
  <si>
    <t>C00122 + C00020</t>
  </si>
  <si>
    <t>C04823</t>
  </si>
  <si>
    <t xml:space="preserve"> C00122 + C04677</t>
  </si>
  <si>
    <t xml:space="preserve">C22395 </t>
  </si>
  <si>
    <t xml:space="preserve"> C22441 + C00122</t>
  </si>
  <si>
    <t>https://www.kegg.jp/entry/R03648</t>
  </si>
  <si>
    <t xml:space="preserve">C00002 + C00152 + C01637 </t>
  </si>
  <si>
    <t xml:space="preserve"> C00020 + C00013 + C03402</t>
  </si>
  <si>
    <t>https://www.kegg.jp/entry/R00512/R01665</t>
  </si>
  <si>
    <t xml:space="preserve">C00002 + C00055 </t>
  </si>
  <si>
    <t xml:space="preserve"> C00008 + C00112</t>
  </si>
  <si>
    <t xml:space="preserve">C00002 + C00239 </t>
  </si>
  <si>
    <t>C00008 + C00705</t>
  </si>
  <si>
    <t>https://www.kegg.jp/entry/R05884/R08210</t>
  </si>
  <si>
    <t>https://www.kegg.jp/entry/R02101</t>
  </si>
  <si>
    <t>C00365 + C00143</t>
  </si>
  <si>
    <t xml:space="preserve"> C00415 + C00364</t>
  </si>
  <si>
    <t>https://www.kegg.jp/entry/R00004</t>
  </si>
  <si>
    <t>C00013 + C00001</t>
  </si>
  <si>
    <t xml:space="preserve"> 2 C00009</t>
  </si>
  <si>
    <t>https://www.kegg.jp/entry/R08700</t>
  </si>
  <si>
    <t xml:space="preserve">C00868 + C15812 + C00002 </t>
  </si>
  <si>
    <t>C17322 + C15811 + C00020 + C00013</t>
  </si>
  <si>
    <t>https://www.kegg.jp/entry/R01135</t>
  </si>
  <si>
    <t xml:space="preserve">C00044 + C00130 + C00049 </t>
  </si>
  <si>
    <t>C00035 + C00009 + C03794</t>
  </si>
  <si>
    <t>https://www.kegg.jp/entry/R03655</t>
  </si>
  <si>
    <t>C00002 + C00135 + C01643</t>
  </si>
  <si>
    <t>C00020 + C00013 + C02988</t>
  </si>
  <si>
    <t>https://www.kegg.jp/entry/R01532/R00087/R00426/R00515/R00662/R11323/R00103/R00160/R00287/R03004/R03036</t>
  </si>
  <si>
    <t>C00201 + C00001</t>
  </si>
  <si>
    <t>C00215 + C00013</t>
  </si>
  <si>
    <t>C00002 + C00001</t>
  </si>
  <si>
    <t xml:space="preserve"> C00020 + C00013</t>
  </si>
  <si>
    <t xml:space="preserve"> C00144 + C00013</t>
  </si>
  <si>
    <t xml:space="preserve">C00063 + C00001 </t>
  </si>
  <si>
    <t>C00055 + C00013</t>
  </si>
  <si>
    <t xml:space="preserve">C00075 + C00001 </t>
  </si>
  <si>
    <t>C00105 + C00013</t>
  </si>
  <si>
    <t xml:space="preserve">C00459 + C00001 </t>
  </si>
  <si>
    <t>C00364 + C00013</t>
  </si>
  <si>
    <t xml:space="preserve">C00003 + C00001 </t>
  </si>
  <si>
    <t>C00020 + C00455</t>
  </si>
  <si>
    <t>C00016 + C00001</t>
  </si>
  <si>
    <t xml:space="preserve"> C00020 + C00061</t>
  </si>
  <si>
    <t>C00029 + C00001</t>
  </si>
  <si>
    <t xml:space="preserve"> C00105 + C00103</t>
  </si>
  <si>
    <t xml:space="preserve">C00857 + C00001 </t>
  </si>
  <si>
    <t xml:space="preserve"> C00020 + C01185</t>
  </si>
  <si>
    <t xml:space="preserve">C00882 + C00001 </t>
  </si>
  <si>
    <t>C01134 + C00020</t>
  </si>
  <si>
    <t>https://www.kegg.jp/entry/R03665</t>
  </si>
  <si>
    <t xml:space="preserve">C00002 + C00183 + C01653 </t>
  </si>
  <si>
    <t>C00020 + C00013 + C02554</t>
  </si>
  <si>
    <t>https://www.kegg.jp/entry/R00248/R00145/R00146</t>
  </si>
  <si>
    <t xml:space="preserve">C00025 + C00006 + C00001 </t>
  </si>
  <si>
    <t>C00026 + C00014 + C00005 + C00080</t>
  </si>
  <si>
    <t>C05167 + C00001 + C00003</t>
  </si>
  <si>
    <t xml:space="preserve"> C00161 + C00014 + C00004 + C00080</t>
  </si>
  <si>
    <t xml:space="preserve">C05167 + C00001 + C00006 </t>
  </si>
  <si>
    <t>3.1.21.10</t>
  </si>
  <si>
    <t>https://www.kegg.jp/entry/R04657</t>
  </si>
  <si>
    <t xml:space="preserve">C00002 + C04932 </t>
  </si>
  <si>
    <t xml:space="preserve"> C00008 + C04919</t>
  </si>
  <si>
    <t>https://www.kegg.jp/entry/R04148</t>
  </si>
  <si>
    <t xml:space="preserve">C01185 + C03114 </t>
  </si>
  <si>
    <t>C00253 + C04778 + C00080</t>
  </si>
  <si>
    <t>https://www.kegg.jp/entry/R04294/R02017/R02018/R02019/R02024/R08363/R08364/R11893</t>
  </si>
  <si>
    <t xml:space="preserve">C04232 + C00343 + C00001 </t>
  </si>
  <si>
    <t>C03723 + C00342</t>
  </si>
  <si>
    <t xml:space="preserve">C00206 + C00343 + C00001 </t>
  </si>
  <si>
    <t xml:space="preserve"> C00342 + C00008</t>
  </si>
  <si>
    <t xml:space="preserve">C01346 + C00343 + C00001 </t>
  </si>
  <si>
    <t xml:space="preserve"> C00342 + C00015</t>
  </si>
  <si>
    <t xml:space="preserve">C00361 + C00343 + C00001 </t>
  </si>
  <si>
    <t xml:space="preserve"> C00035 + C00342</t>
  </si>
  <si>
    <t xml:space="preserve">C00705 + C00343 + C00001 </t>
  </si>
  <si>
    <t>C00342 + C00112</t>
  </si>
  <si>
    <t>C04232 + C16664 + C00001</t>
  </si>
  <si>
    <t xml:space="preserve"> C03723 + C16663</t>
  </si>
  <si>
    <t>C04232 + C03170 + C00001</t>
  </si>
  <si>
    <t>C03723 + C02090</t>
  </si>
  <si>
    <t>C21750 + C00343 + C00001</t>
  </si>
  <si>
    <t xml:space="preserve"> C21748 + C00342</t>
  </si>
  <si>
    <t>https://www.kegg.jp/entry/R03504</t>
  </si>
  <si>
    <t>C04874</t>
  </si>
  <si>
    <t xml:space="preserve"> C00266 + C01300</t>
  </si>
  <si>
    <t>https://www.kegg.jp/entry/R03443</t>
  </si>
  <si>
    <t>C01250 + C00009 + C00006</t>
  </si>
  <si>
    <t xml:space="preserve"> C04133 + C00005 + C00080</t>
  </si>
  <si>
    <t>https://www.kegg.jp/entry/R02740/R00771/R02739/R03321/R13199</t>
  </si>
  <si>
    <t xml:space="preserve">C00668 </t>
  </si>
  <si>
    <t xml:space="preserve"> C05345</t>
  </si>
  <si>
    <t xml:space="preserve">C00092 </t>
  </si>
  <si>
    <t>C00085</t>
  </si>
  <si>
    <t> C01172</t>
  </si>
  <si>
    <t>C01172</t>
  </si>
  <si>
    <t>https://www.kegg.jp/entry/R00842/R00844</t>
  </si>
  <si>
    <t xml:space="preserve">C00093 + C00003 </t>
  </si>
  <si>
    <t xml:space="preserve"> C00111 + C00004 + C00080</t>
  </si>
  <si>
    <t xml:space="preserve">C00093 + C00006 </t>
  </si>
  <si>
    <t xml:space="preserve"> C00111 + C00005 + C00080</t>
  </si>
  <si>
    <t>https://www.kegg.jp/entry/R03658</t>
  </si>
  <si>
    <t xml:space="preserve">C00002 + C00047 + C01646 </t>
  </si>
  <si>
    <t xml:space="preserve"> C00020 + C00013 + C01931</t>
  </si>
  <si>
    <t>https://www.kegg.jp/entry/R03005/R00137</t>
  </si>
  <si>
    <t xml:space="preserve">C00002 + C01185 </t>
  </si>
  <si>
    <t xml:space="preserve"> C00013 + C00857</t>
  </si>
  <si>
    <t xml:space="preserve">C00002 + C00455 </t>
  </si>
  <si>
    <t xml:space="preserve"> C00013 + C00003</t>
  </si>
  <si>
    <t>https://www.kegg.jp/entry/R00332/R02090/R12852</t>
  </si>
  <si>
    <t>C00002 + C00144</t>
  </si>
  <si>
    <t xml:space="preserve"> C00008 + C00035</t>
  </si>
  <si>
    <t xml:space="preserve">C00002 + C00362 </t>
  </si>
  <si>
    <t>C00008 + C00361</t>
  </si>
  <si>
    <t>C22442 + C00008</t>
  </si>
  <si>
    <t>https://www.kegg.jp/entry/R02765/R09979</t>
  </si>
  <si>
    <t xml:space="preserve">C01213 </t>
  </si>
  <si>
    <t xml:space="preserve"> C00683</t>
  </si>
  <si>
    <t>C18026</t>
  </si>
  <si>
    <t>C20238</t>
  </si>
  <si>
    <t>https://www.kegg.jp/entry/R05681/R05837/R07406</t>
  </si>
  <si>
    <t xml:space="preserve">C06055 + C00003 </t>
  </si>
  <si>
    <t xml:space="preserve"> C07335 + C00004 + C00080</t>
  </si>
  <si>
    <t xml:space="preserve"> C11638 + C00004 + C00080 + C00011</t>
  </si>
  <si>
    <t xml:space="preserve">C07335 </t>
  </si>
  <si>
    <t xml:space="preserve"> C11638 + C00011</t>
  </si>
  <si>
    <t>https://www.kegg.jp/entry/R04457</t>
  </si>
  <si>
    <t xml:space="preserve">C04732 + C15556 </t>
  </si>
  <si>
    <t>https://www.kegg.jp/entry/R02301</t>
  </si>
  <si>
    <t xml:space="preserve"> C00008 + C00009 + C00445</t>
  </si>
  <si>
    <t>https://www.kegg.jp/entry/R00489</t>
  </si>
  <si>
    <t xml:space="preserve"> C00099 + C00011</t>
  </si>
  <si>
    <t xml:space="preserve"> C00085 + C00014</t>
  </si>
  <si>
    <t xml:space="preserve">C01102 + C00001 </t>
  </si>
  <si>
    <t>C00188 + C00009</t>
  </si>
  <si>
    <t>C06055 + C00001</t>
  </si>
  <si>
    <t xml:space="preserve"> C06056 + C00009</t>
  </si>
  <si>
    <t>https://www.kegg.jp/entry/R01466/R05086</t>
  </si>
  <si>
    <t>https://www.kegg.jp/entry/R01773/R01775</t>
  </si>
  <si>
    <t xml:space="preserve">C00263 + C00003 </t>
  </si>
  <si>
    <t xml:space="preserve"> C00441 + C00004 + C00080</t>
  </si>
  <si>
    <t xml:space="preserve">C00263 + C00006 </t>
  </si>
  <si>
    <t xml:space="preserve"> C00441 + C00005 + C00080</t>
  </si>
  <si>
    <t>https://www.kegg.jp/entry/R03254</t>
  </si>
  <si>
    <t xml:space="preserve">C04478 + C00009 </t>
  </si>
  <si>
    <t>https://www.kegg.jp/entry/R04125/R02300</t>
  </si>
  <si>
    <t xml:space="preserve">C01242 + C00101 </t>
  </si>
  <si>
    <t xml:space="preserve"> C02972 + C00143 + C00014</t>
  </si>
  <si>
    <t xml:space="preserve">C03479 </t>
  </si>
  <si>
    <t>C00445 + C00001</t>
  </si>
  <si>
    <t>https://www.kegg.jp/entry/R00189</t>
  </si>
  <si>
    <t>C00002 + C00857 + C00014</t>
  </si>
  <si>
    <t xml:space="preserve"> C00020 + C00013 + C00003</t>
  </si>
  <si>
    <t>https://www.kegg.jp/entry/R07613</t>
  </si>
  <si>
    <t>C00666 + C00026</t>
  </si>
  <si>
    <t>C03972 + C00025 + C00001</t>
  </si>
  <si>
    <t>https://www.kegg.jp/entry/R02735</t>
  </si>
  <si>
    <t>C00666</t>
  </si>
  <si>
    <t xml:space="preserve"> C00680</t>
  </si>
  <si>
    <t>https://www.kegg.jp/entry/R00256/R00483/R00578</t>
  </si>
  <si>
    <t>C00025 + C00014</t>
  </si>
  <si>
    <t xml:space="preserve">C00002 + C00049 + C00064 + C00001 </t>
  </si>
  <si>
    <t xml:space="preserve"> C00020 + C00013 + C00152 + C00025</t>
  </si>
  <si>
    <t>https://www.kegg.jp/entry/R04238</t>
  </si>
  <si>
    <t>C03880 + C00001</t>
  </si>
  <si>
    <t xml:space="preserve"> C03523 + C00066</t>
  </si>
  <si>
    <t>https://www.kegg.jp/entry/R00066</t>
  </si>
  <si>
    <t xml:space="preserve">2 C04332 </t>
  </si>
  <si>
    <t xml:space="preserve"> C00255 + C04732</t>
  </si>
  <si>
    <t>https://www.kegg.jp/entry/R01090/R01214/R02199/R10991</t>
  </si>
  <si>
    <t xml:space="preserve">C00123 + C00026 </t>
  </si>
  <si>
    <t>C00233 + C00025</t>
  </si>
  <si>
    <t>C00183 + C00026</t>
  </si>
  <si>
    <t xml:space="preserve"> C00141 + C00025</t>
  </si>
  <si>
    <t>C00407 + C00026</t>
  </si>
  <si>
    <t xml:space="preserve"> C00671 + C00025</t>
  </si>
  <si>
    <t xml:space="preserve">C02356 + C00026 </t>
  </si>
  <si>
    <t>C00109 + C00025</t>
  </si>
  <si>
    <t>https://www.kegg.jp/entry/R01626</t>
  </si>
  <si>
    <t>C00083 + C00229</t>
  </si>
  <si>
    <t xml:space="preserve"> C00010 + C01209</t>
  </si>
  <si>
    <t>https://www.kegg.jp/entry/R03940</t>
  </si>
  <si>
    <t>C02430 + C00234</t>
  </si>
  <si>
    <t xml:space="preserve"> C00101 + C03294</t>
  </si>
  <si>
    <t>https://www.kegg.jp/entry/R00174/R01909/R02493</t>
  </si>
  <si>
    <t>C00002 + C00250</t>
  </si>
  <si>
    <t xml:space="preserve"> C00008 + C00018</t>
  </si>
  <si>
    <t>C00002 + C00314</t>
  </si>
  <si>
    <t xml:space="preserve"> C00008 + C00627</t>
  </si>
  <si>
    <t xml:space="preserve">C00002 + C00534 </t>
  </si>
  <si>
    <t xml:space="preserve"> C00008 + C00647</t>
  </si>
  <si>
    <t>C00028 + C00014 + C00001</t>
  </si>
  <si>
    <t xml:space="preserve"> C00192 + C00030</t>
  </si>
  <si>
    <t>https://www.kegg.jp/entry/R00284/R00143</t>
  </si>
  <si>
    <t xml:space="preserve">C00014 + C00003 + C00001 </t>
  </si>
  <si>
    <t>C00192 + C00004 + C00080</t>
  </si>
  <si>
    <t xml:space="preserve">C00019 + C00039 </t>
  </si>
  <si>
    <t xml:space="preserve">C00019 + C00856 </t>
  </si>
  <si>
    <t>https://www.kegg.jp/entry/R00485/R06134</t>
  </si>
  <si>
    <t xml:space="preserve">C00152 + C00001 </t>
  </si>
  <si>
    <t>C00049 + C00014</t>
  </si>
  <si>
    <t xml:space="preserve">C00241 + C00001 </t>
  </si>
  <si>
    <t>C00060 + C00014</t>
  </si>
  <si>
    <t>https://www.kegg.jp/entry/R01529</t>
  </si>
  <si>
    <t xml:space="preserve"> C00231</t>
  </si>
  <si>
    <t>https://www.kegg.jp/entry/R02060</t>
  </si>
  <si>
    <t xml:space="preserve">C06156 </t>
  </si>
  <si>
    <t>C00352</t>
  </si>
  <si>
    <t>https://www.kegg.jp/entry/R01092</t>
  </si>
  <si>
    <t xml:space="preserve">C00002 + C00984 </t>
  </si>
  <si>
    <t xml:space="preserve"> C00008 + C00446</t>
  </si>
  <si>
    <t>https://www.kegg.jp/entry/R01051/R02750</t>
  </si>
  <si>
    <t>C00002 + C00121</t>
  </si>
  <si>
    <t>C00008 + C00117</t>
  </si>
  <si>
    <t xml:space="preserve">C00673 + C00008 </t>
  </si>
  <si>
    <t>C01801 + C00002</t>
  </si>
  <si>
    <t>https://www.kegg.jp/entry/R01082</t>
  </si>
  <si>
    <t>C00149</t>
  </si>
  <si>
    <t>C00122 + C00001</t>
  </si>
  <si>
    <t>https://www.kegg.jp/entry/R00130</t>
  </si>
  <si>
    <t xml:space="preserve">C00002 + C00882 </t>
  </si>
  <si>
    <t xml:space="preserve"> C00008 + C00010</t>
  </si>
  <si>
    <t>https://www.kegg.jp/entry/R06513</t>
  </si>
  <si>
    <t xml:space="preserve">C00842 </t>
  </si>
  <si>
    <t>C11907 + C00001</t>
  </si>
  <si>
    <t>https://www.kegg.jp/entry/R06514</t>
  </si>
  <si>
    <t>C11907</t>
  </si>
  <si>
    <t xml:space="preserve"> C00688</t>
  </si>
  <si>
    <t>https://www.kegg.jp/entry/R00256/R01230/R01231/R08244</t>
  </si>
  <si>
    <t>C00064 + C00001</t>
  </si>
  <si>
    <t xml:space="preserve"> C00020 + C00013 + C00144</t>
  </si>
  <si>
    <t xml:space="preserve">C00002 + C00655 + C00064 + C00001 </t>
  </si>
  <si>
    <t>C00020 + C00013 + C00144 + C00025</t>
  </si>
  <si>
    <t xml:space="preserve">C16618 + C00002 + C00064 + C00001 </t>
  </si>
  <si>
    <t>C16619 + C00020 + C00013 + C00025</t>
  </si>
  <si>
    <t>C00064 + C00002</t>
  </si>
  <si>
    <t>https://www.kegg.jp/entry/R00847</t>
  </si>
  <si>
    <t xml:space="preserve">C00002 + C00116 </t>
  </si>
  <si>
    <t xml:space="preserve"> C00008 + C00093</t>
  </si>
  <si>
    <t>https://www.kegg.jp/entry/R05606</t>
  </si>
  <si>
    <t xml:space="preserve">C00514 </t>
  </si>
  <si>
    <t>C00204 + C00001</t>
  </si>
  <si>
    <t xml:space="preserve">C01271 + C00043 </t>
  </si>
  <si>
    <t xml:space="preserve"> C00229 + C22418</t>
  </si>
  <si>
    <t xml:space="preserve">C04688 + C00043 </t>
  </si>
  <si>
    <t xml:space="preserve"> C00229 + C04738</t>
  </si>
  <si>
    <t>https://www.kegg.jp/entry/R00342/R07136</t>
  </si>
  <si>
    <t xml:space="preserve">C00149 + C00003 </t>
  </si>
  <si>
    <t xml:space="preserve"> C00036 + C00004 + C00080</t>
  </si>
  <si>
    <t>C11537 + C00003</t>
  </si>
  <si>
    <t xml:space="preserve"> C05528 + C00004 + C00080</t>
  </si>
  <si>
    <t>https://www.kegg.jp/entry/R02016/R00900/R03596/R09372</t>
  </si>
  <si>
    <t xml:space="preserve">C00342 + C00006 </t>
  </si>
  <si>
    <t xml:space="preserve"> C00343 + C00005 + C00080</t>
  </si>
  <si>
    <t>C00097 + C00051 + C00006</t>
  </si>
  <si>
    <t xml:space="preserve"> C05526 + C00005</t>
  </si>
  <si>
    <t xml:space="preserve">C00440 + C00155 </t>
  </si>
  <si>
    <t>C00101 + C00073</t>
  </si>
  <si>
    <t>https://www.kegg.jp/entry/R00946/R09365</t>
  </si>
  <si>
    <t xml:space="preserve">C05698 + C04489 </t>
  </si>
  <si>
    <t xml:space="preserve"> C05335 + C04144</t>
  </si>
  <si>
    <t>https://www.kegg.jp/entry/R03656</t>
  </si>
  <si>
    <t xml:space="preserve">C00002 + C00407 + C01644 </t>
  </si>
  <si>
    <t>C00020 + C00013 + C03127</t>
  </si>
  <si>
    <t>https://www.kegg.jp/entry/R03425</t>
  </si>
  <si>
    <t>C00037 + C02051</t>
  </si>
  <si>
    <t xml:space="preserve"> C01242 + C00011</t>
  </si>
  <si>
    <t>https://www.kegg.jp/entry/R00660</t>
  </si>
  <si>
    <t xml:space="preserve">C00074 + C00043 </t>
  </si>
  <si>
    <t>C04631 + C00009</t>
  </si>
  <si>
    <t>https://www.kegg.jp/entry/R05688</t>
  </si>
  <si>
    <t xml:space="preserve">C11434 + C00006 </t>
  </si>
  <si>
    <t xml:space="preserve"> C11437 + C00005 + C00080</t>
  </si>
  <si>
    <t>https://www.kegg.jp/entry/R00396/R00145/R00146/R00365</t>
  </si>
  <si>
    <t xml:space="preserve">C00041 + C00003 + C00001 </t>
  </si>
  <si>
    <t>C00022 + C00014 + C00004 + C00080</t>
  </si>
  <si>
    <t>C00161 + C00014 + C00004 + C00080</t>
  </si>
  <si>
    <t xml:space="preserve"> C00161 + C00014 + C00005 + C00080</t>
  </si>
  <si>
    <t xml:space="preserve">C00037 + C00001 + C00003 </t>
  </si>
  <si>
    <t xml:space="preserve"> C00048 + C00014 + C00004 + C00080</t>
  </si>
  <si>
    <t>https://www.kegg.jp/entry/R02649</t>
  </si>
  <si>
    <t xml:space="preserve">C00002 + C00624 </t>
  </si>
  <si>
    <t xml:space="preserve"> C00008 + C04133</t>
  </si>
  <si>
    <t>https://www.kegg.jp/entry/R04173/R05085</t>
  </si>
  <si>
    <t xml:space="preserve">C01005 + C00026 </t>
  </si>
  <si>
    <t>C03232 + C00025</t>
  </si>
  <si>
    <t xml:space="preserve">C06055 + C00026 </t>
  </si>
  <si>
    <t>C06054 + C00025</t>
  </si>
  <si>
    <t>https://www.kegg.jp/entry/R00291/R00418/R02984</t>
  </si>
  <si>
    <t xml:space="preserve">C00029 </t>
  </si>
  <si>
    <t xml:space="preserve"> C00052</t>
  </si>
  <si>
    <t xml:space="preserve">C00043 </t>
  </si>
  <si>
    <t xml:space="preserve"> C00203</t>
  </si>
  <si>
    <t xml:space="preserve"> C02097</t>
  </si>
  <si>
    <t>https://www.kegg.jp/entry/R00256/R00571/R00573</t>
  </si>
  <si>
    <t xml:space="preserve">C00002 + C00075 + C00014 </t>
  </si>
  <si>
    <t>C00008 + C00009 + C00063</t>
  </si>
  <si>
    <t>C00002 + C00075 + C00064 + C00001</t>
  </si>
  <si>
    <t>C00008 + C00009 + C00063 + C00025</t>
  </si>
  <si>
    <t>https://www.kegg.jp/entry/R10648</t>
  </si>
  <si>
    <t xml:space="preserve">C20641 + C17324 </t>
  </si>
  <si>
    <t>C00020 + C20751</t>
  </si>
  <si>
    <t>https://www.kegg.jp/entry/R03662/R08218</t>
  </si>
  <si>
    <t xml:space="preserve">C00002 + C00065 + C01650 </t>
  </si>
  <si>
    <t xml:space="preserve"> C00020 + C00013 + C02553</t>
  </si>
  <si>
    <t xml:space="preserve">C00002 + C00065 + C16636 </t>
  </si>
  <si>
    <t xml:space="preserve"> C00020 + C00013 + C06481</t>
  </si>
  <si>
    <t>https://www.kegg.jp/entry/R03317</t>
  </si>
  <si>
    <t>https://www.kegg.jp/entry/R00331/R00124/R00139/R00156/R00330/R00570/R00722/R01137/R01857/R02093/R02326/R02331/R03530/R12853/R11894/R11895</t>
  </si>
  <si>
    <t>C00002 + C00454</t>
  </si>
  <si>
    <t xml:space="preserve"> C00008 + C00201</t>
  </si>
  <si>
    <t xml:space="preserve">C00002 + C00008 </t>
  </si>
  <si>
    <t xml:space="preserve"> C00008 + C00002</t>
  </si>
  <si>
    <t xml:space="preserve">C11038 + C00002 </t>
  </si>
  <si>
    <t>C11039 + C00008</t>
  </si>
  <si>
    <t xml:space="preserve">C00002 + C00015 </t>
  </si>
  <si>
    <t xml:space="preserve"> C00008 + C00075</t>
  </si>
  <si>
    <t>C00002 + C00035</t>
  </si>
  <si>
    <t xml:space="preserve"> C00008 + C00044</t>
  </si>
  <si>
    <t xml:space="preserve">C00002 + C00112 </t>
  </si>
  <si>
    <t xml:space="preserve"> C00008 + C00063</t>
  </si>
  <si>
    <t xml:space="preserve">C00002 + C00104 </t>
  </si>
  <si>
    <t xml:space="preserve"> C00008 + C00081</t>
  </si>
  <si>
    <t xml:space="preserve">C00002 + C00206 </t>
  </si>
  <si>
    <t xml:space="preserve"> C00008 + C00131</t>
  </si>
  <si>
    <t xml:space="preserve">C00002 + C00361 </t>
  </si>
  <si>
    <t xml:space="preserve"> C00008 + C00286</t>
  </si>
  <si>
    <t xml:space="preserve">C00002 + C00363 </t>
  </si>
  <si>
    <t xml:space="preserve"> C00008 + C00459</t>
  </si>
  <si>
    <t xml:space="preserve">C00002 + C00705 </t>
  </si>
  <si>
    <t xml:space="preserve"> C00008 + C00458</t>
  </si>
  <si>
    <t xml:space="preserve">C00002 + C01346 </t>
  </si>
  <si>
    <t xml:space="preserve"> C00008 + C00460</t>
  </si>
  <si>
    <t xml:space="preserve">C00002 + C01344 </t>
  </si>
  <si>
    <t xml:space="preserve"> C00008 + C01345</t>
  </si>
  <si>
    <t xml:space="preserve">C22442 + C00002 </t>
  </si>
  <si>
    <t xml:space="preserve"> C22443 + C00008</t>
  </si>
  <si>
    <t xml:space="preserve">C00002 + C21748 </t>
  </si>
  <si>
    <t xml:space="preserve"> C00008 + C21749</t>
  </si>
  <si>
    <t>C00002 + C21750</t>
  </si>
  <si>
    <t xml:space="preserve"> C00008 + C21751</t>
  </si>
  <si>
    <t>https://www.kegg.jp/entry/R10757</t>
  </si>
  <si>
    <t xml:space="preserve">C05847 + C03657 </t>
  </si>
  <si>
    <t xml:space="preserve"> C19847 + C00013 + C00011</t>
  </si>
  <si>
    <t>https://www.kegg.jp/entry/R05838</t>
  </si>
  <si>
    <t xml:space="preserve">C11638 + C11437 </t>
  </si>
  <si>
    <t>https://www.kegg.jp/entry/R00104</t>
  </si>
  <si>
    <t xml:space="preserve">C00002 + C00003 </t>
  </si>
  <si>
    <t>C00008 + C00006</t>
  </si>
  <si>
    <t>https://www.kegg.jp/entry/R00764/R02073</t>
  </si>
  <si>
    <t>C00013 + C00085</t>
  </si>
  <si>
    <t>C00009 + C00354</t>
  </si>
  <si>
    <t xml:space="preserve">C00013 + C05345 </t>
  </si>
  <si>
    <t xml:space="preserve"> C00009 + C05378</t>
  </si>
  <si>
    <t>https://www.kegg.jp/entry/R02142/R01229</t>
  </si>
  <si>
    <t xml:space="preserve">C00655 + C00013 </t>
  </si>
  <si>
    <t xml:space="preserve"> C00385 + C00119</t>
  </si>
  <si>
    <t xml:space="preserve">C00144 + C00013 </t>
  </si>
  <si>
    <t xml:space="preserve"> C00242 + C00119</t>
  </si>
  <si>
    <t>https://www.kegg.jp/dbget-bin/www_bget?ec:1.1.1.100</t>
  </si>
  <si>
    <t>https://www.kegg.jp/entry/R02767/R04533/R04534/R04536/R04543/R04566/R04953/R04964/R07763/R10116/R10120</t>
  </si>
  <si>
    <t xml:space="preserve">C01271 + C00006 </t>
  </si>
  <si>
    <t xml:space="preserve"> C00685 + C00005 + C00080</t>
  </si>
  <si>
    <t xml:space="preserve">C04618 + C00006 </t>
  </si>
  <si>
    <t xml:space="preserve"> C05744 + C00005 + C00080</t>
  </si>
  <si>
    <t xml:space="preserve">C04619 + C00006 </t>
  </si>
  <si>
    <t>C05753 + C00005</t>
  </si>
  <si>
    <t xml:space="preserve">C04620 + C00006 </t>
  </si>
  <si>
    <t xml:space="preserve"> C05750 + C00005 + C00080</t>
  </si>
  <si>
    <t>C04633 + C00006</t>
  </si>
  <si>
    <t xml:space="preserve"> C05762 + C00005 + C00080</t>
  </si>
  <si>
    <t xml:space="preserve">C04688 + C00006 </t>
  </si>
  <si>
    <t xml:space="preserve"> C05759 + C00005 + C00080</t>
  </si>
  <si>
    <t xml:space="preserve">C05747 + C00006 </t>
  </si>
  <si>
    <t xml:space="preserve"> C05746 + C00005 + C00080</t>
  </si>
  <si>
    <t xml:space="preserve">C05757 + C00006 </t>
  </si>
  <si>
    <t xml:space="preserve"> C05756 + C00005 + C00080</t>
  </si>
  <si>
    <t xml:space="preserve">C16219 + C00005 + C00080 </t>
  </si>
  <si>
    <t xml:space="preserve"> C16220 + C00006</t>
  </si>
  <si>
    <t xml:space="preserve">C20372 + C00005 + C00080 </t>
  </si>
  <si>
    <t xml:space="preserve"> C20373 + C00006</t>
  </si>
  <si>
    <t xml:space="preserve">C20376 + C00005 + C00080 </t>
  </si>
  <si>
    <t xml:space="preserve"> C20377 + C00006</t>
  </si>
  <si>
    <t>https://www.kegg.jp/entry/R01777</t>
  </si>
  <si>
    <t xml:space="preserve">C00091 + C00263 </t>
  </si>
  <si>
    <t>C00010 + C01118</t>
  </si>
  <si>
    <t xml:space="preserve">C00354 </t>
  </si>
  <si>
    <t xml:space="preserve">C05378 </t>
  </si>
  <si>
    <t>C00447</t>
  </si>
  <si>
    <t xml:space="preserve">C01094 </t>
  </si>
  <si>
    <t>C00111 + C00577</t>
  </si>
  <si>
    <t>https://www.kegg.jp/entry/R05577</t>
  </si>
  <si>
    <t xml:space="preserve">C01638 + C00049 + C00002 </t>
  </si>
  <si>
    <t xml:space="preserve"> C02984 + C00013 + C00020</t>
  </si>
  <si>
    <t>https://www.kegg.jp/entry/R09597</t>
  </si>
  <si>
    <t xml:space="preserve">C19722 + C00047 + C00002 </t>
  </si>
  <si>
    <t>C19723 + C00020 + C00013 + C00001</t>
  </si>
  <si>
    <t>https://www.kegg.jp/entry/R00220/R00590/R11099/R11100/R06131</t>
  </si>
  <si>
    <t xml:space="preserve"> C00022 + C00014</t>
  </si>
  <si>
    <t xml:space="preserve"> C02218 + C00001</t>
  </si>
  <si>
    <t>C20904 + C00001</t>
  </si>
  <si>
    <t xml:space="preserve">C02218 </t>
  </si>
  <si>
    <t xml:space="preserve"> C20904</t>
  </si>
  <si>
    <t>C00161 + C00014</t>
  </si>
  <si>
    <t>https://www.kegg.jp/entry/R02437</t>
  </si>
  <si>
    <t xml:space="preserve">C00507 </t>
  </si>
  <si>
    <t xml:space="preserve"> C00861</t>
  </si>
  <si>
    <t>https://www.kegg.jp/entry/R02263/R01785</t>
  </si>
  <si>
    <t xml:space="preserve">C01131 </t>
  </si>
  <si>
    <t xml:space="preserve"> C00111 + C00424</t>
  </si>
  <si>
    <t xml:space="preserve">C06441 </t>
  </si>
  <si>
    <t>C00111 + C00266</t>
  </si>
  <si>
    <t>https://www.kegg.jp/entry/R01993</t>
  </si>
  <si>
    <t xml:space="preserve">C00337 + C00001 </t>
  </si>
  <si>
    <t xml:space="preserve"> C00438</t>
  </si>
  <si>
    <t>https://www.kegg.jp/entry/R00371</t>
  </si>
  <si>
    <t xml:space="preserve">C00024 + C00037 </t>
  </si>
  <si>
    <t xml:space="preserve"> C00010 + C03508</t>
  </si>
  <si>
    <t>https://www.kegg.jp/entry/R00597</t>
  </si>
  <si>
    <t xml:space="preserve"> C00021 + C04157</t>
  </si>
  <si>
    <t>https://www.kegg.jp/entry/R00256/R01716/R05552</t>
  </si>
  <si>
    <t xml:space="preserve">C00251 + C00064 </t>
  </si>
  <si>
    <t>C11355 + C00025</t>
  </si>
  <si>
    <t>C00251 + C00014</t>
  </si>
  <si>
    <t xml:space="preserve"> C11355 + C00001</t>
  </si>
  <si>
    <t>https://www.kegg.jp/entry/R01414/R11026/R00977</t>
  </si>
  <si>
    <t xml:space="preserve">C00906 + C00003 </t>
  </si>
  <si>
    <t xml:space="preserve"> C00178 + C00004 + C00080</t>
  </si>
  <si>
    <t xml:space="preserve">C21028 + C00003 </t>
  </si>
  <si>
    <t>C00178 + C00004 + C00080</t>
  </si>
  <si>
    <t>C00429 + C00003</t>
  </si>
  <si>
    <t>C00106 + C00004 + C00080</t>
  </si>
  <si>
    <t xml:space="preserve">5.6.2.4  </t>
  </si>
  <si>
    <t>https://www.kegg.jp/entry/R00966</t>
  </si>
  <si>
    <t xml:space="preserve"> C00106 + C00119</t>
  </si>
  <si>
    <t xml:space="preserve">C01050 + C00006 </t>
  </si>
  <si>
    <t>https://www.kegg.jp/entry/R03192/R03191</t>
  </si>
  <si>
    <t xml:space="preserve"> C04631 + C00005 + C00080</t>
  </si>
  <si>
    <t xml:space="preserve">C01050 + C00003 </t>
  </si>
  <si>
    <t>C04631 + C00004 + C00080</t>
  </si>
  <si>
    <t>https://www.kegg.jp/entry/R04150/R07263</t>
  </si>
  <si>
    <t xml:space="preserve">C03160 </t>
  </si>
  <si>
    <t>C03657 + C00010</t>
  </si>
  <si>
    <t>C03160</t>
  </si>
  <si>
    <t xml:space="preserve"> C15547 + C00001</t>
  </si>
  <si>
    <t>https://www.kegg.jp/entry/R08165</t>
  </si>
  <si>
    <t xml:space="preserve">C00885 + C00026 </t>
  </si>
  <si>
    <t>https://www.kegg.jp/entry/R01717</t>
  </si>
  <si>
    <t>C00251</t>
  </si>
  <si>
    <t>C00885</t>
  </si>
  <si>
    <t>https://www.kegg.jp/dbget-bin/www_bget?ec:3.5.4.3</t>
  </si>
  <si>
    <t xml:space="preserve">C00242 + C00001 </t>
  </si>
  <si>
    <t>C00385 + C00014</t>
  </si>
  <si>
    <t>https://www.kegg.jp/entry/R00182</t>
  </si>
  <si>
    <t xml:space="preserve">C00020 + C00001 </t>
  </si>
  <si>
    <t xml:space="preserve"> C00147 + C00117</t>
  </si>
  <si>
    <t>https://www.kegg.jp/entry/R01869</t>
  </si>
  <si>
    <t xml:space="preserve">C00337 + C00003 </t>
  </si>
  <si>
    <t>C00295 + C00080 + C00004</t>
  </si>
  <si>
    <t>https://www.kegg.jp/entry/R00582/R02853</t>
  </si>
  <si>
    <t xml:space="preserve">C01005 + C00001 </t>
  </si>
  <si>
    <t xml:space="preserve"> C00065 + C00009</t>
  </si>
  <si>
    <t xml:space="preserve">C02532 + C00001 </t>
  </si>
  <si>
    <t xml:space="preserve"> C00740 + C00009</t>
  </si>
  <si>
    <t>https://www.kegg.jp/entry/R01324/R01325/R01900</t>
  </si>
  <si>
    <t>C00158</t>
  </si>
  <si>
    <t xml:space="preserve"> C00311</t>
  </si>
  <si>
    <t xml:space="preserve">C00158 </t>
  </si>
  <si>
    <t xml:space="preserve"> C00417 + C00001</t>
  </si>
  <si>
    <t xml:space="preserve">C00311 </t>
  </si>
  <si>
    <t>C00417 + C00001</t>
  </si>
  <si>
    <t>https://www.kegg.jp/entry/R00355/R00694/R00734/R00895/R00896/R02433/R02619/R05052</t>
  </si>
  <si>
    <t xml:space="preserve">C00049 + C00026 </t>
  </si>
  <si>
    <t xml:space="preserve"> C00036 + C00025</t>
  </si>
  <si>
    <t xml:space="preserve">C00079 + C00026 </t>
  </si>
  <si>
    <t xml:space="preserve"> C00166 + C00025</t>
  </si>
  <si>
    <t xml:space="preserve">C00082 + C00026 </t>
  </si>
  <si>
    <t>C01179 + C00025</t>
  </si>
  <si>
    <t xml:space="preserve">C00097 + C00026 </t>
  </si>
  <si>
    <t xml:space="preserve"> C00957 + C00025</t>
  </si>
  <si>
    <t>C00957 + C00302</t>
  </si>
  <si>
    <t xml:space="preserve">C00506 + C00026 </t>
  </si>
  <si>
    <t xml:space="preserve"> C05528 + C00025</t>
  </si>
  <si>
    <t xml:space="preserve">C00606 + C00026 </t>
  </si>
  <si>
    <t>C05527 + C00025</t>
  </si>
  <si>
    <t xml:space="preserve">C05947 + C00026 </t>
  </si>
  <si>
    <t xml:space="preserve"> C05946 + C00025</t>
  </si>
  <si>
    <t>https://www.kegg.jp/entry/R00397/R00863</t>
  </si>
  <si>
    <t xml:space="preserve">C00049 </t>
  </si>
  <si>
    <t xml:space="preserve"> C00041 + C00011</t>
  </si>
  <si>
    <t xml:space="preserve">C00606 </t>
  </si>
  <si>
    <t xml:space="preserve"> C00041 + C09306</t>
  </si>
  <si>
    <t>https://www.kegg.jp/entry/R05180/R05809</t>
  </si>
  <si>
    <t xml:space="preserve">C00019 + C06406 </t>
  </si>
  <si>
    <t xml:space="preserve"> C00021 + C06407</t>
  </si>
  <si>
    <t xml:space="preserve">C11539 + C00019 </t>
  </si>
  <si>
    <t>C11540 + C00021</t>
  </si>
  <si>
    <t>https://www.kegg.jp/entry/R05181</t>
  </si>
  <si>
    <t>C00019 + C06407</t>
  </si>
  <si>
    <t xml:space="preserve"> C00021 + C06416</t>
  </si>
  <si>
    <t>https://www.kegg.jp/entry/R03471</t>
  </si>
  <si>
    <t xml:space="preserve">C00002 + C01279 </t>
  </si>
  <si>
    <t xml:space="preserve"> C00008 + C04556</t>
  </si>
  <si>
    <t>https://www.kegg.jp/entry/R04509</t>
  </si>
  <si>
    <t>C00002 + C04556</t>
  </si>
  <si>
    <t xml:space="preserve"> C00008 + C04752</t>
  </si>
  <si>
    <t>https://www.kegg.jp/entry/R03472</t>
  </si>
  <si>
    <t xml:space="preserve">C03373 + C00019 </t>
  </si>
  <si>
    <t xml:space="preserve"> C04556 + C05198 + C00073 + C00058 + C00237</t>
  </si>
  <si>
    <t>https://www.kegg.jp/entry/R00206</t>
  </si>
  <si>
    <t xml:space="preserve">C00002 + C00022 + C00009 </t>
  </si>
  <si>
    <t xml:space="preserve"> C00020 + C00074 + C00013</t>
  </si>
  <si>
    <t>https://www.kegg.jp/entry/R00943</t>
  </si>
  <si>
    <t xml:space="preserve">C00101 + C00058 + C00002 </t>
  </si>
  <si>
    <t xml:space="preserve"> C00008 + C00009 + C00234</t>
  </si>
  <si>
    <t>https://www.kegg.jp/entry/R03661</t>
  </si>
  <si>
    <t xml:space="preserve">C00002 + C00148 + C01649 </t>
  </si>
  <si>
    <t xml:space="preserve"> C00020 + C00013 + C02702</t>
  </si>
  <si>
    <t>https://www.kegg.jp/entry/R00897/R03601/R04859/R07274</t>
  </si>
  <si>
    <t xml:space="preserve">C00979 + C00283 </t>
  </si>
  <si>
    <t>C00097 + C00033</t>
  </si>
  <si>
    <t xml:space="preserve">C00979 + C01528 </t>
  </si>
  <si>
    <t xml:space="preserve"> C05688 + C00033</t>
  </si>
  <si>
    <t>C00979 + C00320 + C00342 + C00080</t>
  </si>
  <si>
    <t>C00097 + C00094 + C00343 + C00033</t>
  </si>
  <si>
    <t xml:space="preserve">C01005 + C00283 </t>
  </si>
  <si>
    <t xml:space="preserve"> C00097 + C00009</t>
  </si>
  <si>
    <t>https://www.kegg.jp/entry/R03013</t>
  </si>
  <si>
    <t xml:space="preserve">C01100 + C00001 </t>
  </si>
  <si>
    <t xml:space="preserve"> C00860 + C00009</t>
  </si>
  <si>
    <t>https://www.kegg.jp/entry/R03457</t>
  </si>
  <si>
    <t xml:space="preserve">C04666 </t>
  </si>
  <si>
    <t xml:space="preserve"> C01267 + C00001</t>
  </si>
  <si>
    <t>https://www.kegg.jp/entry/R03243/R00694/R00734</t>
  </si>
  <si>
    <t>C01100 + C00026</t>
  </si>
  <si>
    <t xml:space="preserve"> C01267 + C00025</t>
  </si>
  <si>
    <t>https://www.kegg.jp/entry/R01158/R01163/R03012</t>
  </si>
  <si>
    <t xml:space="preserve">C01929 + C00001 + C00003 </t>
  </si>
  <si>
    <t xml:space="preserve"> C00135 + C00004 + C00080</t>
  </si>
  <si>
    <t xml:space="preserve">C00860 + C00003 </t>
  </si>
  <si>
    <t xml:space="preserve"> C01929 + C00004 + C00080</t>
  </si>
  <si>
    <t>https://www.kegg.jp/entry/R01071</t>
  </si>
  <si>
    <t xml:space="preserve">C02739 + C00013 </t>
  </si>
  <si>
    <t>C00002 + C00119</t>
  </si>
  <si>
    <t>https://www.kegg.jp/entry/R10652</t>
  </si>
  <si>
    <t xml:space="preserve"> C20758 + C00021 + C00073 + C05198 + C00028</t>
  </si>
  <si>
    <t>https://www.kegg.jp/entry/R09081/R09082</t>
  </si>
  <si>
    <t>C18172 </t>
  </si>
  <si>
    <t xml:space="preserve"> C00315 + C00011</t>
  </si>
  <si>
    <t xml:space="preserve">C18174 </t>
  </si>
  <si>
    <t>C03375 + C00011</t>
  </si>
  <si>
    <t>https://www.kegg.jp/entry/R02108/R02112/R06209/R11262</t>
  </si>
  <si>
    <t xml:space="preserve">C00369 + C00001 </t>
  </si>
  <si>
    <t xml:space="preserve"> C00721 + C00369</t>
  </si>
  <si>
    <t xml:space="preserve">C00369 </t>
  </si>
  <si>
    <t>C00721 + C00208</t>
  </si>
  <si>
    <t>https://www.kegg.jp/entry/R01397</t>
  </si>
  <si>
    <t xml:space="preserve">C00169 + C00049 </t>
  </si>
  <si>
    <t>C00009 + C00438</t>
  </si>
  <si>
    <t>https://www.kegg.jp/entry/R03660</t>
  </si>
  <si>
    <t>C00002 + C00079 + C01648</t>
  </si>
  <si>
    <t>C00020 + C00013 + C03511</t>
  </si>
  <si>
    <t xml:space="preserve"> C00013 | C00039</t>
  </si>
  <si>
    <t>C01165 | C00003 | C00001</t>
  </si>
  <si>
    <t>C00025 | C00004 | C00080</t>
  </si>
  <si>
    <t>C03912 | C00003 | 2 C00001</t>
  </si>
  <si>
    <t xml:space="preserve"> C00025 | C00004 | C00080</t>
  </si>
  <si>
    <t>C05947 | C00004 | C00080</t>
  </si>
  <si>
    <t>C05938 | C00003 | C00001</t>
  </si>
  <si>
    <t>C01165 | C00006 | C00001</t>
  </si>
  <si>
    <t xml:space="preserve"> C00025 | C00005 | C00080</t>
  </si>
  <si>
    <t xml:space="preserve">C00002 | C00025 </t>
  </si>
  <si>
    <t>C00008 | C03287</t>
  </si>
  <si>
    <t>C01165 | C00009 | C00006</t>
  </si>
  <si>
    <t xml:space="preserve"> C03287 | C00005 | C00080</t>
  </si>
  <si>
    <t>C00169 | C00437</t>
  </si>
  <si>
    <t xml:space="preserve"> C00009 | C15532</t>
  </si>
  <si>
    <t>C00201 | C00046</t>
  </si>
  <si>
    <t>C00013 | C00046</t>
  </si>
  <si>
    <t>C00002 | C00046</t>
  </si>
  <si>
    <t xml:space="preserve"> C00013 | C00046</t>
  </si>
  <si>
    <t>C00044 | C00046</t>
  </si>
  <si>
    <t xml:space="preserve">C00063 | C00046 </t>
  </si>
  <si>
    <t>C00075 | C00046</t>
  </si>
  <si>
    <t xml:space="preserve">C01641 | C00025 | C00002 </t>
  </si>
  <si>
    <t xml:space="preserve"> C02987 | C00013 | C00020</t>
  </si>
  <si>
    <t>C00002 | C00864</t>
  </si>
  <si>
    <t>C00008 | C03492</t>
  </si>
  <si>
    <t xml:space="preserve">C00002 | C00831 </t>
  </si>
  <si>
    <t>C00008 | C01134</t>
  </si>
  <si>
    <t xml:space="preserve">C00002 | C04079 </t>
  </si>
  <si>
    <t xml:space="preserve"> C00008 | C04352</t>
  </si>
  <si>
    <t>C00011 | C00001</t>
  </si>
  <si>
    <t>C00288 | C00080</t>
  </si>
  <si>
    <t>C00130 | C00003 | C00001</t>
  </si>
  <si>
    <t xml:space="preserve"> C00655 | C00004 | C00080</t>
  </si>
  <si>
    <t xml:space="preserve">C04646 | C00003 | C00001 </t>
  </si>
  <si>
    <t xml:space="preserve"> C16618 | C00004 | C00080</t>
  </si>
  <si>
    <t xml:space="preserve">C00009 | C00013 | C00019 </t>
  </si>
  <si>
    <t>C00002 | C00073 | C00001</t>
  </si>
  <si>
    <t xml:space="preserve">C00002 | C05335 | C00001 </t>
  </si>
  <si>
    <t xml:space="preserve"> C00009 | C00013 | C05691</t>
  </si>
  <si>
    <t>C00002 | C01300</t>
  </si>
  <si>
    <t>C00020 | C04807</t>
  </si>
  <si>
    <t>C00019 | C20446</t>
  </si>
  <si>
    <t>C00073 | C00147 | C19647</t>
  </si>
  <si>
    <t xml:space="preserve">C00002 | C01050 | C00041 </t>
  </si>
  <si>
    <t xml:space="preserve"> C00008 | C00009 | C01212</t>
  </si>
  <si>
    <t xml:space="preserve">C04851 | C00043 </t>
  </si>
  <si>
    <t>C05893 | C00015</t>
  </si>
  <si>
    <t>G10552 | G10610</t>
  </si>
  <si>
    <t xml:space="preserve"> G10553 | G10619</t>
  </si>
  <si>
    <t>C05897 | C00043</t>
  </si>
  <si>
    <t xml:space="preserve"> C05898 | C00015</t>
  </si>
  <si>
    <t xml:space="preserve">G10551 | G10610 </t>
  </si>
  <si>
    <t xml:space="preserve"> G10550 | G10619</t>
  </si>
  <si>
    <t>G10556 | G10610</t>
  </si>
  <si>
    <t>G10555 | G10619</t>
  </si>
  <si>
    <t xml:space="preserve">C00002 | C01212 | C00217 </t>
  </si>
  <si>
    <t xml:space="preserve"> C00008 | C00009 | C00692</t>
  </si>
  <si>
    <t xml:space="preserve">C04702 | C17556 </t>
  </si>
  <si>
    <t>C00105 | C04851</t>
  </si>
  <si>
    <t>C04882 | C17556</t>
  </si>
  <si>
    <t xml:space="preserve"> C00105 | C05897</t>
  </si>
  <si>
    <t xml:space="preserve">C03319 | C00006 </t>
  </si>
  <si>
    <t xml:space="preserve"> C00688 | C00005 | C00080</t>
  </si>
  <si>
    <t>C00002 | C04376 | C00064 | C00001</t>
  </si>
  <si>
    <t>C00008 | C00009 | C04640 | C00025</t>
  </si>
  <si>
    <t>C00944 | C00009</t>
  </si>
  <si>
    <t>C00002 | C00041 | C01635</t>
  </si>
  <si>
    <t xml:space="preserve"> C00020 | C00013 | C00886</t>
  </si>
  <si>
    <t>C00002 | C00120 | C04735</t>
  </si>
  <si>
    <t xml:space="preserve"> C00020 | C00013 | C04681</t>
  </si>
  <si>
    <t>C00002 | C00120</t>
  </si>
  <si>
    <t xml:space="preserve"> C00013 | C05921</t>
  </si>
  <si>
    <t>C05921 | C06249</t>
  </si>
  <si>
    <t xml:space="preserve"> C00020 | C06250</t>
  </si>
  <si>
    <t>C00350 |  C00011</t>
  </si>
  <si>
    <t>C11453 | C00055</t>
  </si>
  <si>
    <t xml:space="preserve">2 C00019 | C20648 </t>
  </si>
  <si>
    <t>2 C00021 | C20796</t>
  </si>
  <si>
    <t xml:space="preserve">C00850 | C00001 </t>
  </si>
  <si>
    <t xml:space="preserve"> C15584 | C00059</t>
  </si>
  <si>
    <t xml:space="preserve">C02538 | C00001 </t>
  </si>
  <si>
    <t xml:space="preserve"> C00059 | C00468</t>
  </si>
  <si>
    <t>C06125 | C00001</t>
  </si>
  <si>
    <t>C02686 | C00059</t>
  </si>
  <si>
    <t>G11122 | C00001</t>
  </si>
  <si>
    <t>G11121 | C00059</t>
  </si>
  <si>
    <t>C04652 | C04824</t>
  </si>
  <si>
    <t xml:space="preserve"> C00015 | C04932</t>
  </si>
  <si>
    <t xml:space="preserve">C00022 | C00118 </t>
  </si>
  <si>
    <t>C11437 | C00011</t>
  </si>
  <si>
    <t xml:space="preserve">C00062 | C00001 </t>
  </si>
  <si>
    <t>C00077 | C00086</t>
  </si>
  <si>
    <t xml:space="preserve">C00077 | C00161 </t>
  </si>
  <si>
    <t xml:space="preserve"> C01165 | C00151</t>
  </si>
  <si>
    <t>C00077 | C00026</t>
  </si>
  <si>
    <t>C01165 | C00025</t>
  </si>
  <si>
    <t>C04322 | C00025 | C00001</t>
  </si>
  <si>
    <t>C00002 | 2 C00133</t>
  </si>
  <si>
    <t xml:space="preserve"> C00008 | C00009 | C00993</t>
  </si>
  <si>
    <t xml:space="preserve">C00044 | C00001 </t>
  </si>
  <si>
    <t xml:space="preserve"> C04895 | C00058</t>
  </si>
  <si>
    <t>C00044 | C00001</t>
  </si>
  <si>
    <t xml:space="preserve">C04895 | C00001 </t>
  </si>
  <si>
    <t xml:space="preserve">C05922 | C00001 </t>
  </si>
  <si>
    <t>C05923 | C00058</t>
  </si>
  <si>
    <t xml:space="preserve">C11434 | C00063 </t>
  </si>
  <si>
    <t>https://www.kegg.jp/entry/R05633</t>
  </si>
  <si>
    <t xml:space="preserve"> C11435 | C00013</t>
  </si>
  <si>
    <t>C00046 | C00009</t>
  </si>
  <si>
    <t xml:space="preserve"> C00046 | C00454</t>
  </si>
  <si>
    <t xml:space="preserve">C00046 | C00009 </t>
  </si>
  <si>
    <t xml:space="preserve"> C00046 | C00008</t>
  </si>
  <si>
    <t>C00046 | C00015</t>
  </si>
  <si>
    <t xml:space="preserve"> C00046 | C00035</t>
  </si>
  <si>
    <t xml:space="preserve"> C00046 | C00112</t>
  </si>
  <si>
    <t xml:space="preserve">C00002 | C00073 | C01647 </t>
  </si>
  <si>
    <t>C00020 | C00013 | C02430</t>
  </si>
  <si>
    <t xml:space="preserve">C00002 | C05335 | C01647 </t>
  </si>
  <si>
    <t xml:space="preserve"> C00020 | C00013 | C05336</t>
  </si>
  <si>
    <t xml:space="preserve">C00002 | C00036 </t>
  </si>
  <si>
    <t>C00008 | C00074 | C00011</t>
  </si>
  <si>
    <t xml:space="preserve">C00002 | C00493 </t>
  </si>
  <si>
    <t>C00008 | C03175</t>
  </si>
  <si>
    <t xml:space="preserve">C00173 | C01209 </t>
  </si>
  <si>
    <t>C00685 | C00011 | C00229</t>
  </si>
  <si>
    <t xml:space="preserve">C03939 | C01209 </t>
  </si>
  <si>
    <t xml:space="preserve"> C05744 | C00011 | C00229</t>
  </si>
  <si>
    <t>C05223 | C01209</t>
  </si>
  <si>
    <t>C05759 | C00011 | C00229</t>
  </si>
  <si>
    <t xml:space="preserve">C05745 | C01209 </t>
  </si>
  <si>
    <t xml:space="preserve"> C05746 | C00011 | C00229</t>
  </si>
  <si>
    <t>C05749 | C01209</t>
  </si>
  <si>
    <t>C05750 | C00011 | C00229</t>
  </si>
  <si>
    <t xml:space="preserve">C05752 | C01209 </t>
  </si>
  <si>
    <t xml:space="preserve"> C05753 | C00011 | C00229</t>
  </si>
  <si>
    <t xml:space="preserve">C05755 | C01209 </t>
  </si>
  <si>
    <t>C05756 | C00011 | C00229</t>
  </si>
  <si>
    <t xml:space="preserve">C05761 | C01209 </t>
  </si>
  <si>
    <t xml:space="preserve"> C05762 | C00011 | C00229</t>
  </si>
  <si>
    <t>C05764 | C01209</t>
  </si>
  <si>
    <t xml:space="preserve"> C16219 | C00229 | C00011</t>
  </si>
  <si>
    <t>C19673 | C01209</t>
  </si>
  <si>
    <t>C20372 | C00011 | C00229</t>
  </si>
  <si>
    <t>C20375 | C01209</t>
  </si>
  <si>
    <t>C20376 | C00011 | C00229</t>
  </si>
  <si>
    <t xml:space="preserve">C00002 | C00097 | C01639 </t>
  </si>
  <si>
    <t xml:space="preserve"> C00020 | C00013 | C03125</t>
  </si>
  <si>
    <t>C03972 | C00003 | C00001</t>
  </si>
  <si>
    <t xml:space="preserve"> C20258 | C00004 | C00080</t>
  </si>
  <si>
    <t>C03972 | C00006 | C00001</t>
  </si>
  <si>
    <t>C20258 | C00005 | C00080</t>
  </si>
  <si>
    <t xml:space="preserve">C03557 | C00022 </t>
  </si>
  <si>
    <t>C03167 | C00041</t>
  </si>
  <si>
    <t xml:space="preserve">C03167 | C00001 </t>
  </si>
  <si>
    <t xml:space="preserve"> C00084 | C00009</t>
  </si>
  <si>
    <t xml:space="preserve">C00147 | C00001 </t>
  </si>
  <si>
    <t>C00262 | C00014</t>
  </si>
  <si>
    <t xml:space="preserve"> C00118 | C00084</t>
  </si>
  <si>
    <t xml:space="preserve">C00677 | C00039(n) </t>
  </si>
  <si>
    <t>C00013 | C00039(n|1)</t>
  </si>
  <si>
    <t xml:space="preserve">C00459 | C00039 </t>
  </si>
  <si>
    <t>C00019 | C00039</t>
  </si>
  <si>
    <t xml:space="preserve"> C00021 | C02967</t>
  </si>
  <si>
    <t>C00019 | C00856</t>
  </si>
  <si>
    <t>C00021 | C02967</t>
  </si>
  <si>
    <t>C00002 | C00123 | C01645</t>
  </si>
  <si>
    <t>C00020 | C00013 | C02047</t>
  </si>
  <si>
    <t xml:space="preserve">C00049 | C00007 </t>
  </si>
  <si>
    <t xml:space="preserve"> C05840 | C00027</t>
  </si>
  <si>
    <t xml:space="preserve">C00049 | C00001 | C00007 </t>
  </si>
  <si>
    <t xml:space="preserve"> C00036 | C00014 | C00027</t>
  </si>
  <si>
    <t xml:space="preserve"> C16237 | C00004 | C00080</t>
  </si>
  <si>
    <t xml:space="preserve">C02972 | C00003 </t>
  </si>
  <si>
    <t xml:space="preserve"> C02051 | C00004 | C00080</t>
  </si>
  <si>
    <t xml:space="preserve">C15973 | C00003 </t>
  </si>
  <si>
    <t>C15972 | C00004 | C00080</t>
  </si>
  <si>
    <t xml:space="preserve">C00579 | C00003 </t>
  </si>
  <si>
    <t xml:space="preserve"> C00248 | C00004 | C00080</t>
  </si>
  <si>
    <t xml:space="preserve">C00002 | C00082 | C00787 </t>
  </si>
  <si>
    <t xml:space="preserve"> C00020 | C00013 | C02839</t>
  </si>
  <si>
    <t xml:space="preserve">C00185 | C00001 </t>
  </si>
  <si>
    <t>C00185 | C00001</t>
  </si>
  <si>
    <t xml:space="preserve">C00844 | C00001 </t>
  </si>
  <si>
    <t>C00561 | C00031</t>
  </si>
  <si>
    <t xml:space="preserve">C01898 | (n-2) C00001 </t>
  </si>
  <si>
    <t>(n-2) C00031 | C00185</t>
  </si>
  <si>
    <t xml:space="preserve">C00844 | C00031 </t>
  </si>
  <si>
    <t xml:space="preserve"> C08325 | C00001</t>
  </si>
  <si>
    <t xml:space="preserve">C00963 | C00001 </t>
  </si>
  <si>
    <t xml:space="preserve"> C00031 | C01335</t>
  </si>
  <si>
    <t>C05713 | C00001</t>
  </si>
  <si>
    <t>C05712 | C00031</t>
  </si>
  <si>
    <t xml:space="preserve">C05839 | C00001 </t>
  </si>
  <si>
    <t>C05838 | C00031</t>
  </si>
  <si>
    <t>G10481(n+1) | C00001</t>
  </si>
  <si>
    <t xml:space="preserve"> G10481(n) | C00221</t>
  </si>
  <si>
    <t xml:space="preserve">G00289 | C00001 </t>
  </si>
  <si>
    <t>C05143 | C00001</t>
  </si>
  <si>
    <t>C03742 | C00221</t>
  </si>
  <si>
    <t xml:space="preserve">C08334 | C00001 </t>
  </si>
  <si>
    <t xml:space="preserve"> C18796 | C00221</t>
  </si>
  <si>
    <t>C01594 | C00001</t>
  </si>
  <si>
    <t xml:space="preserve"> C02659 | C00221</t>
  </si>
  <si>
    <t xml:space="preserve">C10216 | C00001 </t>
  </si>
  <si>
    <t xml:space="preserve"> C10208 | C00221</t>
  </si>
  <si>
    <t xml:space="preserve">C09126 | C00001 </t>
  </si>
  <si>
    <t>C06563 | C00221</t>
  </si>
  <si>
    <t xml:space="preserve">C05623 | C00001 </t>
  </si>
  <si>
    <t xml:space="preserve"> C00389 | C00221</t>
  </si>
  <si>
    <t xml:space="preserve">C09099 | C00001 </t>
  </si>
  <si>
    <t xml:space="preserve"> C00509 | C00221</t>
  </si>
  <si>
    <t xml:space="preserve">C01978 | C00028 | C00001 </t>
  </si>
  <si>
    <t xml:space="preserve"> C19647 | C00030</t>
  </si>
  <si>
    <t>C00002 | C03090 | C00037</t>
  </si>
  <si>
    <t xml:space="preserve"> C00008 | C00009 | C03838</t>
  </si>
  <si>
    <t>C00002 | C00255</t>
  </si>
  <si>
    <t xml:space="preserve"> C00008 | C00061</t>
  </si>
  <si>
    <t xml:space="preserve">C00002 | C00061 </t>
  </si>
  <si>
    <t>C00013 | C00016</t>
  </si>
  <si>
    <t>C00357 | C00001</t>
  </si>
  <si>
    <t xml:space="preserve"> C00352 | C00033</t>
  </si>
  <si>
    <t xml:space="preserve"> C03373 | C00011</t>
  </si>
  <si>
    <t>C00460 | C00001</t>
  </si>
  <si>
    <t xml:space="preserve"> C00365 | C00013</t>
  </si>
  <si>
    <t>C21751 | C00001</t>
  </si>
  <si>
    <t xml:space="preserve"> C04242 | C00013</t>
  </si>
  <si>
    <t>C00002 | C00037 | C01642</t>
  </si>
  <si>
    <t xml:space="preserve"> C00020 | C00013 | C02412</t>
  </si>
  <si>
    <t>C00441 | C00009 | C00006</t>
  </si>
  <si>
    <t xml:space="preserve"> C03082 | C00005 | C00080</t>
  </si>
  <si>
    <t>C02637 | C00001</t>
  </si>
  <si>
    <t>C00002 | C00022</t>
  </si>
  <si>
    <t xml:space="preserve"> C00008 | C00074</t>
  </si>
  <si>
    <t>C00044 | C00022</t>
  </si>
  <si>
    <t>C00035 | C00074</t>
  </si>
  <si>
    <t xml:space="preserve">C00063 | C00022 </t>
  </si>
  <si>
    <t xml:space="preserve"> C00112 | C00074</t>
  </si>
  <si>
    <t>C00075 | C00022</t>
  </si>
  <si>
    <t xml:space="preserve"> C00015 | C00074</t>
  </si>
  <si>
    <t xml:space="preserve">C00081 | C00022 </t>
  </si>
  <si>
    <t xml:space="preserve"> C00104 | C00074</t>
  </si>
  <si>
    <t xml:space="preserve">C00131 | C00022 </t>
  </si>
  <si>
    <t xml:space="preserve"> C00206 | C00074</t>
  </si>
  <si>
    <t xml:space="preserve">C00286 | C00022 </t>
  </si>
  <si>
    <t>C00361 | C00074</t>
  </si>
  <si>
    <t>C00201 | C00022</t>
  </si>
  <si>
    <t xml:space="preserve"> C00454 | C00074</t>
  </si>
  <si>
    <t xml:space="preserve">2 C00002 | 2 C00541 | C03024 </t>
  </si>
  <si>
    <t xml:space="preserve"> 2 C00536 | 2 C00194 | C03161</t>
  </si>
  <si>
    <t xml:space="preserve">2 C00002 | 2 C06504 | C03024 </t>
  </si>
  <si>
    <t xml:space="preserve"> 2 C00536 | 2 C06506 | C03161</t>
  </si>
  <si>
    <t xml:space="preserve">C00002 | C00853 </t>
  </si>
  <si>
    <t xml:space="preserve"> C00536 | C00194</t>
  </si>
  <si>
    <t>C06505 | C00002</t>
  </si>
  <si>
    <t xml:space="preserve"> C06506 | C00536</t>
  </si>
  <si>
    <t xml:space="preserve">C00002 | C05774 </t>
  </si>
  <si>
    <t xml:space="preserve"> C00536 | C06508</t>
  </si>
  <si>
    <t xml:space="preserve">C00002 | C01134 </t>
  </si>
  <si>
    <t>C00013 | C00882</t>
  </si>
  <si>
    <t xml:space="preserve">C04807 | C00568 </t>
  </si>
  <si>
    <t>C00013 | C00921</t>
  </si>
  <si>
    <t xml:space="preserve">C01300 | C00568 </t>
  </si>
  <si>
    <t xml:space="preserve"> C00921 | C00001</t>
  </si>
  <si>
    <t>C00024 | C00009</t>
  </si>
  <si>
    <t xml:space="preserve"> C00010 | C00227</t>
  </si>
  <si>
    <t xml:space="preserve">C00100 | C00009 </t>
  </si>
  <si>
    <t xml:space="preserve"> C02876 | C00010</t>
  </si>
  <si>
    <t xml:space="preserve">C00002 | C00105 </t>
  </si>
  <si>
    <t xml:space="preserve"> C00008 | C00015</t>
  </si>
  <si>
    <t xml:space="preserve">C00024 | C00058 </t>
  </si>
  <si>
    <t>C00010 | C00022</t>
  </si>
  <si>
    <t xml:space="preserve">C00109 | C00010 </t>
  </si>
  <si>
    <t xml:space="preserve"> C00100 | C00058</t>
  </si>
  <si>
    <t>C00019 | C05196 | C05197</t>
  </si>
  <si>
    <t xml:space="preserve"> C05198 | C00073 | C05199 | C05312</t>
  </si>
  <si>
    <t>C00074 | C00001</t>
  </si>
  <si>
    <t xml:space="preserve"> C04309 | C00001</t>
  </si>
  <si>
    <t>C00342 | C15498</t>
  </si>
  <si>
    <t>C00343 | C00001 | C01335</t>
  </si>
  <si>
    <t>C00677 | C00343 | C00001</t>
  </si>
  <si>
    <t xml:space="preserve"> C03802 | C00342</t>
  </si>
  <si>
    <t xml:space="preserve">C00131 | C00343 | C00001 </t>
  </si>
  <si>
    <t xml:space="preserve"> C00002 | C00342</t>
  </si>
  <si>
    <t>C00286 | C00343 | C00001</t>
  </si>
  <si>
    <t>C00044 | C00342</t>
  </si>
  <si>
    <t>C00458 | C00343 | C00001</t>
  </si>
  <si>
    <t xml:space="preserve"> C00063 | C00342</t>
  </si>
  <si>
    <t>C00460 | C00343 | C00001</t>
  </si>
  <si>
    <t xml:space="preserve"> C00075 | C00342</t>
  </si>
  <si>
    <t xml:space="preserve">C00002 | C06250 | C00288 </t>
  </si>
  <si>
    <t xml:space="preserve"> C00008 | C00009 | C04419</t>
  </si>
  <si>
    <t>C00002 | C00078 | C01652</t>
  </si>
  <si>
    <t>C00020 | C00013 | C03512</t>
  </si>
  <si>
    <t xml:space="preserve">C00002 | C00078 | C01652 </t>
  </si>
  <si>
    <t xml:space="preserve"> C00020 | C00013 | C03512</t>
  </si>
  <si>
    <t xml:space="preserve">C00044 | 4 C00001 </t>
  </si>
  <si>
    <t>C00058 | C01304 | 2 C00009</t>
  </si>
  <si>
    <t xml:space="preserve"> C15556 | C00058</t>
  </si>
  <si>
    <t>C00546 | C00009</t>
  </si>
  <si>
    <t>C00002 | C05345</t>
  </si>
  <si>
    <t xml:space="preserve"> C00008 | C05378</t>
  </si>
  <si>
    <t xml:space="preserve">C00002 | C00085 </t>
  </si>
  <si>
    <t>C00008 | C00354</t>
  </si>
  <si>
    <t xml:space="preserve">C00063 | C00085 </t>
  </si>
  <si>
    <t xml:space="preserve"> C00112 | C00354</t>
  </si>
  <si>
    <t xml:space="preserve">C00075 | C00085 </t>
  </si>
  <si>
    <t xml:space="preserve"> C00015 | C00354</t>
  </si>
  <si>
    <t>C00081 | C00085</t>
  </si>
  <si>
    <t xml:space="preserve"> C00104 | C00354</t>
  </si>
  <si>
    <t>C00002 | C05382</t>
  </si>
  <si>
    <t>C00008 | C00447</t>
  </si>
  <si>
    <t xml:space="preserve">C01097 | C00002 </t>
  </si>
  <si>
    <t xml:space="preserve"> C03785 | C00008</t>
  </si>
  <si>
    <t xml:space="preserve">C00063 | C01097 </t>
  </si>
  <si>
    <t>C00112 | C03785</t>
  </si>
  <si>
    <t xml:space="preserve">C00075 | C01097 </t>
  </si>
  <si>
    <t xml:space="preserve"> C00015 | C03785</t>
  </si>
  <si>
    <t xml:space="preserve">C00081 | C01097 </t>
  </si>
  <si>
    <t xml:space="preserve"> C00104 | C03785</t>
  </si>
  <si>
    <t xml:space="preserve">C01159 | C00615 </t>
  </si>
  <si>
    <t xml:space="preserve"> C00197 | C04262</t>
  </si>
  <si>
    <t>C00111 | C00118</t>
  </si>
  <si>
    <t xml:space="preserve"> C00111 | C00279</t>
  </si>
  <si>
    <t xml:space="preserve"> C00111 | C00577</t>
  </si>
  <si>
    <t xml:space="preserve">C00002 | C00378 </t>
  </si>
  <si>
    <t xml:space="preserve"> C00020 | C00068</t>
  </si>
  <si>
    <t xml:space="preserve">C00680 | C00006 | C00001 </t>
  </si>
  <si>
    <t xml:space="preserve"> C03871 | C00014 | C00005 | C00080</t>
  </si>
  <si>
    <t xml:space="preserve">C00352 | C00001 </t>
  </si>
  <si>
    <t>C00085 | C00014</t>
  </si>
  <si>
    <t>C00002 | C00062 | C01636</t>
  </si>
  <si>
    <t xml:space="preserve"> C00020 | C00013 | C02163</t>
  </si>
  <si>
    <t xml:space="preserve"> C00785 | C00001</t>
  </si>
  <si>
    <t>C00664 | C00025</t>
  </si>
  <si>
    <t xml:space="preserve"> C00101 | C00439</t>
  </si>
  <si>
    <t>C03479 | C00025</t>
  </si>
  <si>
    <t xml:space="preserve"> C00101 | C01045</t>
  </si>
  <si>
    <t xml:space="preserve">C03680 | C00001 </t>
  </si>
  <si>
    <t xml:space="preserve"> C00785 | C00014</t>
  </si>
  <si>
    <t xml:space="preserve"> C11823 | C00014</t>
  </si>
  <si>
    <t>C00019 | C01977</t>
  </si>
  <si>
    <t>C00021 | C04160</t>
  </si>
  <si>
    <t xml:space="preserve">2 C00025 | C00006 </t>
  </si>
  <si>
    <t xml:space="preserve"> C00064 | C00026 | C00005 | C00080</t>
  </si>
  <si>
    <t>C00025 | C00006 | C00001</t>
  </si>
  <si>
    <t xml:space="preserve"> C00026 | C00014 | C00005 | C00080</t>
  </si>
  <si>
    <t xml:space="preserve"> C00025 | C00014</t>
  </si>
  <si>
    <t>C00122 | C00062</t>
  </si>
  <si>
    <t xml:space="preserve">C01103 | C00013 </t>
  </si>
  <si>
    <t xml:space="preserve"> C00295 | C00119</t>
  </si>
  <si>
    <t xml:space="preserve">C07649 | C00119 </t>
  </si>
  <si>
    <t xml:space="preserve"> C16634 | C00013</t>
  </si>
  <si>
    <t>C04454 | C00006</t>
  </si>
  <si>
    <t xml:space="preserve"> C01268 | C00005 | C00080</t>
  </si>
  <si>
    <t xml:space="preserve">C01304 | C00001 </t>
  </si>
  <si>
    <t xml:space="preserve"> C01268 | C00014</t>
  </si>
  <si>
    <t xml:space="preserve">C00002 | C00049 | C00014 </t>
  </si>
  <si>
    <t xml:space="preserve"> C00020 | C00013 | C00152</t>
  </si>
  <si>
    <t>C00122 | C00020</t>
  </si>
  <si>
    <t xml:space="preserve"> C00122 | C04677</t>
  </si>
  <si>
    <t xml:space="preserve"> C22441 | C00122</t>
  </si>
  <si>
    <t xml:space="preserve">C00002 | C00152 | C01637 </t>
  </si>
  <si>
    <t xml:space="preserve"> C00020 | C00013 | C03402</t>
  </si>
  <si>
    <t xml:space="preserve">C00002 | C00055 </t>
  </si>
  <si>
    <t xml:space="preserve"> C00008 | C00112</t>
  </si>
  <si>
    <t xml:space="preserve">C00002 | C00239 </t>
  </si>
  <si>
    <t>C00008 | C00705</t>
  </si>
  <si>
    <t xml:space="preserve">C11811 | 2 C00138 | 2 C00080 </t>
  </si>
  <si>
    <t>C00129 | 2 C00139 | C00001</t>
  </si>
  <si>
    <t xml:space="preserve">C00235 | 2 C00139 | C00001 </t>
  </si>
  <si>
    <t>C11811 | 2 C00138 | 2 C00080</t>
  </si>
  <si>
    <t>C00365 | C00143</t>
  </si>
  <si>
    <t xml:space="preserve"> C00415 | C00364</t>
  </si>
  <si>
    <t>C00013 | C00001</t>
  </si>
  <si>
    <t xml:space="preserve">C00868 | C15812 | C00002 </t>
  </si>
  <si>
    <t>C17322 | C15811 | C00020 | C00013</t>
  </si>
  <si>
    <t xml:space="preserve">C00044 | C00130 | C00049 </t>
  </si>
  <si>
    <t>C00035 | C00009 | C03794</t>
  </si>
  <si>
    <t>C00002 | C00135 | C01643</t>
  </si>
  <si>
    <t>C00020 | C00013 | C02988</t>
  </si>
  <si>
    <t>C00201 | C00001</t>
  </si>
  <si>
    <t>C00215 | C00013</t>
  </si>
  <si>
    <t>C00002 | C00001</t>
  </si>
  <si>
    <t xml:space="preserve"> C00020 | C00013</t>
  </si>
  <si>
    <t xml:space="preserve"> C00144 | C00013</t>
  </si>
  <si>
    <t xml:space="preserve">C00063 | C00001 </t>
  </si>
  <si>
    <t>C00055 | C00013</t>
  </si>
  <si>
    <t xml:space="preserve">C00075 | C00001 </t>
  </si>
  <si>
    <t>C00105 | C00013</t>
  </si>
  <si>
    <t xml:space="preserve">C00459 | C00001 </t>
  </si>
  <si>
    <t>C00364 | C00013</t>
  </si>
  <si>
    <t xml:space="preserve">C00003 | C00001 </t>
  </si>
  <si>
    <t>C00020 | C00455</t>
  </si>
  <si>
    <t>C00016 | C00001</t>
  </si>
  <si>
    <t xml:space="preserve"> C00020 | C00061</t>
  </si>
  <si>
    <t>C00029 | C00001</t>
  </si>
  <si>
    <t xml:space="preserve"> C00105 | C00103</t>
  </si>
  <si>
    <t xml:space="preserve">C00857 | C00001 </t>
  </si>
  <si>
    <t xml:space="preserve"> C00020 | C01185</t>
  </si>
  <si>
    <t xml:space="preserve">C00882 | C00001 </t>
  </si>
  <si>
    <t>C01134 | C00020</t>
  </si>
  <si>
    <t xml:space="preserve">C00002 | C00183 | C01653 </t>
  </si>
  <si>
    <t>C00020 | C00013 | C02554</t>
  </si>
  <si>
    <t xml:space="preserve">C00025 | C00006 | C00001 </t>
  </si>
  <si>
    <t>C00026 | C00014 | C00005 | C00080</t>
  </si>
  <si>
    <t>C05167 | C00001 | C00003</t>
  </si>
  <si>
    <t xml:space="preserve"> C00161 | C00014 | C00004 | C00080</t>
  </si>
  <si>
    <t xml:space="preserve">C05167 | C00001 | C00006 </t>
  </si>
  <si>
    <t xml:space="preserve"> C00161 | C00014 | C00005 | C00080v</t>
  </si>
  <si>
    <t xml:space="preserve">C00002 | C04932 </t>
  </si>
  <si>
    <t xml:space="preserve"> C00008 | C04919</t>
  </si>
  <si>
    <t xml:space="preserve">C01185 | C03114 </t>
  </si>
  <si>
    <t>C00253 | C04778 | C00080</t>
  </si>
  <si>
    <t xml:space="preserve">C04232 | C00343 | C00001 </t>
  </si>
  <si>
    <t>C03723 | C00342</t>
  </si>
  <si>
    <t xml:space="preserve">C00206 | C00343 | C00001 </t>
  </si>
  <si>
    <t xml:space="preserve"> C00342 | C00008</t>
  </si>
  <si>
    <t xml:space="preserve">C01346 | C00343 | C00001 </t>
  </si>
  <si>
    <t xml:space="preserve"> C00342 | C00015</t>
  </si>
  <si>
    <t xml:space="preserve">C00361 | C00343 | C00001 </t>
  </si>
  <si>
    <t xml:space="preserve"> C00035 | C00342</t>
  </si>
  <si>
    <t xml:space="preserve">C00705 | C00343 | C00001 </t>
  </si>
  <si>
    <t>C00342 | C00112</t>
  </si>
  <si>
    <t>C04232 | C16664 | C00001</t>
  </si>
  <si>
    <t xml:space="preserve"> C03723 | C16663</t>
  </si>
  <si>
    <t>C04232 | C03170 | C00001</t>
  </si>
  <si>
    <t>C03723 | C02090</t>
  </si>
  <si>
    <t>C21750 | C00343 | C00001</t>
  </si>
  <si>
    <t xml:space="preserve"> C21748 | C00342</t>
  </si>
  <si>
    <t xml:space="preserve"> C00266 | C01300</t>
  </si>
  <si>
    <t>C01250 | C00009 | C00006</t>
  </si>
  <si>
    <t xml:space="preserve"> C04133 | C00005 | C00080</t>
  </si>
  <si>
    <t>C00655 | C00004 | C00080</t>
  </si>
  <si>
    <t>C04646 | C00003 | C00001</t>
  </si>
  <si>
    <t xml:space="preserve">C00093 | C00003 </t>
  </si>
  <si>
    <t xml:space="preserve"> C00111 | C00004 | C00080</t>
  </si>
  <si>
    <t xml:space="preserve">C00093 | C00006 </t>
  </si>
  <si>
    <t xml:space="preserve"> C00111 | C00005 | C00080</t>
  </si>
  <si>
    <t xml:space="preserve">C00002 | C00047 | C01646 </t>
  </si>
  <si>
    <t xml:space="preserve"> C00020 | C00013 | C01931</t>
  </si>
  <si>
    <t xml:space="preserve">C00002 | C01185 </t>
  </si>
  <si>
    <t xml:space="preserve"> C00013 | C00857</t>
  </si>
  <si>
    <t xml:space="preserve">C00002 | C00455 </t>
  </si>
  <si>
    <t xml:space="preserve"> C00013 | C00003</t>
  </si>
  <si>
    <t>C00002 | C00144</t>
  </si>
  <si>
    <t xml:space="preserve"> C00008 | C00035</t>
  </si>
  <si>
    <t xml:space="preserve">C00002 | C00362 </t>
  </si>
  <si>
    <t>C00008 | C00361</t>
  </si>
  <si>
    <t xml:space="preserve">22441 | C00002 </t>
  </si>
  <si>
    <t>C22442 | C00008</t>
  </si>
  <si>
    <t xml:space="preserve">C06055 | C00003 </t>
  </si>
  <si>
    <t xml:space="preserve"> C07335 | C00004 | C00080</t>
  </si>
  <si>
    <t xml:space="preserve"> C11638 | C00004 | C00080 | C00011</t>
  </si>
  <si>
    <t xml:space="preserve"> C11638 | C00011</t>
  </si>
  <si>
    <t xml:space="preserve">C04732 | C15556 </t>
  </si>
  <si>
    <t xml:space="preserve"> C04332 | 2 C00001 | C00009</t>
  </si>
  <si>
    <t>00002 | C03479 | C00080</t>
  </si>
  <si>
    <t xml:space="preserve"> C00008 | C00009 | C00445</t>
  </si>
  <si>
    <t xml:space="preserve"> C00099 | C00011</t>
  </si>
  <si>
    <t xml:space="preserve">C00357 | C00001 </t>
  </si>
  <si>
    <t xml:space="preserve"> C00085 | C00014</t>
  </si>
  <si>
    <t xml:space="preserve">C01102 | C00001 </t>
  </si>
  <si>
    <t>C00188 | C00009</t>
  </si>
  <si>
    <t>C06055 | C00001</t>
  </si>
  <si>
    <t xml:space="preserve"> C06056 | C00009</t>
  </si>
  <si>
    <t xml:space="preserve">C00263 | C00003 </t>
  </si>
  <si>
    <t xml:space="preserve"> C00441 | C00004 | C00080</t>
  </si>
  <si>
    <t xml:space="preserve">C00263 | C00006 </t>
  </si>
  <si>
    <t xml:space="preserve"> C00441 | C00005 | C00080</t>
  </si>
  <si>
    <t xml:space="preserve">C04478 | C00009 </t>
  </si>
  <si>
    <t xml:space="preserve">C01242 | C00101 </t>
  </si>
  <si>
    <t xml:space="preserve"> C02972 | C00143 | C00014</t>
  </si>
  <si>
    <t>C00445 | C00001</t>
  </si>
  <si>
    <t>C00002 | C00857 | C00014</t>
  </si>
  <si>
    <t xml:space="preserve"> C00020 | C00013 | C00003</t>
  </si>
  <si>
    <t>C00666 | C00026</t>
  </si>
  <si>
    <t>C03972 | C00025 | C00001</t>
  </si>
  <si>
    <t xml:space="preserve">C00002 | C00049 | C00064 | C00001 </t>
  </si>
  <si>
    <t xml:space="preserve"> C00020 | C00013 | C00152 | C00025</t>
  </si>
  <si>
    <t>C03880 | C00001</t>
  </si>
  <si>
    <t xml:space="preserve"> C03523 | C00066</t>
  </si>
  <si>
    <t xml:space="preserve"> C00255 | C04732</t>
  </si>
  <si>
    <t xml:space="preserve">C00123 | C00026 </t>
  </si>
  <si>
    <t>C00233 | C00025</t>
  </si>
  <si>
    <t>C00183 | C00026</t>
  </si>
  <si>
    <t xml:space="preserve"> C00141 | C00025</t>
  </si>
  <si>
    <t>C00407 | C00026</t>
  </si>
  <si>
    <t xml:space="preserve"> C00671 | C00025</t>
  </si>
  <si>
    <t xml:space="preserve">C02356 | C00026 </t>
  </si>
  <si>
    <t>C00109 | C00025</t>
  </si>
  <si>
    <t>C00083 | C00229</t>
  </si>
  <si>
    <t xml:space="preserve"> C00010 | C01209</t>
  </si>
  <si>
    <t>C02430 | C00234</t>
  </si>
  <si>
    <t xml:space="preserve"> C00101 | C03294</t>
  </si>
  <si>
    <t>C00002 | C00250</t>
  </si>
  <si>
    <t xml:space="preserve"> C00008 | C00018</t>
  </si>
  <si>
    <t>C00002 | C00314</t>
  </si>
  <si>
    <t xml:space="preserve"> C00008 | C00627</t>
  </si>
  <si>
    <t xml:space="preserve">C00002 | C00534 </t>
  </si>
  <si>
    <t xml:space="preserve"> C00008 | C00647</t>
  </si>
  <si>
    <t>C00028 | C00014 | C00001</t>
  </si>
  <si>
    <t xml:space="preserve"> C00192 | C00030</t>
  </si>
  <si>
    <t xml:space="preserve">C00014 | C00003 | C00001 </t>
  </si>
  <si>
    <t>C00192 | C00004 | C00080</t>
  </si>
  <si>
    <t xml:space="preserve">C00019 | C00039 </t>
  </si>
  <si>
    <t xml:space="preserve">C00019 | C00856 </t>
  </si>
  <si>
    <t xml:space="preserve">C00152 | C00001 </t>
  </si>
  <si>
    <t>C00049 | C00014</t>
  </si>
  <si>
    <t xml:space="preserve">C00241 | C00001 </t>
  </si>
  <si>
    <t>C00060 | C00014</t>
  </si>
  <si>
    <t xml:space="preserve">C00002 | C00984 </t>
  </si>
  <si>
    <t xml:space="preserve"> C00008 | C00446</t>
  </si>
  <si>
    <t>C00002 | C00121</t>
  </si>
  <si>
    <t>C00008 | C00117</t>
  </si>
  <si>
    <t xml:space="preserve">C00673 | C00008 </t>
  </si>
  <si>
    <t>C01801 | C00002</t>
  </si>
  <si>
    <t>C00122 | C00001</t>
  </si>
  <si>
    <t xml:space="preserve">C00002 | C00882 </t>
  </si>
  <si>
    <t xml:space="preserve"> C00008 | C00010</t>
  </si>
  <si>
    <t>C11907 | C00001</t>
  </si>
  <si>
    <t>C00064 | C00001</t>
  </si>
  <si>
    <t>C00064 | C00002</t>
  </si>
  <si>
    <t xml:space="preserve"> C00020 | C00013 | C00144</t>
  </si>
  <si>
    <t xml:space="preserve">C00002 | C00655 | C00064 | C00001 </t>
  </si>
  <si>
    <t>C00020 | C00013 | C00144 | C00025</t>
  </si>
  <si>
    <t xml:space="preserve">C16618 | C00002 | C00064 | C00001 </t>
  </si>
  <si>
    <t>C16619 | C00020 | C00013 | C00025</t>
  </si>
  <si>
    <t xml:space="preserve">C00002 | C00116 </t>
  </si>
  <si>
    <t xml:space="preserve"> C00008 | C00093</t>
  </si>
  <si>
    <t>C00204 | C00001</t>
  </si>
  <si>
    <t xml:space="preserve">C01271 | C00043 </t>
  </si>
  <si>
    <t xml:space="preserve"> C00229 | C22418</t>
  </si>
  <si>
    <t xml:space="preserve">C04688 | C00043 </t>
  </si>
  <si>
    <t xml:space="preserve">C00149 | C00003 </t>
  </si>
  <si>
    <t xml:space="preserve"> C00036 | C00004 | C00080</t>
  </si>
  <si>
    <t>C11537 | C00003</t>
  </si>
  <si>
    <t xml:space="preserve"> C05528 | C00004 | C00080</t>
  </si>
  <si>
    <t xml:space="preserve">C00342 | C00006 </t>
  </si>
  <si>
    <t xml:space="preserve"> C00343 | C00005 | C00080</t>
  </si>
  <si>
    <t>C00097 | C00051 | C00006</t>
  </si>
  <si>
    <t xml:space="preserve"> C05526 | C00005</t>
  </si>
  <si>
    <t xml:space="preserve">C01528 | 3 C00006 | 3 C00001 </t>
  </si>
  <si>
    <t xml:space="preserve"> C05684 | 3 C00005 | 5 C00080</t>
  </si>
  <si>
    <t xml:space="preserve">2 C00005 | 2 C00080 | C18902 </t>
  </si>
  <si>
    <t>2 C00006 | 2 C00001 | C05703</t>
  </si>
  <si>
    <t xml:space="preserve">C00440 | C00155 </t>
  </si>
  <si>
    <t>C00101 | C00073</t>
  </si>
  <si>
    <t xml:space="preserve">C05698 | C04489 </t>
  </si>
  <si>
    <t xml:space="preserve"> C05335 | C04144</t>
  </si>
  <si>
    <t xml:space="preserve">C00002 | C00407 | C01644 </t>
  </si>
  <si>
    <t>C00020 | C00013 | C03127</t>
  </si>
  <si>
    <t>C00037 | C02051</t>
  </si>
  <si>
    <t xml:space="preserve"> C01242 | C00011</t>
  </si>
  <si>
    <t xml:space="preserve">C00074 | C00043 </t>
  </si>
  <si>
    <t>C04631 | C00009</t>
  </si>
  <si>
    <t xml:space="preserve">C11434 | C00006 </t>
  </si>
  <si>
    <t xml:space="preserve"> C11437 | C00005 | C00080</t>
  </si>
  <si>
    <t xml:space="preserve">C00041 | C00003 | C00001 </t>
  </si>
  <si>
    <t>C00022 | C00014 | C00004 | C00080</t>
  </si>
  <si>
    <t>C00161 | C00014 | C00004 | C00080</t>
  </si>
  <si>
    <t xml:space="preserve"> C00161 | C00014 | C00005 | C00080</t>
  </si>
  <si>
    <t xml:space="preserve">C00037 | C00001 | C00003 </t>
  </si>
  <si>
    <t xml:space="preserve"> C00048 | C00014 | C00004 | C00080</t>
  </si>
  <si>
    <t xml:space="preserve">C00002 | C00624 </t>
  </si>
  <si>
    <t xml:space="preserve"> C00008 | C04133</t>
  </si>
  <si>
    <t xml:space="preserve">C01005 | C00026 </t>
  </si>
  <si>
    <t>C03232 | C00025</t>
  </si>
  <si>
    <t xml:space="preserve">C06055 | C00026 </t>
  </si>
  <si>
    <t>C06054 | C00025</t>
  </si>
  <si>
    <t xml:space="preserve">C00002 | C00075 | C00014 </t>
  </si>
  <si>
    <t>C00008 | C00009 | C00063</t>
  </si>
  <si>
    <t>C00002 | C00075 | C00064 | C00001</t>
  </si>
  <si>
    <t>C00008 | C00009 | C00063 | C00025</t>
  </si>
  <si>
    <t xml:space="preserve">C20641 | C17324 </t>
  </si>
  <si>
    <t>C00020 | C20751</t>
  </si>
  <si>
    <t xml:space="preserve">C00002 | C00065 | C01650 </t>
  </si>
  <si>
    <t xml:space="preserve"> C00020 | C00013 | C02553</t>
  </si>
  <si>
    <t xml:space="preserve">C00002 | C00065 | C16636 </t>
  </si>
  <si>
    <t xml:space="preserve"> C00020 | C00013 | C06481</t>
  </si>
  <si>
    <t xml:space="preserve">C01170 | 2 C00003 | C00001 </t>
  </si>
  <si>
    <t xml:space="preserve"> C06240 | 2 C00004 | 2 C00080</t>
  </si>
  <si>
    <t>C00002 | C00454</t>
  </si>
  <si>
    <t xml:space="preserve"> C00008 | C00201</t>
  </si>
  <si>
    <t xml:space="preserve">C00002 | C00008 </t>
  </si>
  <si>
    <t xml:space="preserve"> C00008 | C00002</t>
  </si>
  <si>
    <t xml:space="preserve">C11038 | C00002 </t>
  </si>
  <si>
    <t>C11039 | C00008</t>
  </si>
  <si>
    <t xml:space="preserve">C00002 | C00015 </t>
  </si>
  <si>
    <t xml:space="preserve"> C00008 | C00075</t>
  </si>
  <si>
    <t>C00002 | C00035</t>
  </si>
  <si>
    <t xml:space="preserve"> C00008 | C00044</t>
  </si>
  <si>
    <t xml:space="preserve">C00002 | C00112 </t>
  </si>
  <si>
    <t xml:space="preserve"> C00008 | C00063</t>
  </si>
  <si>
    <t xml:space="preserve">C00002 | C00104 </t>
  </si>
  <si>
    <t xml:space="preserve"> C00008 | C00081</t>
  </si>
  <si>
    <t xml:space="preserve">C00002 | C00206 </t>
  </si>
  <si>
    <t xml:space="preserve"> C00008 | C00131</t>
  </si>
  <si>
    <t xml:space="preserve">C00002 | C00361 </t>
  </si>
  <si>
    <t xml:space="preserve"> C00008 | C00286</t>
  </si>
  <si>
    <t xml:space="preserve">C00002 | C00363 </t>
  </si>
  <si>
    <t xml:space="preserve"> C00008 | C00459</t>
  </si>
  <si>
    <t xml:space="preserve">C00002 | C00705 </t>
  </si>
  <si>
    <t xml:space="preserve"> C00008 | C00458</t>
  </si>
  <si>
    <t xml:space="preserve">C00002 | C01346 </t>
  </si>
  <si>
    <t xml:space="preserve"> C00008 | C00460</t>
  </si>
  <si>
    <t xml:space="preserve">C00002 | C01344 </t>
  </si>
  <si>
    <t xml:space="preserve"> C00008 | C01345</t>
  </si>
  <si>
    <t xml:space="preserve">C22442 | C00002 </t>
  </si>
  <si>
    <t xml:space="preserve"> C22443 | C00008</t>
  </si>
  <si>
    <t xml:space="preserve">C00002 | C21748 </t>
  </si>
  <si>
    <t xml:space="preserve"> C00008 | C21749</t>
  </si>
  <si>
    <t>C00002 | C21750</t>
  </si>
  <si>
    <t xml:space="preserve"> C00008 | C21751</t>
  </si>
  <si>
    <t xml:space="preserve">C05847 | C03657 </t>
  </si>
  <si>
    <t xml:space="preserve"> C19847 | C00013 | C00011</t>
  </si>
  <si>
    <t xml:space="preserve">C11638 | C11437 </t>
  </si>
  <si>
    <t>C00627 | C00009 | 2 C00001</t>
  </si>
  <si>
    <t xml:space="preserve">C00002 | C00003 </t>
  </si>
  <si>
    <t>C00008 | C00006</t>
  </si>
  <si>
    <t>C00013 | C00085</t>
  </si>
  <si>
    <t>C00009 | C00354</t>
  </si>
  <si>
    <t xml:space="preserve">C00013 | C05345 </t>
  </si>
  <si>
    <t xml:space="preserve"> C00009 | C05378</t>
  </si>
  <si>
    <t xml:space="preserve"> C00385 | C00119</t>
  </si>
  <si>
    <t xml:space="preserve">C00144 | C00013 </t>
  </si>
  <si>
    <t xml:space="preserve">C01271 | C00006 </t>
  </si>
  <si>
    <t xml:space="preserve"> C00685 | C00005 | C00080</t>
  </si>
  <si>
    <t xml:space="preserve">C04618 | C00006 </t>
  </si>
  <si>
    <t xml:space="preserve"> C05744 | C00005 | C00080</t>
  </si>
  <si>
    <t xml:space="preserve">C04619 | C00006 </t>
  </si>
  <si>
    <t>C05753 | C00005</t>
  </si>
  <si>
    <t xml:space="preserve">C04620 | C00006 </t>
  </si>
  <si>
    <t xml:space="preserve"> C05750 | C00005 | C00080</t>
  </si>
  <si>
    <t>C04633 | C00006</t>
  </si>
  <si>
    <t xml:space="preserve"> C05762 | C00005 | C00080</t>
  </si>
  <si>
    <t xml:space="preserve">C04688 | C00006 </t>
  </si>
  <si>
    <t xml:space="preserve"> C05759 | C00005 | C00080</t>
  </si>
  <si>
    <t xml:space="preserve">C05747 | C00006 </t>
  </si>
  <si>
    <t xml:space="preserve"> C05746 | C00005 | C00080</t>
  </si>
  <si>
    <t xml:space="preserve">C05757 | C00006 </t>
  </si>
  <si>
    <t xml:space="preserve"> C05756 | C00005 | C00080</t>
  </si>
  <si>
    <t xml:space="preserve">C16219 | C00005 | C00080 </t>
  </si>
  <si>
    <t xml:space="preserve"> C16220 | C00006</t>
  </si>
  <si>
    <t xml:space="preserve">C20372 | C00005 | C00080 </t>
  </si>
  <si>
    <t xml:space="preserve"> C20373 | C00006</t>
  </si>
  <si>
    <t xml:space="preserve">C20376 | C00005 | C00080 </t>
  </si>
  <si>
    <t xml:space="preserve"> C20377 | C00006</t>
  </si>
  <si>
    <t xml:space="preserve">C00091 | C00263 </t>
  </si>
  <si>
    <t>C00010 | C01118</t>
  </si>
  <si>
    <t>C00111 | C00577</t>
  </si>
  <si>
    <t xml:space="preserve">C01638 | C00049 | C00002 </t>
  </si>
  <si>
    <t xml:space="preserve"> C02984 | C00013 | C00020</t>
  </si>
  <si>
    <t xml:space="preserve">C19722 | C00047 | C00002 </t>
  </si>
  <si>
    <t>C19723 | C00020 | C00013 | C00001</t>
  </si>
  <si>
    <t xml:space="preserve"> C00022 | C00014</t>
  </si>
  <si>
    <t xml:space="preserve"> C02218 | C00001</t>
  </si>
  <si>
    <t>C20904 | C00001</t>
  </si>
  <si>
    <t xml:space="preserve"> C00111 | C00424</t>
  </si>
  <si>
    <t>C00111 | C00266</t>
  </si>
  <si>
    <t xml:space="preserve">C00337 | C00001 </t>
  </si>
  <si>
    <t xml:space="preserve">C00024 | C00037 </t>
  </si>
  <si>
    <t xml:space="preserve"> C00010 | C03508</t>
  </si>
  <si>
    <t xml:space="preserve">00019 | C01977 </t>
  </si>
  <si>
    <t xml:space="preserve"> C00021 | C04157</t>
  </si>
  <si>
    <t xml:space="preserve">C00251 | C00064 </t>
  </si>
  <si>
    <t>C11355 | C00025</t>
  </si>
  <si>
    <t>C00251 | C00014</t>
  </si>
  <si>
    <t xml:space="preserve"> C11355 | C00001</t>
  </si>
  <si>
    <t xml:space="preserve">C00906 | C00003 </t>
  </si>
  <si>
    <t xml:space="preserve"> C00178 | C00004 | C00080</t>
  </si>
  <si>
    <t xml:space="preserve">C21028 | C00003 </t>
  </si>
  <si>
    <t>C00178 | C00004 | C00080</t>
  </si>
  <si>
    <t>C00429 | C00003</t>
  </si>
  <si>
    <t>C00106 | C00004 | C00080</t>
  </si>
  <si>
    <t xml:space="preserve"> C00106 | C00119</t>
  </si>
  <si>
    <t xml:space="preserve">C01050 | C00006 </t>
  </si>
  <si>
    <t xml:space="preserve"> C04631 | C00005 | C00080</t>
  </si>
  <si>
    <t xml:space="preserve">C01050 | C00003 </t>
  </si>
  <si>
    <t>C04631 | C00004 | C00080</t>
  </si>
  <si>
    <t>C03657 | C00010</t>
  </si>
  <si>
    <t xml:space="preserve"> C15547 | C00001</t>
  </si>
  <si>
    <t xml:space="preserve">C00885 | C00026 </t>
  </si>
  <si>
    <t>C16519 | C00011C16519 | C00011</t>
  </si>
  <si>
    <t xml:space="preserve">C00242 | C00001 </t>
  </si>
  <si>
    <t>C00385 | C00014</t>
  </si>
  <si>
    <t xml:space="preserve">C00020 | C00001 </t>
  </si>
  <si>
    <t xml:space="preserve"> C00147 | C00117</t>
  </si>
  <si>
    <t xml:space="preserve">C00337 | C00003 </t>
  </si>
  <si>
    <t>C00295 | C00080 | C00004</t>
  </si>
  <si>
    <t xml:space="preserve">C01005 | C00001 </t>
  </si>
  <si>
    <t xml:space="preserve"> C00065 | C00009</t>
  </si>
  <si>
    <t xml:space="preserve">C02532 | C00001 </t>
  </si>
  <si>
    <t xml:space="preserve"> C00740 | C00009</t>
  </si>
  <si>
    <t xml:space="preserve"> C00417 | C00001</t>
  </si>
  <si>
    <t>C00417 | C00001</t>
  </si>
  <si>
    <t xml:space="preserve">C00049 | C00026 </t>
  </si>
  <si>
    <t xml:space="preserve"> C00036 | C00025</t>
  </si>
  <si>
    <t xml:space="preserve">C00079 | C00026 </t>
  </si>
  <si>
    <t xml:space="preserve"> C00166 | C00025</t>
  </si>
  <si>
    <t xml:space="preserve">C00082 | C00026 </t>
  </si>
  <si>
    <t>C01179 | C00025</t>
  </si>
  <si>
    <t xml:space="preserve">C00097 | C00026 </t>
  </si>
  <si>
    <t xml:space="preserve"> C00957 | C00025</t>
  </si>
  <si>
    <t>C00957 | C00302</t>
  </si>
  <si>
    <t xml:space="preserve">C00506 | C00026 </t>
  </si>
  <si>
    <t xml:space="preserve"> C05528 | C00025</t>
  </si>
  <si>
    <t xml:space="preserve">C00606 | C00026 </t>
  </si>
  <si>
    <t>C05527 | C00025</t>
  </si>
  <si>
    <t xml:space="preserve">C05947 | C00026 </t>
  </si>
  <si>
    <t xml:space="preserve"> C05946 | C00025</t>
  </si>
  <si>
    <t xml:space="preserve"> C00041 | C00011</t>
  </si>
  <si>
    <t xml:space="preserve"> C00041 | C09306</t>
  </si>
  <si>
    <t xml:space="preserve">C00019 | C06406 </t>
  </si>
  <si>
    <t xml:space="preserve"> C00021 | C06407</t>
  </si>
  <si>
    <t xml:space="preserve">C11539 | C00019 </t>
  </si>
  <si>
    <t>C11540 | C00021</t>
  </si>
  <si>
    <t>C00019 | C06407</t>
  </si>
  <si>
    <t xml:space="preserve"> C00021 | C06416</t>
  </si>
  <si>
    <t xml:space="preserve">C00002 | C01279 </t>
  </si>
  <si>
    <t xml:space="preserve"> C00008 | C04556</t>
  </si>
  <si>
    <t>C00002 | C04556</t>
  </si>
  <si>
    <t xml:space="preserve"> C00008 | C04752</t>
  </si>
  <si>
    <t xml:space="preserve">C03373 | C00019 </t>
  </si>
  <si>
    <t xml:space="preserve"> C04556 | C05198 | C00073 | C00058 | C00237</t>
  </si>
  <si>
    <t xml:space="preserve">C00002 | C00022 | C00009 </t>
  </si>
  <si>
    <t xml:space="preserve"> C00020 | C00074 | C00013</t>
  </si>
  <si>
    <t xml:space="preserve">C00101 | C00058 | C00002 </t>
  </si>
  <si>
    <t xml:space="preserve"> C00008 | C00009 | C00234</t>
  </si>
  <si>
    <t xml:space="preserve">C00002 | C00148 | C01649 </t>
  </si>
  <si>
    <t xml:space="preserve"> C00020 | C00013 | C02702</t>
  </si>
  <si>
    <t xml:space="preserve">C00979 | C00283 </t>
  </si>
  <si>
    <t>C00097 | C00033</t>
  </si>
  <si>
    <t xml:space="preserve">C00979 | C01528 </t>
  </si>
  <si>
    <t xml:space="preserve"> C05688 | C00033</t>
  </si>
  <si>
    <t>C00979 | C00320 | C00342 | C00080</t>
  </si>
  <si>
    <t>C00097 | C00094 | C00343 | C00033</t>
  </si>
  <si>
    <t xml:space="preserve">C01005 | C00283 </t>
  </si>
  <si>
    <t xml:space="preserve"> C00097 | C00009</t>
  </si>
  <si>
    <t xml:space="preserve">C01100 | C00001 </t>
  </si>
  <si>
    <t xml:space="preserve"> C00860 | C00009</t>
  </si>
  <si>
    <t xml:space="preserve"> C01267 | C00001</t>
  </si>
  <si>
    <t>C01100 | C00026</t>
  </si>
  <si>
    <t xml:space="preserve"> C01267 | C00025</t>
  </si>
  <si>
    <t xml:space="preserve">C00860 | 2 C00003 | C00001 </t>
  </si>
  <si>
    <t xml:space="preserve"> C00135 | 2 C00004 | 2 C00080</t>
  </si>
  <si>
    <t xml:space="preserve">C01929 | C00001 | C00003 </t>
  </si>
  <si>
    <t xml:space="preserve"> C00135 | C00004 | C00080</t>
  </si>
  <si>
    <t xml:space="preserve">C00860 | C00003 </t>
  </si>
  <si>
    <t xml:space="preserve"> C01929 | C00004 | C00080</t>
  </si>
  <si>
    <t xml:space="preserve">C02739 | C00013 </t>
  </si>
  <si>
    <t>C00002 | C00119</t>
  </si>
  <si>
    <t>C20756 | C17023 | 2 C00019 | C00030</t>
  </si>
  <si>
    <t xml:space="preserve"> C20758 | C00021 | C00073 | C05198 | C00028</t>
  </si>
  <si>
    <t xml:space="preserve"> C00315 | C00011</t>
  </si>
  <si>
    <t>C03375 | C00011</t>
  </si>
  <si>
    <t xml:space="preserve">C00369 | C00001 </t>
  </si>
  <si>
    <t xml:space="preserve"> C00721 | C00369</t>
  </si>
  <si>
    <t>C00721 | C00208</t>
  </si>
  <si>
    <t xml:space="preserve">C00169 | C00049 </t>
  </si>
  <si>
    <t>C00009 | C00438</t>
  </si>
  <si>
    <t>C00002 | C00079 | C01648</t>
  </si>
  <si>
    <t>C00020 | C00013 | C03511</t>
  </si>
  <si>
    <t xml:space="preserve"> C20864(n) | (n-1) C00013</t>
  </si>
  <si>
    <t xml:space="preserve">5.6.2.3       </t>
  </si>
  <si>
    <t>https://www.kegg.jp/entry/5.6.2.3</t>
  </si>
  <si>
    <t>Enzymes</t>
  </si>
  <si>
    <t xml:space="preserve">Rate Law </t>
  </si>
  <si>
    <t xml:space="preserve"> Equation </t>
  </si>
  <si>
    <t>reactants (addition)</t>
  </si>
  <si>
    <t>products (addition)</t>
  </si>
  <si>
    <t>no.</t>
  </si>
  <si>
    <t>1_1_1_100</t>
  </si>
  <si>
    <t>1_1_1_133</t>
  </si>
  <si>
    <t>1_1_1_193</t>
  </si>
  <si>
    <t>1_1_1_205</t>
  </si>
  <si>
    <t>1_1_1_23</t>
  </si>
  <si>
    <t>1_1_1_262</t>
  </si>
  <si>
    <t>1_1_1_267</t>
  </si>
  <si>
    <t>1_1_1_3</t>
  </si>
  <si>
    <t>1_1_1_336</t>
  </si>
  <si>
    <t>1_1_1_37</t>
  </si>
  <si>
    <t>1_1_1_44</t>
  </si>
  <si>
    <t>1_1_1_85</t>
  </si>
  <si>
    <t>1_1_1_94</t>
  </si>
  <si>
    <t>1_11_1_24</t>
  </si>
  <si>
    <t>1_17_1_8</t>
  </si>
  <si>
    <t>1_17_4_1</t>
  </si>
  <si>
    <t>1_17_4_2</t>
  </si>
  <si>
    <t>1_17_7_4</t>
  </si>
  <si>
    <t>1_17_99_6</t>
  </si>
  <si>
    <t>1_2_1_11</t>
  </si>
  <si>
    <t>1_2_1_38</t>
  </si>
  <si>
    <t>1_2_1_41</t>
  </si>
  <si>
    <t>1_2_1_88</t>
  </si>
  <si>
    <t>1_3_1_1</t>
  </si>
  <si>
    <t>1_3_1_14</t>
  </si>
  <si>
    <t>1_3_1_98</t>
  </si>
  <si>
    <t>1_4_1_1</t>
  </si>
  <si>
    <t>1_4_1_13</t>
  </si>
  <si>
    <t>1_4_1_16</t>
  </si>
  <si>
    <t>1_4_1_4</t>
  </si>
  <si>
    <t>1_4_3_16</t>
  </si>
  <si>
    <t>1_4_4_2</t>
  </si>
  <si>
    <t>1_5_1_2</t>
  </si>
  <si>
    <t>1_5_1_20</t>
  </si>
  <si>
    <t>1_7_2_2</t>
  </si>
  <si>
    <t>1_7_99_1</t>
  </si>
  <si>
    <t>1_8_1_4</t>
  </si>
  <si>
    <t>1_8_1_9</t>
  </si>
  <si>
    <t>1_8_4_12</t>
  </si>
  <si>
    <t>1_97_1_4</t>
  </si>
  <si>
    <t>2_1_1_13</t>
  </si>
  <si>
    <t>2_1_1_131</t>
  </si>
  <si>
    <t>2_1_1_133</t>
  </si>
  <si>
    <t>2_1_1_182</t>
  </si>
  <si>
    <t>2_1_1_197</t>
  </si>
  <si>
    <t>2_1_1_228</t>
  </si>
  <si>
    <t>2_1_1_33</t>
  </si>
  <si>
    <t>2_1_1_37</t>
  </si>
  <si>
    <t>2_1_1_45</t>
  </si>
  <si>
    <t>2_1_1_63</t>
  </si>
  <si>
    <t>2_1_1_72</t>
  </si>
  <si>
    <t>2_1_2_10</t>
  </si>
  <si>
    <t>2_1_2_11</t>
  </si>
  <si>
    <t>2_1_2_3</t>
  </si>
  <si>
    <t>2_1_2_5</t>
  </si>
  <si>
    <t>2_1_2_9</t>
  </si>
  <si>
    <t>2_1_3_2</t>
  </si>
  <si>
    <t>2_1_3_9</t>
  </si>
  <si>
    <t>2_2_1_6</t>
  </si>
  <si>
    <t>2_2_1_7</t>
  </si>
  <si>
    <t>2_2_1_9</t>
  </si>
  <si>
    <t>2_3_1_129</t>
  </si>
  <si>
    <t>2_3_1_179</t>
  </si>
  <si>
    <t>2_3_1_191</t>
  </si>
  <si>
    <t>2_3_1_234</t>
  </si>
  <si>
    <t>2_3_1_245</t>
  </si>
  <si>
    <t>2_3_1_29</t>
  </si>
  <si>
    <t>2_3_1_39</t>
  </si>
  <si>
    <t>2_3_1_46</t>
  </si>
  <si>
    <t>2_3_1_54</t>
  </si>
  <si>
    <t>2_3_1_8</t>
  </si>
  <si>
    <t>2_3_3_13</t>
  </si>
  <si>
    <t>2_4_1_182</t>
  </si>
  <si>
    <t>2_4_1_227</t>
  </si>
  <si>
    <t>2_4_2_10</t>
  </si>
  <si>
    <t>2_4_2_17</t>
  </si>
  <si>
    <t>2_4_2_18</t>
  </si>
  <si>
    <t>2_4_2_19</t>
  </si>
  <si>
    <t>2_4_2_21</t>
  </si>
  <si>
    <t>2_4_2_22</t>
  </si>
  <si>
    <t>2_4_2_29</t>
  </si>
  <si>
    <t>2_4_2_8</t>
  </si>
  <si>
    <t>2_4_2_9</t>
  </si>
  <si>
    <t>2_4_99_17</t>
  </si>
  <si>
    <t>2_5_1_15</t>
  </si>
  <si>
    <t>2_5_1_17</t>
  </si>
  <si>
    <t>2_5_1_47</t>
  </si>
  <si>
    <t>2_5_1_55</t>
  </si>
  <si>
    <t>2_5_1_6</t>
  </si>
  <si>
    <t>2_5_1_7</t>
  </si>
  <si>
    <t>2_5_1_74</t>
  </si>
  <si>
    <t>2_5_1_75</t>
  </si>
  <si>
    <t>2_5_1_78</t>
  </si>
  <si>
    <t>2_5_1_9</t>
  </si>
  <si>
    <t>2_6_1_1</t>
  </si>
  <si>
    <t>2_6_1_13</t>
  </si>
  <si>
    <t>2_6_1_37</t>
  </si>
  <si>
    <t>2_6_1_42</t>
  </si>
  <si>
    <t>2_6_1_52</t>
  </si>
  <si>
    <t>2_6_1_62</t>
  </si>
  <si>
    <t>2_6_1_83</t>
  </si>
  <si>
    <t>2_6_1_85</t>
  </si>
  <si>
    <t>2_6_1_9</t>
  </si>
  <si>
    <t>2_6_99_2</t>
  </si>
  <si>
    <t>2_7_1_11</t>
  </si>
  <si>
    <t>2_7_1_130</t>
  </si>
  <si>
    <t>2_7_1_148</t>
  </si>
  <si>
    <t>2_7_1_15</t>
  </si>
  <si>
    <t>2_7_1_21</t>
  </si>
  <si>
    <t>2_7_1_23</t>
  </si>
  <si>
    <t>2_7_1_24</t>
  </si>
  <si>
    <t>2_7_1_25</t>
  </si>
  <si>
    <t>2_7_1_26</t>
  </si>
  <si>
    <t>2_7_1_30</t>
  </si>
  <si>
    <t>2_7_1_33</t>
  </si>
  <si>
    <t>2_7_1_35</t>
  </si>
  <si>
    <t>2_7_1_40</t>
  </si>
  <si>
    <t>2_7_1_48</t>
  </si>
  <si>
    <t>2_7_1_49</t>
  </si>
  <si>
    <t>2_7_1_6</t>
  </si>
  <si>
    <t>2_7_1_71</t>
  </si>
  <si>
    <t>2_7_1_90</t>
  </si>
  <si>
    <t>2_7_10_2</t>
  </si>
  <si>
    <t>2_7_2_11</t>
  </si>
  <si>
    <t>2_7_2_4</t>
  </si>
  <si>
    <t>2_7_2_8</t>
  </si>
  <si>
    <t>2_7_4_1</t>
  </si>
  <si>
    <t>2_7_4_16</t>
  </si>
  <si>
    <t>2_7_4_22</t>
  </si>
  <si>
    <t>2_7_4_25</t>
  </si>
  <si>
    <t>2_7_4_3</t>
  </si>
  <si>
    <t>2_7_4_6</t>
  </si>
  <si>
    <t>2_7_4_7</t>
  </si>
  <si>
    <t>2_7_4_8</t>
  </si>
  <si>
    <t>2_7_6_2</t>
  </si>
  <si>
    <t>2_7_6_3</t>
  </si>
  <si>
    <t>2_7_7_18</t>
  </si>
  <si>
    <t>2_7_7_2</t>
  </si>
  <si>
    <t>2_7_7_24</t>
  </si>
  <si>
    <t>2_7_7_3</t>
  </si>
  <si>
    <t>2_7_7_38</t>
  </si>
  <si>
    <t>2_7_7_4</t>
  </si>
  <si>
    <t>2_7_7_6</t>
  </si>
  <si>
    <t>2_7_7_60</t>
  </si>
  <si>
    <t>2_7_7_7</t>
  </si>
  <si>
    <t>2_7_7_8</t>
  </si>
  <si>
    <t>2_7_8_13</t>
  </si>
  <si>
    <t>2_7_8_31</t>
  </si>
  <si>
    <t>2_7_9_1</t>
  </si>
  <si>
    <t>2_8_1_13</t>
  </si>
  <si>
    <t>2_8_1_6</t>
  </si>
  <si>
    <t>2_8_1_8</t>
  </si>
  <si>
    <t>2_8_4_4</t>
  </si>
  <si>
    <t>3_1_1_29</t>
  </si>
  <si>
    <t>3_1_1_31</t>
  </si>
  <si>
    <t>3_1_3_15</t>
  </si>
  <si>
    <t>3_1_3_3</t>
  </si>
  <si>
    <t>3_1_3_7</t>
  </si>
  <si>
    <t>3_1_6_1</t>
  </si>
  <si>
    <t>3_11_1_1</t>
  </si>
  <si>
    <t>3_2_1_1</t>
  </si>
  <si>
    <t>3_2_1_21</t>
  </si>
  <si>
    <t>3_2_2_4</t>
  </si>
  <si>
    <t>3_5_1_1</t>
  </si>
  <si>
    <t>3_5_1_25</t>
  </si>
  <si>
    <t>3_5_1_88</t>
  </si>
  <si>
    <t>3_5_2_3</t>
  </si>
  <si>
    <t>3_5_2_7</t>
  </si>
  <si>
    <t>3_5_3_1</t>
  </si>
  <si>
    <t>3_5_4_10</t>
  </si>
  <si>
    <t>3_5_4_16</t>
  </si>
  <si>
    <t>3_5_4_19</t>
  </si>
  <si>
    <t>3_5_4_2</t>
  </si>
  <si>
    <t>3_5_4_25</t>
  </si>
  <si>
    <t>3_5_4_26</t>
  </si>
  <si>
    <t>3_5_4_3</t>
  </si>
  <si>
    <t>3_5_4_5</t>
  </si>
  <si>
    <t>3_5_99_6</t>
  </si>
  <si>
    <t>3_6_1_1</t>
  </si>
  <si>
    <t>3_6_1_22</t>
  </si>
  <si>
    <t>3_6_1_23</t>
  </si>
  <si>
    <t>3_6_1_31</t>
  </si>
  <si>
    <t>3_6_1_9</t>
  </si>
  <si>
    <t>4_1_1_11</t>
  </si>
  <si>
    <t>4_1_1_12</t>
  </si>
  <si>
    <t>4_1_1_15</t>
  </si>
  <si>
    <t>4_1_1_21</t>
  </si>
  <si>
    <t>4_1_1_23</t>
  </si>
  <si>
    <t>4_1_1_36</t>
  </si>
  <si>
    <t>4_1_1_48</t>
  </si>
  <si>
    <t>4_1_1_49</t>
  </si>
  <si>
    <t>4_1_1_65</t>
  </si>
  <si>
    <t>4_1_1_96</t>
  </si>
  <si>
    <t>4_1_2_13</t>
  </si>
  <si>
    <t>4_1_2_19</t>
  </si>
  <si>
    <t>4_1_2_25</t>
  </si>
  <si>
    <t>4_1_2_4</t>
  </si>
  <si>
    <t>4_1_3_36</t>
  </si>
  <si>
    <t>4_1_99_12</t>
  </si>
  <si>
    <t>4_1_99_17</t>
  </si>
  <si>
    <t>4_2_1_1</t>
  </si>
  <si>
    <t>4_2_1_10</t>
  </si>
  <si>
    <t>4_2_1_11</t>
  </si>
  <si>
    <t>4_2_1_126</t>
  </si>
  <si>
    <t>4_2_1_19</t>
  </si>
  <si>
    <t>4_2_1_2</t>
  </si>
  <si>
    <t>4_2_1_20</t>
  </si>
  <si>
    <t>4_2_1_3</t>
  </si>
  <si>
    <t>4_2_1_33</t>
  </si>
  <si>
    <t>4_2_1_46</t>
  </si>
  <si>
    <t>4_2_1_47</t>
  </si>
  <si>
    <t>4_2_1_49</t>
  </si>
  <si>
    <t>4_2_1_8</t>
  </si>
  <si>
    <t>4_2_1_9</t>
  </si>
  <si>
    <t>4_2_3_1</t>
  </si>
  <si>
    <t>4_2_3_3</t>
  </si>
  <si>
    <t>4_2_3_4</t>
  </si>
  <si>
    <t>4_2_3_5</t>
  </si>
  <si>
    <t>4_3_1_17</t>
  </si>
  <si>
    <t>4_3_1_19</t>
  </si>
  <si>
    <t>4_3_1_3</t>
  </si>
  <si>
    <t>4_3_2_1</t>
  </si>
  <si>
    <t>4_3_2_2</t>
  </si>
  <si>
    <t>4_3_3_7</t>
  </si>
  <si>
    <t>4_6_1_12</t>
  </si>
  <si>
    <t>5_1_1_3</t>
  </si>
  <si>
    <t>5_1_1_7</t>
  </si>
  <si>
    <t>5_1_3_1</t>
  </si>
  <si>
    <t>5_1_3_13</t>
  </si>
  <si>
    <t>5_1_3_14</t>
  </si>
  <si>
    <t>5_1_3_2</t>
  </si>
  <si>
    <t>5_1_99_1</t>
  </si>
  <si>
    <t>5_2_1_8</t>
  </si>
  <si>
    <t>5_3_1_1</t>
  </si>
  <si>
    <t>5_3_1_12</t>
  </si>
  <si>
    <t>5_3_1_14</t>
  </si>
  <si>
    <t>5_3_1_16</t>
  </si>
  <si>
    <t>5_3_1_23</t>
  </si>
  <si>
    <t>5_3_1_5</t>
  </si>
  <si>
    <t>5_3_1_6</t>
  </si>
  <si>
    <t>5_3_1_9</t>
  </si>
  <si>
    <t>5_4_2_10</t>
  </si>
  <si>
    <t>5_4_2_11</t>
  </si>
  <si>
    <t>5_4_2_12</t>
  </si>
  <si>
    <t>5_4_4_2</t>
  </si>
  <si>
    <t>5_4_99_12</t>
  </si>
  <si>
    <t>5_4_99_18</t>
  </si>
  <si>
    <t>5_4_99_2</t>
  </si>
  <si>
    <t>5_4_99_9</t>
  </si>
  <si>
    <t>6_1_1_1</t>
  </si>
  <si>
    <t>6_1_1_10</t>
  </si>
  <si>
    <t>6_1_1_11</t>
  </si>
  <si>
    <t>6_1_1_12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</si>
  <si>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</si>
  <si>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</si>
  <si>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</si>
  <si>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</si>
  <si>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</si>
  <si>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</si>
  <si>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</si>
  <si>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</si>
  <si>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6_1_1_22</t>
  </si>
  <si>
    <t>6_1_1_3</t>
  </si>
  <si>
    <t>6_1_1_4</t>
  </si>
  <si>
    <t>6_1_1_5</t>
  </si>
  <si>
    <t>6_1_1_6</t>
  </si>
  <si>
    <t>6_1_1_7</t>
  </si>
  <si>
    <t>6_1_1_9</t>
  </si>
  <si>
    <t>6_3_1_1</t>
  </si>
  <si>
    <t>6_3_1_5</t>
  </si>
  <si>
    <t>6_3_2_13</t>
  </si>
  <si>
    <t>6_3_2_4</t>
  </si>
  <si>
    <t>6_3_2_5</t>
  </si>
  <si>
    <t>6_3_2_6</t>
  </si>
  <si>
    <t>6_3_2_8</t>
  </si>
  <si>
    <t>6_3_2_9</t>
  </si>
  <si>
    <t>6_3_3_2</t>
  </si>
  <si>
    <t>6_3_3_3</t>
  </si>
  <si>
    <t>6_3_4_13</t>
  </si>
  <si>
    <t>6_3_4_14</t>
  </si>
  <si>
    <t>6_3_4_15</t>
  </si>
  <si>
    <t>6_3_4_19</t>
  </si>
  <si>
    <t>6_3_4_2</t>
  </si>
  <si>
    <t>6_3_4_3</t>
  </si>
  <si>
    <t>6_3_4_4</t>
  </si>
  <si>
    <t>6_3_5_2</t>
  </si>
  <si>
    <t>6_3_5_3</t>
  </si>
  <si>
    <t>6_3_5_4</t>
  </si>
  <si>
    <t>6_3_5_5</t>
  </si>
  <si>
    <t>6_5_1_2</t>
  </si>
  <si>
    <t>C00233 + C00011</t>
  </si>
  <si>
    <t xml:space="preserve">C04411 + C00003 </t>
  </si>
  <si>
    <t>C04236 + C00004 + C00080</t>
  </si>
  <si>
    <t xml:space="preserve"> C00233 + C00011 + C00004 + C00080</t>
  </si>
  <si>
    <t>C00109 + C00011 + C00004 + C00080</t>
  </si>
  <si>
    <t>C06032 + C00003</t>
  </si>
  <si>
    <t>C00148 + C00003</t>
  </si>
  <si>
    <t xml:space="preserve"> C03912 + C00004 + C00080</t>
  </si>
  <si>
    <t xml:space="preserve">C00148 + C00006 </t>
  </si>
  <si>
    <t>C03912 + C00005 + C00080</t>
  </si>
  <si>
    <t xml:space="preserve">C01157 + C00003 </t>
  </si>
  <si>
    <t xml:space="preserve">C00440 + C00006 </t>
  </si>
  <si>
    <t xml:space="preserve"> C00143 + C00004 + C00080</t>
  </si>
  <si>
    <t>C16832 + C00003</t>
  </si>
  <si>
    <t>C16237 + C00004 + C00080</t>
  </si>
  <si>
    <t>C03023 + C00343 + C00001</t>
  </si>
  <si>
    <t>C15653 + C00342</t>
  </si>
  <si>
    <t xml:space="preserve">C00019 + C01209 </t>
  </si>
  <si>
    <t xml:space="preserve"> C00021 + C19673</t>
  </si>
  <si>
    <t>C04250 + C02743</t>
  </si>
  <si>
    <t xml:space="preserve">C00019 + C00821 </t>
  </si>
  <si>
    <t>C00021 + C03391</t>
  </si>
  <si>
    <t>C00019 + C00821</t>
  </si>
  <si>
    <t xml:space="preserve">C00143 + C00141 + C00001 </t>
  </si>
  <si>
    <t>C00101 + C00966</t>
  </si>
  <si>
    <t xml:space="preserve"> C00141 + C00067</t>
  </si>
  <si>
    <t xml:space="preserve">C00234 + C04677 </t>
  </si>
  <si>
    <t xml:space="preserve"> C00101 + C04734</t>
  </si>
  <si>
    <t>C00900 + C00011</t>
  </si>
  <si>
    <t xml:space="preserve">C06010 + C00011 </t>
  </si>
  <si>
    <t>C00022+ C00068</t>
  </si>
  <si>
    <t>C05125 + C00011</t>
  </si>
  <si>
    <t xml:space="preserve">C00900 + C00068 </t>
  </si>
  <si>
    <t>C05125 + C00022</t>
  </si>
  <si>
    <t xml:space="preserve">C06010 + C00068 </t>
  </si>
  <si>
    <t xml:space="preserve"> C05125 + C00022</t>
  </si>
  <si>
    <t xml:space="preserve">C00109 + C05125 </t>
  </si>
  <si>
    <t>C06006 + C00068</t>
  </si>
  <si>
    <t xml:space="preserve">C00022 + C00109 </t>
  </si>
  <si>
    <t>C06006 + C00011</t>
  </si>
  <si>
    <t>C01271 + C00043</t>
  </si>
  <si>
    <t>C00229 + C22418</t>
  </si>
  <si>
    <t>C04688 + C00043</t>
  </si>
  <si>
    <t>C01271 + C22409</t>
  </si>
  <si>
    <t xml:space="preserve"> C22410 + C00229</t>
  </si>
  <si>
    <t>C06022 + C04688</t>
  </si>
  <si>
    <t>C04652 + C00229</t>
  </si>
  <si>
    <t xml:space="preserve">C00111 + C00024 </t>
  </si>
  <si>
    <t xml:space="preserve"> C20960 + C00010</t>
  </si>
  <si>
    <t>C02504 + C00010</t>
  </si>
  <si>
    <t xml:space="preserve"> C00024 + C00141 + C00001</t>
  </si>
  <si>
    <t>C04302 + C00013</t>
  </si>
  <si>
    <t xml:space="preserve"> C00108 + C00119</t>
  </si>
  <si>
    <t xml:space="preserve">C01185 + C00013 + C00011 </t>
  </si>
  <si>
    <t>C01977 + C16675</t>
  </si>
  <si>
    <t>C20446 + C00242</t>
  </si>
  <si>
    <t>C00130 + C00013</t>
  </si>
  <si>
    <t xml:space="preserve"> C00262 + C00119</t>
  </si>
  <si>
    <t>C00144 + C00013</t>
  </si>
  <si>
    <t>C00385 + C00119</t>
  </si>
  <si>
    <t xml:space="preserve">C02380 + C00119 </t>
  </si>
  <si>
    <t>C04646 + C00013</t>
  </si>
  <si>
    <t>C16614 + C00119</t>
  </si>
  <si>
    <t>C16615 + C00013</t>
  </si>
  <si>
    <t xml:space="preserve">C07648 + C00119 </t>
  </si>
  <si>
    <t xml:space="preserve"> C16619 + C00013</t>
  </si>
  <si>
    <t>C00235 + C17324</t>
  </si>
  <si>
    <t xml:space="preserve"> C00013+ C04432</t>
  </si>
  <si>
    <t xml:space="preserve">C00019 + C01092 </t>
  </si>
  <si>
    <t xml:space="preserve"> C04425 + C01037</t>
  </si>
  <si>
    <t xml:space="preserve">C11435 + C00002 </t>
  </si>
  <si>
    <t>C11436 + C00008</t>
  </si>
  <si>
    <t xml:space="preserve">C00002 +  C00214 </t>
  </si>
  <si>
    <t xml:space="preserve"> C00008 + C00364</t>
  </si>
  <si>
    <t>C00002 + C00475</t>
  </si>
  <si>
    <t>C00008 + C00055</t>
  </si>
  <si>
    <t>C00002 + C00299</t>
  </si>
  <si>
    <t> C00008 + C00105</t>
  </si>
  <si>
    <t>C00002 + C00585 </t>
  </si>
  <si>
    <t> C00008 + C01167</t>
  </si>
  <si>
    <t xml:space="preserve">C00002  + C00049 </t>
  </si>
  <si>
    <t>C00008 + C03082</t>
  </si>
  <si>
    <t>C00002 + C00404</t>
  </si>
  <si>
    <t xml:space="preserve"> C00008 + C00404</t>
  </si>
  <si>
    <t>C00002 + C00020</t>
  </si>
  <si>
    <t>C00002 + C00360</t>
  </si>
  <si>
    <t>C00008 +C00206</t>
  </si>
  <si>
    <t>C00068 + C00008</t>
  </si>
  <si>
    <t>C03028 + C00020</t>
  </si>
  <si>
    <t>C00459 + C00103</t>
  </si>
  <si>
    <t>C00013 + C00842</t>
  </si>
  <si>
    <t>C00002 + C00059</t>
  </si>
  <si>
    <t xml:space="preserve"> C00013 + C00224</t>
  </si>
  <si>
    <t xml:space="preserve">C00002 + C05697 </t>
  </si>
  <si>
    <t xml:space="preserve"> C00013 + C05686</t>
  </si>
  <si>
    <t>C00459 + C00039</t>
  </si>
  <si>
    <t>C00029 + C17556</t>
  </si>
  <si>
    <t>C00105 + C19772</t>
  </si>
  <si>
    <t>C00054 + C00001</t>
  </si>
  <si>
    <t>C00020 + C00009</t>
  </si>
  <si>
    <t xml:space="preserve">C11439 + C00001 </t>
  </si>
  <si>
    <t>C11440 + C00058</t>
  </si>
  <si>
    <t xml:space="preserve">C04258 + C00001 </t>
  </si>
  <si>
    <t>C00058 + C03617</t>
  </si>
  <si>
    <t>C00130 + C00001</t>
  </si>
  <si>
    <t xml:space="preserve">C02741 + C00001 </t>
  </si>
  <si>
    <t>C00475 +  C00001</t>
  </si>
  <si>
    <t xml:space="preserve"> C00299 + C00014</t>
  </si>
  <si>
    <t xml:space="preserve">C00881 + C00001 </t>
  </si>
  <si>
    <t xml:space="preserve"> C00526 + C00014</t>
  </si>
  <si>
    <t>C16635 + C00001</t>
  </si>
  <si>
    <t>C12739 + C00014</t>
  </si>
  <si>
    <t>C02739 + C00001</t>
  </si>
  <si>
    <t>C02741 + C00013</t>
  </si>
  <si>
    <t>C00334 + C00011</t>
  </si>
  <si>
    <t>C00099 + C00011</t>
  </si>
  <si>
    <t xml:space="preserve"> C00105 + C00011</t>
  </si>
  <si>
    <t>C01134 + C00011</t>
  </si>
  <si>
    <t>C03506 ++ C00011 + C00001</t>
  </si>
  <si>
    <t xml:space="preserve">C00065 + C00463 </t>
  </si>
  <si>
    <t>C00078 + C00001</t>
  </si>
  <si>
    <t>C00463  + C00118</t>
  </si>
  <si>
    <t>C00065 + C00463</t>
  </si>
  <si>
    <t xml:space="preserve"> C00463 + C00118</t>
  </si>
  <si>
    <t>C00065 + C03506</t>
  </si>
  <si>
    <t xml:space="preserve"> C00078 + C00118 + C00001</t>
  </si>
  <si>
    <t>C02631 + C00001</t>
  </si>
  <si>
    <t>C01222 + C00001</t>
  </si>
  <si>
    <t xml:space="preserve"> C00141 + C00001</t>
  </si>
  <si>
    <t>C00141 + C00001</t>
  </si>
  <si>
    <t xml:space="preserve"> C00671 + C00001</t>
  </si>
  <si>
    <t xml:space="preserve"> C00546 + C00009</t>
  </si>
  <si>
    <t xml:space="preserve"> C00251 + C00009</t>
  </si>
  <si>
    <t xml:space="preserve"> C00109 + C00014</t>
  </si>
  <si>
    <t>C20905 + C00001</t>
  </si>
  <si>
    <t>C00109 + C00014</t>
  </si>
  <si>
    <t>C00022 + C00014</t>
  </si>
  <si>
    <t>C00441  + C00022</t>
  </si>
  <si>
    <t>C20258  + C00001</t>
  </si>
  <si>
    <t>C00043 + C00001</t>
  </si>
  <si>
    <t>C00645 + C00015</t>
  </si>
  <si>
    <t xml:space="preserve">C00645 + C00015 </t>
  </si>
  <si>
    <t xml:space="preserve"> C01170 + C00001</t>
  </si>
  <si>
    <t>C01159 + C00615</t>
  </si>
  <si>
    <t>C00197  + C04262</t>
  </si>
  <si>
    <t>C00002 + C00188 +C01651</t>
  </si>
  <si>
    <t>C00020 + C00013 + C02992</t>
  </si>
  <si>
    <t xml:space="preserve">C00063 + C03492 + C00097 </t>
  </si>
  <si>
    <t>C00055 + C00013 + C04352</t>
  </si>
  <si>
    <t>C00002 +C04751 + C00049</t>
  </si>
  <si>
    <t>C00008 + C00009 + C04823</t>
  </si>
  <si>
    <t>C00002 + C01037 + C00011</t>
  </si>
  <si>
    <t>C00008 + C00009 + C01909</t>
  </si>
  <si>
    <t xml:space="preserve">C01037 + C00011 </t>
  </si>
  <si>
    <t>C22458 + C00002</t>
  </si>
  <si>
    <t xml:space="preserve"> C01909 + C00008 + C00009</t>
  </si>
  <si>
    <t xml:space="preserve">C00002 + C01563 </t>
  </si>
  <si>
    <t>C00008 + C00169</t>
  </si>
  <si>
    <t>C00002 + C00288</t>
  </si>
  <si>
    <t>C00008 + C20969</t>
  </si>
  <si>
    <t>C00014 +  C20969</t>
  </si>
  <si>
    <t>C01563 +  C00009</t>
  </si>
  <si>
    <t>reactants (multiplication)</t>
  </si>
  <si>
    <t xml:space="preserve">C01271 * C00006 </t>
  </si>
  <si>
    <t xml:space="preserve">C04618 * C00006 </t>
  </si>
  <si>
    <t xml:space="preserve">C04619 * C00006 </t>
  </si>
  <si>
    <t xml:space="preserve">C04620 * C00006 </t>
  </si>
  <si>
    <t>C04633 * C00006</t>
  </si>
  <si>
    <t xml:space="preserve">C04688 * C00006 </t>
  </si>
  <si>
    <t xml:space="preserve">C05747 * C00006 </t>
  </si>
  <si>
    <t xml:space="preserve">C05757 * C00006 </t>
  </si>
  <si>
    <t xml:space="preserve">C16219 * C00005 * C00080 </t>
  </si>
  <si>
    <t xml:space="preserve">C20372 * C00005 * C00080 </t>
  </si>
  <si>
    <t xml:space="preserve">C20376 * C00005 * C00080 </t>
  </si>
  <si>
    <t xml:space="preserve">C03319 * C00006 </t>
  </si>
  <si>
    <t>C04454 * C00006</t>
  </si>
  <si>
    <t>C00130 * C00003 * C00001</t>
  </si>
  <si>
    <t xml:space="preserve">C04646 * C00003 * C00001 </t>
  </si>
  <si>
    <t>C04646 * C00003 * C00001</t>
  </si>
  <si>
    <t xml:space="preserve">C01929 * C00001 * C00003 </t>
  </si>
  <si>
    <t xml:space="preserve">C00860 * C00003 </t>
  </si>
  <si>
    <t xml:space="preserve">C06055 * C00003 </t>
  </si>
  <si>
    <t xml:space="preserve">C11434 * C00006 </t>
  </si>
  <si>
    <t xml:space="preserve">C00263 * C00003 </t>
  </si>
  <si>
    <t xml:space="preserve">C00263 * C00006 </t>
  </si>
  <si>
    <t xml:space="preserve">C00149 * C00003 </t>
  </si>
  <si>
    <t>C11537 * C00003</t>
  </si>
  <si>
    <t>C01236 * C00001</t>
  </si>
  <si>
    <t>C00233 * C00011</t>
  </si>
  <si>
    <t xml:space="preserve">C04411 * C00003 </t>
  </si>
  <si>
    <t>C00109 * C00011 * C00004 * C00080</t>
  </si>
  <si>
    <t xml:space="preserve">C00093 * C00003 </t>
  </si>
  <si>
    <t xml:space="preserve">C00093 * C00006 </t>
  </si>
  <si>
    <t>C00342 * C15498</t>
  </si>
  <si>
    <t>C03972 * C00003 * C00001</t>
  </si>
  <si>
    <t>C03972 * C00006 * C00001</t>
  </si>
  <si>
    <t xml:space="preserve">C04232 * C00343 * C00001 </t>
  </si>
  <si>
    <t xml:space="preserve">C00206 * C00343 * C00001 </t>
  </si>
  <si>
    <t xml:space="preserve">C01346 * C00343 * C00001 </t>
  </si>
  <si>
    <t xml:space="preserve">C00361 * C00343 * C00001 </t>
  </si>
  <si>
    <t xml:space="preserve">C00705 * C00343 * C00001 </t>
  </si>
  <si>
    <t>C04232 * C16664 * C00001</t>
  </si>
  <si>
    <t>C04232 * C03170 * C00001</t>
  </si>
  <si>
    <t>C21750 * C00343 * C00001</t>
  </si>
  <si>
    <t>C00677 * C00343 * C00001</t>
  </si>
  <si>
    <t xml:space="preserve">C00131 * C00343 * C00001 </t>
  </si>
  <si>
    <t>C00286 * C00343 * C00001</t>
  </si>
  <si>
    <t>C00458 * C00343 * C00001</t>
  </si>
  <si>
    <t>C00460 * C00343 * C00001</t>
  </si>
  <si>
    <t xml:space="preserve">C01978 * C00028 * C00001 </t>
  </si>
  <si>
    <t>C00441 * C00009 * C00006</t>
  </si>
  <si>
    <t>C01165 * C00009 * C00006</t>
  </si>
  <si>
    <t>C01165 * C00003 * C00001</t>
  </si>
  <si>
    <t>C05947 * C00004 * C00080</t>
  </si>
  <si>
    <t>C01165 * C00006 * C00001</t>
  </si>
  <si>
    <t xml:space="preserve">C00906 * C00003 </t>
  </si>
  <si>
    <t xml:space="preserve">C21028 * C00003 </t>
  </si>
  <si>
    <t>C00429 * C00003</t>
  </si>
  <si>
    <t xml:space="preserve">C00337 * C00003 </t>
  </si>
  <si>
    <t xml:space="preserve">C01050 * C00006 </t>
  </si>
  <si>
    <t xml:space="preserve">C01050 * C00003 </t>
  </si>
  <si>
    <t xml:space="preserve">C00041 * C00003 * C00001 </t>
  </si>
  <si>
    <t>C05167 * C00001 * C00003</t>
  </si>
  <si>
    <t xml:space="preserve">C05167 * C00001 * C00006 </t>
  </si>
  <si>
    <t xml:space="preserve">C00037 * C00001 * C00003 </t>
  </si>
  <si>
    <t>C00025 * C00006 * C00001</t>
  </si>
  <si>
    <t xml:space="preserve">C00064 * C00001 </t>
  </si>
  <si>
    <t xml:space="preserve">C00680 * C00006 * C00001 </t>
  </si>
  <si>
    <t xml:space="preserve">C00025 * C00006 * C00001 </t>
  </si>
  <si>
    <t xml:space="preserve">C00049 * C00007 </t>
  </si>
  <si>
    <t xml:space="preserve">C00049 * C00001 * C00007 </t>
  </si>
  <si>
    <t>C00037 * C02051</t>
  </si>
  <si>
    <t>C00148 * C00003</t>
  </si>
  <si>
    <t xml:space="preserve">C00148 * C00006 </t>
  </si>
  <si>
    <t xml:space="preserve">C01157 * C00003 </t>
  </si>
  <si>
    <t xml:space="preserve">C00440 * C00006 </t>
  </si>
  <si>
    <t>C00028 * C00014 * C00001</t>
  </si>
  <si>
    <t xml:space="preserve">C00014 * C00003 * C00001 </t>
  </si>
  <si>
    <t>C16832 * C00003</t>
  </si>
  <si>
    <t xml:space="preserve">C02972 * C00003 </t>
  </si>
  <si>
    <t xml:space="preserve">C15973 * C00003 </t>
  </si>
  <si>
    <t xml:space="preserve">C00579 * C00003 </t>
  </si>
  <si>
    <t xml:space="preserve">C00342 * C00006 </t>
  </si>
  <si>
    <t>C00097 * C00051 * C00006</t>
  </si>
  <si>
    <t>C03023 * C00343 * C00001</t>
  </si>
  <si>
    <t>C00019 * C05196 * C05197</t>
  </si>
  <si>
    <t xml:space="preserve">C00440 * C00155 </t>
  </si>
  <si>
    <t xml:space="preserve">C05698 * C04489 </t>
  </si>
  <si>
    <t xml:space="preserve">C00019 * C06406 </t>
  </si>
  <si>
    <t xml:space="preserve">C11539 * C00019 </t>
  </si>
  <si>
    <t>C00019 * C06407</t>
  </si>
  <si>
    <t xml:space="preserve">C00019 * C01209 </t>
  </si>
  <si>
    <t>C00019 * C01977</t>
  </si>
  <si>
    <t>C00019 * C00039</t>
  </si>
  <si>
    <t>C00019 * C00856</t>
  </si>
  <si>
    <t xml:space="preserve">C00019 * C00039 </t>
  </si>
  <si>
    <t xml:space="preserve">C00019 * C00856 </t>
  </si>
  <si>
    <t>C00365 * C00143</t>
  </si>
  <si>
    <t>C04250 * C02743</t>
  </si>
  <si>
    <t xml:space="preserve">C00019 * C00821 </t>
  </si>
  <si>
    <t>C00019 * C00821</t>
  </si>
  <si>
    <t xml:space="preserve">C01242 * C00101 </t>
  </si>
  <si>
    <t xml:space="preserve">C00143 * C00141 * C00001 </t>
  </si>
  <si>
    <t xml:space="preserve">C00234 * C04677 </t>
  </si>
  <si>
    <t>C00664 * C00025</t>
  </si>
  <si>
    <t>C03479 * C00025</t>
  </si>
  <si>
    <t>C02430 * C00234</t>
  </si>
  <si>
    <t xml:space="preserve">C00169 * C00049 </t>
  </si>
  <si>
    <t>C00169 * C00437</t>
  </si>
  <si>
    <t>C00900 * C00011</t>
  </si>
  <si>
    <t xml:space="preserve">C06010 * C00011 </t>
  </si>
  <si>
    <t>C00022* C00068</t>
  </si>
  <si>
    <t xml:space="preserve">C00900 * C00068 </t>
  </si>
  <si>
    <t xml:space="preserve">C06010 * C00068 </t>
  </si>
  <si>
    <t xml:space="preserve">C00109 * C05125 </t>
  </si>
  <si>
    <t xml:space="preserve">C00022 * C00109 </t>
  </si>
  <si>
    <t xml:space="preserve">C00022 * C00118 </t>
  </si>
  <si>
    <t xml:space="preserve">C00885 * C00026 </t>
  </si>
  <si>
    <t>C01271 * C00043</t>
  </si>
  <si>
    <t>C04688 * C00043</t>
  </si>
  <si>
    <t xml:space="preserve">C01271 * C00043 </t>
  </si>
  <si>
    <t xml:space="preserve">C04688 * C00043 </t>
  </si>
  <si>
    <t xml:space="preserve">C00173 * C01209 </t>
  </si>
  <si>
    <t xml:space="preserve">C03939 * C01209 </t>
  </si>
  <si>
    <t>C05223 * C01209</t>
  </si>
  <si>
    <t xml:space="preserve">C05745 * C01209 </t>
  </si>
  <si>
    <t>C05749 * C01209</t>
  </si>
  <si>
    <t xml:space="preserve">C05752 * C01209 </t>
  </si>
  <si>
    <t xml:space="preserve">C05755 * C01209 </t>
  </si>
  <si>
    <t xml:space="preserve">C05761 * C01209 </t>
  </si>
  <si>
    <t>C05764 * C01209</t>
  </si>
  <si>
    <t>C19673 * C01209</t>
  </si>
  <si>
    <t>C20375 * C01209</t>
  </si>
  <si>
    <t>C01271 * C22409</t>
  </si>
  <si>
    <t>C06022 * C04688</t>
  </si>
  <si>
    <t xml:space="preserve">C20641 * C17324 </t>
  </si>
  <si>
    <t xml:space="preserve">C00111 * C00024 </t>
  </si>
  <si>
    <t xml:space="preserve">C00024 * C00037 </t>
  </si>
  <si>
    <t>C00083 * C00229</t>
  </si>
  <si>
    <t xml:space="preserve">C00091 * C00263 </t>
  </si>
  <si>
    <t xml:space="preserve">C00024 * C00058 </t>
  </si>
  <si>
    <t xml:space="preserve">C00109 * C00010 </t>
  </si>
  <si>
    <t>C00024 * C00009</t>
  </si>
  <si>
    <t xml:space="preserve">C00100 * C00009 </t>
  </si>
  <si>
    <t>C02504 * C00010</t>
  </si>
  <si>
    <t>C04652 * C04824</t>
  </si>
  <si>
    <t xml:space="preserve">C04851 * C00043 </t>
  </si>
  <si>
    <t>G10552 * G10610</t>
  </si>
  <si>
    <t>C05897 * C00043</t>
  </si>
  <si>
    <t xml:space="preserve">G10551 * G10610 </t>
  </si>
  <si>
    <t>G10556 * G10610</t>
  </si>
  <si>
    <t xml:space="preserve">C01103 * C00013 </t>
  </si>
  <si>
    <t xml:space="preserve">C07649 * C00119 </t>
  </si>
  <si>
    <t xml:space="preserve">C02739 * C00013 </t>
  </si>
  <si>
    <t>C04302 * C00013</t>
  </si>
  <si>
    <t xml:space="preserve">C01185 * C00013 * C00011 </t>
  </si>
  <si>
    <t xml:space="preserve">C01185 * C03114 </t>
  </si>
  <si>
    <t xml:space="preserve">C00655 * C00013 </t>
  </si>
  <si>
    <t xml:space="preserve">C00144 * C00013 </t>
  </si>
  <si>
    <t>C01977 * C16675</t>
  </si>
  <si>
    <t>C00130 * C00013</t>
  </si>
  <si>
    <t>C00144 * C00013</t>
  </si>
  <si>
    <t xml:space="preserve">C02380 * C00119 </t>
  </si>
  <si>
    <t>C16614 * C00119</t>
  </si>
  <si>
    <t xml:space="preserve">C07648 * C00119 </t>
  </si>
  <si>
    <t>C00105 * C00013</t>
  </si>
  <si>
    <t>C00019 * C20446</t>
  </si>
  <si>
    <t xml:space="preserve">C04807 * C00568 </t>
  </si>
  <si>
    <t xml:space="preserve">C01300 * C00568 </t>
  </si>
  <si>
    <t xml:space="preserve">C00002 * C00853 </t>
  </si>
  <si>
    <t>C06505 * C00002</t>
  </si>
  <si>
    <t xml:space="preserve">C00002 * C05774 </t>
  </si>
  <si>
    <t xml:space="preserve">C00979 * C00283 </t>
  </si>
  <si>
    <t xml:space="preserve">C00979 * C01528 </t>
  </si>
  <si>
    <t>C00979 * C00320 * C00342 * C00080</t>
  </si>
  <si>
    <t xml:space="preserve">C01005 * C00283 </t>
  </si>
  <si>
    <t xml:space="preserve">C04478 * C00009 </t>
  </si>
  <si>
    <t xml:space="preserve">C00009 * C00013 * C00019 </t>
  </si>
  <si>
    <t xml:space="preserve">C00002 * C05335 * C00001 </t>
  </si>
  <si>
    <t xml:space="preserve">C00074 * C00043 </t>
  </si>
  <si>
    <t xml:space="preserve">C05847 * C03657 </t>
  </si>
  <si>
    <t>C00235 * C17324</t>
  </si>
  <si>
    <t xml:space="preserve">C04732 * C15556 </t>
  </si>
  <si>
    <t xml:space="preserve">C00049 * C00026 </t>
  </si>
  <si>
    <t xml:space="preserve">C00079 * C00026 </t>
  </si>
  <si>
    <t xml:space="preserve">C00082 * C00026 </t>
  </si>
  <si>
    <t xml:space="preserve">C00097 * C00026 </t>
  </si>
  <si>
    <t xml:space="preserve">C00506 * C00026 </t>
  </si>
  <si>
    <t xml:space="preserve">C00606 * C00026 </t>
  </si>
  <si>
    <t xml:space="preserve">C05947 * C00026 </t>
  </si>
  <si>
    <t xml:space="preserve">C00077 * C00161 </t>
  </si>
  <si>
    <t>C00077 * C00026</t>
  </si>
  <si>
    <t xml:space="preserve">C03557 * C00022 </t>
  </si>
  <si>
    <t xml:space="preserve">C00123 * C00026 </t>
  </si>
  <si>
    <t>C00183 * C00026</t>
  </si>
  <si>
    <t>C00407 * C00026</t>
  </si>
  <si>
    <t xml:space="preserve">C02356 * C00026 </t>
  </si>
  <si>
    <t xml:space="preserve">C01005 * C00026 </t>
  </si>
  <si>
    <t xml:space="preserve">C06055 * C00026 </t>
  </si>
  <si>
    <t xml:space="preserve">C00019 * C01092 </t>
  </si>
  <si>
    <t>C00666 * C00026</t>
  </si>
  <si>
    <t xml:space="preserve">C00251 * C00064 </t>
  </si>
  <si>
    <t>C00251 * C00014</t>
  </si>
  <si>
    <t>C01100 * C00026</t>
  </si>
  <si>
    <t xml:space="preserve">C11638 * C11437 </t>
  </si>
  <si>
    <t>C00002 * C05345</t>
  </si>
  <si>
    <t xml:space="preserve">C00002 * C00085 </t>
  </si>
  <si>
    <t xml:space="preserve">C00063 * C00085 </t>
  </si>
  <si>
    <t xml:space="preserve">C00075 * C00085 </t>
  </si>
  <si>
    <t>C00081 * C00085</t>
  </si>
  <si>
    <t>C00002 * C05382</t>
  </si>
  <si>
    <t xml:space="preserve">C01097 * C00002 </t>
  </si>
  <si>
    <t xml:space="preserve">C00063 * C01097 </t>
  </si>
  <si>
    <t xml:space="preserve">C00075 * C01097 </t>
  </si>
  <si>
    <t xml:space="preserve">C00081 * C01097 </t>
  </si>
  <si>
    <t xml:space="preserve">C00002 * C04932 </t>
  </si>
  <si>
    <t xml:space="preserve">C11435 * C00002 </t>
  </si>
  <si>
    <t>C00002 * C00121</t>
  </si>
  <si>
    <t xml:space="preserve">C00673 * C00008 </t>
  </si>
  <si>
    <t xml:space="preserve">C00002 *  C00214 </t>
  </si>
  <si>
    <t xml:space="preserve">C00002 * C00003 </t>
  </si>
  <si>
    <t xml:space="preserve">C00002 * C00882 </t>
  </si>
  <si>
    <t>C00002 * C00255</t>
  </si>
  <si>
    <t xml:space="preserve">C00002 * C00116 </t>
  </si>
  <si>
    <t>C00002 * C00864</t>
  </si>
  <si>
    <t xml:space="preserve">C00002 * C00831 </t>
  </si>
  <si>
    <t xml:space="preserve">C00002 * C04079 </t>
  </si>
  <si>
    <t>C00002 * C00250</t>
  </si>
  <si>
    <t>C00002 * C00314</t>
  </si>
  <si>
    <t xml:space="preserve">C00002 * C00534 </t>
  </si>
  <si>
    <t>C00002 * C00022</t>
  </si>
  <si>
    <t>C00044 * C00022</t>
  </si>
  <si>
    <t xml:space="preserve">C00063 * C00022 </t>
  </si>
  <si>
    <t>C00075 * C00022</t>
  </si>
  <si>
    <t xml:space="preserve">C00081 * C00022 </t>
  </si>
  <si>
    <t xml:space="preserve">C00131 * C00022 </t>
  </si>
  <si>
    <t xml:space="preserve">C00286 * C00022 </t>
  </si>
  <si>
    <t>C00201 * C00022</t>
  </si>
  <si>
    <t>C00002 * C00475</t>
  </si>
  <si>
    <t>C00002 * C00299</t>
  </si>
  <si>
    <t xml:space="preserve">C00002 * C01279 </t>
  </si>
  <si>
    <t xml:space="preserve">C00002 * C00984 </t>
  </si>
  <si>
    <t xml:space="preserve">C00002 * C00493 </t>
  </si>
  <si>
    <t>C00013 * C00085</t>
  </si>
  <si>
    <t xml:space="preserve">C00013 * C05345 </t>
  </si>
  <si>
    <t>C00002 * C00585 </t>
  </si>
  <si>
    <t xml:space="preserve">C00002 * C00025 </t>
  </si>
  <si>
    <t xml:space="preserve">C00002  * C00049 </t>
  </si>
  <si>
    <t xml:space="preserve">C00002 * C00624 </t>
  </si>
  <si>
    <t>C00002 * C00404</t>
  </si>
  <si>
    <t xml:space="preserve">C00002 * C00105 </t>
  </si>
  <si>
    <t xml:space="preserve">C00002 * C00055 </t>
  </si>
  <si>
    <t xml:space="preserve">C00002 * C00239 </t>
  </si>
  <si>
    <t>C00002 * C00020</t>
  </si>
  <si>
    <t>C00002 * C00360</t>
  </si>
  <si>
    <t>C00068 * C00008</t>
  </si>
  <si>
    <t>C00002 * C00454</t>
  </si>
  <si>
    <t xml:space="preserve">C00002 * C00008 </t>
  </si>
  <si>
    <t xml:space="preserve">C11038 * C00002 </t>
  </si>
  <si>
    <t xml:space="preserve">C00002 * C00015 </t>
  </si>
  <si>
    <t>C00002 * C00035</t>
  </si>
  <si>
    <t xml:space="preserve">C00002 * C00112 </t>
  </si>
  <si>
    <t xml:space="preserve">C00002 * C00104 </t>
  </si>
  <si>
    <t xml:space="preserve">C00002 * C00206 </t>
  </si>
  <si>
    <t xml:space="preserve">C00002 * C00361 </t>
  </si>
  <si>
    <t xml:space="preserve">C00002 * C00363 </t>
  </si>
  <si>
    <t xml:space="preserve">C00002 * C00705 </t>
  </si>
  <si>
    <t xml:space="preserve">C00002 * C01346 </t>
  </si>
  <si>
    <t xml:space="preserve">C00002 * C01344 </t>
  </si>
  <si>
    <t xml:space="preserve">C22442 * C00002 </t>
  </si>
  <si>
    <t xml:space="preserve">C00002 * C21748 </t>
  </si>
  <si>
    <t>C00002 * C21750</t>
  </si>
  <si>
    <t>C00002 * C04556</t>
  </si>
  <si>
    <t>C00002 * C00144</t>
  </si>
  <si>
    <t xml:space="preserve">C00002 * C00362 </t>
  </si>
  <si>
    <t xml:space="preserve">C00002 * C00378 </t>
  </si>
  <si>
    <t>C00002 * C01300</t>
  </si>
  <si>
    <t xml:space="preserve">C00002 * C01185 </t>
  </si>
  <si>
    <t xml:space="preserve">C00002 * C00455 </t>
  </si>
  <si>
    <t xml:space="preserve">C00002 * C00061 </t>
  </si>
  <si>
    <t>C00459 * C00103</t>
  </si>
  <si>
    <t xml:space="preserve">C00002 * C01134 </t>
  </si>
  <si>
    <t>C00002 * C00059</t>
  </si>
  <si>
    <t xml:space="preserve">C00002 * C05697 </t>
  </si>
  <si>
    <t>C00201 * C00046</t>
  </si>
  <si>
    <t>C00002 * C00046</t>
  </si>
  <si>
    <t>C00044 * C00046</t>
  </si>
  <si>
    <t xml:space="preserve">C00063 * C00046 </t>
  </si>
  <si>
    <t>C00075 * C00046</t>
  </si>
  <si>
    <t xml:space="preserve">C11434 * C00063 </t>
  </si>
  <si>
    <t xml:space="preserve">C00131 * C00039 </t>
  </si>
  <si>
    <t>C00286 * C00039</t>
  </si>
  <si>
    <t xml:space="preserve">C00458 * C00039 </t>
  </si>
  <si>
    <t>C00459 * C00039</t>
  </si>
  <si>
    <t xml:space="preserve">C00459 * C00039 </t>
  </si>
  <si>
    <t>C00046 * C00009</t>
  </si>
  <si>
    <t xml:space="preserve">C00046 * C00009 </t>
  </si>
  <si>
    <t xml:space="preserve">C04702 * C17556 </t>
  </si>
  <si>
    <t>C00029 * C17556</t>
  </si>
  <si>
    <t xml:space="preserve">C00002 * C00022 * C00009 </t>
  </si>
  <si>
    <t xml:space="preserve">C00868 * C15812 * C00002 </t>
  </si>
  <si>
    <t>C03880 * C00001</t>
  </si>
  <si>
    <t xml:space="preserve">C01100 * C00001 </t>
  </si>
  <si>
    <t xml:space="preserve">C01005 * C00001 </t>
  </si>
  <si>
    <t xml:space="preserve">C02532 * C00001 </t>
  </si>
  <si>
    <t>C00054 * C00001</t>
  </si>
  <si>
    <t xml:space="preserve">C00850 * C00001 </t>
  </si>
  <si>
    <t xml:space="preserve">C02538 * C00001 </t>
  </si>
  <si>
    <t>C06125 * C00001</t>
  </si>
  <si>
    <t>G11122 * C00001</t>
  </si>
  <si>
    <t xml:space="preserve">C03167 * C00001 </t>
  </si>
  <si>
    <t xml:space="preserve">C00369 * C00001 </t>
  </si>
  <si>
    <t xml:space="preserve">C00185 * C00001 </t>
  </si>
  <si>
    <t>C00185 * C00001</t>
  </si>
  <si>
    <t xml:space="preserve">C00844 * C00001 </t>
  </si>
  <si>
    <t xml:space="preserve">C00844 * C00031 </t>
  </si>
  <si>
    <t xml:space="preserve">C00963 * C00001 </t>
  </si>
  <si>
    <t>C05713 * C00001</t>
  </si>
  <si>
    <t xml:space="preserve">C05839 * C00001 </t>
  </si>
  <si>
    <t xml:space="preserve">G00289 * C00001 </t>
  </si>
  <si>
    <t>C05143 * C00001</t>
  </si>
  <si>
    <t xml:space="preserve">C08334 * C00001 </t>
  </si>
  <si>
    <t>C01594 * C00001</t>
  </si>
  <si>
    <t xml:space="preserve">C10216 * C00001 </t>
  </si>
  <si>
    <t xml:space="preserve">C09126 * C00001 </t>
  </si>
  <si>
    <t xml:space="preserve">C05623 * C00001 </t>
  </si>
  <si>
    <t xml:space="preserve">C09099 * C00001 </t>
  </si>
  <si>
    <t xml:space="preserve">C00020 * C00001 </t>
  </si>
  <si>
    <t xml:space="preserve">C00152 * C00001 </t>
  </si>
  <si>
    <t xml:space="preserve">C00241 * C00001 </t>
  </si>
  <si>
    <t>C00357 * C00001</t>
  </si>
  <si>
    <t xml:space="preserve">C00357 * C00001 </t>
  </si>
  <si>
    <t xml:space="preserve">C11439 * C00001 </t>
  </si>
  <si>
    <t xml:space="preserve">C04258 * C00001 </t>
  </si>
  <si>
    <t xml:space="preserve">C00337 * C00001 </t>
  </si>
  <si>
    <t xml:space="preserve">C03680 * C00001 </t>
  </si>
  <si>
    <t xml:space="preserve">C00062 * C00001 </t>
  </si>
  <si>
    <t>C00130 * C00001</t>
  </si>
  <si>
    <t xml:space="preserve">C00044 * C00001 </t>
  </si>
  <si>
    <t>C00044 * C00001</t>
  </si>
  <si>
    <t xml:space="preserve">C04895 * C00001 </t>
  </si>
  <si>
    <t xml:space="preserve">C05922 * C00001 </t>
  </si>
  <si>
    <t xml:space="preserve">C02741 * C00001 </t>
  </si>
  <si>
    <t xml:space="preserve">C00147 * C00001 </t>
  </si>
  <si>
    <t xml:space="preserve">C01304 * C00001 </t>
  </si>
  <si>
    <t xml:space="preserve">C00242 * C00001 </t>
  </si>
  <si>
    <t>C00475 *  C00001</t>
  </si>
  <si>
    <t xml:space="preserve">C00881 * C00001 </t>
  </si>
  <si>
    <t>C16635 * C00001</t>
  </si>
  <si>
    <t xml:space="preserve">C00352 * C00001 </t>
  </si>
  <si>
    <t>C00013 * C00001</t>
  </si>
  <si>
    <t xml:space="preserve"> C00020 * C00013 * C03512</t>
  </si>
  <si>
    <t>C00460 * C00001</t>
  </si>
  <si>
    <t>C21751 * C00001</t>
  </si>
  <si>
    <t>C02739 * C00001</t>
  </si>
  <si>
    <t>C00201 * C00001</t>
  </si>
  <si>
    <t>C00002 * C00001</t>
  </si>
  <si>
    <t xml:space="preserve">C00063 * C00001 </t>
  </si>
  <si>
    <t xml:space="preserve">C00075 * C00001 </t>
  </si>
  <si>
    <t xml:space="preserve">C00459 * C00001 </t>
  </si>
  <si>
    <t xml:space="preserve">C00003 * C00001 </t>
  </si>
  <si>
    <t>C00016 * C00001</t>
  </si>
  <si>
    <t>C00029 * C00001</t>
  </si>
  <si>
    <t xml:space="preserve">C00857 * C00001 </t>
  </si>
  <si>
    <t xml:space="preserve">C00882 * C00001 </t>
  </si>
  <si>
    <t xml:space="preserve">C00002 * C00036 </t>
  </si>
  <si>
    <t xml:space="preserve">C03373 * C00019 </t>
  </si>
  <si>
    <t>C00288 * C00080</t>
  </si>
  <si>
    <t>C01250 * C00009 * C00006</t>
  </si>
  <si>
    <t xml:space="preserve">C00065 * C00463 </t>
  </si>
  <si>
    <t>C00065 * C00463</t>
  </si>
  <si>
    <t>C00065 * C03506</t>
  </si>
  <si>
    <t xml:space="preserve">C01102 * C00001 </t>
  </si>
  <si>
    <t>C06055 * C00001</t>
  </si>
  <si>
    <t>C20904 * C00001</t>
  </si>
  <si>
    <t>C20905 * C00001</t>
  </si>
  <si>
    <t>C00441  * C00022</t>
  </si>
  <si>
    <t>C00043 * C00001</t>
  </si>
  <si>
    <t xml:space="preserve">C00645 * C00015 </t>
  </si>
  <si>
    <t>C01159 * C00615</t>
  </si>
  <si>
    <t xml:space="preserve">C01159 * C00615 </t>
  </si>
  <si>
    <t xml:space="preserve">C00002 * C00082 * C00787 </t>
  </si>
  <si>
    <t xml:space="preserve">C00002 * C00073 * C01647 </t>
  </si>
  <si>
    <t xml:space="preserve">C00002 * C05335 * C01647 </t>
  </si>
  <si>
    <t xml:space="preserve">C00002 * C00065 * C01650 </t>
  </si>
  <si>
    <t xml:space="preserve">C00002 * C00065 * C16636 </t>
  </si>
  <si>
    <t xml:space="preserve">C01638 * C00049 * C00002 </t>
  </si>
  <si>
    <t>C00002 * C00037 * C01642</t>
  </si>
  <si>
    <t xml:space="preserve">C00002 * C00148 * C01649 </t>
  </si>
  <si>
    <t xml:space="preserve">C00002 * C00097 * C01639 </t>
  </si>
  <si>
    <t xml:space="preserve">C01641 * C00025 * C00002 </t>
  </si>
  <si>
    <t>C00002 * C00062 * C01636</t>
  </si>
  <si>
    <t>C00002 * C00078 * C01652</t>
  </si>
  <si>
    <t>C00002 * C00079 * C01648</t>
  </si>
  <si>
    <t>C00002 * C00135 * C01643</t>
  </si>
  <si>
    <t xml:space="preserve">C00002 * C00152 * C01637 </t>
  </si>
  <si>
    <t>C00002 * C00188 *C01651</t>
  </si>
  <si>
    <t>C00002 * C00123 * C01645</t>
  </si>
  <si>
    <t xml:space="preserve">C00002 * C00407 * C01644 </t>
  </si>
  <si>
    <t xml:space="preserve">C00002 * C00047 * C01646 </t>
  </si>
  <si>
    <t>C00002 * C00041 * C01635</t>
  </si>
  <si>
    <t xml:space="preserve">C00002 * C00183 * C01653 </t>
  </si>
  <si>
    <t xml:space="preserve">C00002 * C00049 * C00014 </t>
  </si>
  <si>
    <t>C00002 * C00857 * C00014</t>
  </si>
  <si>
    <t>C04882 * C17556</t>
  </si>
  <si>
    <t xml:space="preserve">C00063 * C03492 * C00097 </t>
  </si>
  <si>
    <t>C00002 *C04751 * C00049</t>
  </si>
  <si>
    <t xml:space="preserve">C00002 * C01050 * C00041 </t>
  </si>
  <si>
    <t xml:space="preserve">C00002 * C01212 * C00217 </t>
  </si>
  <si>
    <t>C00002 * C01037 * C00011</t>
  </si>
  <si>
    <t xml:space="preserve">C01037 * C00011 </t>
  </si>
  <si>
    <t>C22458 * C00002</t>
  </si>
  <si>
    <t>C00002 * C03090 * C00037</t>
  </si>
  <si>
    <t xml:space="preserve">C00002 * C06250 * C00288 </t>
  </si>
  <si>
    <t>C00002 * C00120 * C04735</t>
  </si>
  <si>
    <t>C00002 * C00120</t>
  </si>
  <si>
    <t>C05921 * C06249</t>
  </si>
  <si>
    <t xml:space="preserve">C19722 * C00047 * C00002 </t>
  </si>
  <si>
    <t>C00064 * C00001</t>
  </si>
  <si>
    <t xml:space="preserve">C00002 * C00075 * C00014 </t>
  </si>
  <si>
    <t>C00002 * C00075 * C00064 * C00001</t>
  </si>
  <si>
    <t xml:space="preserve">C00101 * C00058 * C00002 </t>
  </si>
  <si>
    <t xml:space="preserve">C00044 * C00130 * C00049 </t>
  </si>
  <si>
    <t>C00064 * C00002</t>
  </si>
  <si>
    <t xml:space="preserve">C00002 * C00655 * C00064 * C00001 </t>
  </si>
  <si>
    <t xml:space="preserve">C16618 * C00002 * C00064 * C00001 </t>
  </si>
  <si>
    <t>C00002 * C04376 * C00064 * C00001</t>
  </si>
  <si>
    <t xml:space="preserve">C00002 * C00049 * C00064 * C00001 </t>
  </si>
  <si>
    <t xml:space="preserve">C00002 * C01563 </t>
  </si>
  <si>
    <t>C00002 * C00288</t>
  </si>
  <si>
    <t>C00014 *  C20969</t>
  </si>
  <si>
    <t>products (multiplication)</t>
  </si>
  <si>
    <t xml:space="preserve"> C00685 * C00005 * C00080</t>
  </si>
  <si>
    <t xml:space="preserve"> C05744 * C00005 * C00080</t>
  </si>
  <si>
    <t>C05753 * C00005</t>
  </si>
  <si>
    <t xml:space="preserve"> C05750 * C00005 * C00080</t>
  </si>
  <si>
    <t xml:space="preserve"> C05762 * C00005 * C00080</t>
  </si>
  <si>
    <t xml:space="preserve"> C05759 * C00005 * C00080</t>
  </si>
  <si>
    <t xml:space="preserve"> C05746 * C00005 * C00080</t>
  </si>
  <si>
    <t xml:space="preserve"> C05756 * C00005 * C00080</t>
  </si>
  <si>
    <t xml:space="preserve"> C16220 * C00006</t>
  </si>
  <si>
    <t xml:space="preserve"> C20373 * C00006</t>
  </si>
  <si>
    <t xml:space="preserve"> C20377 * C00006</t>
  </si>
  <si>
    <t xml:space="preserve"> C00688 * C00005 * C00080</t>
  </si>
  <si>
    <t xml:space="preserve"> C01268 * C00005 * C00080</t>
  </si>
  <si>
    <t xml:space="preserve"> C00655 * C00004 * C00080</t>
  </si>
  <si>
    <t xml:space="preserve"> C16618 * C00004 * C00080</t>
  </si>
  <si>
    <t>C00655 * C00004 * C00080</t>
  </si>
  <si>
    <t xml:space="preserve"> C00135 * C00004 * C00080</t>
  </si>
  <si>
    <t xml:space="preserve"> C01929 * C00004 * C00080</t>
  </si>
  <si>
    <t xml:space="preserve"> C07335 * C00004 * C00080</t>
  </si>
  <si>
    <t xml:space="preserve"> C11638 * C00004 * C00080 * C00011</t>
  </si>
  <si>
    <t xml:space="preserve"> C11638 * C00011</t>
  </si>
  <si>
    <t xml:space="preserve"> C11437 * C00005 * C00080</t>
  </si>
  <si>
    <t xml:space="preserve"> C00441 * C00004 * C00080</t>
  </si>
  <si>
    <t xml:space="preserve"> C00441 * C00005 * C00080</t>
  </si>
  <si>
    <t xml:space="preserve"> C00036 * C00004 * C00080</t>
  </si>
  <si>
    <t xml:space="preserve"> C05528 * C00004 * C00080</t>
  </si>
  <si>
    <t>C04236 * C00004 * C00080</t>
  </si>
  <si>
    <t xml:space="preserve"> C00233 * C00011 * C00004 * C00080</t>
  </si>
  <si>
    <t>C06032 * C00003</t>
  </si>
  <si>
    <t xml:space="preserve"> C00111 * C00004 * C00080</t>
  </si>
  <si>
    <t xml:space="preserve"> C00111 * C00005 * C00080</t>
  </si>
  <si>
    <t>C00343 * C00001 * C01335</t>
  </si>
  <si>
    <t xml:space="preserve"> C20258 * C00004 * C00080</t>
  </si>
  <si>
    <t>C20258 * C00005 * C00080</t>
  </si>
  <si>
    <t>C03723 * C00342</t>
  </si>
  <si>
    <t xml:space="preserve"> C00342 * C00008</t>
  </si>
  <si>
    <t xml:space="preserve"> C00342 * C00015</t>
  </si>
  <si>
    <t xml:space="preserve"> C00035 * C00342</t>
  </si>
  <si>
    <t>C00342 * C00112</t>
  </si>
  <si>
    <t xml:space="preserve"> C03723 * C16663</t>
  </si>
  <si>
    <t>C03723 * C02090</t>
  </si>
  <si>
    <t xml:space="preserve"> C21748 * C00342</t>
  </si>
  <si>
    <t xml:space="preserve"> C03802 * C00342</t>
  </si>
  <si>
    <t xml:space="preserve"> C00002 * C00342</t>
  </si>
  <si>
    <t>C00044 * C00342</t>
  </si>
  <si>
    <t xml:space="preserve"> C00063 * C00342</t>
  </si>
  <si>
    <t xml:space="preserve"> C00075 * C00342</t>
  </si>
  <si>
    <t xml:space="preserve"> C19647 * C00030</t>
  </si>
  <si>
    <t xml:space="preserve"> C03082 * C00005 * C00080</t>
  </si>
  <si>
    <t xml:space="preserve"> C03287 * C00005 * C00080</t>
  </si>
  <si>
    <t>C00025 * C00004 * C00080</t>
  </si>
  <si>
    <t xml:space="preserve"> C00025 * C00004 * C00080</t>
  </si>
  <si>
    <t>C05938 * C00003 * C00001</t>
  </si>
  <si>
    <t xml:space="preserve"> C00025 * C00005 * C00080</t>
  </si>
  <si>
    <t xml:space="preserve"> C00178 * C00004 * C00080</t>
  </si>
  <si>
    <t>C00178 * C00004 * C00080</t>
  </si>
  <si>
    <t>C00106 * C00004 * C00080</t>
  </si>
  <si>
    <t>C00295 * C00080 * C00004</t>
  </si>
  <si>
    <t xml:space="preserve"> C04631 * C00005 * C00080</t>
  </si>
  <si>
    <t>C04631 * C00004 * C00080</t>
  </si>
  <si>
    <t>C00022 * C00014 * C00004 * C00080</t>
  </si>
  <si>
    <t>C00161 * C00014 * C00004 * C00080</t>
  </si>
  <si>
    <t xml:space="preserve"> C00161 * C00014 * C00005 * C00080</t>
  </si>
  <si>
    <t xml:space="preserve"> C00048 * C00014 * C00004 * C00080</t>
  </si>
  <si>
    <t xml:space="preserve"> C00064 * C00026 * C00005 * C00080</t>
  </si>
  <si>
    <t xml:space="preserve"> C00026 * C00014 * C00005 * C00080</t>
  </si>
  <si>
    <t xml:space="preserve"> C00025 * C00014</t>
  </si>
  <si>
    <t xml:space="preserve"> C03871 * C00014 * C00005 * C00080</t>
  </si>
  <si>
    <t>C00026 * C00014 * C00005 * C00080</t>
  </si>
  <si>
    <t xml:space="preserve"> C00161 * C00014 * C00004 * C00080</t>
  </si>
  <si>
    <t xml:space="preserve"> C05840 * C00027</t>
  </si>
  <si>
    <t xml:space="preserve"> C00036 * C00014 * C00027</t>
  </si>
  <si>
    <t xml:space="preserve"> C01242 * C00011</t>
  </si>
  <si>
    <t xml:space="preserve"> C03912 * C00004 * C00080</t>
  </si>
  <si>
    <t>C03912 * C00005 * C00080</t>
  </si>
  <si>
    <t xml:space="preserve"> C00143 * C00004 * C00080</t>
  </si>
  <si>
    <t xml:space="preserve"> C00192 * C00030</t>
  </si>
  <si>
    <t>C00192 * C00004 * C00080</t>
  </si>
  <si>
    <t>C16237 * C00004 * C00080</t>
  </si>
  <si>
    <t xml:space="preserve"> C16237 * C00004 * C00080</t>
  </si>
  <si>
    <t xml:space="preserve"> C02051 * C00004 * C00080</t>
  </si>
  <si>
    <t>C15972 * C00004 * C00080</t>
  </si>
  <si>
    <t xml:space="preserve"> C00248 * C00004 * C00080</t>
  </si>
  <si>
    <t xml:space="preserve"> C00343 * C00005 * C00080</t>
  </si>
  <si>
    <t xml:space="preserve"> C05526 * C00005</t>
  </si>
  <si>
    <t>C15653 * C00342</t>
  </si>
  <si>
    <t xml:space="preserve"> C05198 * C00073 * C05199 * C05312</t>
  </si>
  <si>
    <t>C00101 * C00073</t>
  </si>
  <si>
    <t xml:space="preserve"> C05335 * C04144</t>
  </si>
  <si>
    <t xml:space="preserve"> C00021 * C06407</t>
  </si>
  <si>
    <t>C11540 * C00021</t>
  </si>
  <si>
    <t xml:space="preserve"> C00021 * C06416</t>
  </si>
  <si>
    <t xml:space="preserve"> C00021 * C19673</t>
  </si>
  <si>
    <t xml:space="preserve"> C00021 * C04157</t>
  </si>
  <si>
    <t>C00021 * C04160</t>
  </si>
  <si>
    <t xml:space="preserve"> C00021 * C02967</t>
  </si>
  <si>
    <t>C00021 * C02967</t>
  </si>
  <si>
    <t xml:space="preserve"> C00415 * C00364</t>
  </si>
  <si>
    <t>C00021 * C03391</t>
  </si>
  <si>
    <t xml:space="preserve"> C02972 * C00143 * C00014</t>
  </si>
  <si>
    <t>C00445 * C00001</t>
  </si>
  <si>
    <t>C00101 * C00966</t>
  </si>
  <si>
    <t xml:space="preserve"> C00141 * C00067</t>
  </si>
  <si>
    <t xml:space="preserve"> C00101 * C04734</t>
  </si>
  <si>
    <t xml:space="preserve"> C00101 * C00439</t>
  </si>
  <si>
    <t xml:space="preserve"> C00101 * C01045</t>
  </si>
  <si>
    <t xml:space="preserve"> C00101 * C03294</t>
  </si>
  <si>
    <t>C00009 * C00438</t>
  </si>
  <si>
    <t xml:space="preserve"> C00009 * C15532</t>
  </si>
  <si>
    <t>C05125 * C00011</t>
  </si>
  <si>
    <t>C05125 * C00022</t>
  </si>
  <si>
    <t xml:space="preserve"> C05125 * C00022</t>
  </si>
  <si>
    <t>C06006 * C00068</t>
  </si>
  <si>
    <t>C06006 * C00011</t>
  </si>
  <si>
    <t>C11437 * C00011</t>
  </si>
  <si>
    <t>C16519 * C00011C16519 * C00011</t>
  </si>
  <si>
    <t>C00229 * C22418</t>
  </si>
  <si>
    <t xml:space="preserve"> C00229 * C04738</t>
  </si>
  <si>
    <t xml:space="preserve"> C00229 * C22418</t>
  </si>
  <si>
    <t>C00685 * C00011 * C00229</t>
  </si>
  <si>
    <t xml:space="preserve"> C05744 * C00011 * C00229</t>
  </si>
  <si>
    <t>C05759 * C00011 * C00229</t>
  </si>
  <si>
    <t xml:space="preserve"> C05746 * C00011 * C00229</t>
  </si>
  <si>
    <t>C05750 * C00011 * C00229</t>
  </si>
  <si>
    <t xml:space="preserve"> C05753 * C00011 * C00229</t>
  </si>
  <si>
    <t>C05756 * C00011 * C00229</t>
  </si>
  <si>
    <t xml:space="preserve"> C05762 * C00011 * C00229</t>
  </si>
  <si>
    <t xml:space="preserve"> C16219 * C00229 * C00011</t>
  </si>
  <si>
    <t>C20372 * C00011 * C00229</t>
  </si>
  <si>
    <t>C20376 * C00011 * C00229</t>
  </si>
  <si>
    <t xml:space="preserve"> C22410 * C00229</t>
  </si>
  <si>
    <t>C04652 * C00229</t>
  </si>
  <si>
    <t>C00020 * C20751</t>
  </si>
  <si>
    <t xml:space="preserve"> C20960 * C00010</t>
  </si>
  <si>
    <t xml:space="preserve"> C00010 * C03508</t>
  </si>
  <si>
    <t xml:space="preserve"> C00010 * C01209</t>
  </si>
  <si>
    <t>C00010 * C01118</t>
  </si>
  <si>
    <t>C00010 * C00022</t>
  </si>
  <si>
    <t xml:space="preserve"> C00100 * C00058</t>
  </si>
  <si>
    <t xml:space="preserve"> C00010 * C00227</t>
  </si>
  <si>
    <t xml:space="preserve"> C02876 * C00010</t>
  </si>
  <si>
    <t xml:space="preserve"> C00024 * C00141 * C00001</t>
  </si>
  <si>
    <t xml:space="preserve"> C00015 * C04932</t>
  </si>
  <si>
    <t>C05893 * C00015</t>
  </si>
  <si>
    <t xml:space="preserve"> G10553 * G10619</t>
  </si>
  <si>
    <t xml:space="preserve"> C05898 * C00015</t>
  </si>
  <si>
    <t xml:space="preserve"> G10550 * G10619</t>
  </si>
  <si>
    <t>G10555 * G10619</t>
  </si>
  <si>
    <t xml:space="preserve"> C00295 * C00119</t>
  </si>
  <si>
    <t xml:space="preserve"> C16634 * C00013</t>
  </si>
  <si>
    <t>C00002 * C00119</t>
  </si>
  <si>
    <t xml:space="preserve"> C00108 * C00119</t>
  </si>
  <si>
    <t>C00253 * C04778 * C00080</t>
  </si>
  <si>
    <t xml:space="preserve"> C00385 * C00119</t>
  </si>
  <si>
    <t xml:space="preserve"> C00242 * C00119</t>
  </si>
  <si>
    <t>C20446 * C00242</t>
  </si>
  <si>
    <t xml:space="preserve"> C00262 * C00119</t>
  </si>
  <si>
    <t>C00385 * C00119</t>
  </si>
  <si>
    <t>C04646 * C00013</t>
  </si>
  <si>
    <t>C16615 * C00013</t>
  </si>
  <si>
    <t xml:space="preserve"> C16619 * C00013</t>
  </si>
  <si>
    <t xml:space="preserve"> C00106 * C00119</t>
  </si>
  <si>
    <t>C00073 * C00147 * C19647</t>
  </si>
  <si>
    <t>C00013 * C00921</t>
  </si>
  <si>
    <t xml:space="preserve"> C00921 * C00001</t>
  </si>
  <si>
    <t xml:space="preserve"> C00536 * C00194</t>
  </si>
  <si>
    <t xml:space="preserve"> C06506 * C00536</t>
  </si>
  <si>
    <t xml:space="preserve"> C00536 * C06508</t>
  </si>
  <si>
    <t>C00097 * C00033</t>
  </si>
  <si>
    <t xml:space="preserve"> C05688 * C00033</t>
  </si>
  <si>
    <t>C00097 * C00094 * C00343 * C00033</t>
  </si>
  <si>
    <t xml:space="preserve"> C00097 * C00009</t>
  </si>
  <si>
    <t xml:space="preserve"> C00352 * C00033</t>
  </si>
  <si>
    <t>C00002 * C00073 * C00001</t>
  </si>
  <si>
    <t xml:space="preserve"> C00009 * C00013 * C05691</t>
  </si>
  <si>
    <t>C04631 * C00009</t>
  </si>
  <si>
    <t xml:space="preserve"> C19847 * C00013 * C00011</t>
  </si>
  <si>
    <t xml:space="preserve"> C00013* C04432</t>
  </si>
  <si>
    <t xml:space="preserve"> C00255 * C04732</t>
  </si>
  <si>
    <t xml:space="preserve"> C00036 * C00025</t>
  </si>
  <si>
    <t xml:space="preserve"> C00166 * C00025</t>
  </si>
  <si>
    <t>C01179 * C00025</t>
  </si>
  <si>
    <t xml:space="preserve"> C00957 * C00025</t>
  </si>
  <si>
    <t>C00957 * C00302</t>
  </si>
  <si>
    <t xml:space="preserve"> C05528 * C00025</t>
  </si>
  <si>
    <t>C05527 * C00025</t>
  </si>
  <si>
    <t xml:space="preserve"> C05946 * C00025</t>
  </si>
  <si>
    <t xml:space="preserve"> C01165 * C00151</t>
  </si>
  <si>
    <t>C01165 * C00025</t>
  </si>
  <si>
    <t>C04322 * C00025 * C00001</t>
  </si>
  <si>
    <t>C03167 * C00041</t>
  </si>
  <si>
    <t>C00233 * C00025</t>
  </si>
  <si>
    <t xml:space="preserve"> C00141 * C00025</t>
  </si>
  <si>
    <t xml:space="preserve"> C00671 * C00025</t>
  </si>
  <si>
    <t>C00109 * C00025</t>
  </si>
  <si>
    <t>C03232 * C00025</t>
  </si>
  <si>
    <t>C06054 * C00025</t>
  </si>
  <si>
    <t xml:space="preserve"> C04425 * C01037</t>
  </si>
  <si>
    <t>C03972 * C00025 * C00001</t>
  </si>
  <si>
    <t>C11355 * C00025</t>
  </si>
  <si>
    <t xml:space="preserve"> C11355 * C00001</t>
  </si>
  <si>
    <t xml:space="preserve"> C01267 * C00025</t>
  </si>
  <si>
    <t xml:space="preserve"> C00008 * C05378</t>
  </si>
  <si>
    <t>C00008 * C00354</t>
  </si>
  <si>
    <t xml:space="preserve"> C00112 * C00354</t>
  </si>
  <si>
    <t xml:space="preserve"> C00015 * C00354</t>
  </si>
  <si>
    <t xml:space="preserve"> C00104 * C00354</t>
  </si>
  <si>
    <t>C00008 * C00447</t>
  </si>
  <si>
    <t xml:space="preserve"> C03785 * C00008</t>
  </si>
  <si>
    <t>C00112 * C03785</t>
  </si>
  <si>
    <t xml:space="preserve"> C00015 * C03785</t>
  </si>
  <si>
    <t xml:space="preserve"> C00104 * C03785</t>
  </si>
  <si>
    <t xml:space="preserve"> C00008 * C04919</t>
  </si>
  <si>
    <t>C11436 * C00008</t>
  </si>
  <si>
    <t>C00008 * C00117</t>
  </si>
  <si>
    <t>C01801 * C00002</t>
  </si>
  <si>
    <t xml:space="preserve"> C00008 * C00364</t>
  </si>
  <si>
    <t>C00008 * C00006</t>
  </si>
  <si>
    <t xml:space="preserve"> C00008 * C00010</t>
  </si>
  <si>
    <t xml:space="preserve"> C00008 * C00061</t>
  </si>
  <si>
    <t xml:space="preserve"> C00008 * C00093</t>
  </si>
  <si>
    <t>C00008 * C03492</t>
  </si>
  <si>
    <t>C00008 * C01134</t>
  </si>
  <si>
    <t xml:space="preserve"> C00008 * C04352</t>
  </si>
  <si>
    <t xml:space="preserve"> C00008 * C00018</t>
  </si>
  <si>
    <t xml:space="preserve"> C00008 * C00627</t>
  </si>
  <si>
    <t xml:space="preserve"> C00008 * C00647</t>
  </si>
  <si>
    <t xml:space="preserve"> C00008 * C00074</t>
  </si>
  <si>
    <t>C00035 * C00074</t>
  </si>
  <si>
    <t xml:space="preserve"> C00112 * C00074</t>
  </si>
  <si>
    <t xml:space="preserve"> C00015 * C00074</t>
  </si>
  <si>
    <t xml:space="preserve"> C00104 * C00074</t>
  </si>
  <si>
    <t xml:space="preserve"> C00206 * C00074</t>
  </si>
  <si>
    <t>C00361 * C00074</t>
  </si>
  <si>
    <t xml:space="preserve"> C00454 * C00074</t>
  </si>
  <si>
    <t>C00008 * C00055</t>
  </si>
  <si>
    <t> C00008 * C00105</t>
  </si>
  <si>
    <t xml:space="preserve"> C00008 * C04556</t>
  </si>
  <si>
    <t xml:space="preserve"> C00008 * C00446</t>
  </si>
  <si>
    <t>C00008 * C03175</t>
  </si>
  <si>
    <t>C00009 * C00354</t>
  </si>
  <si>
    <t xml:space="preserve"> C00009 * C05378</t>
  </si>
  <si>
    <t> C00008 * C01167</t>
  </si>
  <si>
    <t>C00008 * C03287</t>
  </si>
  <si>
    <t>C00008 * C03082</t>
  </si>
  <si>
    <t xml:space="preserve"> C00008 * C04133</t>
  </si>
  <si>
    <t xml:space="preserve"> C00008 * C00404</t>
  </si>
  <si>
    <t xml:space="preserve"> C00008 * C00015</t>
  </si>
  <si>
    <t xml:space="preserve"> C00008 * C00112</t>
  </si>
  <si>
    <t>C00008 * C00705</t>
  </si>
  <si>
    <t>C00008 *C00206</t>
  </si>
  <si>
    <t>C03028 * C00020</t>
  </si>
  <si>
    <t xml:space="preserve"> C00008 * C00201</t>
  </si>
  <si>
    <t xml:space="preserve"> C00008 * C00002</t>
  </si>
  <si>
    <t>C11039 * C00008</t>
  </si>
  <si>
    <t xml:space="preserve"> C00008 * C00075</t>
  </si>
  <si>
    <t xml:space="preserve"> C00008 * C00044</t>
  </si>
  <si>
    <t xml:space="preserve"> C00008 * C00063</t>
  </si>
  <si>
    <t xml:space="preserve"> C00008 * C00081</t>
  </si>
  <si>
    <t xml:space="preserve"> C00008 * C00131</t>
  </si>
  <si>
    <t xml:space="preserve"> C00008 * C00286</t>
  </si>
  <si>
    <t xml:space="preserve"> C00008 * C00459</t>
  </si>
  <si>
    <t xml:space="preserve"> C00008 * C00458</t>
  </si>
  <si>
    <t xml:space="preserve"> C00008 * C00460</t>
  </si>
  <si>
    <t xml:space="preserve"> C00008 * C01345</t>
  </si>
  <si>
    <t xml:space="preserve"> C22443 * C00008</t>
  </si>
  <si>
    <t xml:space="preserve"> C00008 * C21749</t>
  </si>
  <si>
    <t xml:space="preserve"> C00008 * C21751</t>
  </si>
  <si>
    <t xml:space="preserve"> C00008 * C04752</t>
  </si>
  <si>
    <t xml:space="preserve"> C00008 * C00035</t>
  </si>
  <si>
    <t>C00008 * C00361</t>
  </si>
  <si>
    <t>C22442 * C00008</t>
  </si>
  <si>
    <t xml:space="preserve"> C00020 * C00068</t>
  </si>
  <si>
    <t>C00020 * C04807</t>
  </si>
  <si>
    <t xml:space="preserve"> C00013 * C00857</t>
  </si>
  <si>
    <t xml:space="preserve"> C00013 * C00003</t>
  </si>
  <si>
    <t>C00013 * C00016</t>
  </si>
  <si>
    <t>C00013 * C00842</t>
  </si>
  <si>
    <t>C00013 * C00882</t>
  </si>
  <si>
    <t xml:space="preserve"> C00013 * C00224</t>
  </si>
  <si>
    <t xml:space="preserve"> C00013 * C05686</t>
  </si>
  <si>
    <t>C00013 * C00046</t>
  </si>
  <si>
    <t xml:space="preserve"> C00013 * C00046</t>
  </si>
  <si>
    <t xml:space="preserve"> C11435 * C00013</t>
  </si>
  <si>
    <t>C00013 * C00039</t>
  </si>
  <si>
    <t xml:space="preserve"> C00013 * C00039</t>
  </si>
  <si>
    <t xml:space="preserve"> C00046 * C00454</t>
  </si>
  <si>
    <t xml:space="preserve"> C00046 * C00008</t>
  </si>
  <si>
    <t>C00046 * C00015</t>
  </si>
  <si>
    <t xml:space="preserve"> C00046 * C00035</t>
  </si>
  <si>
    <t xml:space="preserve"> C00046 * C00112</t>
  </si>
  <si>
    <t>C00105 * C04851</t>
  </si>
  <si>
    <t>C00105 * C19772</t>
  </si>
  <si>
    <t xml:space="preserve"> C00020 * C00074 * C00013</t>
  </si>
  <si>
    <t>C17322 * C15811 * C00020 * C00013</t>
  </si>
  <si>
    <t xml:space="preserve"> C20758 * C00021 * C00073 * C05198 * C00028</t>
  </si>
  <si>
    <t xml:space="preserve"> C03523 * C00066</t>
  </si>
  <si>
    <t xml:space="preserve"> C00860 * C00009</t>
  </si>
  <si>
    <t xml:space="preserve"> C00065 * C00009</t>
  </si>
  <si>
    <t xml:space="preserve"> C00740 * C00009</t>
  </si>
  <si>
    <t>C00020 * C00009</t>
  </si>
  <si>
    <t xml:space="preserve"> C15584 * C00059</t>
  </si>
  <si>
    <t xml:space="preserve"> C00059 * C00468</t>
  </si>
  <si>
    <t>C02686 * C00059</t>
  </si>
  <si>
    <t>G11121 * C00059</t>
  </si>
  <si>
    <t xml:space="preserve"> C00084 * C00009</t>
  </si>
  <si>
    <t xml:space="preserve"> C00721 * C00369</t>
  </si>
  <si>
    <t>C00721 * C00208</t>
  </si>
  <si>
    <t>C00561 * C00031</t>
  </si>
  <si>
    <t xml:space="preserve"> C08325 * C00001</t>
  </si>
  <si>
    <t xml:space="preserve"> C00031 * C01335</t>
  </si>
  <si>
    <t>C05712 * C00031</t>
  </si>
  <si>
    <t>C05838 * C00031</t>
  </si>
  <si>
    <t>C03742 * C00221</t>
  </si>
  <si>
    <t xml:space="preserve"> C18796 * C00221</t>
  </si>
  <si>
    <t xml:space="preserve"> C02659 * C00221</t>
  </si>
  <si>
    <t xml:space="preserve"> C10208 * C00221</t>
  </si>
  <si>
    <t>C06563 * C00221</t>
  </si>
  <si>
    <t xml:space="preserve"> C00389 * C00221</t>
  </si>
  <si>
    <t xml:space="preserve"> C00509 * C00221</t>
  </si>
  <si>
    <t xml:space="preserve"> C00147 * C00117</t>
  </si>
  <si>
    <t>C00049 * C00014</t>
  </si>
  <si>
    <t>C00060 * C00014</t>
  </si>
  <si>
    <t>C11440 * C00058</t>
  </si>
  <si>
    <t>C00058 * C03617</t>
  </si>
  <si>
    <t>C00077 * C00086</t>
  </si>
  <si>
    <t xml:space="preserve"> C04895 * C00058</t>
  </si>
  <si>
    <t>C05923 * C00058</t>
  </si>
  <si>
    <t>C00262 * C00014</t>
  </si>
  <si>
    <t xml:space="preserve"> C01268 * C00014</t>
  </si>
  <si>
    <t>C00385 * C00014</t>
  </si>
  <si>
    <t xml:space="preserve"> C00299 * C00014</t>
  </si>
  <si>
    <t xml:space="preserve"> C00526 * C00014</t>
  </si>
  <si>
    <t>C12739 * C00014</t>
  </si>
  <si>
    <t>C00085 * C00014</t>
  </si>
  <si>
    <t xml:space="preserve"> C00085 * C00014</t>
  </si>
  <si>
    <t xml:space="preserve"> C00365 * C00013</t>
  </si>
  <si>
    <t xml:space="preserve"> C04242 * C00013</t>
  </si>
  <si>
    <t>C02741 * C00013</t>
  </si>
  <si>
    <t>C00215 * C00013</t>
  </si>
  <si>
    <t xml:space="preserve"> C00020 * C00013</t>
  </si>
  <si>
    <t xml:space="preserve"> C00144 * C00013</t>
  </si>
  <si>
    <t>C00055 * C00013</t>
  </si>
  <si>
    <t>C00364 * C00013</t>
  </si>
  <si>
    <t>C00020 * C00455</t>
  </si>
  <si>
    <t xml:space="preserve"> C00020 * C00061</t>
  </si>
  <si>
    <t xml:space="preserve"> C00105 * C00103</t>
  </si>
  <si>
    <t xml:space="preserve"> C00020 * C01185</t>
  </si>
  <si>
    <t>C01134 * C00020</t>
  </si>
  <si>
    <t xml:space="preserve"> C00099 * C00011</t>
  </si>
  <si>
    <t xml:space="preserve"> C00041 * C00011</t>
  </si>
  <si>
    <t xml:space="preserve"> C00041 * C09306</t>
  </si>
  <si>
    <t>C00334 * C00011</t>
  </si>
  <si>
    <t>C00099 * C00011</t>
  </si>
  <si>
    <t xml:space="preserve"> C03373 * C00011</t>
  </si>
  <si>
    <t xml:space="preserve"> C00105 * C00011</t>
  </si>
  <si>
    <t>C01134 * C00011</t>
  </si>
  <si>
    <t>C03506 ** C00011 * C00001</t>
  </si>
  <si>
    <t>C00008 * C00074 * C00011</t>
  </si>
  <si>
    <t>C00350 *  C00011</t>
  </si>
  <si>
    <t xml:space="preserve"> C00315 * C00011</t>
  </si>
  <si>
    <t>C03375 * C00011</t>
  </si>
  <si>
    <t>C00111 * C00118</t>
  </si>
  <si>
    <t xml:space="preserve"> C00111 * C00279</t>
  </si>
  <si>
    <t xml:space="preserve"> C00111 * C00577</t>
  </si>
  <si>
    <t>C00111 * C00577</t>
  </si>
  <si>
    <t xml:space="preserve"> C00111 * C00424</t>
  </si>
  <si>
    <t>C00111 * C00266</t>
  </si>
  <si>
    <t xml:space="preserve"> C00266 * C01300</t>
  </si>
  <si>
    <t xml:space="preserve"> C00118 * C00084</t>
  </si>
  <si>
    <t>C03657 * C00010</t>
  </si>
  <si>
    <t xml:space="preserve"> C15547 * C00001</t>
  </si>
  <si>
    <t xml:space="preserve"> C15556 * C00058</t>
  </si>
  <si>
    <t xml:space="preserve"> C04556 * C05198 * C00073 * C00058 * C00237</t>
  </si>
  <si>
    <t>C00011 * C00001</t>
  </si>
  <si>
    <t>C02637 * C00001</t>
  </si>
  <si>
    <t>C00074 * C00001</t>
  </si>
  <si>
    <t xml:space="preserve"> C04309 * C00001</t>
  </si>
  <si>
    <t xml:space="preserve"> C04133 * C00005 * C00080</t>
  </si>
  <si>
    <t xml:space="preserve"> C01267 * C00001</t>
  </si>
  <si>
    <t>C00122 * C00001</t>
  </si>
  <si>
    <t>C00078 * C00001</t>
  </si>
  <si>
    <t>C00463  * C00118</t>
  </si>
  <si>
    <t xml:space="preserve"> C00463 * C00118</t>
  </si>
  <si>
    <t xml:space="preserve"> C00078 * C00118 * C00001</t>
  </si>
  <si>
    <t xml:space="preserve"> C00417 * C00001</t>
  </si>
  <si>
    <t>C00417 * C00001</t>
  </si>
  <si>
    <t>C02631 * C00001</t>
  </si>
  <si>
    <t>C11907 * C00001</t>
  </si>
  <si>
    <t>C01222 * C00001</t>
  </si>
  <si>
    <t xml:space="preserve"> C00785 * C00001</t>
  </si>
  <si>
    <t>C00204 * C00001</t>
  </si>
  <si>
    <t xml:space="preserve"> C00141 * C00001</t>
  </si>
  <si>
    <t>C00141 * C00001</t>
  </si>
  <si>
    <t xml:space="preserve"> C00671 * C00001</t>
  </si>
  <si>
    <t>C00188 * C00009</t>
  </si>
  <si>
    <t xml:space="preserve"> C06056 * C00009</t>
  </si>
  <si>
    <t xml:space="preserve"> C00546 * C00009</t>
  </si>
  <si>
    <t>C00546 * C00009</t>
  </si>
  <si>
    <t>C00944 * C00009</t>
  </si>
  <si>
    <t xml:space="preserve"> C00251 * C00009</t>
  </si>
  <si>
    <t xml:space="preserve"> C00022 * C00014</t>
  </si>
  <si>
    <t xml:space="preserve"> C02218 * C00001</t>
  </si>
  <si>
    <t>C00161 * C00014</t>
  </si>
  <si>
    <t xml:space="preserve"> C00109 * C00014</t>
  </si>
  <si>
    <t>C00109 * C00014</t>
  </si>
  <si>
    <t>C00022 * C00014</t>
  </si>
  <si>
    <t xml:space="preserve"> C00785 * C00014</t>
  </si>
  <si>
    <t xml:space="preserve"> C11823 * C00014</t>
  </si>
  <si>
    <t>C00122 * C00062</t>
  </si>
  <si>
    <t>C00122 * C00020</t>
  </si>
  <si>
    <t xml:space="preserve"> C00122 * C04677</t>
  </si>
  <si>
    <t xml:space="preserve"> C22441 * C00122</t>
  </si>
  <si>
    <t>C20258  * C00001</t>
  </si>
  <si>
    <t>C11453 * C00055</t>
  </si>
  <si>
    <t>C00645 * C00015</t>
  </si>
  <si>
    <t xml:space="preserve"> C01170 * C00001</t>
  </si>
  <si>
    <t>C00197  * C04262</t>
  </si>
  <si>
    <t xml:space="preserve"> C00197 * C04262</t>
  </si>
  <si>
    <t xml:space="preserve"> C00020 * C00013 * C02839</t>
  </si>
  <si>
    <t>C00020 * C00013 * C02430</t>
  </si>
  <si>
    <t xml:space="preserve"> C00020 * C00013 * C05336</t>
  </si>
  <si>
    <t xml:space="preserve"> C00020 * C00013 * C02553</t>
  </si>
  <si>
    <t xml:space="preserve"> C00020 * C00013 * C06481</t>
  </si>
  <si>
    <t xml:space="preserve"> C02984 * C00013 * C00020</t>
  </si>
  <si>
    <t xml:space="preserve"> C00020 * C00013 * C02412</t>
  </si>
  <si>
    <t xml:space="preserve"> C00020 * C00013 * C02702</t>
  </si>
  <si>
    <t xml:space="preserve"> C00020 * C00013 * C03125</t>
  </si>
  <si>
    <t xml:space="preserve"> C02987 * C00013 * C00020</t>
  </si>
  <si>
    <t xml:space="preserve"> C00020 * C00013 * C02163</t>
  </si>
  <si>
    <t>C00020 * C00013 * C03512</t>
  </si>
  <si>
    <t>C00020 * C00013 * C03511</t>
  </si>
  <si>
    <t>C00020 * C00013 * C02988</t>
  </si>
  <si>
    <t xml:space="preserve"> C00020 * C00013 * C03402</t>
  </si>
  <si>
    <t>C00020 * C00013 * C02992</t>
  </si>
  <si>
    <t>C00020 * C00013 * C02047</t>
  </si>
  <si>
    <t>C00020 * C00013 * C03127</t>
  </si>
  <si>
    <t xml:space="preserve"> C00020 * C00013 * C01931</t>
  </si>
  <si>
    <t xml:space="preserve"> C00020 * C00013 * C00886</t>
  </si>
  <si>
    <t>C00020 * C00013 * C02554</t>
  </si>
  <si>
    <t xml:space="preserve"> C00020 * C00013 * C00152</t>
  </si>
  <si>
    <t xml:space="preserve"> C00020 * C00013 * C00003</t>
  </si>
  <si>
    <t xml:space="preserve"> C00105 * C05897</t>
  </si>
  <si>
    <t xml:space="preserve"> C00008 * C00009 * C00993</t>
  </si>
  <si>
    <t>C00055 * C00013 * C04352</t>
  </si>
  <si>
    <t>C00008 * C00009 * C04823</t>
  </si>
  <si>
    <t xml:space="preserve"> C00008 * C00009 * C01212</t>
  </si>
  <si>
    <t xml:space="preserve"> C00008 * C00009 * C00692</t>
  </si>
  <si>
    <t xml:space="preserve"> C00008 * C00009 * C00445</t>
  </si>
  <si>
    <t>C00008 * C00009 * C01909</t>
  </si>
  <si>
    <t xml:space="preserve"> C01909 * C00008 * C00009</t>
  </si>
  <si>
    <t xml:space="preserve"> C00008 * C00009 * C03838</t>
  </si>
  <si>
    <t xml:space="preserve"> C00008 * C00009 * C04419</t>
  </si>
  <si>
    <t xml:space="preserve"> C00020 * C00013 * C04681</t>
  </si>
  <si>
    <t xml:space="preserve"> C00013 * C05921</t>
  </si>
  <si>
    <t xml:space="preserve"> C00020 * C06250</t>
  </si>
  <si>
    <t>C19723 * C00020 * C00013 * C00001</t>
  </si>
  <si>
    <t>C00008 * C00009 * C00063</t>
  </si>
  <si>
    <t>C00008 * C00009 * C00063 * C00025</t>
  </si>
  <si>
    <t xml:space="preserve"> C00008 * C00009 * C00234</t>
  </si>
  <si>
    <t>C00035 * C00009 * C03794</t>
  </si>
  <si>
    <t xml:space="preserve"> C00020 * C00013 * C00144</t>
  </si>
  <si>
    <t>C00020 * C00013 * C00144 * C00025</t>
  </si>
  <si>
    <t>C16619 * C00020 * C00013 * C00025</t>
  </si>
  <si>
    <t>C00008 * C00009 * C04640 * C00025</t>
  </si>
  <si>
    <t>C00025 * C00014</t>
  </si>
  <si>
    <t xml:space="preserve"> C00020 * C00013 * C00152 * C00025</t>
  </si>
  <si>
    <t>C00008 * C00169</t>
  </si>
  <si>
    <t>C00008 * C20969</t>
  </si>
  <si>
    <t>C01563 *  C00009</t>
  </si>
  <si>
    <t xml:space="preserve">C01250 + C00009 + C00006 </t>
  </si>
  <si>
    <t>C04133 + C00005 + C00080</t>
  </si>
  <si>
    <t xml:space="preserve">C01250 * C00009 * C00006 </t>
  </si>
  <si>
    <t>C04133 * C00005 * C00080</t>
  </si>
  <si>
    <t xml:space="preserve">C03912 | C00006 | 2 C00001 </t>
  </si>
  <si>
    <t xml:space="preserve">C04281 | C00003 | 2 C00001 </t>
  </si>
  <si>
    <t>C04281 | C00006 | 2 C00001</t>
  </si>
  <si>
    <t>C05947 | C00005 | C00080</t>
  </si>
  <si>
    <t>C05947 + C00005 + C00080</t>
  </si>
  <si>
    <t xml:space="preserve"> C03722 + C00119</t>
  </si>
  <si>
    <t xml:space="preserve"> C03722 * C00119</t>
  </si>
  <si>
    <t>https://www.kegg.jp/entry/R00509/R04928</t>
  </si>
  <si>
    <t xml:space="preserve">C00002 + C00224 </t>
  </si>
  <si>
    <t xml:space="preserve"> C00008 + C00053</t>
  </si>
  <si>
    <t>C00002 + C05686</t>
  </si>
  <si>
    <t>C00008 + C05696</t>
  </si>
  <si>
    <t xml:space="preserve">C00002 * C00224 </t>
  </si>
  <si>
    <t>C00002 * C05686</t>
  </si>
  <si>
    <t xml:space="preserve"> C00008 * C00053</t>
  </si>
  <si>
    <t>C00008 * C05696</t>
  </si>
  <si>
    <t xml:space="preserve">C01170 *  C00003 * C00001 </t>
  </si>
  <si>
    <t xml:space="preserve">C01170 + C00003 + C00001 </t>
  </si>
  <si>
    <t xml:space="preserve">C00860 + C00003 + C00001 </t>
  </si>
  <si>
    <t xml:space="preserve">C11811 +  C00138 + C00080 </t>
  </si>
  <si>
    <t xml:space="preserve">C00235 +  C00139 + C00001 </t>
  </si>
  <si>
    <t>C03912 + C00003 + C00001</t>
  </si>
  <si>
    <t xml:space="preserve">C03912 + C00006 + C00001 </t>
  </si>
  <si>
    <t>C04281 + C00003 +  C00001</t>
  </si>
  <si>
    <t>C04281 + C00006 +  C00001</t>
  </si>
  <si>
    <t xml:space="preserve">C00025 + C00006 </t>
  </si>
  <si>
    <t xml:space="preserve"> C00025 + C00006 </t>
  </si>
  <si>
    <t>C00014 +  C00001 +  C00125</t>
  </si>
  <si>
    <t>C00014 + C00001 + C00125</t>
  </si>
  <si>
    <t>C00014 + C00001 +  C00125</t>
  </si>
  <si>
    <t xml:space="preserve">C01528 +  C00006 +  C00001 </t>
  </si>
  <si>
    <t xml:space="preserve"> C00005 +  C00080 + C18902 </t>
  </si>
  <si>
    <t xml:space="preserve">C00002 + C00541 + C03024 </t>
  </si>
  <si>
    <t xml:space="preserve"> C00002 + C06504 + C03024 </t>
  </si>
  <si>
    <t xml:space="preserve"> C04332 </t>
  </si>
  <si>
    <t>C00201</t>
  </si>
  <si>
    <t xml:space="preserve">C00677 + C00039 </t>
  </si>
  <si>
    <t>C00677 + C00039</t>
  </si>
  <si>
    <t xml:space="preserve">C01909 + C17023 +  C00019 +  C05359 +  C00080 </t>
  </si>
  <si>
    <t xml:space="preserve">C01909 +C17023 +  C00019 +  C05359 + C00080 </t>
  </si>
  <si>
    <t>C16236 + C22154 +  C00019 + C22150 +  C00080</t>
  </si>
  <si>
    <t xml:space="preserve">C22160 + C22154 +  C00019 +  C22150 + C00080 </t>
  </si>
  <si>
    <t xml:space="preserve"> C22159 + C22154 +  C00019 +  C22150 +  C00080</t>
  </si>
  <si>
    <t>C20756 + C17023 + C00019 + C00030</t>
  </si>
  <si>
    <t xml:space="preserve">C01898 +  C00001 </t>
  </si>
  <si>
    <t>G10481 + C00001</t>
  </si>
  <si>
    <t xml:space="preserve">C01898 + C00001 </t>
  </si>
  <si>
    <t>C00002 + C00064 + C00288 + C00001</t>
  </si>
  <si>
    <t xml:space="preserve"> C00002  +  C00288  + C00014</t>
  </si>
  <si>
    <t>C00002  +  C00288  + C00014</t>
  </si>
  <si>
    <t>C00003 + C00039 + C02128</t>
  </si>
  <si>
    <t xml:space="preserve">C11811 * C00138 *  C00080 </t>
  </si>
  <si>
    <t xml:space="preserve">C00235 *  C00139 * C00001 </t>
  </si>
  <si>
    <t>C03912 * C00003 * C00001</t>
  </si>
  <si>
    <t xml:space="preserve">C03912 * C00006 * C00001 </t>
  </si>
  <si>
    <t>C04281 * C00003 * C00001</t>
  </si>
  <si>
    <t>C04281 * C00006 * C00001</t>
  </si>
  <si>
    <t xml:space="preserve">C00025 * C00006 </t>
  </si>
  <si>
    <t xml:space="preserve">C01157  * C00006 </t>
  </si>
  <si>
    <t xml:space="preserve">C01157 + C00006 </t>
  </si>
  <si>
    <t>C00014 *  C00001 *  C00125</t>
  </si>
  <si>
    <t>C00014 * C00001 * C00125</t>
  </si>
  <si>
    <t xml:space="preserve">C01528 * C00006 * C00001 </t>
  </si>
  <si>
    <t xml:space="preserve"> C00005 * C00080 * C18902 </t>
  </si>
  <si>
    <t xml:space="preserve">C00019 * C20648 </t>
  </si>
  <si>
    <t xml:space="preserve"> C00002 * C00541 * C03024 </t>
  </si>
  <si>
    <t xml:space="preserve">C00002 *  C06504 * C03024 </t>
  </si>
  <si>
    <t xml:space="preserve">C04332 </t>
  </si>
  <si>
    <t xml:space="preserve"> C00201</t>
  </si>
  <si>
    <t xml:space="preserve">C00677 * C00039 </t>
  </si>
  <si>
    <t>C00677 * C00039</t>
  </si>
  <si>
    <t xml:space="preserve">C01909 *C17023 *  C00019 *  C05359 * C00080 </t>
  </si>
  <si>
    <t xml:space="preserve">C01909 *C17023 *  C00019 * C05359 * C00080 </t>
  </si>
  <si>
    <t>C16236 * C22154 *  C00019 * C22150 *  C00080</t>
  </si>
  <si>
    <t xml:space="preserve">C22160 * C22154 * C00019 * C22150 * C00080 </t>
  </si>
  <si>
    <t xml:space="preserve"> C22159 * C22154 *  C00019 *  C22150 *  C00080</t>
  </si>
  <si>
    <t>C20756 * C17023 *  C00019 * C00030</t>
  </si>
  <si>
    <t xml:space="preserve">C01898 * C00001 </t>
  </si>
  <si>
    <t>G10481  * C00001</t>
  </si>
  <si>
    <t>G10481 * C00001</t>
  </si>
  <si>
    <t>C00002 * C00064 * C00288 * C00001</t>
  </si>
  <si>
    <t>C00002  *  C00288  * C00014</t>
  </si>
  <si>
    <t xml:space="preserve"> C00002 * C00064 * C00288 * C00001</t>
  </si>
  <si>
    <t xml:space="preserve"> C00002  *  C00288  * C00014</t>
  </si>
  <si>
    <t xml:space="preserve"> C06240 + C00004 + C00080</t>
  </si>
  <si>
    <t>C00129 + C00139 + C00001</t>
  </si>
  <si>
    <t>C11811 + C00138 + C00080</t>
  </si>
  <si>
    <t>C00088 + C00126 + C00080</t>
  </si>
  <si>
    <t>C00006 + C00001 + C05703</t>
  </si>
  <si>
    <t xml:space="preserve"> C00021 + C20796</t>
  </si>
  <si>
    <t>C03800 + C11475</t>
  </si>
  <si>
    <t>C03800 * C11475</t>
  </si>
  <si>
    <t>C00022</t>
  </si>
  <si>
    <t>C05746 + C00011 + C00229</t>
  </si>
  <si>
    <t>C05744 + C00011 + C00229</t>
  </si>
  <si>
    <t xml:space="preserve">  C00536 +  C00194 + C03161</t>
  </si>
  <si>
    <t xml:space="preserve"> C00536 + C06506 + C03161</t>
  </si>
  <si>
    <t xml:space="preserve"> C04332 + C00001 + C00009</t>
  </si>
  <si>
    <t>C00627 + C00009 + C00001</t>
  </si>
  <si>
    <t xml:space="preserve">  C00008</t>
  </si>
  <si>
    <t xml:space="preserve"> C20864 + C00013</t>
  </si>
  <si>
    <t xml:space="preserve"> C20864 +  C00013</t>
  </si>
  <si>
    <t xml:space="preserve"> C00120 + C00073 + C05198</t>
  </si>
  <si>
    <t>C16832 + C22155 + C00283 + C14818 + C00073 + C05198 + C22151</t>
  </si>
  <si>
    <t>C15973 + C22155 +  C00283 +  C14818 + C00073 + C05198 + C22151</t>
  </si>
  <si>
    <t xml:space="preserve"> C02972 +C22155  + C00283 + C14818 +  C00073 + C05198 +  C22151</t>
  </si>
  <si>
    <t xml:space="preserve"> C00221</t>
  </si>
  <si>
    <t>C00031</t>
  </si>
  <si>
    <t xml:space="preserve"> C00031 + C00185</t>
  </si>
  <si>
    <t xml:space="preserve"> G10481 + C00221</t>
  </si>
  <si>
    <t> C00031</t>
  </si>
  <si>
    <t>C00221</t>
  </si>
  <si>
    <t>C00058 + C01304 + C00009</t>
  </si>
  <si>
    <t>C00009</t>
  </si>
  <si>
    <t xml:space="preserve">C00002 + C00078 + C01652 </t>
  </si>
  <si>
    <t xml:space="preserve"> C00020 * C00013  * C03512</t>
  </si>
  <si>
    <t xml:space="preserve"> C00008 + C00009 + C00025 + C00169</t>
  </si>
  <si>
    <t xml:space="preserve"> C00008 + C00009 + C00169</t>
  </si>
  <si>
    <t>C00008 + C00009 + C00025 + C00169</t>
  </si>
  <si>
    <t>C00008 + C00009 + C00169</t>
  </si>
  <si>
    <t xml:space="preserve"> C00135 *  C00004 * C00080</t>
  </si>
  <si>
    <t xml:space="preserve"> C06240 * C00004 *  C00080</t>
  </si>
  <si>
    <t>C00129 * C00139 * C00001</t>
  </si>
  <si>
    <t>C11811 * C00138 * C00080</t>
  </si>
  <si>
    <t>C05947 * C00005 * C00080</t>
  </si>
  <si>
    <t>C04281 + C00004 + C00080</t>
  </si>
  <si>
    <t>C04281 + C00005 + C00080</t>
  </si>
  <si>
    <t>C00143 + C00005 + C00080</t>
  </si>
  <si>
    <t>C04281 * C00004 * C00080</t>
  </si>
  <si>
    <t>C04281 * C00005 * C00080</t>
  </si>
  <si>
    <t>C00143 * C00005 * C00080</t>
  </si>
  <si>
    <t>C00088 * C00126 * C00080</t>
  </si>
  <si>
    <t xml:space="preserve"> C05684 *  C00005 *  C00080</t>
  </si>
  <si>
    <t>C00006 * C00001 * C05703</t>
  </si>
  <si>
    <t>C00021 * C20796</t>
  </si>
  <si>
    <t>C00536 * C00194 * C03161</t>
  </si>
  <si>
    <t xml:space="preserve"> C00536 * C06506 * C03161</t>
  </si>
  <si>
    <t xml:space="preserve"> C04332 * C00001 * C00009</t>
  </si>
  <si>
    <t>C00627 * C00009 * C00001</t>
  </si>
  <si>
    <t xml:space="preserve"> C00008</t>
  </si>
  <si>
    <t xml:space="preserve"> C20864 * C00013</t>
  </si>
  <si>
    <t xml:space="preserve"> C20864 *  C00013</t>
  </si>
  <si>
    <t xml:space="preserve"> C00120 *  C00073 *  C05198</t>
  </si>
  <si>
    <t>C16832 * C22155 *  C00283 *4 C14818 *  C00073 *  C05198 *  C22151</t>
  </si>
  <si>
    <t>C15973 * C22155 *  C00283 *  C14818 *  C00073 *  C05198 *  C22151</t>
  </si>
  <si>
    <t xml:space="preserve"> C02972 *C22155 * C00283 * C14818 *  C00073 * C05198 * C22151</t>
  </si>
  <si>
    <t xml:space="preserve"> C00031</t>
  </si>
  <si>
    <t xml:space="preserve"> C00031 * C00185</t>
  </si>
  <si>
    <t xml:space="preserve"> G10481 * C00221</t>
  </si>
  <si>
    <t>C00031 * C00185</t>
  </si>
  <si>
    <t xml:space="preserve"> G10481* C00221</t>
  </si>
  <si>
    <t>C00058 * C01304 * C00009</t>
  </si>
  <si>
    <t xml:space="preserve"> C00009</t>
  </si>
  <si>
    <t>C00008 * C00009 * C00025 * C00169</t>
  </si>
  <si>
    <t xml:space="preserve"> C00008 * C00009 * C00169</t>
  </si>
  <si>
    <t>C00008 * C00009 * C00169</t>
  </si>
  <si>
    <t>No</t>
  </si>
  <si>
    <t xml:space="preserve">EC_number  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</si>
  <si>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</si>
  <si>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</si>
  <si>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</si>
  <si>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</si>
  <si>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</si>
  <si>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</si>
  <si>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</si>
  <si>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</si>
  <si>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</si>
  <si>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</si>
  <si>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</si>
  <si>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</si>
  <si>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C01651</t>
  </si>
  <si>
    <t xml:space="preserve">C00019 + C01977 </t>
  </si>
  <si>
    <t xml:space="preserve">C00019 + C20648 </t>
  </si>
  <si>
    <t xml:space="preserve">C22441 + C00002 </t>
  </si>
  <si>
    <t>C00002</t>
  </si>
  <si>
    <t>C00133</t>
  </si>
  <si>
    <t>C00001</t>
  </si>
  <si>
    <t>C00080</t>
  </si>
  <si>
    <t>C05359</t>
  </si>
  <si>
    <t>C00005</t>
  </si>
  <si>
    <t>C00020</t>
  </si>
  <si>
    <t>C00019</t>
  </si>
  <si>
    <t>C22150</t>
  </si>
  <si>
    <t>C00006</t>
  </si>
  <si>
    <t>C04332</t>
  </si>
  <si>
    <t>C22159</t>
  </si>
  <si>
    <t>C00138</t>
  </si>
  <si>
    <t>C00139</t>
  </si>
  <si>
    <t>C00214</t>
  </si>
  <si>
    <t>C00125</t>
  </si>
  <si>
    <t>C00288</t>
  </si>
  <si>
    <t>C00003</t>
  </si>
  <si>
    <t>C20969</t>
  </si>
  <si>
    <t>C00013</t>
  </si>
  <si>
    <t>C00030</t>
  </si>
  <si>
    <t>C00014</t>
  </si>
  <si>
    <t>C00016</t>
  </si>
  <si>
    <t>C00024</t>
  </si>
  <si>
    <t>C00004</t>
  </si>
  <si>
    <t>C00028</t>
  </si>
  <si>
    <t>C00029</t>
  </si>
  <si>
    <t>C00007</t>
  </si>
  <si>
    <t>C00037</t>
  </si>
  <si>
    <t>C00041</t>
  </si>
  <si>
    <t>C00011</t>
  </si>
  <si>
    <t>C00044</t>
  </si>
  <si>
    <t>C00046</t>
  </si>
  <si>
    <t>C00052</t>
  </si>
  <si>
    <t>C00054</t>
  </si>
  <si>
    <t>C00062</t>
  </si>
  <si>
    <t>C00064</t>
  </si>
  <si>
    <t>C00063</t>
  </si>
  <si>
    <t>C00065</t>
  </si>
  <si>
    <t>C00097</t>
  </si>
  <si>
    <t>C00068</t>
  </si>
  <si>
    <t>C00074</t>
  </si>
  <si>
    <t>C00217</t>
  </si>
  <si>
    <t>C00075</t>
  </si>
  <si>
    <t>C00077</t>
  </si>
  <si>
    <t>C00342</t>
  </si>
  <si>
    <t>C00079</t>
  </si>
  <si>
    <t>C00787</t>
  </si>
  <si>
    <t>C00081</t>
  </si>
  <si>
    <t>C01635</t>
  </si>
  <si>
    <t>C00082</t>
  </si>
  <si>
    <t>C01636</t>
  </si>
  <si>
    <t>C00083</t>
  </si>
  <si>
    <t>C01637</t>
  </si>
  <si>
    <t>C01639</t>
  </si>
  <si>
    <t>C00092</t>
  </si>
  <si>
    <t>C01642</t>
  </si>
  <si>
    <t>C00093</t>
  </si>
  <si>
    <t>C01643</t>
  </si>
  <si>
    <t>C01644</t>
  </si>
  <si>
    <t>C01645</t>
  </si>
  <si>
    <t>C01646</t>
  </si>
  <si>
    <t>C00100</t>
  </si>
  <si>
    <t>C01647</t>
  </si>
  <si>
    <t>C00101</t>
  </si>
  <si>
    <t>C01648</t>
  </si>
  <si>
    <t>C00105</t>
  </si>
  <si>
    <t>C01649</t>
  </si>
  <si>
    <t>C00109</t>
  </si>
  <si>
    <t>C01650</t>
  </si>
  <si>
    <t>C01652</t>
  </si>
  <si>
    <t>C01653</t>
  </si>
  <si>
    <t>C02128</t>
  </si>
  <si>
    <t>C00118</t>
  </si>
  <si>
    <t>C03024</t>
  </si>
  <si>
    <t>C00123</t>
  </si>
  <si>
    <t>C03512</t>
  </si>
  <si>
    <t>C00130</t>
  </si>
  <si>
    <t>C04735</t>
  </si>
  <si>
    <t>C00131</t>
  </si>
  <si>
    <t>C05197</t>
  </si>
  <si>
    <t>C16636</t>
  </si>
  <si>
    <t>C00143</t>
  </si>
  <si>
    <t>C18902</t>
  </si>
  <si>
    <t>C00144</t>
  </si>
  <si>
    <t>C00147</t>
  </si>
  <si>
    <t>C00148</t>
  </si>
  <si>
    <t>C00152</t>
  </si>
  <si>
    <t>C00169</t>
  </si>
  <si>
    <t>C00173</t>
  </si>
  <si>
    <t>C00183</t>
  </si>
  <si>
    <t>C00185</t>
  </si>
  <si>
    <t>C00206</t>
  </si>
  <si>
    <t>C00233</t>
  </si>
  <si>
    <t>C00234</t>
  </si>
  <si>
    <t>C00235</t>
  </si>
  <si>
    <t>C00241</t>
  </si>
  <si>
    <t>C00242</t>
  </si>
  <si>
    <t>C00263</t>
  </si>
  <si>
    <t>C00286</t>
  </si>
  <si>
    <t>C00311</t>
  </si>
  <si>
    <t>C00337</t>
  </si>
  <si>
    <t>C00357</t>
  </si>
  <si>
    <t>C00008</t>
  </si>
  <si>
    <t>C00361</t>
  </si>
  <si>
    <t>C00365</t>
  </si>
  <si>
    <t>C00369</t>
  </si>
  <si>
    <t>C00407</t>
  </si>
  <si>
    <t>C00429</t>
  </si>
  <si>
    <t>C00010</t>
  </si>
  <si>
    <t>C00440</t>
  </si>
  <si>
    <t>C00441</t>
  </si>
  <si>
    <t>C00458</t>
  </si>
  <si>
    <t>C00459</t>
  </si>
  <si>
    <t>C00460</t>
  </si>
  <si>
    <t>C00475</t>
  </si>
  <si>
    <t>C00506</t>
  </si>
  <si>
    <t>C00507</t>
  </si>
  <si>
    <t>C00015</t>
  </si>
  <si>
    <t>C00514</t>
  </si>
  <si>
    <t>C00579</t>
  </si>
  <si>
    <t>C00606</t>
  </si>
  <si>
    <t>C00645</t>
  </si>
  <si>
    <t>C00655</t>
  </si>
  <si>
    <t>C00664</t>
  </si>
  <si>
    <t>C00668</t>
  </si>
  <si>
    <t>C00677</t>
  </si>
  <si>
    <t>C00680</t>
  </si>
  <si>
    <t>C00026</t>
  </si>
  <si>
    <t>C00705</t>
  </si>
  <si>
    <t>C00842</t>
  </si>
  <si>
    <t>C00844</t>
  </si>
  <si>
    <t>C00850</t>
  </si>
  <si>
    <t>C00857</t>
  </si>
  <si>
    <t>C00860</t>
  </si>
  <si>
    <t>C00881</t>
  </si>
  <si>
    <t>C00882</t>
  </si>
  <si>
    <t>C00900</t>
  </si>
  <si>
    <t>C00035</t>
  </si>
  <si>
    <t>C00906</t>
  </si>
  <si>
    <t>C00036</t>
  </si>
  <si>
    <t>C00935</t>
  </si>
  <si>
    <t>C00944</t>
  </si>
  <si>
    <t>C00963</t>
  </si>
  <si>
    <t>C00039</t>
  </si>
  <si>
    <t>C00979</t>
  </si>
  <si>
    <t>C01005</t>
  </si>
  <si>
    <t>C01037</t>
  </si>
  <si>
    <t>C01050</t>
  </si>
  <si>
    <t>C01097</t>
  </si>
  <si>
    <t>C01100</t>
  </si>
  <si>
    <t>C01102</t>
  </si>
  <si>
    <t>C01103</t>
  </si>
  <si>
    <t>C01131</t>
  </si>
  <si>
    <t>C01157</t>
  </si>
  <si>
    <t>C01159</t>
  </si>
  <si>
    <t>C01165</t>
  </si>
  <si>
    <t>C01185</t>
  </si>
  <si>
    <t>C01236</t>
  </si>
  <si>
    <t>C01242</t>
  </si>
  <si>
    <t>C01250</t>
  </si>
  <si>
    <t>C01269</t>
  </si>
  <si>
    <t>C01271</t>
  </si>
  <si>
    <t>C01300</t>
  </si>
  <si>
    <t>C01304</t>
  </si>
  <si>
    <t>C01346</t>
  </si>
  <si>
    <t>C01528</t>
  </si>
  <si>
    <t>C01594</t>
  </si>
  <si>
    <t>C01638</t>
  </si>
  <si>
    <t>C01641</t>
  </si>
  <si>
    <t>C01898</t>
  </si>
  <si>
    <t>C00047</t>
  </si>
  <si>
    <t>C01909</t>
  </si>
  <si>
    <t>C01929</t>
  </si>
  <si>
    <t>C01977</t>
  </si>
  <si>
    <t>C01978</t>
  </si>
  <si>
    <t>C02218</t>
  </si>
  <si>
    <t>C00051</t>
  </si>
  <si>
    <t>C02356</t>
  </si>
  <si>
    <t>C00055</t>
  </si>
  <si>
    <t>C02380</t>
  </si>
  <si>
    <t>C00058</t>
  </si>
  <si>
    <t>C02430</t>
  </si>
  <si>
    <t>C00059</t>
  </si>
  <si>
    <t>C00061</t>
  </si>
  <si>
    <t>C02532</t>
  </si>
  <si>
    <t>C02538</t>
  </si>
  <si>
    <t>C02737</t>
  </si>
  <si>
    <t>C02739</t>
  </si>
  <si>
    <t>C02741</t>
  </si>
  <si>
    <t>C02972</t>
  </si>
  <si>
    <t>C03023</t>
  </si>
  <si>
    <t>C03167</t>
  </si>
  <si>
    <t>C00073</t>
  </si>
  <si>
    <t>C03319</t>
  </si>
  <si>
    <t>C00078</t>
  </si>
  <si>
    <t>C03373</t>
  </si>
  <si>
    <t>C03479</t>
  </si>
  <si>
    <t>C03557</t>
  </si>
  <si>
    <t>C03680</t>
  </si>
  <si>
    <t>C03794</t>
  </si>
  <si>
    <t>C03880</t>
  </si>
  <si>
    <t>C03912</t>
  </si>
  <si>
    <t>C03939</t>
  </si>
  <si>
    <t>C03972</t>
  </si>
  <si>
    <t>C00103</t>
  </si>
  <si>
    <t>C00104</t>
  </si>
  <si>
    <t>C04232</t>
  </si>
  <si>
    <t>C04250</t>
  </si>
  <si>
    <t>C04258</t>
  </si>
  <si>
    <t>C00112</t>
  </si>
  <si>
    <t>C00116</t>
  </si>
  <si>
    <t>C04281</t>
  </si>
  <si>
    <t>C04302</t>
  </si>
  <si>
    <t>C00119</t>
  </si>
  <si>
    <t>C04454</t>
  </si>
  <si>
    <t>C00120</t>
  </si>
  <si>
    <t>C04478</t>
  </si>
  <si>
    <t>C04618</t>
  </si>
  <si>
    <t>C00121</t>
  </si>
  <si>
    <t>C04619</t>
  </si>
  <si>
    <t>C04620</t>
  </si>
  <si>
    <t>C04633</t>
  </si>
  <si>
    <t>C04646</t>
  </si>
  <si>
    <t>C00141</t>
  </si>
  <si>
    <t>C04652</t>
  </si>
  <si>
    <t>C04666</t>
  </si>
  <si>
    <t>C04688</t>
  </si>
  <si>
    <t>C04702</t>
  </si>
  <si>
    <t>C00155</t>
  </si>
  <si>
    <t>C04732</t>
  </si>
  <si>
    <t>C00161</t>
  </si>
  <si>
    <t>C04807</t>
  </si>
  <si>
    <t>C04851</t>
  </si>
  <si>
    <t>C00224</t>
  </si>
  <si>
    <t>C00229</t>
  </si>
  <si>
    <t>C04882</t>
  </si>
  <si>
    <t>C04895</t>
  </si>
  <si>
    <t>C00239</t>
  </si>
  <si>
    <t>C00250</t>
  </si>
  <si>
    <t>C05143</t>
  </si>
  <si>
    <t>C00255</t>
  </si>
  <si>
    <t>C00283</t>
  </si>
  <si>
    <t>C05223</t>
  </si>
  <si>
    <t>C05623</t>
  </si>
  <si>
    <t>C00299</t>
  </si>
  <si>
    <t>C05698</t>
  </si>
  <si>
    <t>C00314</t>
  </si>
  <si>
    <t>C05713</t>
  </si>
  <si>
    <t>C00320</t>
  </si>
  <si>
    <t>C05745</t>
  </si>
  <si>
    <t>C00343</t>
  </si>
  <si>
    <t>C05747</t>
  </si>
  <si>
    <t>C05749</t>
  </si>
  <si>
    <t>C05752</t>
  </si>
  <si>
    <t>C05755</t>
  </si>
  <si>
    <t>C05757</t>
  </si>
  <si>
    <t>C05761</t>
  </si>
  <si>
    <t>C00360</t>
  </si>
  <si>
    <t>C05764</t>
  </si>
  <si>
    <t>C05839</t>
  </si>
  <si>
    <t>C00362</t>
  </si>
  <si>
    <t>C05847</t>
  </si>
  <si>
    <t>C00363</t>
  </si>
  <si>
    <t>C05897</t>
  </si>
  <si>
    <t>C00378</t>
  </si>
  <si>
    <t>C05921</t>
  </si>
  <si>
    <t>C00404</t>
  </si>
  <si>
    <t>C05922</t>
  </si>
  <si>
    <t>C05947</t>
  </si>
  <si>
    <t>C00437</t>
  </si>
  <si>
    <t>C06007</t>
  </si>
  <si>
    <t>C00454</t>
  </si>
  <si>
    <t>C06010</t>
  </si>
  <si>
    <t>C00455</t>
  </si>
  <si>
    <t>C06022</t>
  </si>
  <si>
    <t>C00463</t>
  </si>
  <si>
    <t>C06055</t>
  </si>
  <si>
    <t>C06125</t>
  </si>
  <si>
    <t>C06156</t>
  </si>
  <si>
    <t>C00493</t>
  </si>
  <si>
    <t>C06441</t>
  </si>
  <si>
    <t>C00534</t>
  </si>
  <si>
    <t>C06505</t>
  </si>
  <si>
    <t>C00541</t>
  </si>
  <si>
    <t>C07335</t>
  </si>
  <si>
    <t>C00568</t>
  </si>
  <si>
    <t>C07648</t>
  </si>
  <si>
    <t>C07649</t>
  </si>
  <si>
    <t>C00585</t>
  </si>
  <si>
    <t>C08334</t>
  </si>
  <si>
    <t>C09099</t>
  </si>
  <si>
    <t>C00615</t>
  </si>
  <si>
    <t>C09126</t>
  </si>
  <si>
    <t>C10216</t>
  </si>
  <si>
    <t>C00624</t>
  </si>
  <si>
    <t>C11038</t>
  </si>
  <si>
    <t>C11434</t>
  </si>
  <si>
    <t>C00821</t>
  </si>
  <si>
    <t>C11435</t>
  </si>
  <si>
    <t>C00831</t>
  </si>
  <si>
    <t>C11439</t>
  </si>
  <si>
    <t>C00853</t>
  </si>
  <si>
    <t>C11537</t>
  </si>
  <si>
    <t>C00856</t>
  </si>
  <si>
    <t>C11539</t>
  </si>
  <si>
    <t>C11638</t>
  </si>
  <si>
    <t>C11811</t>
  </si>
  <si>
    <t>C00864</t>
  </si>
  <si>
    <t>C15667</t>
  </si>
  <si>
    <t>C00984</t>
  </si>
  <si>
    <t>C15973</t>
  </si>
  <si>
    <t>C16219</t>
  </si>
  <si>
    <t>C16236</t>
  </si>
  <si>
    <t>C01092</t>
  </si>
  <si>
    <t>C16614</t>
  </si>
  <si>
    <t>C16618</t>
  </si>
  <si>
    <t>C16635</t>
  </si>
  <si>
    <t>C16832</t>
  </si>
  <si>
    <t>C17234</t>
  </si>
  <si>
    <t>C18172</t>
  </si>
  <si>
    <t>C01134</t>
  </si>
  <si>
    <t>C18174</t>
  </si>
  <si>
    <t>C19673</t>
  </si>
  <si>
    <t>C19722</t>
  </si>
  <si>
    <t>C01209</t>
  </si>
  <si>
    <t>C20372</t>
  </si>
  <si>
    <t>C20375</t>
  </si>
  <si>
    <t>C20376</t>
  </si>
  <si>
    <t>C20641</t>
  </si>
  <si>
    <t>C20756</t>
  </si>
  <si>
    <t>C20904</t>
  </si>
  <si>
    <t>C21028</t>
  </si>
  <si>
    <t>C21750</t>
  </si>
  <si>
    <t>C21751</t>
  </si>
  <si>
    <t>C01212</t>
  </si>
  <si>
    <t>C22160</t>
  </si>
  <si>
    <t>C01279</t>
  </si>
  <si>
    <t>C22395</t>
  </si>
  <si>
    <t>C22441</t>
  </si>
  <si>
    <t>C01344</t>
  </si>
  <si>
    <t>C22442</t>
  </si>
  <si>
    <t>G00289</t>
  </si>
  <si>
    <t>C01563</t>
  </si>
  <si>
    <t>G10481</t>
  </si>
  <si>
    <t>G10551</t>
  </si>
  <si>
    <t>G10552</t>
  </si>
  <si>
    <t>G10556</t>
  </si>
  <si>
    <t>G11122</t>
  </si>
  <si>
    <t>C02051</t>
  </si>
  <si>
    <t>C02743</t>
  </si>
  <si>
    <t>C03090</t>
  </si>
  <si>
    <t>C03114</t>
  </si>
  <si>
    <t>C03170</t>
  </si>
  <si>
    <t>C03492</t>
  </si>
  <si>
    <t>C03657</t>
  </si>
  <si>
    <t>C04079</t>
  </si>
  <si>
    <t>C04376</t>
  </si>
  <si>
    <t>C04489</t>
  </si>
  <si>
    <t>C04556</t>
  </si>
  <si>
    <t>C04677</t>
  </si>
  <si>
    <t>C04824</t>
  </si>
  <si>
    <t>C04932</t>
  </si>
  <si>
    <t>C05125</t>
  </si>
  <si>
    <t>C05196</t>
  </si>
  <si>
    <t>C05335</t>
  </si>
  <si>
    <t>C05345</t>
  </si>
  <si>
    <t>C05382</t>
  </si>
  <si>
    <t>C05686</t>
  </si>
  <si>
    <t>C05697</t>
  </si>
  <si>
    <t>C05774</t>
  </si>
  <si>
    <t>C06249</t>
  </si>
  <si>
    <t>C06250</t>
  </si>
  <si>
    <t>C06406</t>
  </si>
  <si>
    <t>C06407</t>
  </si>
  <si>
    <t>C06504</t>
  </si>
  <si>
    <t>C11437</t>
  </si>
  <si>
    <t>C15498</t>
  </si>
  <si>
    <t>C15556</t>
  </si>
  <si>
    <t>C15812</t>
  </si>
  <si>
    <t>C16664</t>
  </si>
  <si>
    <t>C16675</t>
  </si>
  <si>
    <t>C17023</t>
  </si>
  <si>
    <t>C17324</t>
  </si>
  <si>
    <t>C17556</t>
  </si>
  <si>
    <t>C20446</t>
  </si>
  <si>
    <t>C20648</t>
  </si>
  <si>
    <t>C21748</t>
  </si>
  <si>
    <t>C22154</t>
  </si>
  <si>
    <t>C22409</t>
  </si>
  <si>
    <t>G10610</t>
  </si>
  <si>
    <t>C00685</t>
  </si>
  <si>
    <t>C05744</t>
  </si>
  <si>
    <t>C05753</t>
  </si>
  <si>
    <t>C05750</t>
  </si>
  <si>
    <t>C01335</t>
  </si>
  <si>
    <t>C05312</t>
  </si>
  <si>
    <t>C05762</t>
  </si>
  <si>
    <t>C00033</t>
  </si>
  <si>
    <t>C05759</t>
  </si>
  <si>
    <t>C05746</t>
  </si>
  <si>
    <t>C14818</t>
  </si>
  <si>
    <t>C05756</t>
  </si>
  <si>
    <t>C00027</t>
  </si>
  <si>
    <t>C16220</t>
  </si>
  <si>
    <t>C05198</t>
  </si>
  <si>
    <t>C20373</t>
  </si>
  <si>
    <t>C05703</t>
  </si>
  <si>
    <t>C20377</t>
  </si>
  <si>
    <t>C05199</t>
  </si>
  <si>
    <t>C00688</t>
  </si>
  <si>
    <t>C01268</t>
  </si>
  <si>
    <t>C16663</t>
  </si>
  <si>
    <t>C02090</t>
  </si>
  <si>
    <t>C19647</t>
  </si>
  <si>
    <t>C03161</t>
  </si>
  <si>
    <t>C05691</t>
  </si>
  <si>
    <t>C06240</t>
  </si>
  <si>
    <t>C00126</t>
  </si>
  <si>
    <t>C05528</t>
  </si>
  <si>
    <t>C04144</t>
  </si>
  <si>
    <t>C02839</t>
  </si>
  <si>
    <t>C06032</t>
  </si>
  <si>
    <t>C00021</t>
  </si>
  <si>
    <t>C05336</t>
  </si>
  <si>
    <t>C06416</t>
  </si>
  <si>
    <t>C02553</t>
  </si>
  <si>
    <t>C20796</t>
  </si>
  <si>
    <t>C06481</t>
  </si>
  <si>
    <t>C20258</t>
  </si>
  <si>
    <t>C04157</t>
  </si>
  <si>
    <t>C02412</t>
  </si>
  <si>
    <t>C03723</t>
  </si>
  <si>
    <t>C04160</t>
  </si>
  <si>
    <t>C02702</t>
  </si>
  <si>
    <t>C02967</t>
  </si>
  <si>
    <t>C03125</t>
  </si>
  <si>
    <t>C00364</t>
  </si>
  <si>
    <t>C02163</t>
  </si>
  <si>
    <t>C11475</t>
  </si>
  <si>
    <t>C03391</t>
  </si>
  <si>
    <t>C03511</t>
  </si>
  <si>
    <t>C02988</t>
  </si>
  <si>
    <t>C03802</t>
  </si>
  <si>
    <t>C03402</t>
  </si>
  <si>
    <t>C02992</t>
  </si>
  <si>
    <t>C00067</t>
  </si>
  <si>
    <t>C02047</t>
  </si>
  <si>
    <t>C04734</t>
  </si>
  <si>
    <t>C03127</t>
  </si>
  <si>
    <t>C00439</t>
  </si>
  <si>
    <t>C01931</t>
  </si>
  <si>
    <t>C00129</t>
  </si>
  <si>
    <t>C01045</t>
  </si>
  <si>
    <t>C00886</t>
  </si>
  <si>
    <t>C03294</t>
  </si>
  <si>
    <t>C02554</t>
  </si>
  <si>
    <t>C00438</t>
  </si>
  <si>
    <t>C03082</t>
  </si>
  <si>
    <t>C15532</t>
  </si>
  <si>
    <t>C04133</t>
  </si>
  <si>
    <t>C00993</t>
  </si>
  <si>
    <t>C03287</t>
  </si>
  <si>
    <t>C22418</t>
  </si>
  <si>
    <t>C04738</t>
  </si>
  <si>
    <t>C00692</t>
  </si>
  <si>
    <t>C05938</t>
  </si>
  <si>
    <t>C00445</t>
  </si>
  <si>
    <t>C00178</t>
  </si>
  <si>
    <t>C20751</t>
  </si>
  <si>
    <t>C03838</t>
  </si>
  <si>
    <t>C00106</t>
  </si>
  <si>
    <t>C04419</t>
  </si>
  <si>
    <t>C00295</t>
  </si>
  <si>
    <t>C03508</t>
  </si>
  <si>
    <t>C04681</t>
  </si>
  <si>
    <t>C04631</t>
  </si>
  <si>
    <t>C01118</t>
  </si>
  <si>
    <t>C00227</t>
  </si>
  <si>
    <t>C00048</t>
  </si>
  <si>
    <t>G10619</t>
  </si>
  <si>
    <t>C04640</t>
  </si>
  <si>
    <t>C03871</t>
  </si>
  <si>
    <t>C04778</t>
  </si>
  <si>
    <t>C05840</t>
  </si>
  <si>
    <t>C00921</t>
  </si>
  <si>
    <t>C00194</t>
  </si>
  <si>
    <t>C06506</t>
  </si>
  <si>
    <t>C00536</t>
  </si>
  <si>
    <t>C00088</t>
  </si>
  <si>
    <t>C06508</t>
  </si>
  <si>
    <t>C00192</t>
  </si>
  <si>
    <t>C00094</t>
  </si>
  <si>
    <t>C16237</t>
  </si>
  <si>
    <t>C04432</t>
  </si>
  <si>
    <t>C15972</t>
  </si>
  <si>
    <t>C00248</t>
  </si>
  <si>
    <t>C00302</t>
  </si>
  <si>
    <t>C05526</t>
  </si>
  <si>
    <t>C00151</t>
  </si>
  <si>
    <t>C05684</t>
  </si>
  <si>
    <t>C15653</t>
  </si>
  <si>
    <t>C11540</t>
  </si>
  <si>
    <t>C03785</t>
  </si>
  <si>
    <t>C04919</t>
  </si>
  <si>
    <t>C00415</t>
  </si>
  <si>
    <t>C03800</t>
  </si>
  <si>
    <t>C00053</t>
  </si>
  <si>
    <t>C05696</t>
  </si>
  <si>
    <t>C00018</t>
  </si>
  <si>
    <t>C00627</t>
  </si>
  <si>
    <t>C06006</t>
  </si>
  <si>
    <t>C00647</t>
  </si>
  <si>
    <t>C16519</t>
  </si>
  <si>
    <t>C00446</t>
  </si>
  <si>
    <t>C03175</t>
  </si>
  <si>
    <t>C01167</t>
  </si>
  <si>
    <t>C22410</t>
  </si>
  <si>
    <t>C20960</t>
  </si>
  <si>
    <t>C02876</t>
  </si>
  <si>
    <t>C05893</t>
  </si>
  <si>
    <t>C01345</t>
  </si>
  <si>
    <t>G10553</t>
  </si>
  <si>
    <t>C21749</t>
  </si>
  <si>
    <t>C05898</t>
  </si>
  <si>
    <t>G10550</t>
  </si>
  <si>
    <t>C04752</t>
  </si>
  <si>
    <t>G10555</t>
  </si>
  <si>
    <t>C16634</t>
  </si>
  <si>
    <t>C00108</t>
  </si>
  <si>
    <t>C03722</t>
  </si>
  <si>
    <t>C00253</t>
  </si>
  <si>
    <t>C00385</t>
  </si>
  <si>
    <t>C00262</t>
  </si>
  <si>
    <t>C16615</t>
  </si>
  <si>
    <t>C16619</t>
  </si>
  <si>
    <t>C19772</t>
  </si>
  <si>
    <t>C15811</t>
  </si>
  <si>
    <t>C22155</t>
  </si>
  <si>
    <t>C00066</t>
  </si>
  <si>
    <t>C00468</t>
  </si>
  <si>
    <t>C05688</t>
  </si>
  <si>
    <t>C00208</t>
  </si>
  <si>
    <t>C19847</t>
  </si>
  <si>
    <t>C03617</t>
  </si>
  <si>
    <t>C00166</t>
  </si>
  <si>
    <t>C00086</t>
  </si>
  <si>
    <t>C01179</t>
  </si>
  <si>
    <t>C00957</t>
  </si>
  <si>
    <t>C05527</t>
  </si>
  <si>
    <t>C05946</t>
  </si>
  <si>
    <t>C09306</t>
  </si>
  <si>
    <t>C04322</t>
  </si>
  <si>
    <t>C00279</t>
  </si>
  <si>
    <t>C00577</t>
  </si>
  <si>
    <t>C00671</t>
  </si>
  <si>
    <t>C00424</t>
  </si>
  <si>
    <t>C00266</t>
  </si>
  <si>
    <t>C03232</t>
  </si>
  <si>
    <t>C06054</t>
  </si>
  <si>
    <t>C00084</t>
  </si>
  <si>
    <t>C04425</t>
  </si>
  <si>
    <t>C11355</t>
  </si>
  <si>
    <t>C01267</t>
  </si>
  <si>
    <t>C00122</t>
  </si>
  <si>
    <t>C04262</t>
  </si>
  <si>
    <t>C01801</t>
  </si>
  <si>
    <t>C03028</t>
  </si>
  <si>
    <t>C22443</t>
  </si>
  <si>
    <t>C20864</t>
  </si>
  <si>
    <t>C17322</t>
  </si>
  <si>
    <t>C20758</t>
  </si>
  <si>
    <t>C03523</t>
  </si>
  <si>
    <t>C00740</t>
  </si>
  <si>
    <t>C15584</t>
  </si>
  <si>
    <t>C02686</t>
  </si>
  <si>
    <t>G11121</t>
  </si>
  <si>
    <t>C00721</t>
  </si>
  <si>
    <t>C00561</t>
  </si>
  <si>
    <t>C08325</t>
  </si>
  <si>
    <t>C05712</t>
  </si>
  <si>
    <t>C05838</t>
  </si>
  <si>
    <t>C03742</t>
  </si>
  <si>
    <t>C18796</t>
  </si>
  <si>
    <t>C02659</t>
  </si>
  <si>
    <t>C10208</t>
  </si>
  <si>
    <t>C06563</t>
  </si>
  <si>
    <t>C00389</t>
  </si>
  <si>
    <t>C00509</t>
  </si>
  <si>
    <t>C00060</t>
  </si>
  <si>
    <t>C11440</t>
  </si>
  <si>
    <t>C00526</t>
  </si>
  <si>
    <t>C12739</t>
  </si>
  <si>
    <t>C04242</t>
  </si>
  <si>
    <t>C00215</t>
  </si>
  <si>
    <t>C00099</t>
  </si>
  <si>
    <t>C00334</t>
  </si>
  <si>
    <t>C00350</t>
  </si>
  <si>
    <t>C00315</t>
  </si>
  <si>
    <t>C03375</t>
  </si>
  <si>
    <t>C15547</t>
  </si>
  <si>
    <t>C02637</t>
  </si>
  <si>
    <t>C04309</t>
  </si>
  <si>
    <t>C00417</t>
  </si>
  <si>
    <t>C02631</t>
  </si>
  <si>
    <t>C01222</t>
  </si>
  <si>
    <t>C00785</t>
  </si>
  <si>
    <t>C00204</t>
  </si>
  <si>
    <t>C06056</t>
  </si>
  <si>
    <t>C00546</t>
  </si>
  <si>
    <t>C11823</t>
  </si>
  <si>
    <t>C11453</t>
  </si>
  <si>
    <t>C00231</t>
  </si>
  <si>
    <t>C00203</t>
  </si>
  <si>
    <t>C02097</t>
  </si>
  <si>
    <t>C00683</t>
  </si>
  <si>
    <t>C03633</t>
  </si>
  <si>
    <t>C00861</t>
  </si>
  <si>
    <t>C03733</t>
  </si>
  <si>
    <t>C02984</t>
  </si>
  <si>
    <t>C02987</t>
  </si>
  <si>
    <t>C19723</t>
  </si>
  <si>
    <t>C22151</t>
  </si>
  <si>
    <t>Metabolites</t>
  </si>
  <si>
    <t>Name</t>
  </si>
  <si>
    <t>Initial Concentration (mM)</t>
  </si>
  <si>
    <t>Object</t>
  </si>
  <si>
    <t>Water</t>
  </si>
  <si>
    <t>ATP</t>
  </si>
  <si>
    <t>NAD+</t>
  </si>
  <si>
    <t>NADH</t>
  </si>
  <si>
    <t>NADPH</t>
  </si>
  <si>
    <t>NADP+</t>
  </si>
  <si>
    <t>Oxygen</t>
  </si>
  <si>
    <t>ADP</t>
  </si>
  <si>
    <t xml:space="preserve">Phosphoric Acid </t>
  </si>
  <si>
    <t>CoA</t>
  </si>
  <si>
    <t xml:space="preserve">Carbon Dioxide </t>
  </si>
  <si>
    <t xml:space="preserve">Diphosphoric Acid </t>
  </si>
  <si>
    <t>Ammonia</t>
  </si>
  <si>
    <t>UDP</t>
  </si>
  <si>
    <t>FAD</t>
  </si>
  <si>
    <t>SAM</t>
  </si>
  <si>
    <t>AMP</t>
  </si>
  <si>
    <t>S-Adenosyl-L-Homocysteine(SAH)</t>
  </si>
  <si>
    <t xml:space="preserve">Pyruvate </t>
  </si>
  <si>
    <t>Pyridoxal Phosphate(PLP)</t>
  </si>
  <si>
    <t>Acetyl-CoA</t>
  </si>
  <si>
    <t>L-Glutamate</t>
  </si>
  <si>
    <t xml:space="preserve">2-Oxoglutarate </t>
  </si>
  <si>
    <t xml:space="preserve">Hydrogen Peroxide </t>
  </si>
  <si>
    <t>Acceptor</t>
  </si>
  <si>
    <t>UDP-glucose</t>
  </si>
  <si>
    <t xml:space="preserve">Reduced Acceptor </t>
  </si>
  <si>
    <t>D-Glucose</t>
  </si>
  <si>
    <t>Acetate</t>
  </si>
  <si>
    <t>GDP</t>
  </si>
  <si>
    <t>Oxaloacetate</t>
  </si>
  <si>
    <t>Glycine</t>
  </si>
  <si>
    <t>DNA</t>
  </si>
  <si>
    <t>L-Alanine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</si>
  <si>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</si>
  <si>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</si>
  <si>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</si>
  <si>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</si>
  <si>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</si>
  <si>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</si>
  <si>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</si>
  <si>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UDP-D-Galactose</t>
  </si>
  <si>
    <t>3'-Phosphoadenylyl Sulfate/PAPS</t>
  </si>
  <si>
    <t xml:space="preserve">Adenosine 3',5'-bisphosphate </t>
  </si>
  <si>
    <t>Cytidine-5'-monophosphate/CMP</t>
  </si>
  <si>
    <t>Formate</t>
  </si>
  <si>
    <t xml:space="preserve">Carboxylate </t>
  </si>
  <si>
    <t>Flavin Mononucleotide/FMN</t>
  </si>
  <si>
    <t>L-Arginine</t>
  </si>
  <si>
    <t>CTP</t>
  </si>
  <si>
    <t>L-Glutamine</t>
  </si>
  <si>
    <t>L-Serine</t>
  </si>
  <si>
    <t>tRNA</t>
  </si>
  <si>
    <t xml:space="preserve">Thiamin Diphosphate </t>
  </si>
  <si>
    <t xml:space="preserve">L-Methionine </t>
  </si>
  <si>
    <t xml:space="preserve">Phosphoenolpyruvate </t>
  </si>
  <si>
    <t>UTP</t>
  </si>
  <si>
    <t>L-Tryptophan</t>
  </si>
  <si>
    <t>L-Phenylalanine</t>
  </si>
  <si>
    <t>H+</t>
  </si>
  <si>
    <t>ITP</t>
  </si>
  <si>
    <t>L-Tyrosine</t>
  </si>
  <si>
    <t>Acetaldehyde</t>
  </si>
  <si>
    <t xml:space="preserve">D-Fructose </t>
  </si>
  <si>
    <t xml:space="preserve">sn-Glycerol 3-Phosphate </t>
  </si>
  <si>
    <t xml:space="preserve">Sulfite </t>
  </si>
  <si>
    <t xml:space="preserve">L-Cysteine </t>
  </si>
  <si>
    <t>Propanoyl-CoA</t>
  </si>
  <si>
    <t xml:space="preserve">Tetrahydrofolate </t>
  </si>
  <si>
    <t xml:space="preserve">Glucose 1-Phosphate </t>
  </si>
  <si>
    <t>IDP</t>
  </si>
  <si>
    <t>UMP</t>
  </si>
  <si>
    <t>Uracil</t>
  </si>
  <si>
    <t xml:space="preserve">2-Oxobutanoate </t>
  </si>
  <si>
    <t xml:space="preserve">Glycerone Phosphate </t>
  </si>
  <si>
    <t>CDP</t>
  </si>
  <si>
    <t>Glycerol</t>
  </si>
  <si>
    <t xml:space="preserve">D-Ribose 5-Phosphate </t>
  </si>
  <si>
    <t xml:space="preserve">D-Glyceraldehyde 3-Phosphate </t>
  </si>
  <si>
    <t xml:space="preserve">5-Phospho-alpha-D-ribose 1-diphosphate </t>
  </si>
  <si>
    <t>D-Ribose</t>
  </si>
  <si>
    <t>Fumarate</t>
  </si>
  <si>
    <t>L-Leucine</t>
  </si>
  <si>
    <t xml:space="preserve">Isopentenyl Diphosphate </t>
  </si>
  <si>
    <t>IMP</t>
  </si>
  <si>
    <t>dATP</t>
  </si>
  <si>
    <t>D-Alanine</t>
  </si>
  <si>
    <t xml:space="preserve">3-Methyl-2-oxobutanoic acid </t>
  </si>
  <si>
    <t>5,10-Methylenetetrahydrofolate</t>
  </si>
  <si>
    <t>GMP</t>
  </si>
  <si>
    <t>Adenine</t>
  </si>
  <si>
    <t xml:space="preserve">L-Proline </t>
  </si>
  <si>
    <t>(S)-Malate</t>
  </si>
  <si>
    <t>L-Asparagine</t>
  </si>
  <si>
    <t>L-Homocysteine</t>
  </si>
  <si>
    <t>Citrate</t>
  </si>
  <si>
    <t>2-Oxo acid</t>
  </si>
  <si>
    <t>Phenylpyruvate</t>
  </si>
  <si>
    <t xml:space="preserve">Carbamoyl Phosphate </t>
  </si>
  <si>
    <t>Acyl-[acyl-carrier protein]</t>
  </si>
  <si>
    <t>L-Valine</t>
  </si>
  <si>
    <t>L-Threonine</t>
  </si>
  <si>
    <t xml:space="preserve">3-Phospho-D-glycerate </t>
  </si>
  <si>
    <t>NTP</t>
  </si>
  <si>
    <t>UDP-N-acetyl-D-galactosamine</t>
  </si>
  <si>
    <t>dADP</t>
  </si>
  <si>
    <t xml:space="preserve">Thymidine </t>
  </si>
  <si>
    <t xml:space="preserve">D-Glutamate </t>
  </si>
  <si>
    <t xml:space="preserve">Adenylyl Sulfate </t>
  </si>
  <si>
    <t>Acetyl Phosphate</t>
  </si>
  <si>
    <t xml:space="preserve">Acyl-carrier protein </t>
  </si>
  <si>
    <t xml:space="preserve">D-Xylulose 5-Phosphate </t>
  </si>
  <si>
    <t xml:space="preserve">4-Methyl-2-oxopentanoate </t>
  </si>
  <si>
    <t>10-Formyltetrahydrofolate</t>
  </si>
  <si>
    <t>Dimethylallyl diphosphate</t>
  </si>
  <si>
    <t>dCMP</t>
  </si>
  <si>
    <t>Amide</t>
  </si>
  <si>
    <t>Guanine</t>
  </si>
  <si>
    <t>Pyridoxal</t>
  </si>
  <si>
    <t>Nicotinate</t>
  </si>
  <si>
    <t>Riboflavin</t>
  </si>
  <si>
    <t>Hypoxanthine</t>
  </si>
  <si>
    <t>L-Homoserine</t>
  </si>
  <si>
    <t xml:space="preserve">alpha-D-Glucose </t>
  </si>
  <si>
    <t xml:space="preserve">Hydrogen Sulfide </t>
  </si>
  <si>
    <t>dGTP</t>
  </si>
  <si>
    <t>HCO3-</t>
  </si>
  <si>
    <t>Orotate</t>
  </si>
  <si>
    <t>Uridine</t>
  </si>
  <si>
    <t xml:space="preserve">Glutamate </t>
  </si>
  <si>
    <t>Pyridoxine</t>
  </si>
  <si>
    <t>Thiosulfate</t>
  </si>
  <si>
    <t>(S)-Dihydroorotate</t>
  </si>
  <si>
    <t>Thioredoxin</t>
  </si>
  <si>
    <t xml:space="preserve">Thioredoxin disulfide </t>
  </si>
  <si>
    <t>6-Phospho-D-gluconate</t>
  </si>
  <si>
    <t>Phosphatidylethanolamine</t>
  </si>
  <si>
    <t>D-Glucosamine 6-phosphate</t>
  </si>
  <si>
    <t>D-Fructose 1,6-bisphosphate</t>
  </si>
  <si>
    <t>N-Acetyl-D-glucosamine 6-phosphate</t>
  </si>
  <si>
    <t>dAMP</t>
  </si>
  <si>
    <t>dGDP</t>
  </si>
  <si>
    <t>dGMP</t>
  </si>
  <si>
    <t>dTMP</t>
  </si>
  <si>
    <t>dUMP</t>
  </si>
  <si>
    <t>Starch</t>
  </si>
  <si>
    <t>Thiamine</t>
  </si>
  <si>
    <t>Xanthine</t>
  </si>
  <si>
    <t>L-Isoleucine</t>
  </si>
  <si>
    <t>Dihydrofolate</t>
  </si>
  <si>
    <t>N-Carbamoyl-L-aspartate</t>
  </si>
  <si>
    <t>L-Aspartate 4-semialdehyde</t>
  </si>
  <si>
    <t>5,10-Methenyltetrahydrofolate</t>
  </si>
  <si>
    <t xml:space="preserve">alpha-D-Galactose 1-phosphate </t>
  </si>
  <si>
    <t>Sedoheptulose 1,7-bisphosphate</t>
  </si>
  <si>
    <t>NDP</t>
  </si>
  <si>
    <t>Nicotinamide-D-ribonucleotide</t>
  </si>
  <si>
    <t>dCTP</t>
  </si>
  <si>
    <t>dTTP</t>
  </si>
  <si>
    <t>dUTP</t>
  </si>
  <si>
    <t>Cytidine</t>
  </si>
  <si>
    <t>L-Cysteate</t>
  </si>
  <si>
    <t>Deoxyuridine</t>
  </si>
  <si>
    <t>Pyridoxamine</t>
  </si>
  <si>
    <t>Protein tyrosine</t>
  </si>
  <si>
    <t>3-Sulfino-L-alanine</t>
  </si>
  <si>
    <t>Protein histidine</t>
  </si>
  <si>
    <t>2-Phospho-D-glycerate</t>
  </si>
  <si>
    <t>N-Acetyl-D-mannosamine</t>
  </si>
  <si>
    <t>Pyridoxamine phosphate</t>
  </si>
  <si>
    <t>Xanthosine 5'-phosphate</t>
  </si>
  <si>
    <t>LL-2,6-Diaminoheptanedioate</t>
  </si>
  <si>
    <t xml:space="preserve">alpha-D-Glucose 6-phosphate </t>
  </si>
  <si>
    <t>(S)-3-Methyl-2-oxopentanoic acid</t>
  </si>
  <si>
    <t>2-Deoxy-D-ribose 5-phosphate</t>
  </si>
  <si>
    <t>Deoxynucleoside triphosphate</t>
  </si>
  <si>
    <t>meso-2,6-Diaminoheptanedioate</t>
  </si>
  <si>
    <t>UDP-N-acetylmuramoyl-L-alanyl-D-glutamate</t>
  </si>
  <si>
    <t>dCDP</t>
  </si>
  <si>
    <t>tRNA(Tyr)</t>
  </si>
  <si>
    <t xml:space="preserve">Pantethiene </t>
  </si>
  <si>
    <t>dTDP-glucose</t>
  </si>
  <si>
    <t>Deamino-NAD+</t>
  </si>
  <si>
    <t>Pantothenate</t>
  </si>
  <si>
    <t>tRNA uridine</t>
  </si>
  <si>
    <t>Deoxycytidine</t>
  </si>
  <si>
    <t>Dephospho-CoA</t>
  </si>
  <si>
    <t>L-Alanyl-tRNA</t>
  </si>
  <si>
    <t>Mercaptopyruvate</t>
  </si>
  <si>
    <t>O-Phospho-L-serine</t>
  </si>
  <si>
    <t>Sulfate</t>
  </si>
  <si>
    <t>Formaldehyde</t>
  </si>
  <si>
    <t>L-Ornithine</t>
  </si>
  <si>
    <t>Malonyl-CoA</t>
  </si>
  <si>
    <t>Urea</t>
  </si>
  <si>
    <t>Nitrite</t>
  </si>
  <si>
    <t>Succinyl-CoA</t>
  </si>
  <si>
    <t>GDP-mannose</t>
  </si>
  <si>
    <t>beta-Alanine</t>
  </si>
  <si>
    <t>Anthranilate</t>
  </si>
  <si>
    <t xml:space="preserve"> Biotin</t>
  </si>
  <si>
    <t>Ferrocytochrome c</t>
  </si>
  <si>
    <t>L-Histidine</t>
  </si>
  <si>
    <t>Reduced ferredoxin</t>
  </si>
  <si>
    <t>Oxidized ferredoxin</t>
  </si>
  <si>
    <t>L-Amino acid</t>
  </si>
  <si>
    <t>Thymine</t>
  </si>
  <si>
    <t>Cellobiose</t>
  </si>
  <si>
    <t>D-Glucuronate</t>
  </si>
  <si>
    <t>Hydroxylamine</t>
  </si>
  <si>
    <t>D-Ribulose 5-phosphate</t>
  </si>
  <si>
    <t>2-Dehydro-3-deoxy-D-gluconate</t>
  </si>
  <si>
    <t>Maltose</t>
  </si>
  <si>
    <t>Nucleotide</t>
  </si>
  <si>
    <t>beta-D-Glucose</t>
  </si>
  <si>
    <t>Lipoamide</t>
  </si>
  <si>
    <t>Chorismate</t>
  </si>
  <si>
    <t>Glycolaldehyde</t>
  </si>
  <si>
    <t>D-Erythrose 4-phosphate</t>
  </si>
  <si>
    <t>Isocitrate</t>
  </si>
  <si>
    <t>Spermidine</t>
  </si>
  <si>
    <t>D-Galacturonate</t>
  </si>
  <si>
    <t>4-Aminobutanoate</t>
  </si>
  <si>
    <t>dTDP</t>
  </si>
  <si>
    <t>Quercetin</t>
  </si>
  <si>
    <t>Polyphosphate</t>
  </si>
  <si>
    <t>cis-Aconitate</t>
  </si>
  <si>
    <t>(S)-Lactaldehyde</t>
  </si>
  <si>
    <t>5,6-Dihydrouracil</t>
  </si>
  <si>
    <t>N-Acetylornithine</t>
  </si>
  <si>
    <t>N-Formimino-L-glutamate</t>
  </si>
  <si>
    <t>5-Methyltetrahydrofolate</t>
  </si>
  <si>
    <t>Indole</t>
  </si>
  <si>
    <t>Estrone</t>
  </si>
  <si>
    <t>Shikimate</t>
  </si>
  <si>
    <t>L-Rhamnose</t>
  </si>
  <si>
    <t>Naringenin</t>
  </si>
  <si>
    <t>D-Mannonate</t>
  </si>
  <si>
    <t>Triphosphate</t>
  </si>
  <si>
    <t>Cob(II)alamin</t>
  </si>
  <si>
    <t>Methylglyoxal</t>
  </si>
  <si>
    <t>D-Tagaturonate</t>
  </si>
  <si>
    <t>Mandelonitrile</t>
  </si>
  <si>
    <t>4-Aminobenzoate</t>
  </si>
  <si>
    <t>D-Glyceraldehyde</t>
  </si>
  <si>
    <t>Dihydrolipoamide</t>
  </si>
  <si>
    <t>N-Acetyl-L-glutamate</t>
  </si>
  <si>
    <t>Pyridoxine phosphate</t>
  </si>
  <si>
    <t>5-Formiminotetrahydrofolate</t>
  </si>
  <si>
    <t>3-Oxoacyl-[acyl-carrier protein]</t>
  </si>
  <si>
    <t>dTDP-4-dehydro-beta-L-rhamnose</t>
  </si>
  <si>
    <t>D-Serine</t>
  </si>
  <si>
    <t>Urocanate</t>
  </si>
  <si>
    <t>DNA adenine</t>
  </si>
  <si>
    <t>Prunasin</t>
  </si>
  <si>
    <t>Aryl sulfate</t>
  </si>
  <si>
    <t>Cob(I)alamin</t>
  </si>
  <si>
    <t>DNA cytosine</t>
  </si>
  <si>
    <t>L-Histidinol</t>
  </si>
  <si>
    <t>L-Rhamnulose</t>
  </si>
  <si>
    <t>Isochorismate</t>
  </si>
  <si>
    <t>2-Acetolactate</t>
  </si>
  <si>
    <t>D-Fructuronate</t>
  </si>
  <si>
    <t>5,6-Dihydrothymine</t>
  </si>
  <si>
    <t>Dihydropteroate</t>
  </si>
  <si>
    <t>UDP-L-arabinose</t>
  </si>
  <si>
    <t>3-Dehydroquinate</t>
  </si>
  <si>
    <t>beta-D-Glucoside</t>
  </si>
  <si>
    <t>2-Dehydropantoate</t>
  </si>
  <si>
    <t>O-Acetyl-L-serine</t>
  </si>
  <si>
    <t>alpha-D-Galactose</t>
  </si>
  <si>
    <t>D-Alanyl-D-alanine</t>
  </si>
  <si>
    <t>7,8-Diaminononanoate</t>
  </si>
  <si>
    <t>N-Formyl-L-glutamate</t>
  </si>
  <si>
    <t>UDP-N-acetylmuramate</t>
  </si>
  <si>
    <t>8-Amino-7-oxononanoate</t>
  </si>
  <si>
    <t>D-Fructose 1-phosphate</t>
  </si>
  <si>
    <t>D-Tagatose 6-phosphate</t>
  </si>
  <si>
    <t>L-Histidinol phosphate</t>
  </si>
  <si>
    <t>O-Phospho-L-homoserine</t>
  </si>
  <si>
    <t>Orotidine 5'-phosphate</t>
  </si>
  <si>
    <t>O-Succinyl-L-homoserine</t>
  </si>
  <si>
    <t>L-Rhamnulose 1-phosphate</t>
  </si>
  <si>
    <t>Pantetheine 4'-phosphate</t>
  </si>
  <si>
    <t>Hydroxyproline</t>
  </si>
  <si>
    <t>2,3-Bisphospho-D-glycerate</t>
  </si>
  <si>
    <t>L-Glutamate 5-semialdehyde</t>
  </si>
  <si>
    <t>Protein tyrosine phosphate</t>
  </si>
  <si>
    <t>UDP-N-acetyl-D-mannosamine</t>
  </si>
  <si>
    <t>beta-D-Glucose 6-phosphate</t>
  </si>
  <si>
    <t>3-(4-Hydroxyphenyl)pyruvate</t>
  </si>
  <si>
    <t>Nicotinate D-ribonucleotide</t>
  </si>
  <si>
    <t>Malonyl-[acyl-carrier protein]</t>
  </si>
  <si>
    <t>UDP-N-acetylmuramoyl-L-alanine</t>
  </si>
  <si>
    <t>(R)-Methylmalonyl-CoA</t>
  </si>
  <si>
    <t>GDP-4-dehydro-6-deoxy-D-mannose</t>
  </si>
  <si>
    <t>D-Glucono-1,5-lactone 6-phosphate</t>
  </si>
  <si>
    <t>[Protein]-S8-aminomethyldihydrolipoyllysine</t>
  </si>
  <si>
    <t>N-Acetyl-L-glutamate 5-semialdehyde</t>
  </si>
  <si>
    <t>3-(Imidazol-4-yl)-2-oxopropyl phosphate</t>
  </si>
  <si>
    <t>5-Amino-6-(5'-phosphoribosylamino)uracil</t>
  </si>
  <si>
    <t>5-O-(1-Carboxyvinyl)-3-phosphoshikimate</t>
  </si>
  <si>
    <t>(3R)-3-Hydroxyacyl-[acyl-carrier protein]</t>
  </si>
  <si>
    <t>4-Amino-5-hydroxymethyl-2-methylpyrimidine</t>
  </si>
  <si>
    <t>6-(Hydroxymethyl)-7,8-dihydropterin</t>
  </si>
  <si>
    <t>1-(2-Carboxyphenylamino)-1-deoxy-D-ribulose 5-phosphate</t>
  </si>
  <si>
    <t>2,5-Diamino-6-(5-phospho-D-ribosylamino)pyrimidin-4(3H)-one</t>
  </si>
  <si>
    <t>ROH</t>
  </si>
  <si>
    <t>dIDP</t>
  </si>
  <si>
    <t>dITP</t>
  </si>
  <si>
    <t>dUDP</t>
  </si>
  <si>
    <t>Carbonic acid</t>
  </si>
  <si>
    <t>Hydrogen selenide</t>
  </si>
  <si>
    <t>Carbamate</t>
  </si>
  <si>
    <t>Linamarin</t>
  </si>
  <si>
    <t>tRNA(Ala)</t>
  </si>
  <si>
    <t>tRNA(Arg)</t>
  </si>
  <si>
    <t>tRNA(Asn)</t>
  </si>
  <si>
    <t>tRNA(Asp)</t>
  </si>
  <si>
    <t>tRNA(Cys)</t>
  </si>
  <si>
    <t>tRNA(Glu)</t>
  </si>
  <si>
    <t>tRNA(Gly)</t>
  </si>
  <si>
    <t>tRNA(His)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</si>
  <si>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</si>
  <si>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</si>
  <si>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</si>
  <si>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</si>
  <si>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</si>
  <si>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</si>
  <si>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</si>
  <si>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</si>
  <si>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</si>
  <si>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</si>
  <si>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Deoxyribose</t>
  </si>
  <si>
    <t>Cellodextrin</t>
  </si>
  <si>
    <t>Dethiobiotin</t>
  </si>
  <si>
    <t>L-Histidinal</t>
  </si>
  <si>
    <t>L-Lysyl-tRNA</t>
  </si>
  <si>
    <t>tRNA guanine</t>
  </si>
  <si>
    <t>tRNA queuin</t>
  </si>
  <si>
    <t>L-Leucyl-tRNA</t>
  </si>
  <si>
    <t>Lipoylprotein</t>
  </si>
  <si>
    <t>Trypanothion</t>
  </si>
  <si>
    <t>dTDP-galactose</t>
  </si>
  <si>
    <t>5'-Phospho-DNA</t>
  </si>
  <si>
    <t>L-Arginyl-tRNA(Arg)</t>
  </si>
  <si>
    <t>alpha-D-Xylose</t>
  </si>
  <si>
    <t>Dehydroalanine</t>
  </si>
  <si>
    <t>(S)-2-Aminobutanoat</t>
  </si>
  <si>
    <t>6-Mercaptopurine</t>
  </si>
  <si>
    <t>Glycyl-tRNA(Gly)</t>
  </si>
  <si>
    <t>L-Methionyl-tRNA</t>
  </si>
  <si>
    <t>alpha-Isopropylmalate</t>
  </si>
  <si>
    <t>O-Phospho-D-serine</t>
  </si>
  <si>
    <t>Estrone 3-sulfate</t>
  </si>
  <si>
    <t>L-Seryl-tRNA(Ser)</t>
  </si>
  <si>
    <t>L-Valyl-tRNA(Val)</t>
  </si>
  <si>
    <t>2-Isopropylmaleate</t>
  </si>
  <si>
    <t>3-Dehydroshikimate</t>
  </si>
  <si>
    <t>Acetone cyanohydrin</t>
  </si>
  <si>
    <t>Galactosylceramide</t>
  </si>
  <si>
    <t>Phosphatidylserine</t>
  </si>
  <si>
    <t>1-(5-Phospho-D-ribosyl)-ATP</t>
  </si>
  <si>
    <t>Phosphoribosyl-AMP</t>
  </si>
  <si>
    <t>[Protein]-L-cysteine</t>
  </si>
  <si>
    <t>tRNA pseudouridine</t>
  </si>
  <si>
    <t>L-Tyrosyl-tRNA(Tyr)</t>
  </si>
  <si>
    <t>Propanoyl phosphate</t>
  </si>
  <si>
    <t>D-Allose 6-phosphate</t>
  </si>
  <si>
    <t>5-Methylcytosine in DNA</t>
  </si>
  <si>
    <t>Dihydrolipoylprotein</t>
  </si>
  <si>
    <t>L-Aspartyl-tRNA(Asp)</t>
  </si>
  <si>
    <t>L-Glutamyl-tRNA(Glu)</t>
  </si>
  <si>
    <t>L-Histidyl-tRNA(His)</t>
  </si>
  <si>
    <t>L-Threonyl-tRNA(Thr)</t>
  </si>
  <si>
    <t>Peptide-L-methionine</t>
  </si>
  <si>
    <t>Reduced NADPH---hemoprotein reductase</t>
  </si>
  <si>
    <t>Thiamin triphosphate</t>
  </si>
  <si>
    <t>4-Phospho-L-aspartate</t>
  </si>
  <si>
    <t>5-Phosphoribosylamine</t>
  </si>
  <si>
    <t>Dimethylbenzimidazole</t>
  </si>
  <si>
    <t>L-Cysteinyl-tRNA(Cys)</t>
  </si>
  <si>
    <t>L-Isoleucyl-tRNA(Ile)</t>
  </si>
  <si>
    <t>2-Succinylbenzoyl-CoA</t>
  </si>
  <si>
    <t>Oxidized NADPH---hemoprotein reductase</t>
  </si>
  <si>
    <t>Phosphonoacetaldehyde</t>
  </si>
  <si>
    <t>Trypanothione disulfide</t>
  </si>
  <si>
    <t>Shikimate 3-phosphate</t>
  </si>
  <si>
    <t>3-Phosphonooxypyruvate</t>
  </si>
  <si>
    <t>L-Glutamyl 5-phosphate</t>
  </si>
  <si>
    <t>N-Formylmethionyl-tRNA</t>
  </si>
  <si>
    <t>dTDP-L-rhamnose</t>
  </si>
  <si>
    <t>3-Phospho-D-erythronate</t>
  </si>
  <si>
    <t>Aminoimidazole ribotide</t>
  </si>
  <si>
    <t>Norspermidine</t>
  </si>
  <si>
    <t>DNA 6-methylaminopurine</t>
  </si>
  <si>
    <t>L-Asparaginyl-tRNA(Asn)</t>
  </si>
  <si>
    <t>N-(L-Arginino)succinate</t>
  </si>
  <si>
    <t>Folinic acid</t>
  </si>
  <si>
    <t>D-4'-Phosphopantothenate</t>
  </si>
  <si>
    <t>Indoleglycerol phosphate</t>
  </si>
  <si>
    <t>L-2-Amino-3-oxobutanoic acid</t>
  </si>
  <si>
    <t>L-Phenylalanyl-tRNA(Phe)</t>
  </si>
  <si>
    <t>L-Tryptophanyl-tRNA(Trp)</t>
  </si>
  <si>
    <t>N-Substituted amino acid</t>
  </si>
  <si>
    <t>2-Aminoethylphosphonate</t>
  </si>
  <si>
    <t>L-Methionylaminoacyl-tRNA</t>
  </si>
  <si>
    <t xml:space="preserve">Peptidylproline </t>
  </si>
  <si>
    <t>1,4-Dihydroxy-2-naphthoate</t>
  </si>
  <si>
    <t>4-Imidazolone-5-propanoate</t>
  </si>
  <si>
    <t>Quinolinate</t>
  </si>
  <si>
    <t>Ribonucleoside diphosphate</t>
  </si>
  <si>
    <t>UDP-alpha-D-galactofuranose</t>
  </si>
  <si>
    <t>(S)-4-Hydroxymandelonitrile</t>
  </si>
  <si>
    <t>D-Tagatose 1,6-bisphosphate</t>
  </si>
  <si>
    <t>N6-(1,2-Dicarboxyethyl)-AMP</t>
  </si>
  <si>
    <t>Peptidylproline (omega=180)</t>
  </si>
  <si>
    <t>Protein S-methyl-L-cysteine</t>
  </si>
  <si>
    <t>Ribonucleoside triphosphate</t>
  </si>
  <si>
    <t>5'-Phosphoribosylglycinamide</t>
  </si>
  <si>
    <t>L-2-Amino-6-oxoheptanedioate</t>
  </si>
  <si>
    <t>N-Substituted aminoacyl-tRNA</t>
  </si>
  <si>
    <t>(S)-1-Pyrroline-5-carboxylate</t>
  </si>
  <si>
    <t>Acetyl-[acyl-carrier protein]</t>
  </si>
  <si>
    <t>2,3,4,5-Tetrahydrodipicolinate</t>
  </si>
  <si>
    <t>2,3-Dihydroxy-3-methylbutanoate</t>
  </si>
  <si>
    <t>N-((R)-Pantothenoyl)-L-cysteine</t>
  </si>
  <si>
    <t>N-Acetyl-L-glutamate 5-phosphate</t>
  </si>
  <si>
    <t>Tetrahydropteroyltri-L-glutamate</t>
  </si>
  <si>
    <t>tRNA containing N1-methylguanine</t>
  </si>
  <si>
    <t>tRNA containing N7-methylguanine</t>
  </si>
  <si>
    <t>S-Methyl-5-thio-D-ribose 1-phosphate</t>
  </si>
  <si>
    <t>2'-Deoxyribonucleoside diphosphate</t>
  </si>
  <si>
    <t>(2S)-2-Isopropyl-3-oxosuccinate</t>
  </si>
  <si>
    <t>5-Fluorodeoxyuridine monophosphate</t>
  </si>
  <si>
    <t>DNA containing 6-O-methylguanine</t>
  </si>
  <si>
    <t>N-Formyl-L-methionylaminoacyl-tRNA</t>
  </si>
  <si>
    <t>Protein N(tau)-phospho-L-histidine</t>
  </si>
  <si>
    <t>(R)-2,3-Dihydroxy-3-methylbutanoate</t>
  </si>
  <si>
    <t>L-1-Pyrroline-3-hydroxy-5-carboxylate</t>
  </si>
  <si>
    <t>N-(5-Phospho-D-ribosyl)anthranilate</t>
  </si>
  <si>
    <t>Phosphoenol-4-deoxy-3-tetrulosonate</t>
  </si>
  <si>
    <t>Delta1-Pyrroline-5-carboxylate;</t>
  </si>
  <si>
    <t>6,7-Dimethyl-8-(D-ribityl)lumazine</t>
  </si>
  <si>
    <t>(R)-4'-Phosphopantothenoyl-L-cysteine</t>
  </si>
  <si>
    <t>5'-Phosphoribosyl-N-formylglycinamide</t>
  </si>
  <si>
    <t>(2R,3S)-3-Isopropylmalate</t>
  </si>
  <si>
    <t>Carboxybiotin-carboxyl-carrier protein</t>
  </si>
  <si>
    <t>S-Adenosyl-4-methylthio-2-oxobutanoate</t>
  </si>
  <si>
    <t>tRNA containing 6-isopentenyladenosine</t>
  </si>
  <si>
    <t>5-Amino-6-(5'-phospho-D-ribitylamino)uracil</t>
  </si>
  <si>
    <t>3-Deoxy-D-manno-octulosonate 8-phosphate</t>
  </si>
  <si>
    <t>5-Methyltetrahydropteroyltri-L-glutamate</t>
  </si>
  <si>
    <t>4-Amino-2-methyl-5-(phosphooxymethyl)pyrimidine</t>
  </si>
  <si>
    <t>S-Methyl-5-thio-D-ribulose 1-phosphate</t>
  </si>
  <si>
    <t>3R)-3-Hydroxybutanoyl-[acyl-carrier protein]</t>
  </si>
  <si>
    <t>(3R)-3-Hydroxydecanoyl-[acyl-carrier protein]</t>
  </si>
  <si>
    <t>(3R)-3-Hydroxyoctanoyl-[acyl-carrier protein]</t>
  </si>
  <si>
    <t>UDP-N-acetyl-3-(1-carboxyvinyl)-D-glucosamine</t>
  </si>
  <si>
    <t>(3R)-3-Hydroxypalmitoyl-[acyl-carrier protein]</t>
  </si>
  <si>
    <t>2-(Formamido)-N1-(5'-phosphoribosyl)acetamidine</t>
  </si>
  <si>
    <t>6-Thioinosine-5'-monophosphate</t>
  </si>
  <si>
    <t>UDP-2,3-bis(3-hydroxytetradecanoyl)glucosamine</t>
  </si>
  <si>
    <t>D-erythro-1-(Imidazol-4-yl)glycerol 3-phosphate</t>
  </si>
  <si>
    <t>1-(5'-Phosphoribosyl)-5-amino-4-imidazolecarboxamide</t>
  </si>
  <si>
    <t>[Acetyl-CoA:carbon-dioxide ligase (ADP-forming)]</t>
  </si>
  <si>
    <t>(3R)-3-Hydroxytetradecanoyl-[acyl-carrier protein]</t>
  </si>
  <si>
    <t>2-Dehydro-3-deoxy-D-arabino-heptonate 7-phosphate</t>
  </si>
  <si>
    <t>UDPMurNAc(oyl-L-Ala-D-gamma-Glu-L-Lys-D-Ala-D-Ala)</t>
  </si>
  <si>
    <t>5-Amino-6-(1-D-ribitylamino)uracil</t>
  </si>
  <si>
    <t>1-(5'-Phosphoribosyl)-5-formamido-4-imidazolecarboxamide</t>
  </si>
  <si>
    <t>Apo-[acetyl-CoA:carbon-dioxide ligase (ADP-forming)</t>
  </si>
  <si>
    <t>UDP-3-O-(3-hydroxytetradecanoyl)-N-acetylglucosamine</t>
  </si>
  <si>
    <t>1-(5-Phospho-D-ribosyl)-5-amino-4-imidazolecarboxylate</t>
  </si>
  <si>
    <t>4-Amino-5-hydroxymethyl-2-methylpyrimidine diphosphate</t>
  </si>
  <si>
    <t>N1-(5-Phospho-alpha-D-ribosyl)-5,6-dimethylbenzimidazole</t>
  </si>
  <si>
    <t>6-Hydroxymethyl-7,8-dihydropterin diphosphate</t>
  </si>
  <si>
    <t>1-(5'-Phosphoribosyl)-5-amino-4-(N-succinocarboxamide)-imidazole</t>
  </si>
  <si>
    <t>Lipid X</t>
  </si>
  <si>
    <t>MurAc(oyl-L-Ala-D-gamma-Glu-L-Lys-D-Ala-D-Ala)-diphospho-undecaprenol</t>
  </si>
  <si>
    <t>7,8-Dihydroneopterin</t>
  </si>
  <si>
    <t>UDP-N-acetylmuramoyl-L-alanyl-D-glutamyl-6-carboxy-L-lysyl-D-alanyl-D-alanine</t>
  </si>
  <si>
    <t>7,8-Dihydroneopterin 3'-triphosphate</t>
  </si>
  <si>
    <t>5-(5-Phospho-D-ribosylaminoformimino)-1-(5-phosphoribosyl)-imidazole-4-carboxamide</t>
  </si>
  <si>
    <t>N-(5'-Phospho-D-1'-ribulosylformimino)-5-amino-1-(5''-phospho-D-ribosyl)-4-imidazolecarboxamide</t>
  </si>
  <si>
    <t>2,3,2'3'-Tetrakis(3-hydroxytetradecanoyl)-D-glucosaminyl-1,6-beta-D-glucosamine 1,4'-bisphosphate</t>
  </si>
  <si>
    <t>Lipid A disaccharide</t>
  </si>
  <si>
    <t>2-(alpha-Hydroxyethyl)thiamine diphosphate</t>
  </si>
  <si>
    <t>Dhurrin</t>
  </si>
  <si>
    <t>alpha-Amino acid</t>
  </si>
  <si>
    <t>Dihydroflavodoxin</t>
  </si>
  <si>
    <t>Protein glycine</t>
  </si>
  <si>
    <t>5'-Deoxyadenosine</t>
  </si>
  <si>
    <t>Flavodoxin semiquinone</t>
  </si>
  <si>
    <t>Dodecanoyl-[acyl-carrier protein]</t>
  </si>
  <si>
    <t>Protein glycin-2-yl radical</t>
  </si>
  <si>
    <t>L-Selenomethionine</t>
  </si>
  <si>
    <t>Selenomethionyl-tRNA(Met)</t>
  </si>
  <si>
    <t>beta-D-Fructose 6-phosphate</t>
  </si>
  <si>
    <t>e-</t>
  </si>
  <si>
    <t>beta-D-Fructose 1,6-bisphosphate</t>
  </si>
  <si>
    <t>Sedoheptulose 7-phosphate</t>
  </si>
  <si>
    <t>S-Glutathionyl-L-cysteine</t>
  </si>
  <si>
    <t>3-Sulfinylpyruvate</t>
  </si>
  <si>
    <t>3-Sulfopyruvate</t>
  </si>
  <si>
    <t>Isoquercitrin</t>
  </si>
  <si>
    <t>Selenite</t>
  </si>
  <si>
    <t>Adenylylselenate</t>
  </si>
  <si>
    <t>L-Selenocysteine</t>
  </si>
  <si>
    <t>Se-Adenosylselenomethionine</t>
  </si>
  <si>
    <t>3'-Phosphoadenylylselenate</t>
  </si>
  <si>
    <t>Selenate</t>
  </si>
  <si>
    <t>Selenohomocysteine</t>
  </si>
  <si>
    <t>Methaneselenol</t>
  </si>
  <si>
    <t>Cyanohydrin</t>
  </si>
  <si>
    <t>Cyanoglycoside</t>
  </si>
  <si>
    <t>Acetoacetyl-[acp]</t>
  </si>
  <si>
    <t>Butyryl-[acp]</t>
  </si>
  <si>
    <t>3-Oxohexanoyl-[acp]</t>
  </si>
  <si>
    <t>(3R)-3-Hydroxyhexanoyl-[acyl-carrier protein]</t>
  </si>
  <si>
    <t>Hexanoyl-[acp]</t>
  </si>
  <si>
    <t>3-Oxooctanoyl-[acp]</t>
  </si>
  <si>
    <t>Octanoyl-[acp]</t>
  </si>
  <si>
    <t>3-Oxodecanoyl-[acp]</t>
  </si>
  <si>
    <t>Decanoyl-[acp]</t>
  </si>
  <si>
    <t>3-Oxododecanoyl-[acp]</t>
  </si>
  <si>
    <t>3-Oxotetradecanoyl-[acp]</t>
  </si>
  <si>
    <t>Tetradecanoyl-[acp]</t>
  </si>
  <si>
    <t>3-Oxohexadecanoyl-[acp]</t>
  </si>
  <si>
    <t>Hexadecanoyl-[acp]</t>
  </si>
  <si>
    <t>Cobinamide</t>
  </si>
  <si>
    <t>cis-2-Hydroxycinnamate</t>
  </si>
  <si>
    <t>cis-beta-D-Glucosyl-2-hydroxycinnamate</t>
  </si>
  <si>
    <t>Iminoaspartate</t>
  </si>
  <si>
    <t>all-trans-Polyprenyl diphosphate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</si>
  <si>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</si>
  <si>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</si>
  <si>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</si>
  <si>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Biotinyl-5'-AMP</t>
  </si>
  <si>
    <t>Formamidopyrimidine nucleoside triphosphate</t>
  </si>
  <si>
    <t>2,5-Diaminopyrimidine nucleoside triphosphate</t>
  </si>
  <si>
    <t>L-4-Hydroxyglutamate semialdehyde</t>
  </si>
  <si>
    <t>(4R)-4-Hydroxy-2-oxoglutarate</t>
  </si>
  <si>
    <t>L-erythro-4-Hydroxyglutamate</t>
  </si>
  <si>
    <t>(S)-2-Aceto-2-hydroxybutanoate</t>
  </si>
  <si>
    <t>(R)-2,3-Dihydroxy-3-methylpentanoate</t>
  </si>
  <si>
    <t>(S)-2-Acetolactate</t>
  </si>
  <si>
    <t>UDP-3-O-(3-hydroxytetradecanoyl)-D-glucosamine</t>
  </si>
  <si>
    <t>D-erythro-3-Methylmalate</t>
  </si>
  <si>
    <t>2-Oxo-3-hydroxy-4-phosphobutanoate</t>
  </si>
  <si>
    <t>O-Phospho-4-hydroxy-L-threonine</t>
  </si>
  <si>
    <t>4-Hydroxy-L-threonine</t>
  </si>
  <si>
    <t>Sulfatide</t>
  </si>
  <si>
    <t>2,5-Diamino-6-(5'-triphosphoryl-3',4'-trihydroxy-2'-oxopentyl)-amino-4-oxopyrimidine</t>
  </si>
  <si>
    <t>alpha-D-Glucosamine 1-phosphate</t>
  </si>
  <si>
    <t>UDP-N-acetyl-D-mannosaminouronate</t>
  </si>
  <si>
    <t>Apo-[carboxylase]</t>
  </si>
  <si>
    <t>Holo-[carboxylase]</t>
  </si>
  <si>
    <t>Precorrin 3B</t>
  </si>
  <si>
    <t>Precorrin 4</t>
  </si>
  <si>
    <t>Precorrin 5</t>
  </si>
  <si>
    <t>L-Xylulose 1-phosphate</t>
  </si>
  <si>
    <t>L-Seryl-tRNA(Sec)</t>
  </si>
  <si>
    <t>Cob(II)yrinate a,c diamide</t>
  </si>
  <si>
    <t>Cob(I)yrinate a,c diamide</t>
  </si>
  <si>
    <t>Adenosyl cobyrinate a,c diamide</t>
  </si>
  <si>
    <t>Adenosyl cobinamide</t>
  </si>
  <si>
    <t>Genistein</t>
  </si>
  <si>
    <t>2-Amino-3-oxo-4-phosphonooxybutyrate</t>
  </si>
  <si>
    <t>Thioguanine</t>
  </si>
  <si>
    <t>5-FU</t>
  </si>
  <si>
    <t>Amygdalin</t>
  </si>
  <si>
    <t>Lotaustralin</t>
  </si>
  <si>
    <t>Naringenin 7-O-beta-D-glucoside</t>
  </si>
  <si>
    <t>Genistin</t>
  </si>
  <si>
    <t>Sulfur dioxide</t>
  </si>
  <si>
    <t>Daidzein</t>
  </si>
  <si>
    <t>Daidzin</t>
  </si>
  <si>
    <t>2'-Deoxy-5-hydroxymethylcytidine-5'-diphosphate</t>
  </si>
  <si>
    <t>2'-Deoxy-5-hydroxymethylcytidine-5'-triphosphate</t>
  </si>
  <si>
    <t>4-Amino-4-deoxychorismate</t>
  </si>
  <si>
    <t>2-C-Methyl-D-erythritol 4-phosphate</t>
  </si>
  <si>
    <t>4-(Cytidine 5'-diphospho)-2-C-methyl-D-erythritol</t>
  </si>
  <si>
    <t>2-Phospho-4-(cytidine 5'-diphospho)-2-C-methyl-D-erythritol</t>
  </si>
  <si>
    <t>1-Deoxy-D-xylulose 5-phosphate</t>
  </si>
  <si>
    <t>Formyl-L-methionyl peptide</t>
  </si>
  <si>
    <t>Methionyl peptide</t>
  </si>
  <si>
    <t>2-C-Methyl-D-erythritol 2,4-cyclodiphosphate</t>
  </si>
  <si>
    <t>DNA containing guanine</t>
  </si>
  <si>
    <t>(2R)-3-Sulfolactate</t>
  </si>
  <si>
    <t>Cobalt-precorrin 3</t>
  </si>
  <si>
    <t>Cobalt-precorrin 4</t>
  </si>
  <si>
    <t>3-Amino-2-oxopropyl phosphate</t>
  </si>
  <si>
    <t>1-Hydroxy-2-methyl-2-butenyl 4-diphosphate</t>
  </si>
  <si>
    <t>2,3-Ene acid</t>
  </si>
  <si>
    <t>dTDP-4-oxo-6-deoxy-D-glucose</t>
  </si>
  <si>
    <t>5'-Deoxy-5-fluorouridine</t>
  </si>
  <si>
    <t>Fe2+</t>
  </si>
  <si>
    <t>ROOH</t>
  </si>
  <si>
    <t>N-Acetyl-L-citrulline</t>
  </si>
  <si>
    <t>1,4-Dihydroxy-2-naphthoyl-CoA</t>
  </si>
  <si>
    <t>L-3,4-Dihydroxybutan-2-one 4-phosphate</t>
  </si>
  <si>
    <t>Phenol</t>
  </si>
  <si>
    <t>Peptide-L-methionine (R)-S-oxide</t>
  </si>
  <si>
    <t>5-Carboxyamino-1-(5-phospho-D-ribosyl)imidazole</t>
  </si>
  <si>
    <t>[Enzyme]-cysteine</t>
  </si>
  <si>
    <t>[Enzyme]-S-sulfanylcysteine</t>
  </si>
  <si>
    <t>Enzyme N6-(lipoyl)lysine</t>
  </si>
  <si>
    <t>Enzyme N6-(dihydrolipoyl)lysine</t>
  </si>
  <si>
    <t>3-Oxostearoyl-[acp]</t>
  </si>
  <si>
    <t>(3R)-3-Hydroxyoctadecanoyl-[acyl-carrier protein]</t>
  </si>
  <si>
    <t>[Protein]-N6-(octanoyl)-L-lysine</t>
  </si>
  <si>
    <t>Protein N6-(lipoyl)lysine</t>
  </si>
  <si>
    <t>2-Succinyl-5-enolpyruvyl-6-hydroxy-3-cyclohexene-1-carboxylate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</si>
  <si>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</si>
  <si>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</si>
  <si>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</si>
  <si>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</si>
  <si>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 monophosphate</t>
  </si>
  <si>
    <t>5'-Deoxy-5-fluorocytidine</t>
  </si>
  <si>
    <t>tRNA(Sec)</t>
  </si>
  <si>
    <t>Tryparedoxin</t>
  </si>
  <si>
    <t>Tryparedoxin disulfide</t>
  </si>
  <si>
    <t>7-Aminomethyl-7-carbaguanine</t>
  </si>
  <si>
    <t>[Protein]-N6-[(R)-dihydrolipoyl]-L-lysine</t>
  </si>
  <si>
    <t>Sulfur donor</t>
  </si>
  <si>
    <t>2-Aminobut-2-enoate</t>
  </si>
  <si>
    <t>tRNA containing 2-thiouridine</t>
  </si>
  <si>
    <t>tRNA adenine</t>
  </si>
  <si>
    <t>di-trans,poly-cis-Undecaprenyl phosphate</t>
  </si>
  <si>
    <t>(2S)-Ethylmalonyl-CoA</t>
  </si>
  <si>
    <t>UDP-L-arabinofuranose</t>
  </si>
  <si>
    <t>D-Allulose 6-phosphate</t>
  </si>
  <si>
    <t>Carboxyspermidine</t>
  </si>
  <si>
    <t>Carboxynorspermidine</t>
  </si>
  <si>
    <t>(2R)-2-Hydroxy-2-methylbutanenitrile</t>
  </si>
  <si>
    <t>Methylselenic acid</t>
  </si>
  <si>
    <t>Epoxyqueuosine in tRNA</t>
  </si>
  <si>
    <t>Malonyl-[acp] methyl ester</t>
  </si>
  <si>
    <t>[tRNA(Ile2)]-cytidine34</t>
  </si>
  <si>
    <t>[tRNA(Ile2)]-lysidine34</t>
  </si>
  <si>
    <t>alpha-D-Glucopyranosyl-diphospho-ditrans,octacis-undecaprenol</t>
  </si>
  <si>
    <t>Demethylmenaquinol</t>
  </si>
  <si>
    <t>(2R)-Ethylmalonyl-CoA</t>
  </si>
  <si>
    <t>(2S,4S)-4-Hydroxy-2,3,4,5-tetrahydrodipicolinate</t>
  </si>
  <si>
    <t>3-Ketoglutaryl-[acp] methyl ester</t>
  </si>
  <si>
    <t>3-Hydroxyglutaryl-[acp] methyl ester</t>
  </si>
  <si>
    <t>Glutaryl-[acp] methyl ester</t>
  </si>
  <si>
    <t>3-Ketopimeloyl-[acp] methyl ester</t>
  </si>
  <si>
    <t>3-Hydroxypimeloyl-[acp] methyl ester</t>
  </si>
  <si>
    <t>tRNA 7-aminomethyl-7-carbaguanine</t>
  </si>
  <si>
    <t>L-Threonylcarbamoyladenylate</t>
  </si>
  <si>
    <t>Adenine in rRNA</t>
  </si>
  <si>
    <t>N6-L-Threonylcarbamoyladenine in tRNA</t>
  </si>
  <si>
    <t>[Ribosomal protein uS12]-L-aspartate</t>
  </si>
  <si>
    <t>[Ribosomal protein uS12]-3-methylthioaspartate</t>
  </si>
  <si>
    <t>N6-Dimethyladenine in rRNA</t>
  </si>
  <si>
    <t>5'-Triphospho-[mRNA]</t>
  </si>
  <si>
    <t>2-Iminopropanoate</t>
  </si>
  <si>
    <t>2-Iminobutanoate</t>
  </si>
  <si>
    <t>3-Hydroxy-5-phosphooxypentane-2,4-dione</t>
  </si>
  <si>
    <t>Carboxyphosphate</t>
  </si>
  <si>
    <t>(R)-5,6-Dihydrothymine</t>
  </si>
  <si>
    <t>5-Hydroxymethylcytosine in DNA</t>
  </si>
  <si>
    <t>5-Fluorouridine diphosphate</t>
  </si>
  <si>
    <t>5-Fluorouridine triphosphate</t>
  </si>
  <si>
    <t>5-Fluorodeoxyuridine diphosphate</t>
  </si>
  <si>
    <t>5-Fluorodeoxyuridine triphosphate</t>
  </si>
  <si>
    <t>Reduced [2Fe-2S] ferredoxin</t>
  </si>
  <si>
    <t>Oxidized [2Fe-2S] ferredoxin</t>
  </si>
  <si>
    <t>[Fe-S] cluster scaffold protein carrying a [4Fe-4S]2+ cluster</t>
  </si>
  <si>
    <t>[Fe-S] cluster scaffold protein</t>
  </si>
  <si>
    <t>Glycine cleavage system H]-N6-octanoyl-L-lysine</t>
  </si>
  <si>
    <t>[Lipoyl-carrier protein E2]-N6-octanoyl-L-lysine</t>
  </si>
  <si>
    <t>N6-Succino-2-amino-2'-deoxyadenylate</t>
  </si>
  <si>
    <t>UDP-3-O-[(3R)-3-hydroxyacyl]-alpha-D-glucosamine</t>
  </si>
  <si>
    <t>UDP-2-N,3-O-bis[(3R)-3-hydroxyacyl]-alpha-D-glucosamine</t>
  </si>
  <si>
    <t>UDP-3-O-[(3R)-3-hydroxyacyl]-N-acetyl-alpha-D-glucosamine</t>
  </si>
  <si>
    <t>dZMP</t>
  </si>
  <si>
    <t>dZDP</t>
  </si>
  <si>
    <t>dZTP</t>
  </si>
  <si>
    <t>8-Amino-7-(carboxyamino)nonanoate</t>
  </si>
  <si>
    <t>alpha-D-Xylulofuranose</t>
  </si>
  <si>
    <t>alpha-D-Fructofuranose</t>
  </si>
  <si>
    <t>1,4-beta-D-Glucan</t>
  </si>
  <si>
    <t>GlcNAc)1 (MurNAc)1 (D-Ala-D-Ala-Lys-D-Glu-Ala)1 (PP-Und)1</t>
  </si>
  <si>
    <t>(MurNAc)1 (D-Ala-D-Ala-Lys-D-Glu-Ala)1 (PP-Und)1</t>
  </si>
  <si>
    <t>(MurNAc)1 (D-Ala-D-Ala-Lys-gamma-D-Glu-Ala)1 (PP-Und)1</t>
  </si>
  <si>
    <t>(GlcNAc)1 (MurNAc)1 (D-Ala-D-Ala-Lys-gamma-D-Glu-Ala)1 (PP-Und)1</t>
  </si>
  <si>
    <t>(GlcNAc)1 (MurNAc)1 (D-Ala-D-Ala-A2pm-gamma-D-Glu-Ala)1 (PP-Und)1</t>
  </si>
  <si>
    <t>(MurNAc)1 (D-Ala-D-Ala-A2pm-gamma-D-Glu-Ala)1 (PP-Und)1</t>
  </si>
  <si>
    <t>UDP-N-acetyl-D-glucosamine</t>
  </si>
  <si>
    <t>Accession</t>
  </si>
  <si>
    <t>Begin</t>
  </si>
  <si>
    <t>End</t>
  </si>
  <si>
    <t>Chromosome</t>
  </si>
  <si>
    <t>Orientation</t>
  </si>
  <si>
    <t>Symbol</t>
  </si>
  <si>
    <t>Gene ID</t>
  </si>
  <si>
    <t>Gene Type</t>
  </si>
  <si>
    <t>Transcripts accession</t>
  </si>
  <si>
    <t>Transcript name</t>
  </si>
  <si>
    <t>NZ_CP042284.1</t>
  </si>
  <si>
    <t>pPDS2-1</t>
  </si>
  <si>
    <t>plus</t>
  </si>
  <si>
    <t>hypothetical protein</t>
  </si>
  <si>
    <t>protein-coding</t>
  </si>
  <si>
    <t>WP_004295507.1</t>
  </si>
  <si>
    <t>FQN59_RS00010</t>
  </si>
  <si>
    <t>type II toxin-antitoxin system YoeB family toxin</t>
  </si>
  <si>
    <t>WP_004327436.1</t>
  </si>
  <si>
    <t>FQN59_RS00015</t>
  </si>
  <si>
    <t>WP_004295503.1</t>
  </si>
  <si>
    <t>FQN59_RS00020</t>
  </si>
  <si>
    <t>mobilization protein MbpA</t>
  </si>
  <si>
    <t>mbpA</t>
  </si>
  <si>
    <t>WP_004327437.1</t>
  </si>
  <si>
    <t>FQN59_RS22710</t>
  </si>
  <si>
    <t>mobilization protein MbpB</t>
  </si>
  <si>
    <t>mbpB</t>
  </si>
  <si>
    <t>WP_007560590.1</t>
  </si>
  <si>
    <t>FQN59_RS00025</t>
  </si>
  <si>
    <t>mobilization protein MbpC</t>
  </si>
  <si>
    <t>mbpC</t>
  </si>
  <si>
    <t>WP_004295511.1</t>
  </si>
  <si>
    <t>FQN59_RS00030</t>
  </si>
  <si>
    <t>WP_004295510.1</t>
  </si>
  <si>
    <t>FQN59_RS00035</t>
  </si>
  <si>
    <t>minus</t>
  </si>
  <si>
    <t>replication initiation protein</t>
  </si>
  <si>
    <t>WP_004295509.1</t>
  </si>
  <si>
    <t>FQN59_RS00005</t>
  </si>
  <si>
    <t>UpxY family transcription antiterminator</t>
  </si>
  <si>
    <t>WP_151921227.1</t>
  </si>
  <si>
    <t>FQN59_RS00040</t>
  </si>
  <si>
    <t>WP_249222491.1</t>
  </si>
  <si>
    <t>FQN59_RS22415</t>
  </si>
  <si>
    <t>BT0820 family HAD-type phosphatase</t>
  </si>
  <si>
    <t>WP_211737988.1</t>
  </si>
  <si>
    <t>FQN59_RS00050</t>
  </si>
  <si>
    <t>lipopolysaccharide biosynthesis protein</t>
  </si>
  <si>
    <t>WP_211737990.1</t>
  </si>
  <si>
    <t>FQN59_RS00055</t>
  </si>
  <si>
    <t>Coenzyme F420 hydrogenase/dehydrogenase, beta subunit C-terminal domain</t>
  </si>
  <si>
    <t>WP_211737991.1</t>
  </si>
  <si>
    <t>FQN59_RS00060</t>
  </si>
  <si>
    <t>polysaccharide pyruvyl transferase family protein</t>
  </si>
  <si>
    <t>WP_211737993.1</t>
  </si>
  <si>
    <t>FQN59_RS00065</t>
  </si>
  <si>
    <t>glycosyltransferase family 2 protein</t>
  </si>
  <si>
    <t>WP_211737995.1</t>
  </si>
  <si>
    <t>FQN59_RS00070</t>
  </si>
  <si>
    <t>acyltransferase family protein</t>
  </si>
  <si>
    <t>WP_211737997.1</t>
  </si>
  <si>
    <t>FQN59_RS00075</t>
  </si>
  <si>
    <t>WP_211738000.1</t>
  </si>
  <si>
    <t>FQN59_RS00080</t>
  </si>
  <si>
    <t>UDP-galactopyranose mutase</t>
  </si>
  <si>
    <t>glf</t>
  </si>
  <si>
    <t>WP_211738002.1</t>
  </si>
  <si>
    <t>FQN59_RS00085</t>
  </si>
  <si>
    <t>WP_211738004.1</t>
  </si>
  <si>
    <t>FQN59_RS00090</t>
  </si>
  <si>
    <t>WP_211738006.1</t>
  </si>
  <si>
    <t>FQN59_RS00095</t>
  </si>
  <si>
    <t>WP_211738008.1</t>
  </si>
  <si>
    <t>FQN59_RS00100</t>
  </si>
  <si>
    <t>WP_211738010.1</t>
  </si>
  <si>
    <t>FQN59_RS00105</t>
  </si>
  <si>
    <t>capsular polysaccharide synthesis protein</t>
  </si>
  <si>
    <t>WP_211738012.1</t>
  </si>
  <si>
    <t>FQN59_RS00110</t>
  </si>
  <si>
    <t>beta-1,6-N-acetylglucosaminyltransferase</t>
  </si>
  <si>
    <t>WP_211738014.1</t>
  </si>
  <si>
    <t>FQN59_RS00115</t>
  </si>
  <si>
    <t>glycosyltransferase family 4 protein</t>
  </si>
  <si>
    <t>WP_211738016.1</t>
  </si>
  <si>
    <t>FQN59_RS00120</t>
  </si>
  <si>
    <t>glycosyltransferase</t>
  </si>
  <si>
    <t>WP_211738018.1</t>
  </si>
  <si>
    <t>FQN59_RS00125</t>
  </si>
  <si>
    <t>WP_211738019.1</t>
  </si>
  <si>
    <t>FQN59_RS00130</t>
  </si>
  <si>
    <t>sugar transferase</t>
  </si>
  <si>
    <t>WP_249222560.1</t>
  </si>
  <si>
    <t>FQN59_RS00135</t>
  </si>
  <si>
    <t>PqqD family protein</t>
  </si>
  <si>
    <t>WP_211738021.1</t>
  </si>
  <si>
    <t>FQN59_RS00140</t>
  </si>
  <si>
    <t>nucleotidyltransferase domain-containing protein</t>
  </si>
  <si>
    <t>WP_249222492.1</t>
  </si>
  <si>
    <t>FQN59_RS00145</t>
  </si>
  <si>
    <t>phosphoenolpyruvate carboxykinase</t>
  </si>
  <si>
    <t>WP_211738022.1</t>
  </si>
  <si>
    <t>FQN59_RS00150</t>
  </si>
  <si>
    <t>polysaccharide biosynthesis/export family protein</t>
  </si>
  <si>
    <t>WP_211738023.1</t>
  </si>
  <si>
    <t>FQN59_RS00155</t>
  </si>
  <si>
    <t>GumC family protein</t>
  </si>
  <si>
    <t>WP_211738025.1</t>
  </si>
  <si>
    <t>FQN59_RS00160</t>
  </si>
  <si>
    <t>WP_211738027.1</t>
  </si>
  <si>
    <t>FQN59_RS00165</t>
  </si>
  <si>
    <t>DUF4906 domain-containing protein</t>
  </si>
  <si>
    <t>WP_211738029.1</t>
  </si>
  <si>
    <t>FQN59_RS00170</t>
  </si>
  <si>
    <t>WP_211738031.1</t>
  </si>
  <si>
    <t>FQN59_RS00175</t>
  </si>
  <si>
    <t>CotH kinase family protein</t>
  </si>
  <si>
    <t>WP_211738033.1</t>
  </si>
  <si>
    <t>FQN59_RS00180</t>
  </si>
  <si>
    <t>OmpA family protein</t>
  </si>
  <si>
    <t>WP_211738035.1</t>
  </si>
  <si>
    <t>FQN59_RS00185</t>
  </si>
  <si>
    <t>S24/S26 family peptidase</t>
  </si>
  <si>
    <t>WP_211738037.1</t>
  </si>
  <si>
    <t>FQN59_RS00190</t>
  </si>
  <si>
    <t>ABC transporter ATP-binding protein</t>
  </si>
  <si>
    <t>WP_211738039.1</t>
  </si>
  <si>
    <t>FQN59_RS00195</t>
  </si>
  <si>
    <t>helix-turn-helix domain-containing protein</t>
  </si>
  <si>
    <t>WP_249222493.1</t>
  </si>
  <si>
    <t>FQN59_RS00200</t>
  </si>
  <si>
    <t>sugar phosphate nucleotidyltransferase</t>
  </si>
  <si>
    <t>WP_211738041.1</t>
  </si>
  <si>
    <t>FQN59_RS00205</t>
  </si>
  <si>
    <t>WP_130085247.1</t>
  </si>
  <si>
    <t>FQN59_RS00210</t>
  </si>
  <si>
    <t>uncharacterized gene</t>
  </si>
  <si>
    <t>pseudogene</t>
  </si>
  <si>
    <t>FQN59_RS00215</t>
  </si>
  <si>
    <t>BlaI/MecI/CopY family transcriptional regulator</t>
  </si>
  <si>
    <t>WP_005857360.1</t>
  </si>
  <si>
    <t>FQN59_RS00220</t>
  </si>
  <si>
    <t>WP_005857362.1</t>
  </si>
  <si>
    <t>FQN59_RS00225</t>
  </si>
  <si>
    <t>V-type ATP synthase subunit I</t>
  </si>
  <si>
    <t>WP_057319466.1</t>
  </si>
  <si>
    <t>FQN59_RS00230</t>
  </si>
  <si>
    <t>V-type ATP synthase subunit D</t>
  </si>
  <si>
    <t>WP_005857366.1</t>
  </si>
  <si>
    <t>FQN59_RS00235</t>
  </si>
  <si>
    <t>V-type ATP synthase subunit B</t>
  </si>
  <si>
    <t>WP_057319468.1</t>
  </si>
  <si>
    <t>FQN59_RS00240</t>
  </si>
  <si>
    <t>V-type ATP synthase subunit A</t>
  </si>
  <si>
    <t>WP_008772320.1</t>
  </si>
  <si>
    <t>FQN59_RS00245</t>
  </si>
  <si>
    <t>DUF2764 domain-containing protein</t>
  </si>
  <si>
    <t>WP_005862767.1</t>
  </si>
  <si>
    <t>FQN59_RS00250</t>
  </si>
  <si>
    <t>WP_005857375.1</t>
  </si>
  <si>
    <t>FQN59_RS00255</t>
  </si>
  <si>
    <t>GNAT family N-acetyltransferase</t>
  </si>
  <si>
    <t>WP_005862768.1</t>
  </si>
  <si>
    <t>FQN59_RS00260</t>
  </si>
  <si>
    <t>WP_005857379.1</t>
  </si>
  <si>
    <t>FQN59_RS00265</t>
  </si>
  <si>
    <t>FQN59_RS00270</t>
  </si>
  <si>
    <t>MFS transporter</t>
  </si>
  <si>
    <t>WP_211738043.1</t>
  </si>
  <si>
    <t>FQN59_RS00275</t>
  </si>
  <si>
    <t>glutamate decarboxylase</t>
  </si>
  <si>
    <t>WP_005857385.1</t>
  </si>
  <si>
    <t>FQN59_RS00280</t>
  </si>
  <si>
    <t>glutaminase A</t>
  </si>
  <si>
    <t>glsA</t>
  </si>
  <si>
    <t>WP_005857387.1</t>
  </si>
  <si>
    <t>FQN59_RS00285</t>
  </si>
  <si>
    <t>lytic transglycosylase domain-containing protein</t>
  </si>
  <si>
    <t>WP_005857389.1</t>
  </si>
  <si>
    <t>FQN59_RS00290</t>
  </si>
  <si>
    <t>gliding motility-associated C-terminal domain-containing protein</t>
  </si>
  <si>
    <t>WP_211738045.1</t>
  </si>
  <si>
    <t>FQN59_RS00295</t>
  </si>
  <si>
    <t>LysM peptidoglycan-binding domain-containing protein</t>
  </si>
  <si>
    <t>WP_121961373.1</t>
  </si>
  <si>
    <t>FQN59_RS00300</t>
  </si>
  <si>
    <t>porin family protein</t>
  </si>
  <si>
    <t>WP_416389585.1</t>
  </si>
  <si>
    <t>FQN59_RS00305</t>
  </si>
  <si>
    <t>uridine kinase</t>
  </si>
  <si>
    <t>udk</t>
  </si>
  <si>
    <t>WP_005857397.1</t>
  </si>
  <si>
    <t>FQN59_RS00310</t>
  </si>
  <si>
    <t>cobyrinate a,c-diamide synthase</t>
  </si>
  <si>
    <t>WP_211738047.1</t>
  </si>
  <si>
    <t>FQN59_RS00315</t>
  </si>
  <si>
    <t>phosphatase PAP2 family protein</t>
  </si>
  <si>
    <t>WP_211738050.1</t>
  </si>
  <si>
    <t>FQN59_RS00320</t>
  </si>
  <si>
    <t>3-methyl-2-oxobutanoate hydroxymethyltransferase</t>
  </si>
  <si>
    <t>panB</t>
  </si>
  <si>
    <t>WP_005857401.1</t>
  </si>
  <si>
    <t>FQN59_RS00325</t>
  </si>
  <si>
    <t>cold-shock protein</t>
  </si>
  <si>
    <t>WP_005857403.1</t>
  </si>
  <si>
    <t>FQN59_RS00330</t>
  </si>
  <si>
    <t>3'-5' exonuclease</t>
  </si>
  <si>
    <t>WP_005857406.1</t>
  </si>
  <si>
    <t>FQN59_RS00335</t>
  </si>
  <si>
    <t>N-acetylmuramoyl-L-alanine amidase</t>
  </si>
  <si>
    <t>WP_044546801.1</t>
  </si>
  <si>
    <t>FQN59_RS00340</t>
  </si>
  <si>
    <t>response regulator transcription factor</t>
  </si>
  <si>
    <t>WP_005862778.1</t>
  </si>
  <si>
    <t>FQN59_RS00345</t>
  </si>
  <si>
    <t>sensor histidine kinase</t>
  </si>
  <si>
    <t>WP_022191968.1</t>
  </si>
  <si>
    <t>FQN59_RS00350</t>
  </si>
  <si>
    <t>WP_121962098.1</t>
  </si>
  <si>
    <t>FQN59_RS00355</t>
  </si>
  <si>
    <t>LytR/AlgR family response regulator transcription factor</t>
  </si>
  <si>
    <t>WP_009017290.1</t>
  </si>
  <si>
    <t>FQN59_RS00360</t>
  </si>
  <si>
    <t>WP_005857415.1</t>
  </si>
  <si>
    <t>FQN59_RS00365</t>
  </si>
  <si>
    <t>efflux RND transporter periplasmic adaptor subunit</t>
  </si>
  <si>
    <t>WP_048928420.1</t>
  </si>
  <si>
    <t>FQN59_RS00370</t>
  </si>
  <si>
    <t>CusA/CzcA family heavy metal efflux RND transporter</t>
  </si>
  <si>
    <t>WP_211738052.1</t>
  </si>
  <si>
    <t>FQN59_RS00375</t>
  </si>
  <si>
    <t>4-hydroxy-tetrahydrodipicolinate synthase</t>
  </si>
  <si>
    <t>dapA</t>
  </si>
  <si>
    <t>WP_005857419.1</t>
  </si>
  <si>
    <t>FQN59_RS00380</t>
  </si>
  <si>
    <t>DUF6913 domain-containing protein</t>
  </si>
  <si>
    <t>WP_005857421.1</t>
  </si>
  <si>
    <t>FQN59_RS00385</t>
  </si>
  <si>
    <t>NAD-dependent DNA ligase LigA</t>
  </si>
  <si>
    <t>ligA</t>
  </si>
  <si>
    <t>WP_005857423.1</t>
  </si>
  <si>
    <t>FQN59_RS00390</t>
  </si>
  <si>
    <t>PCMD domain-containing protein</t>
  </si>
  <si>
    <t>WP_008772341.1</t>
  </si>
  <si>
    <t>FQN59_RS00395</t>
  </si>
  <si>
    <t>sulfotransferase family protein</t>
  </si>
  <si>
    <t>WP_022191973.1</t>
  </si>
  <si>
    <t>FQN59_RS00400</t>
  </si>
  <si>
    <t>sulfate adenylyltransferase subunit CysN</t>
  </si>
  <si>
    <t>cysN</t>
  </si>
  <si>
    <t>WP_005857430.1</t>
  </si>
  <si>
    <t>FQN59_RS00405</t>
  </si>
  <si>
    <t>sulfate adenylyltransferase subunit CysD</t>
  </si>
  <si>
    <t>cysD</t>
  </si>
  <si>
    <t>WP_005857432.1</t>
  </si>
  <si>
    <t>FQN59_RS00410</t>
  </si>
  <si>
    <t>adenylyl-sulfate kinase</t>
  </si>
  <si>
    <t>cysC</t>
  </si>
  <si>
    <t>WP_005862790.1</t>
  </si>
  <si>
    <t>FQN59_RS00415</t>
  </si>
  <si>
    <t>SLC13 family permease</t>
  </si>
  <si>
    <t>WP_211738054.1</t>
  </si>
  <si>
    <t>FQN59_RS00420</t>
  </si>
  <si>
    <t>3'(2'),5'-bisphosphate nucleotidase CysQ</t>
  </si>
  <si>
    <t>cysQ</t>
  </si>
  <si>
    <t>WP_036612678.1</t>
  </si>
  <si>
    <t>FQN59_RS00425</t>
  </si>
  <si>
    <t>TolC family protein</t>
  </si>
  <si>
    <t>WP_211738056.1</t>
  </si>
  <si>
    <t>FQN59_RS00430</t>
  </si>
  <si>
    <t>efflux RND transporter permease subunit</t>
  </si>
  <si>
    <t>WP_211738058.1</t>
  </si>
  <si>
    <t>FQN59_RS00435</t>
  </si>
  <si>
    <t>WP_008779760.1</t>
  </si>
  <si>
    <t>FQN59_RS00440</t>
  </si>
  <si>
    <t>WP_122379986.1</t>
  </si>
  <si>
    <t>FQN59_RS00445</t>
  </si>
  <si>
    <t>glycyl-radical enzyme activating protein</t>
  </si>
  <si>
    <t>WP_211738060.1</t>
  </si>
  <si>
    <t>FQN59_RS00450</t>
  </si>
  <si>
    <t>trans-4-hydroxy-L-proline dehydratase</t>
  </si>
  <si>
    <t>hypD</t>
  </si>
  <si>
    <t>WP_211738062.1</t>
  </si>
  <si>
    <t>FQN59_RS00455</t>
  </si>
  <si>
    <t>ABC transporter permease</t>
  </si>
  <si>
    <t>WP_211738064.1</t>
  </si>
  <si>
    <t>FQN59_RS00460</t>
  </si>
  <si>
    <t>D-xylose transporter XylE</t>
  </si>
  <si>
    <t>xylE</t>
  </si>
  <si>
    <t>WP_211738066.1</t>
  </si>
  <si>
    <t>FQN59_RS00465</t>
  </si>
  <si>
    <t>xylose isomerase</t>
  </si>
  <si>
    <t>xylA</t>
  </si>
  <si>
    <t>WP_211738068.1</t>
  </si>
  <si>
    <t>FQN59_RS00470</t>
  </si>
  <si>
    <t>xylulokinase</t>
  </si>
  <si>
    <t>WP_008779753.1</t>
  </si>
  <si>
    <t>FQN59_RS00475</t>
  </si>
  <si>
    <t>NUDIX hydrolase</t>
  </si>
  <si>
    <t>WP_005862814.1</t>
  </si>
  <si>
    <t>FQN59_RS00480</t>
  </si>
  <si>
    <t>TrkH family potassium uptake protein</t>
  </si>
  <si>
    <t>WP_005857461.1</t>
  </si>
  <si>
    <t>FQN59_RS00485</t>
  </si>
  <si>
    <t>potassium channel family protein</t>
  </si>
  <si>
    <t>WP_008772362.1</t>
  </si>
  <si>
    <t>FQN59_RS00490</t>
  </si>
  <si>
    <t>aldose 1-epimerase family protein</t>
  </si>
  <si>
    <t>WP_211738070.1</t>
  </si>
  <si>
    <t>FQN59_RS00495</t>
  </si>
  <si>
    <t>WP_211738072.1</t>
  </si>
  <si>
    <t>FQN59_RS00500</t>
  </si>
  <si>
    <t>DUF362 domain-containing protein</t>
  </si>
  <si>
    <t>WP_211738074.1</t>
  </si>
  <si>
    <t>FQN59_RS00505</t>
  </si>
  <si>
    <t>4Fe-4S dicluster domain-containing protein</t>
  </si>
  <si>
    <t>WP_211738077.1</t>
  </si>
  <si>
    <t>FQN59_RS00510</t>
  </si>
  <si>
    <t>tRNA guanosine(34) transglycosylase Tgt</t>
  </si>
  <si>
    <t>tgt</t>
  </si>
  <si>
    <t>WP_005857473.1</t>
  </si>
  <si>
    <t>FQN59_RS00515</t>
  </si>
  <si>
    <t>LptF/LptG family permease</t>
  </si>
  <si>
    <t>WP_005857475.1</t>
  </si>
  <si>
    <t>FQN59_RS00520</t>
  </si>
  <si>
    <t>DUF4925 domain-containing protein</t>
  </si>
  <si>
    <t>WP_122297265.1</t>
  </si>
  <si>
    <t>FQN59_RS00525</t>
  </si>
  <si>
    <t>putative quinol monooxygenase</t>
  </si>
  <si>
    <t>WP_048928253.1</t>
  </si>
  <si>
    <t>FQN59_RS00530</t>
  </si>
  <si>
    <t>PhoH family protein</t>
  </si>
  <si>
    <t>WP_005857480.1</t>
  </si>
  <si>
    <t>FQN59_RS00535</t>
  </si>
  <si>
    <t>MarC family protein</t>
  </si>
  <si>
    <t>WP_005857556.1</t>
  </si>
  <si>
    <t>FQN59_RS00540</t>
  </si>
  <si>
    <t>outer membrane beta-barrel family protein</t>
  </si>
  <si>
    <t>WP_048928251.1</t>
  </si>
  <si>
    <t>FQN59_RS00545</t>
  </si>
  <si>
    <t>FQN59_RS22770</t>
  </si>
  <si>
    <t>WP_005862871.1</t>
  </si>
  <si>
    <t>FQN59_RS00550</t>
  </si>
  <si>
    <t>hybrid sensor histidine kinase/response regulator</t>
  </si>
  <si>
    <t>WP_121960740.1</t>
  </si>
  <si>
    <t>FQN59_RS00555</t>
  </si>
  <si>
    <t>WP_008779740.1</t>
  </si>
  <si>
    <t>FQN59_RS00560</t>
  </si>
  <si>
    <t>WP_005862877.1</t>
  </si>
  <si>
    <t>FQN59_RS00565</t>
  </si>
  <si>
    <t>TIGR03905 family TSCPD domain-containing protein</t>
  </si>
  <si>
    <t>WP_005862879.1</t>
  </si>
  <si>
    <t>FQN59_RS00570</t>
  </si>
  <si>
    <t>bifunctional folylpolyglutamate synthase/dihydrofolate synthase</t>
  </si>
  <si>
    <t>WP_122377451.1</t>
  </si>
  <si>
    <t>FQN59_RS00575</t>
  </si>
  <si>
    <t>WP_005862883.1</t>
  </si>
  <si>
    <t>FQN59_RS00580</t>
  </si>
  <si>
    <t>WP_005857583.1</t>
  </si>
  <si>
    <t>FQN59_RS00585</t>
  </si>
  <si>
    <t>DIP1984 family protein</t>
  </si>
  <si>
    <t>WP_306439183.1</t>
  </si>
  <si>
    <t>FQN59_RS22775</t>
  </si>
  <si>
    <t>4-(cytidine 5'-diphospho)-2-C-methyl-D-erythritol kinase</t>
  </si>
  <si>
    <t>ispE</t>
  </si>
  <si>
    <t>WP_048928247.1</t>
  </si>
  <si>
    <t>FQN59_RS00595</t>
  </si>
  <si>
    <t>class I SAM-dependent methyltransferase</t>
  </si>
  <si>
    <t>WP_048928246.1</t>
  </si>
  <si>
    <t>FQN59_RS00600</t>
  </si>
  <si>
    <t>S9 family peptidase</t>
  </si>
  <si>
    <t>WP_121960743.1</t>
  </si>
  <si>
    <t>FQN59_RS00605</t>
  </si>
  <si>
    <t>WP_211738078.1</t>
  </si>
  <si>
    <t>FQN59_RS00610</t>
  </si>
  <si>
    <t>malate dehydrogenase</t>
  </si>
  <si>
    <t>WP_005862899.1</t>
  </si>
  <si>
    <t>FQN59_RS00615</t>
  </si>
  <si>
    <t>YgiQ family radical SAM protein</t>
  </si>
  <si>
    <t>WP_121960744.1</t>
  </si>
  <si>
    <t>FQN59_RS00620</t>
  </si>
  <si>
    <t>RidA family protein</t>
  </si>
  <si>
    <t>WP_005862903.1</t>
  </si>
  <si>
    <t>FQN59_RS00625</t>
  </si>
  <si>
    <t>23S rRNA (guanosine(2251)-2'-O)-methyltransferase RlmB</t>
  </si>
  <si>
    <t>rlmB</t>
  </si>
  <si>
    <t>WP_036628747.1</t>
  </si>
  <si>
    <t>FQN59_RS00630</t>
  </si>
  <si>
    <t>thymidine kinase</t>
  </si>
  <si>
    <t>WP_005857603.1</t>
  </si>
  <si>
    <t>FQN59_RS00635</t>
  </si>
  <si>
    <t>WP_008772386.1</t>
  </si>
  <si>
    <t>FQN59_RS00640</t>
  </si>
  <si>
    <t>WP_211738079.1</t>
  </si>
  <si>
    <t>FQN59_RS00645</t>
  </si>
  <si>
    <t>WP_211738081.1</t>
  </si>
  <si>
    <t>FQN59_RS00650</t>
  </si>
  <si>
    <t>WP_057326448.1</t>
  </si>
  <si>
    <t>FQN59_RS00655</t>
  </si>
  <si>
    <t>WP_044544953.1</t>
  </si>
  <si>
    <t>FQN59_RS00660</t>
  </si>
  <si>
    <t>WP_232285140.1</t>
  </si>
  <si>
    <t>FQN59_RS00665</t>
  </si>
  <si>
    <t>DNA repair protein RecN</t>
  </si>
  <si>
    <t>recN</t>
  </si>
  <si>
    <t>WP_005857617.1</t>
  </si>
  <si>
    <t>FQN59_RS00670</t>
  </si>
  <si>
    <t>DUF4835 family protein</t>
  </si>
  <si>
    <t>WP_008772391.1</t>
  </si>
  <si>
    <t>FQN59_RS00675</t>
  </si>
  <si>
    <t>bifunctional phosphopantothenoylcysteine decarboxylase/phosphopantothenate--cysteine ligase CoaBC</t>
  </si>
  <si>
    <t>coaBC</t>
  </si>
  <si>
    <t>WP_121960846.1</t>
  </si>
  <si>
    <t>FQN59_RS00680</t>
  </si>
  <si>
    <t>iron-containing alcohol dehydrogenase</t>
  </si>
  <si>
    <t>WP_211738083.1</t>
  </si>
  <si>
    <t>FQN59_RS00685</t>
  </si>
  <si>
    <t>WP_005857624.1</t>
  </si>
  <si>
    <t>FQN59_RS00690</t>
  </si>
  <si>
    <t>DNA polymerase III subunit beta</t>
  </si>
  <si>
    <t>dnaN</t>
  </si>
  <si>
    <t>WP_005857626.1</t>
  </si>
  <si>
    <t>FQN59_RS00695</t>
  </si>
  <si>
    <t>DUF4295 domain-containing protein</t>
  </si>
  <si>
    <t>WP_005638125.1</t>
  </si>
  <si>
    <t>FQN59_RS00700</t>
  </si>
  <si>
    <t>50S ribosomal protein L33</t>
  </si>
  <si>
    <t>rpmG</t>
  </si>
  <si>
    <t>WP_005857628.1</t>
  </si>
  <si>
    <t>FQN59_RS00705</t>
  </si>
  <si>
    <t>50S ribosomal protein L28</t>
  </si>
  <si>
    <t>rpmB</t>
  </si>
  <si>
    <t>WP_005857630.1</t>
  </si>
  <si>
    <t>FQN59_RS00710</t>
  </si>
  <si>
    <t>nitroreductase family protein</t>
  </si>
  <si>
    <t>WP_036615787.1</t>
  </si>
  <si>
    <t>FQN59_RS00715</t>
  </si>
  <si>
    <t>dihydrolipoyl dehydrogenase</t>
  </si>
  <si>
    <t>lpdA</t>
  </si>
  <si>
    <t>WP_122297278.1</t>
  </si>
  <si>
    <t>FQN59_RS00720</t>
  </si>
  <si>
    <t>lipoate--protein ligase family protein</t>
  </si>
  <si>
    <t>WP_122268214.1</t>
  </si>
  <si>
    <t>FQN59_RS00725</t>
  </si>
  <si>
    <t>dihydrolipoamide acetyltransferase family protein</t>
  </si>
  <si>
    <t>WP_036630459.1</t>
  </si>
  <si>
    <t>FQN59_RS00730</t>
  </si>
  <si>
    <t>alpha-ketoacid dehydrogenase subunit alpha/beta</t>
  </si>
  <si>
    <t>WP_005862955.1</t>
  </si>
  <si>
    <t>FQN59_RS00735</t>
  </si>
  <si>
    <t>flavodoxin</t>
  </si>
  <si>
    <t>WP_005857641.1</t>
  </si>
  <si>
    <t>FQN59_RS00740</t>
  </si>
  <si>
    <t>MarR family winged helix-turn-helix transcriptional regulator</t>
  </si>
  <si>
    <t>WP_211738085.1</t>
  </si>
  <si>
    <t>FQN59_RS00745</t>
  </si>
  <si>
    <t>WP_048928238.1</t>
  </si>
  <si>
    <t>FQN59_RS00750</t>
  </si>
  <si>
    <t>HlyD family secretion protein</t>
  </si>
  <si>
    <t>WP_196009710.1</t>
  </si>
  <si>
    <t>FQN59_RS00755</t>
  </si>
  <si>
    <t>WP_211738087.1</t>
  </si>
  <si>
    <t>FQN59_RS00760</t>
  </si>
  <si>
    <t>molecular chaperone HtpG</t>
  </si>
  <si>
    <t>htpG</t>
  </si>
  <si>
    <t>WP_008779719.1</t>
  </si>
  <si>
    <t>FQN59_RS00765</t>
  </si>
  <si>
    <t>thioredoxin family protein</t>
  </si>
  <si>
    <t>WP_005862963.1</t>
  </si>
  <si>
    <t>FQN59_RS00770</t>
  </si>
  <si>
    <t>patatin-like phospholipase family protein</t>
  </si>
  <si>
    <t>WP_008772403.1</t>
  </si>
  <si>
    <t>FQN59_RS00775</t>
  </si>
  <si>
    <t>tRNA-Arg</t>
  </si>
  <si>
    <t>FQN59_RS00780</t>
  </si>
  <si>
    <t>FQN59_RS00785</t>
  </si>
  <si>
    <t>FQN59_RS00790</t>
  </si>
  <si>
    <t>ammonia-forming cytochrome c nitrite reductase</t>
  </si>
  <si>
    <t>nrfA</t>
  </si>
  <si>
    <t>WP_005862965.1</t>
  </si>
  <si>
    <t>FQN59_RS00795</t>
  </si>
  <si>
    <t>WP_211738089.1</t>
  </si>
  <si>
    <t>FQN59_RS00800</t>
  </si>
  <si>
    <t>WP_008772406.1</t>
  </si>
  <si>
    <t>FQN59_RS00805</t>
  </si>
  <si>
    <t>phosphoglycerate kinase</t>
  </si>
  <si>
    <t>WP_005862970.1</t>
  </si>
  <si>
    <t>FQN59_RS00810</t>
  </si>
  <si>
    <t>type I pullulanase</t>
  </si>
  <si>
    <t>pulA</t>
  </si>
  <si>
    <t>WP_211738091.1</t>
  </si>
  <si>
    <t>FQN59_RS00815</t>
  </si>
  <si>
    <t>replicative DNA helicase</t>
  </si>
  <si>
    <t>dnaB</t>
  </si>
  <si>
    <t>WP_008772408.1</t>
  </si>
  <si>
    <t>FQN59_RS00820</t>
  </si>
  <si>
    <t>immunoglobulin-like domain-containing protein</t>
  </si>
  <si>
    <t>WP_211738093.1</t>
  </si>
  <si>
    <t>FQN59_RS00825</t>
  </si>
  <si>
    <t>magnesium transporter CorA family protein</t>
  </si>
  <si>
    <t>WP_211738095.1</t>
  </si>
  <si>
    <t>FQN59_RS00830</t>
  </si>
  <si>
    <t>GH92 family glycosyl hydrolase</t>
  </si>
  <si>
    <t>WP_005862979.1</t>
  </si>
  <si>
    <t>FQN59_RS00835</t>
  </si>
  <si>
    <t>glycoside hydrolase family 20 protein</t>
  </si>
  <si>
    <t>WP_005862981.1</t>
  </si>
  <si>
    <t>FQN59_RS00840</t>
  </si>
  <si>
    <t>RNA recognition motif domain-containing protein</t>
  </si>
  <si>
    <t>WP_005862983.1</t>
  </si>
  <si>
    <t>FQN59_RS00845</t>
  </si>
  <si>
    <t>50S ribosomal protein L20</t>
  </si>
  <si>
    <t>rplT</t>
  </si>
  <si>
    <t>WP_005857682.1</t>
  </si>
  <si>
    <t>FQN59_RS00850</t>
  </si>
  <si>
    <t>50S ribosomal protein L35</t>
  </si>
  <si>
    <t>rpmI</t>
  </si>
  <si>
    <t>WP_005857684.1</t>
  </si>
  <si>
    <t>FQN59_RS00855</t>
  </si>
  <si>
    <t>translation initiation factor IF-3</t>
  </si>
  <si>
    <t>infC</t>
  </si>
  <si>
    <t>WP_005862985.1</t>
  </si>
  <si>
    <t>FQN59_RS00860</t>
  </si>
  <si>
    <t>threonine--tRNA ligase</t>
  </si>
  <si>
    <t>thrS</t>
  </si>
  <si>
    <t>WP_005862987.1</t>
  </si>
  <si>
    <t>FQN59_RS00865</t>
  </si>
  <si>
    <t>tetratricopeptide repeat protein</t>
  </si>
  <si>
    <t>WP_036650911.1</t>
  </si>
  <si>
    <t>FQN59_RS00870</t>
  </si>
  <si>
    <t>acetyl-CoA carboxylase biotin carboxyl carrier protein subunit</t>
  </si>
  <si>
    <t>WP_005862991.1</t>
  </si>
  <si>
    <t>FQN59_RS00875</t>
  </si>
  <si>
    <t>acyl-CoA carboxylase subunit beta</t>
  </si>
  <si>
    <t>WP_005857693.1</t>
  </si>
  <si>
    <t>FQN59_RS00880</t>
  </si>
  <si>
    <t>peptide deformylase</t>
  </si>
  <si>
    <t>def</t>
  </si>
  <si>
    <t>WP_211738097.1</t>
  </si>
  <si>
    <t>FQN59_RS00885</t>
  </si>
  <si>
    <t>Holliday junction resolvase RuvX</t>
  </si>
  <si>
    <t>ruvX</t>
  </si>
  <si>
    <t>WP_008772415.1</t>
  </si>
  <si>
    <t>FQN59_RS00890</t>
  </si>
  <si>
    <t>undecaprenyl-phosphate glucose phosphotransferase</t>
  </si>
  <si>
    <t>WP_211738099.1</t>
  </si>
  <si>
    <t>FQN59_RS00895</t>
  </si>
  <si>
    <t>WP_122144217.1</t>
  </si>
  <si>
    <t>FQN59_RS00900</t>
  </si>
  <si>
    <t>GDP-mannose 4,6-dehydratase</t>
  </si>
  <si>
    <t>gmd</t>
  </si>
  <si>
    <t>WP_005862995.1</t>
  </si>
  <si>
    <t>FQN59_RS00905</t>
  </si>
  <si>
    <t>GDP-L-fucose synthase family protein</t>
  </si>
  <si>
    <t>WP_121772607.1</t>
  </si>
  <si>
    <t>FQN59_RS00910</t>
  </si>
  <si>
    <t>glucose-1-phosphate thymidylyltransferase RfbA</t>
  </si>
  <si>
    <t>rfbA</t>
  </si>
  <si>
    <t>WP_005863000.1</t>
  </si>
  <si>
    <t>FQN59_RS00915</t>
  </si>
  <si>
    <t>nucleoside 2-deoxyribosyltransferase domain-containing protein</t>
  </si>
  <si>
    <t>WP_005857710.1</t>
  </si>
  <si>
    <t>FQN59_RS00920</t>
  </si>
  <si>
    <t>6-phosphogluconolactonase</t>
  </si>
  <si>
    <t>pgl</t>
  </si>
  <si>
    <t>WP_196008767.1</t>
  </si>
  <si>
    <t>FQN59_RS00925</t>
  </si>
  <si>
    <t>glucose-6-phosphate dehydrogenase</t>
  </si>
  <si>
    <t>zwf</t>
  </si>
  <si>
    <t>WP_005857714.1</t>
  </si>
  <si>
    <t>FQN59_RS00930</t>
  </si>
  <si>
    <t>decarboxylating NADP(+)-dependent phosphogluconate dehydrogenase</t>
  </si>
  <si>
    <t>gnd</t>
  </si>
  <si>
    <t>WP_005863005.1</t>
  </si>
  <si>
    <t>FQN59_RS00935</t>
  </si>
  <si>
    <t>FAD-dependent oxidoreductase</t>
  </si>
  <si>
    <t>WP_008772423.1</t>
  </si>
  <si>
    <t>FQN59_RS00940</t>
  </si>
  <si>
    <t>DUF2156 domain-containing protein</t>
  </si>
  <si>
    <t>WP_008772425.1</t>
  </si>
  <si>
    <t>FQN59_RS00945</t>
  </si>
  <si>
    <t>WP_211738101.1</t>
  </si>
  <si>
    <t>FQN59_RS00950</t>
  </si>
  <si>
    <t>LruC domain-containing protein</t>
  </si>
  <si>
    <t>WP_121961210.1</t>
  </si>
  <si>
    <t>FQN59_RS00955</t>
  </si>
  <si>
    <t>sigma-54-dependent transcriptional regulator</t>
  </si>
  <si>
    <t>WP_121962061.1</t>
  </si>
  <si>
    <t>FQN59_RS00960</t>
  </si>
  <si>
    <t>DUF418 domain-containing protein</t>
  </si>
  <si>
    <t>WP_211738103.1</t>
  </si>
  <si>
    <t>FQN59_RS00965</t>
  </si>
  <si>
    <t>ATP-binding protein</t>
  </si>
  <si>
    <t>WP_211738105.1</t>
  </si>
  <si>
    <t>FQN59_RS00970</t>
  </si>
  <si>
    <t>FQN59_RS00975</t>
  </si>
  <si>
    <t>alanine/glycine:cation symporter family protein</t>
  </si>
  <si>
    <t>WP_197735326.1</t>
  </si>
  <si>
    <t>FQN59_RS00980</t>
  </si>
  <si>
    <t>WP_044544864.1</t>
  </si>
  <si>
    <t>FQN59_RS00985</t>
  </si>
  <si>
    <t>glycoside hydrolase family 130 protein</t>
  </si>
  <si>
    <t>WP_005857736.1</t>
  </si>
  <si>
    <t>FQN59_RS00990</t>
  </si>
  <si>
    <t>WP_057319652.1</t>
  </si>
  <si>
    <t>FQN59_RS00995</t>
  </si>
  <si>
    <t>WP_008772435.1</t>
  </si>
  <si>
    <t>FQN59_RS01000</t>
  </si>
  <si>
    <t>3-hydroxy-5-phosphonooxypentane-2,4-dione thiolase</t>
  </si>
  <si>
    <t>lsrF</t>
  </si>
  <si>
    <t>WP_022192624.1</t>
  </si>
  <si>
    <t>FQN59_RS01005</t>
  </si>
  <si>
    <t>DAK2 domain-containing protein</t>
  </si>
  <si>
    <t>WP_008772437.1</t>
  </si>
  <si>
    <t>FQN59_RS01010</t>
  </si>
  <si>
    <t>dihydroxyacetone kinase subunit DhaK</t>
  </si>
  <si>
    <t>WP_008772438.1</t>
  </si>
  <si>
    <t>FQN59_RS01015</t>
  </si>
  <si>
    <t>WP_005857750.1</t>
  </si>
  <si>
    <t>FQN59_RS01020</t>
  </si>
  <si>
    <t>cytochrome c biogenesis protein CcsA</t>
  </si>
  <si>
    <t>ccsA</t>
  </si>
  <si>
    <t>WP_022192621.1</t>
  </si>
  <si>
    <t>FQN59_RS01025</t>
  </si>
  <si>
    <t>SUMF1/EgtB/PvdO family nonheme iron enzyme</t>
  </si>
  <si>
    <t>WP_249222496.1</t>
  </si>
  <si>
    <t>FQN59_RS01030</t>
  </si>
  <si>
    <t>WP_008779695.1</t>
  </si>
  <si>
    <t>FQN59_RS01035</t>
  </si>
  <si>
    <t>endoribonuclease L-PSP superfamily</t>
  </si>
  <si>
    <t>WP_008779694.1</t>
  </si>
  <si>
    <t>FQN59_RS01040</t>
  </si>
  <si>
    <t>YncE family protein</t>
  </si>
  <si>
    <t>WP_057326471.1</t>
  </si>
  <si>
    <t>FQN59_RS01045</t>
  </si>
  <si>
    <t>IclR family transcriptional regulator</t>
  </si>
  <si>
    <t>WP_211738109.1</t>
  </si>
  <si>
    <t>FQN59_RS01050</t>
  </si>
  <si>
    <t>Dps family protein</t>
  </si>
  <si>
    <t>WP_008772444.1</t>
  </si>
  <si>
    <t>FQN59_RS01055</t>
  </si>
  <si>
    <t>outer membrane beta-barrel protein</t>
  </si>
  <si>
    <t>WP_034531327.1</t>
  </si>
  <si>
    <t>FQN59_RS01060</t>
  </si>
  <si>
    <t>WP_005863058.1</t>
  </si>
  <si>
    <t>FQN59_RS01065</t>
  </si>
  <si>
    <t>transcription-repair coupling factor</t>
  </si>
  <si>
    <t>mfd</t>
  </si>
  <si>
    <t>WP_211738952.1</t>
  </si>
  <si>
    <t>FQN59_RS01070</t>
  </si>
  <si>
    <t>AMP-dependent synthetase/ligase</t>
  </si>
  <si>
    <t>WP_121961204.1</t>
  </si>
  <si>
    <t>FQN59_RS01075</t>
  </si>
  <si>
    <t>WP_162613644.1</t>
  </si>
  <si>
    <t>FQN59_RS01080</t>
  </si>
  <si>
    <t>DUF6261 family protein</t>
  </si>
  <si>
    <t>WP_122144204.1</t>
  </si>
  <si>
    <t>FQN59_RS01085</t>
  </si>
  <si>
    <t>DUF5686 and carboxypeptidase-like regulatory domain-containing protein</t>
  </si>
  <si>
    <t>WP_211738112.1</t>
  </si>
  <si>
    <t>FQN59_RS01090</t>
  </si>
  <si>
    <t>Na+/H+ antiporter NhaC family protein</t>
  </si>
  <si>
    <t>WP_195603060.1</t>
  </si>
  <si>
    <t>FQN59_RS01095</t>
  </si>
  <si>
    <t>WP_211738114.1</t>
  </si>
  <si>
    <t>FQN59_RS01100</t>
  </si>
  <si>
    <t>WP_122378559.1</t>
  </si>
  <si>
    <t>FQN59_RS01105</t>
  </si>
  <si>
    <t>ferredoxin domain-containing protein</t>
  </si>
  <si>
    <t>WP_005863072.1</t>
  </si>
  <si>
    <t>FQN59_RS01110</t>
  </si>
  <si>
    <t>KamA family radical SAM protein</t>
  </si>
  <si>
    <t>WP_009017227.1</t>
  </si>
  <si>
    <t>FQN59_RS01115</t>
  </si>
  <si>
    <t>response regulator</t>
  </si>
  <si>
    <t>WP_005863076.1</t>
  </si>
  <si>
    <t>FQN59_RS01120</t>
  </si>
  <si>
    <t>TonB-dependent receptor plug domain-containing protein</t>
  </si>
  <si>
    <t>WP_211738116.1</t>
  </si>
  <si>
    <t>FQN59_RS01125</t>
  </si>
  <si>
    <t>nickel-responsive transcriptional regulator NikR</t>
  </si>
  <si>
    <t>nikR</t>
  </si>
  <si>
    <t>WP_005857797.1</t>
  </si>
  <si>
    <t>FQN59_RS01130</t>
  </si>
  <si>
    <t>SusD/RagB family nutrient-binding outer membrane lipoprotein</t>
  </si>
  <si>
    <t>WP_211738118.1</t>
  </si>
  <si>
    <t>FQN59_RS01135</t>
  </si>
  <si>
    <t>SusC/RagA family TonB-linked outer membrane protein</t>
  </si>
  <si>
    <t>WP_158532514.1</t>
  </si>
  <si>
    <t>FQN59_RS01140</t>
  </si>
  <si>
    <t>WP_005863085.1</t>
  </si>
  <si>
    <t>FQN59_RS01145</t>
  </si>
  <si>
    <t>WP_249222497.1</t>
  </si>
  <si>
    <t>FQN59_RS01150</t>
  </si>
  <si>
    <t>FecR family protein</t>
  </si>
  <si>
    <t>WP_005863089.1</t>
  </si>
  <si>
    <t>FQN59_RS01155</t>
  </si>
  <si>
    <t>DUF488 domain-containing protein</t>
  </si>
  <si>
    <t>WP_121772484.1</t>
  </si>
  <si>
    <t>FQN59_RS01160</t>
  </si>
  <si>
    <t>2,3-diphosphoglycerate-dependent phosphoglycerate mutase</t>
  </si>
  <si>
    <t>gpmA</t>
  </si>
  <si>
    <t>WP_048928687.1</t>
  </si>
  <si>
    <t>FQN59_RS01165</t>
  </si>
  <si>
    <t>RNA polymerase sigma-70 factor</t>
  </si>
  <si>
    <t>WP_057326480.1</t>
  </si>
  <si>
    <t>FQN59_RS01170</t>
  </si>
  <si>
    <t>sugar phosphate isomerase/epimerase family protein</t>
  </si>
  <si>
    <t>WP_005857832.1</t>
  </si>
  <si>
    <t>FQN59_RS01175</t>
  </si>
  <si>
    <t>aspartate ammonia-lyase</t>
  </si>
  <si>
    <t>WP_005863095.1</t>
  </si>
  <si>
    <t>FQN59_RS01180</t>
  </si>
  <si>
    <t>tryptophan synthase subunit beta</t>
  </si>
  <si>
    <t>trpB</t>
  </si>
  <si>
    <t>WP_195600289.1</t>
  </si>
  <si>
    <t>FQN59_RS01185</t>
  </si>
  <si>
    <t>anthranilate synthase component I family protein</t>
  </si>
  <si>
    <t>WP_211738120.1</t>
  </si>
  <si>
    <t>FQN59_RS01190</t>
  </si>
  <si>
    <t>anthranilate synthase component II</t>
  </si>
  <si>
    <t>WP_048928685.1</t>
  </si>
  <si>
    <t>FQN59_RS01195</t>
  </si>
  <si>
    <t>anthranilate phosphoribosyltransferase</t>
  </si>
  <si>
    <t>trpD</t>
  </si>
  <si>
    <t>WP_048928684.1</t>
  </si>
  <si>
    <t>FQN59_RS01200</t>
  </si>
  <si>
    <t>indole-3-glycerol phosphate synthase TrpC</t>
  </si>
  <si>
    <t>trpC</t>
  </si>
  <si>
    <t>WP_048928683.1</t>
  </si>
  <si>
    <t>FQN59_RS01205</t>
  </si>
  <si>
    <t>phosphoribosylanthranilate isomerase</t>
  </si>
  <si>
    <t>WP_044544558.1</t>
  </si>
  <si>
    <t>FQN59_RS01210</t>
  </si>
  <si>
    <t>tryptophan synthase subunit alpha</t>
  </si>
  <si>
    <t>trpA</t>
  </si>
  <si>
    <t>WP_057329589.1</t>
  </si>
  <si>
    <t>FQN59_RS01215</t>
  </si>
  <si>
    <t>WP_048928681.1</t>
  </si>
  <si>
    <t>FQN59_RS01220</t>
  </si>
  <si>
    <t>LutC/YkgG family protein</t>
  </si>
  <si>
    <t>WP_009017215.1</t>
  </si>
  <si>
    <t>FQN59_RS01225</t>
  </si>
  <si>
    <t>lactate utilization protein B</t>
  </si>
  <si>
    <t>WP_211738122.1</t>
  </si>
  <si>
    <t>FQN59_RS01230</t>
  </si>
  <si>
    <t>(Fe-S)-binding protein</t>
  </si>
  <si>
    <t>WP_158533055.1</t>
  </si>
  <si>
    <t>FQN59_RS01235</t>
  </si>
  <si>
    <t>Crp/Fnr family transcriptional regulator</t>
  </si>
  <si>
    <t>WP_005857857.1</t>
  </si>
  <si>
    <t>FQN59_RS01240</t>
  </si>
  <si>
    <t>carbamoyl-phosphate synthase (glutamine-hydrolyzing) large subunit</t>
  </si>
  <si>
    <t>carB</t>
  </si>
  <si>
    <t>WP_005857859.1</t>
  </si>
  <si>
    <t>FQN59_RS01245</t>
  </si>
  <si>
    <t>glutamine-hydrolyzing carbamoyl-phosphate synthase small subunit</t>
  </si>
  <si>
    <t>carA</t>
  </si>
  <si>
    <t>WP_005857861.1</t>
  </si>
  <si>
    <t>FQN59_RS01250</t>
  </si>
  <si>
    <t>amidophosphoribosyltransferase</t>
  </si>
  <si>
    <t>WP_005857863.1</t>
  </si>
  <si>
    <t>FQN59_RS01255</t>
  </si>
  <si>
    <t>WP_005857865.1</t>
  </si>
  <si>
    <t>FQN59_RS01260</t>
  </si>
  <si>
    <t>mannose-1-phosphate guanylyltransferase</t>
  </si>
  <si>
    <t>WP_005857867.1</t>
  </si>
  <si>
    <t>FQN59_RS01265</t>
  </si>
  <si>
    <t>WP_005857869.1</t>
  </si>
  <si>
    <t>FQN59_RS01270</t>
  </si>
  <si>
    <t>WP_005857870.1</t>
  </si>
  <si>
    <t>FQN59_RS01275</t>
  </si>
  <si>
    <t>WP_005857872.1</t>
  </si>
  <si>
    <t>FQN59_RS01280</t>
  </si>
  <si>
    <t>alpha-1,2-fucosyltransferase</t>
  </si>
  <si>
    <t>WP_036628956.1</t>
  </si>
  <si>
    <t>FQN59_RS01285</t>
  </si>
  <si>
    <t>WP_005857876.1</t>
  </si>
  <si>
    <t>FQN59_RS01290</t>
  </si>
  <si>
    <t>SIS domain-containing protein</t>
  </si>
  <si>
    <t>WP_005857878.1</t>
  </si>
  <si>
    <t>FQN59_RS01295</t>
  </si>
  <si>
    <t>GHMP kinase</t>
  </si>
  <si>
    <t>WP_005857880.1</t>
  </si>
  <si>
    <t>FQN59_RS01300</t>
  </si>
  <si>
    <t>HAD-IIIA family hydrolase</t>
  </si>
  <si>
    <t>WP_005857883.1</t>
  </si>
  <si>
    <t>FQN59_RS01305</t>
  </si>
  <si>
    <t>NAD-dependent epimerase/dehydratase family protein</t>
  </si>
  <si>
    <t>WP_005857885.1</t>
  </si>
  <si>
    <t>FQN59_RS01310</t>
  </si>
  <si>
    <t>WP_005857887.1</t>
  </si>
  <si>
    <t>FQN59_RS01315</t>
  </si>
  <si>
    <t>O-antigen ligase family protein</t>
  </si>
  <si>
    <t>WP_005857890.1</t>
  </si>
  <si>
    <t>FQN59_RS01320</t>
  </si>
  <si>
    <t>glycosyltransferase family 32 protein</t>
  </si>
  <si>
    <t>WP_005857892.1</t>
  </si>
  <si>
    <t>FQN59_RS01325</t>
  </si>
  <si>
    <t>non-hydrolyzing UDP-N-acetylglucosamine 2-epimerase</t>
  </si>
  <si>
    <t>wecB</t>
  </si>
  <si>
    <t>WP_211738124.1</t>
  </si>
  <si>
    <t>FQN59_RS01330</t>
  </si>
  <si>
    <t>serine O-acetyltransferase</t>
  </si>
  <si>
    <t>WP_198285346.1</t>
  </si>
  <si>
    <t>FQN59_RS01335</t>
  </si>
  <si>
    <t>WP_005857901.1</t>
  </si>
  <si>
    <t>FQN59_RS01340</t>
  </si>
  <si>
    <t>WP_005857903.1</t>
  </si>
  <si>
    <t>FQN59_RS01345</t>
  </si>
  <si>
    <t>WP_036628973.1</t>
  </si>
  <si>
    <t>FQN59_RS01350</t>
  </si>
  <si>
    <t>WP_005857907.1</t>
  </si>
  <si>
    <t>FQN59_RS01355</t>
  </si>
  <si>
    <t>WP_154396230.1</t>
  </si>
  <si>
    <t>FQN59_RS01360</t>
  </si>
  <si>
    <t>BT4734/BF3469 family protein</t>
  </si>
  <si>
    <t>WP_122297693.1</t>
  </si>
  <si>
    <t>FQN59_RS01365</t>
  </si>
  <si>
    <t>DUF3987 domain-containing protein</t>
  </si>
  <si>
    <t>WP_211738126.1</t>
  </si>
  <si>
    <t>FQN59_RS01370</t>
  </si>
  <si>
    <t>DUF4248 domain-containing protein</t>
  </si>
  <si>
    <t>WP_005857913.1</t>
  </si>
  <si>
    <t>FQN59_RS01375</t>
  </si>
  <si>
    <t>HU family DNA-binding protein</t>
  </si>
  <si>
    <t>WP_005857348.1</t>
  </si>
  <si>
    <t>FQN59_RS01380</t>
  </si>
  <si>
    <t>smalltalk protein</t>
  </si>
  <si>
    <t>WP_005855736.1</t>
  </si>
  <si>
    <t>FQN59_RS01385</t>
  </si>
  <si>
    <t>WP_008772489.1</t>
  </si>
  <si>
    <t>FQN59_RS01390</t>
  </si>
  <si>
    <t>MraY family glycosyltransferase</t>
  </si>
  <si>
    <t>WP_009017186.1</t>
  </si>
  <si>
    <t>FQN59_RS01395</t>
  </si>
  <si>
    <t>WP_009017185.1</t>
  </si>
  <si>
    <t>FQN59_RS01400</t>
  </si>
  <si>
    <t>WP_211738128.1</t>
  </si>
  <si>
    <t>FQN59_RS01405</t>
  </si>
  <si>
    <t>WP_057317744.1</t>
  </si>
  <si>
    <t>FQN59_RS01410</t>
  </si>
  <si>
    <t>WP_005857929.1</t>
  </si>
  <si>
    <t>FQN59_RS01415</t>
  </si>
  <si>
    <t>transcription termination/antitermination protein NusG</t>
  </si>
  <si>
    <t>nusG</t>
  </si>
  <si>
    <t>WP_211737957.1</t>
  </si>
  <si>
    <t>FQN59_RS01420</t>
  </si>
  <si>
    <t>tyrosine-type recombinase/integrase</t>
  </si>
  <si>
    <t>WP_005857932.1</t>
  </si>
  <si>
    <t>FQN59_RS01425</t>
  </si>
  <si>
    <t>M3 family metallopeptidase</t>
  </si>
  <si>
    <t>WP_005866465.1</t>
  </si>
  <si>
    <t>FQN59_RS01430</t>
  </si>
  <si>
    <t>WP_122297414.1</t>
  </si>
  <si>
    <t>FQN59_RS01435</t>
  </si>
  <si>
    <t>WP_122297413.1</t>
  </si>
  <si>
    <t>FQN59_RS01440</t>
  </si>
  <si>
    <t>NAD(P)H-dependent flavin oxidoreductase</t>
  </si>
  <si>
    <t>WP_005857940.1</t>
  </si>
  <si>
    <t>FQN59_RS01445</t>
  </si>
  <si>
    <t>WP_211738130.1</t>
  </si>
  <si>
    <t>FQN59_RS01450</t>
  </si>
  <si>
    <t>WP_122297412.1</t>
  </si>
  <si>
    <t>FQN59_RS01455</t>
  </si>
  <si>
    <t>WP_036650882.1</t>
  </si>
  <si>
    <t>FQN59_RS01460</t>
  </si>
  <si>
    <t>DUF6769 family protein</t>
  </si>
  <si>
    <t>WP_005857949.1</t>
  </si>
  <si>
    <t>FQN59_RS01465</t>
  </si>
  <si>
    <t>WP_211738133.1</t>
  </si>
  <si>
    <t>FQN59_RS01470</t>
  </si>
  <si>
    <t>sulfide-dependent adenosine diphosphate thiazole synthase</t>
  </si>
  <si>
    <t>WP_005857953.1</t>
  </si>
  <si>
    <t>FQN59_RS01475</t>
  </si>
  <si>
    <t>IbrB-like domain-containing protein</t>
  </si>
  <si>
    <t>WP_005857955.1</t>
  </si>
  <si>
    <t>FQN59_RS01480</t>
  </si>
  <si>
    <t>DUF3440 domain-containing protein</t>
  </si>
  <si>
    <t>WP_005866446.1</t>
  </si>
  <si>
    <t>FQN59_RS01485</t>
  </si>
  <si>
    <t>WP_130882080.1</t>
  </si>
  <si>
    <t>FQN59_RS01490</t>
  </si>
  <si>
    <t>glycoside hydrolase family 3 C-terminal domain-containing protein</t>
  </si>
  <si>
    <t>WP_229038788.1</t>
  </si>
  <si>
    <t>FQN59_RS22420</t>
  </si>
  <si>
    <t>WP_232044498.1</t>
  </si>
  <si>
    <t>FQN59_RS22425</t>
  </si>
  <si>
    <t>AAA family ATPase</t>
  </si>
  <si>
    <t>WP_005866440.1</t>
  </si>
  <si>
    <t>FQN59_RS01510</t>
  </si>
  <si>
    <t>WP_005866438.1</t>
  </si>
  <si>
    <t>FQN59_RS01515</t>
  </si>
  <si>
    <t>WP_211738135.1</t>
  </si>
  <si>
    <t>FQN59_RS01520</t>
  </si>
  <si>
    <t>WP_211738137.1</t>
  </si>
  <si>
    <t>FQN59_RS01525</t>
  </si>
  <si>
    <t>WP_005866432.1</t>
  </si>
  <si>
    <t>FQN59_RS01530</t>
  </si>
  <si>
    <t>WP_122380305.1</t>
  </si>
  <si>
    <t>FQN59_RS01535</t>
  </si>
  <si>
    <t>RagB/SusD family nutrient uptake outer membrane protein</t>
  </si>
  <si>
    <t>WP_005866428.1</t>
  </si>
  <si>
    <t>FQN59_RS01540</t>
  </si>
  <si>
    <t>ATP-dependent helicase</t>
  </si>
  <si>
    <t>WP_211738139.1</t>
  </si>
  <si>
    <t>FQN59_RS01545</t>
  </si>
  <si>
    <t>WP_211738142.1</t>
  </si>
  <si>
    <t>FQN59_RS01550</t>
  </si>
  <si>
    <t>WP_211738144.1</t>
  </si>
  <si>
    <t>FQN59_RS01555</t>
  </si>
  <si>
    <t>WP_211738146.1</t>
  </si>
  <si>
    <t>FQN59_RS01560</t>
  </si>
  <si>
    <t>PcfK-like family protein</t>
  </si>
  <si>
    <t>WP_211738148.1</t>
  </si>
  <si>
    <t>FQN59_RS01565</t>
  </si>
  <si>
    <t>PcfJ domain-containing protein</t>
  </si>
  <si>
    <t>WP_211738150.1</t>
  </si>
  <si>
    <t>FQN59_RS01570</t>
  </si>
  <si>
    <t>WP_211738152.1</t>
  </si>
  <si>
    <t>FQN59_RS01575</t>
  </si>
  <si>
    <t>DUF3873 domain-containing protein</t>
  </si>
  <si>
    <t>WP_211738154.1</t>
  </si>
  <si>
    <t>FQN59_RS01580</t>
  </si>
  <si>
    <t>DUF6956 domain-containing protein</t>
  </si>
  <si>
    <t>WP_211738157.1</t>
  </si>
  <si>
    <t>FQN59_RS01585</t>
  </si>
  <si>
    <t>WP_211738159.1</t>
  </si>
  <si>
    <t>FQN59_RS01590</t>
  </si>
  <si>
    <t>DUF4238 domain-containing protein</t>
  </si>
  <si>
    <t>WP_211738161.1</t>
  </si>
  <si>
    <t>FQN59_RS01595</t>
  </si>
  <si>
    <t>glycoside hydrolase family protein</t>
  </si>
  <si>
    <t>WP_211738163.1</t>
  </si>
  <si>
    <t>FQN59_RS01600</t>
  </si>
  <si>
    <t>DUF3872 domain-containing protein</t>
  </si>
  <si>
    <t>WP_211738166.1</t>
  </si>
  <si>
    <t>FQN59_RS01605</t>
  </si>
  <si>
    <t>toprim domain-containing protein</t>
  </si>
  <si>
    <t>WP_211738168.1</t>
  </si>
  <si>
    <t>FQN59_RS01610</t>
  </si>
  <si>
    <t>conjugal transfer protein TraO</t>
  </si>
  <si>
    <t>WP_211738171.1</t>
  </si>
  <si>
    <t>FQN59_RS01615</t>
  </si>
  <si>
    <t>conjugative transposon protein TraN</t>
  </si>
  <si>
    <t>traN</t>
  </si>
  <si>
    <t>WP_211738172.1</t>
  </si>
  <si>
    <t>FQN59_RS01620</t>
  </si>
  <si>
    <t>conjugative transposon protein TraM</t>
  </si>
  <si>
    <t>traM</t>
  </si>
  <si>
    <t>WP_211738174.1</t>
  </si>
  <si>
    <t>FQN59_RS01625</t>
  </si>
  <si>
    <t>TraL conjugative transposon family protein</t>
  </si>
  <si>
    <t>WP_211738176.1</t>
  </si>
  <si>
    <t>FQN59_RS01630</t>
  </si>
  <si>
    <t>conjugative transposon protein TraK</t>
  </si>
  <si>
    <t>traK</t>
  </si>
  <si>
    <t>WP_211738178.1</t>
  </si>
  <si>
    <t>FQN59_RS01635</t>
  </si>
  <si>
    <t>conjugative transposon protein TraJ</t>
  </si>
  <si>
    <t>traJ</t>
  </si>
  <si>
    <t>WP_004291518.1</t>
  </si>
  <si>
    <t>FQN59_RS01640</t>
  </si>
  <si>
    <t>DUF4141 domain-containing protein</t>
  </si>
  <si>
    <t>WP_004308927.1</t>
  </si>
  <si>
    <t>FQN59_RS01645</t>
  </si>
  <si>
    <t>DUF3876 domain-containing protein</t>
  </si>
  <si>
    <t>WP_007656461.1</t>
  </si>
  <si>
    <t>FQN59_RS01650</t>
  </si>
  <si>
    <t>reverse transcriptase/maturase family protein</t>
  </si>
  <si>
    <t>WP_005680466.1</t>
  </si>
  <si>
    <t>FQN59_RS01655</t>
  </si>
  <si>
    <t>FQN59_RS01660</t>
  </si>
  <si>
    <t>FQN59_RS01665</t>
  </si>
  <si>
    <t>DUF4133 domain-containing protein</t>
  </si>
  <si>
    <t>WP_004291514.1</t>
  </si>
  <si>
    <t>FQN59_RS01670</t>
  </si>
  <si>
    <t>DUF4134 domain-containing protein</t>
  </si>
  <si>
    <t>WP_004311205.1</t>
  </si>
  <si>
    <t>FQN59_RS01675</t>
  </si>
  <si>
    <t>WP_005643920.1</t>
  </si>
  <si>
    <t>FQN59_RS01680</t>
  </si>
  <si>
    <t>DUF3408 domain-containing protein</t>
  </si>
  <si>
    <t>WP_287647342.1</t>
  </si>
  <si>
    <t>FQN59_RS01685</t>
  </si>
  <si>
    <t>WP_004311202.1</t>
  </si>
  <si>
    <t>FQN59_RS01690</t>
  </si>
  <si>
    <t>ParA family protein</t>
  </si>
  <si>
    <t>WP_005643916.1</t>
  </si>
  <si>
    <t>FQN59_RS01695</t>
  </si>
  <si>
    <t>WP_036657560.1</t>
  </si>
  <si>
    <t>FQN59_RS22900</t>
  </si>
  <si>
    <t>conjugal transfer protein MobA</t>
  </si>
  <si>
    <t>mobA</t>
  </si>
  <si>
    <t>WP_005944180.1</t>
  </si>
  <si>
    <t>FQN59_RS01700</t>
  </si>
  <si>
    <t>conjugal transfer protein MobB</t>
  </si>
  <si>
    <t>mobB</t>
  </si>
  <si>
    <t>WP_008645598.1</t>
  </si>
  <si>
    <t>FQN59_RS01705</t>
  </si>
  <si>
    <t>conjugal transfer protein MobC</t>
  </si>
  <si>
    <t>mobC</t>
  </si>
  <si>
    <t>WP_008645597.1</t>
  </si>
  <si>
    <t>FQN59_RS01710</t>
  </si>
  <si>
    <t>WP_008645594.1</t>
  </si>
  <si>
    <t>FQN59_RS01715</t>
  </si>
  <si>
    <t>WP_008645592.1</t>
  </si>
  <si>
    <t>FQN59_RS01720</t>
  </si>
  <si>
    <t>RteC domain-containing protein</t>
  </si>
  <si>
    <t>WP_008645591.1</t>
  </si>
  <si>
    <t>FQN59_RS01725</t>
  </si>
  <si>
    <t>dihydrofolate reductase family protein</t>
  </si>
  <si>
    <t>WP_008655868.1</t>
  </si>
  <si>
    <t>FQN59_RS01730</t>
  </si>
  <si>
    <t>WP_008645588.1</t>
  </si>
  <si>
    <t>FQN59_RS01735</t>
  </si>
  <si>
    <t>WP_008645587.1</t>
  </si>
  <si>
    <t>FQN59_RS01740</t>
  </si>
  <si>
    <t>tetracycline resistance ribosomal protection protein</t>
  </si>
  <si>
    <t>tet</t>
  </si>
  <si>
    <t>WP_008645586.1</t>
  </si>
  <si>
    <t>FQN59_RS01745</t>
  </si>
  <si>
    <t>erm(F)</t>
  </si>
  <si>
    <t>FQN59_RS01750</t>
  </si>
  <si>
    <t>IS982-like element IS1187 family transposase</t>
  </si>
  <si>
    <t>WP_032536584.1</t>
  </si>
  <si>
    <t>FQN59_RS01755</t>
  </si>
  <si>
    <t>WP_007366527.1</t>
  </si>
  <si>
    <t>FQN59_RS01760</t>
  </si>
  <si>
    <t>nuclear transport factor 2 family protein</t>
  </si>
  <si>
    <t>WP_007366528.1</t>
  </si>
  <si>
    <t>FQN59_RS01765</t>
  </si>
  <si>
    <t>FQN59_RS01770</t>
  </si>
  <si>
    <t>N-6 DNA methylase</t>
  </si>
  <si>
    <t>WP_211738181.1</t>
  </si>
  <si>
    <t>FQN59_RS01775</t>
  </si>
  <si>
    <t>DUF1896 domain-containing protein</t>
  </si>
  <si>
    <t>WP_346345296.1</t>
  </si>
  <si>
    <t>FQN59_RS01780</t>
  </si>
  <si>
    <t>type IA DNA topoisomerase</t>
  </si>
  <si>
    <t>WP_008645574.1</t>
  </si>
  <si>
    <t>FQN59_RS01785</t>
  </si>
  <si>
    <t>DUF4099 domain-containing protein</t>
  </si>
  <si>
    <t>WP_008645573.1</t>
  </si>
  <si>
    <t>FQN59_RS01790</t>
  </si>
  <si>
    <t>WP_008655857.1</t>
  </si>
  <si>
    <t>FQN59_RS01795</t>
  </si>
  <si>
    <t>WP_008655856.1</t>
  </si>
  <si>
    <t>FQN59_RS01800</t>
  </si>
  <si>
    <t>WP_032535412.1</t>
  </si>
  <si>
    <t>FQN59_RS01805</t>
  </si>
  <si>
    <t>WP_008645571.1</t>
  </si>
  <si>
    <t>FQN59_RS01810</t>
  </si>
  <si>
    <t>WP_008645570.1</t>
  </si>
  <si>
    <t>FQN59_RS01815</t>
  </si>
  <si>
    <t>site-specific integrase</t>
  </si>
  <si>
    <t>WP_008645569.1</t>
  </si>
  <si>
    <t>FQN59_RS01820</t>
  </si>
  <si>
    <t>endonuclease/exonuclease/phosphatase family protein</t>
  </si>
  <si>
    <t>WP_005854855.1</t>
  </si>
  <si>
    <t>FQN59_RS01825</t>
  </si>
  <si>
    <t>Gfo/Idh/MocA family oxidoreductase</t>
  </si>
  <si>
    <t>WP_008773369.1</t>
  </si>
  <si>
    <t>FQN59_RS01830</t>
  </si>
  <si>
    <t>WP_044544664.1</t>
  </si>
  <si>
    <t>FQN59_RS01835</t>
  </si>
  <si>
    <t>endopeptidase La</t>
  </si>
  <si>
    <t>lon</t>
  </si>
  <si>
    <t>WP_022192022.1</t>
  </si>
  <si>
    <t>FQN59_RS01840</t>
  </si>
  <si>
    <t>tRNA1(Val) (adenine(37)-N6)-methyltransferase</t>
  </si>
  <si>
    <t>WP_211738183.1</t>
  </si>
  <si>
    <t>FQN59_RS01845</t>
  </si>
  <si>
    <t>diacylglycerol/lipid kinase family protein</t>
  </si>
  <si>
    <t>WP_005854843.1</t>
  </si>
  <si>
    <t>FQN59_RS01850</t>
  </si>
  <si>
    <t>serine palmitoyltransferase</t>
  </si>
  <si>
    <t>spt</t>
  </si>
  <si>
    <t>WP_005854840.1</t>
  </si>
  <si>
    <t>FQN59_RS01855</t>
  </si>
  <si>
    <t>PSP1 domain-containing protein</t>
  </si>
  <si>
    <t>WP_010183701.1</t>
  </si>
  <si>
    <t>FQN59_RS01860</t>
  </si>
  <si>
    <t>gliding motility lipoprotein GldH</t>
  </si>
  <si>
    <t>WP_029257204.1</t>
  </si>
  <si>
    <t>FQN59_RS01865</t>
  </si>
  <si>
    <t>rod shape-determining protein RodA</t>
  </si>
  <si>
    <t>rodA</t>
  </si>
  <si>
    <t>WP_005854836.1</t>
  </si>
  <si>
    <t>FQN59_RS01870</t>
  </si>
  <si>
    <t>penicillin-binding protein 2</t>
  </si>
  <si>
    <t>mrdA</t>
  </si>
  <si>
    <t>WP_009275823.1</t>
  </si>
  <si>
    <t>FQN59_RS01875</t>
  </si>
  <si>
    <t>rod shape-determining protein MreD</t>
  </si>
  <si>
    <t>mreD</t>
  </si>
  <si>
    <t>WP_005864903.1</t>
  </si>
  <si>
    <t>FQN59_RS01880</t>
  </si>
  <si>
    <t>rod shape-determining protein MreC</t>
  </si>
  <si>
    <t>mreC</t>
  </si>
  <si>
    <t>WP_005864901.1</t>
  </si>
  <si>
    <t>FQN59_RS01885</t>
  </si>
  <si>
    <t>rod shape-determining protein</t>
  </si>
  <si>
    <t>WP_005854830.1</t>
  </si>
  <si>
    <t>FQN59_RS01890</t>
  </si>
  <si>
    <t>bifunctional phosphoribosylaminoimidazolecarboxamide formyltransferase/IMP cyclohydrolase</t>
  </si>
  <si>
    <t>purH</t>
  </si>
  <si>
    <t>WP_005854829.1</t>
  </si>
  <si>
    <t>FQN59_RS01895</t>
  </si>
  <si>
    <t>WP_005864898.1</t>
  </si>
  <si>
    <t>FQN59_RS01900</t>
  </si>
  <si>
    <t>HepT-like ribonuclease domain-containing protein</t>
  </si>
  <si>
    <t>WP_005864896.1</t>
  </si>
  <si>
    <t>FQN59_RS01905</t>
  </si>
  <si>
    <t>nucleotidyltransferase family protein</t>
  </si>
  <si>
    <t>WP_005854828.1</t>
  </si>
  <si>
    <t>FQN59_RS01910</t>
  </si>
  <si>
    <t>FQN59_RS01915</t>
  </si>
  <si>
    <t>ABC-F family ATP-binding cassette domain-containing protein</t>
  </si>
  <si>
    <t>WP_005854824.1</t>
  </si>
  <si>
    <t>FQN59_RS01920</t>
  </si>
  <si>
    <t>LTA synthase family protein</t>
  </si>
  <si>
    <t>WP_211738185.1</t>
  </si>
  <si>
    <t>FQN59_RS01925</t>
  </si>
  <si>
    <t>ribonuclease Y</t>
  </si>
  <si>
    <t>rny</t>
  </si>
  <si>
    <t>WP_005854819.1</t>
  </si>
  <si>
    <t>FQN59_RS01930</t>
  </si>
  <si>
    <t>cell division protein ZapA</t>
  </si>
  <si>
    <t>WP_005864888.1</t>
  </si>
  <si>
    <t>FQN59_RS01935</t>
  </si>
  <si>
    <t>WP_005864886.1</t>
  </si>
  <si>
    <t>FQN59_RS01940</t>
  </si>
  <si>
    <t>winged helix-turn-helix domain-containing protein</t>
  </si>
  <si>
    <t>WP_005854813.1</t>
  </si>
  <si>
    <t>FQN59_RS01945</t>
  </si>
  <si>
    <t>B3/B4 domain-containing protein</t>
  </si>
  <si>
    <t>WP_005854811.1</t>
  </si>
  <si>
    <t>FQN59_RS01950</t>
  </si>
  <si>
    <t>peptidoglycan editing factor PgeF</t>
  </si>
  <si>
    <t>pgeF</t>
  </si>
  <si>
    <t>WP_121773339.1</t>
  </si>
  <si>
    <t>FQN59_RS01955</t>
  </si>
  <si>
    <t>GTPase ObgE</t>
  </si>
  <si>
    <t>obgE</t>
  </si>
  <si>
    <t>WP_005854807.1</t>
  </si>
  <si>
    <t>FQN59_RS01960</t>
  </si>
  <si>
    <t>adenylate kinase</t>
  </si>
  <si>
    <t>WP_005854805.1</t>
  </si>
  <si>
    <t>FQN59_RS01965</t>
  </si>
  <si>
    <t>hypoxanthine phosphoribosyltransferase</t>
  </si>
  <si>
    <t>hpt</t>
  </si>
  <si>
    <t>WP_010183721.1</t>
  </si>
  <si>
    <t>FQN59_RS01970</t>
  </si>
  <si>
    <t>bifunctional ADP-dependent NAD(P)H-hydrate dehydratase/NAD(P)H-hydrate epimerase</t>
  </si>
  <si>
    <t>WP_005854801.1</t>
  </si>
  <si>
    <t>FQN59_RS01975</t>
  </si>
  <si>
    <t>3-keto-disaccharide hydrolase</t>
  </si>
  <si>
    <t>WP_048927652.1</t>
  </si>
  <si>
    <t>FQN59_RS01980</t>
  </si>
  <si>
    <t>WP_122368854.1</t>
  </si>
  <si>
    <t>FQN59_RS01985</t>
  </si>
  <si>
    <t>WP_036612947.1</t>
  </si>
  <si>
    <t>FQN59_RS01990</t>
  </si>
  <si>
    <t>RNA polymerase sigma factor</t>
  </si>
  <si>
    <t>WP_211738187.1</t>
  </si>
  <si>
    <t>FQN59_RS01995</t>
  </si>
  <si>
    <t>WP_172514201.1</t>
  </si>
  <si>
    <t>FQN59_RS02000</t>
  </si>
  <si>
    <t>sigma-70 family RNA polymerase sigma factor</t>
  </si>
  <si>
    <t>WP_008773389.1</t>
  </si>
  <si>
    <t>FQN59_RS02005</t>
  </si>
  <si>
    <t>TonB-dependent receptor</t>
  </si>
  <si>
    <t>WP_034531963.1</t>
  </si>
  <si>
    <t>FQN59_RS02010</t>
  </si>
  <si>
    <t>WP_211738189.1</t>
  </si>
  <si>
    <t>FQN59_RS02015</t>
  </si>
  <si>
    <t>WP_036651545.1</t>
  </si>
  <si>
    <t>FQN59_RS02020</t>
  </si>
  <si>
    <t>DUF4831 family protein</t>
  </si>
  <si>
    <t>WP_048927648.1</t>
  </si>
  <si>
    <t>FQN59_RS02025</t>
  </si>
  <si>
    <t>peptide MFS transporter</t>
  </si>
  <si>
    <t>WP_195320214.1</t>
  </si>
  <si>
    <t>FQN59_RS02030</t>
  </si>
  <si>
    <t>WP_195283977.1</t>
  </si>
  <si>
    <t>FQN59_RS02035</t>
  </si>
  <si>
    <t>biotin synthase BioB</t>
  </si>
  <si>
    <t>bioB</t>
  </si>
  <si>
    <t>WP_211738191.1</t>
  </si>
  <si>
    <t>FQN59_RS02040</t>
  </si>
  <si>
    <t>adenosylmethionine--8-amino-7-oxononanoate transaminase</t>
  </si>
  <si>
    <t>bioA</t>
  </si>
  <si>
    <t>WP_211738193.1</t>
  </si>
  <si>
    <t>FQN59_RS02045</t>
  </si>
  <si>
    <t>8-amino-7-oxononanoate synthase</t>
  </si>
  <si>
    <t>WP_211738195.1</t>
  </si>
  <si>
    <t>FQN59_RS02050</t>
  </si>
  <si>
    <t>DUF452 family protein</t>
  </si>
  <si>
    <t>WP_211738197.1</t>
  </si>
  <si>
    <t>FQN59_RS02055</t>
  </si>
  <si>
    <t>malonyl-ACP O-methyltransferase BioC</t>
  </si>
  <si>
    <t>bioC</t>
  </si>
  <si>
    <t>WP_211738957.1</t>
  </si>
  <si>
    <t>FQN59_RS02060</t>
  </si>
  <si>
    <t>dethiobiotin synthase</t>
  </si>
  <si>
    <t>bioD</t>
  </si>
  <si>
    <t>WP_122297554.1</t>
  </si>
  <si>
    <t>FQN59_RS02065</t>
  </si>
  <si>
    <t>YkvA family protein</t>
  </si>
  <si>
    <t>WP_005854762.1</t>
  </si>
  <si>
    <t>FQN59_RS02070</t>
  </si>
  <si>
    <t>WP_211738199.1</t>
  </si>
  <si>
    <t>FQN59_RS02075</t>
  </si>
  <si>
    <t>WP_122368846.1</t>
  </si>
  <si>
    <t>FQN59_RS02080</t>
  </si>
  <si>
    <t>DUF417 family protein</t>
  </si>
  <si>
    <t>WP_005864846.1</t>
  </si>
  <si>
    <t>FQN59_RS02085</t>
  </si>
  <si>
    <t>WP_211738201.1</t>
  </si>
  <si>
    <t>FQN59_RS02090</t>
  </si>
  <si>
    <t>thioredoxin</t>
  </si>
  <si>
    <t>trxA</t>
  </si>
  <si>
    <t>WP_196007228.1</t>
  </si>
  <si>
    <t>FQN59_RS02095</t>
  </si>
  <si>
    <t>WP_005864838.1</t>
  </si>
  <si>
    <t>FQN59_RS02100</t>
  </si>
  <si>
    <t>WP_211738204.1</t>
  </si>
  <si>
    <t>FQN59_RS02105</t>
  </si>
  <si>
    <t>WP_005864833.1</t>
  </si>
  <si>
    <t>FQN59_RS02110</t>
  </si>
  <si>
    <t>WP_081024228.1</t>
  </si>
  <si>
    <t>FQN59_RS02115</t>
  </si>
  <si>
    <t>PepSY-like domain-containing protein</t>
  </si>
  <si>
    <t>WP_121961817.1</t>
  </si>
  <si>
    <t>FQN59_RS02120</t>
  </si>
  <si>
    <t>WP_121961818.1</t>
  </si>
  <si>
    <t>FQN59_RS02125</t>
  </si>
  <si>
    <t>WP_008780170.1</t>
  </si>
  <si>
    <t>FQN59_RS02130</t>
  </si>
  <si>
    <t>WP_005864826.1</t>
  </si>
  <si>
    <t>FQN59_RS02135</t>
  </si>
  <si>
    <t>WP_005864824.1</t>
  </si>
  <si>
    <t>FQN59_RS02140</t>
  </si>
  <si>
    <t>DUF3256 family protein</t>
  </si>
  <si>
    <t>WP_005864822.1</t>
  </si>
  <si>
    <t>FQN59_RS02145</t>
  </si>
  <si>
    <t>DMT family transporter</t>
  </si>
  <si>
    <t>WP_005854727.1</t>
  </si>
  <si>
    <t>FQN59_RS02150</t>
  </si>
  <si>
    <t>tRNA pseudouridine(38-40) synthase TruA</t>
  </si>
  <si>
    <t>truA</t>
  </si>
  <si>
    <t>WP_005854725.1</t>
  </si>
  <si>
    <t>FQN59_RS02155</t>
  </si>
  <si>
    <t>aspartate:alanine exchanger family transporter</t>
  </si>
  <si>
    <t>WP_005864815.1</t>
  </si>
  <si>
    <t>FQN59_RS02160</t>
  </si>
  <si>
    <t>alpha-L-arabinofuranosidase C-terminal domain-containing protein</t>
  </si>
  <si>
    <t>WP_211738206.1</t>
  </si>
  <si>
    <t>FQN59_RS02165</t>
  </si>
  <si>
    <t>MmcQ/YjbR family DNA-binding protein</t>
  </si>
  <si>
    <t>WP_005854719.1</t>
  </si>
  <si>
    <t>FQN59_RS02170</t>
  </si>
  <si>
    <t>HRDC domain-containing protein</t>
  </si>
  <si>
    <t>WP_211738208.1</t>
  </si>
  <si>
    <t>FQN59_RS02175</t>
  </si>
  <si>
    <t>WP_121961823.1</t>
  </si>
  <si>
    <t>FQN59_RS02180</t>
  </si>
  <si>
    <t>DUF4923 family protein</t>
  </si>
  <si>
    <t>WP_008773416.1</t>
  </si>
  <si>
    <t>FQN59_RS02185</t>
  </si>
  <si>
    <t>WP_005864803.1</t>
  </si>
  <si>
    <t>FQN59_RS02190</t>
  </si>
  <si>
    <t>class II fructose-bisphosphate aldolase</t>
  </si>
  <si>
    <t>WP_005854709.1</t>
  </si>
  <si>
    <t>FQN59_RS02195</t>
  </si>
  <si>
    <t>type B 50S ribosomal protein L31</t>
  </si>
  <si>
    <t>WP_005854707.1</t>
  </si>
  <si>
    <t>FQN59_RS02200</t>
  </si>
  <si>
    <t>phosphotransferase enzyme family protein</t>
  </si>
  <si>
    <t>WP_005854705.1</t>
  </si>
  <si>
    <t>FQN59_RS02205</t>
  </si>
  <si>
    <t>Dabb family protein</t>
  </si>
  <si>
    <t>WP_122382515.1</t>
  </si>
  <si>
    <t>FQN59_RS02210</t>
  </si>
  <si>
    <t>WP_211738210.1</t>
  </si>
  <si>
    <t>FQN59_RS02215</t>
  </si>
  <si>
    <t>WP_211738212.1</t>
  </si>
  <si>
    <t>FQN59_RS02220</t>
  </si>
  <si>
    <t>WP_048927625.1</t>
  </si>
  <si>
    <t>FQN59_RS02225</t>
  </si>
  <si>
    <t>WP_057326949.1</t>
  </si>
  <si>
    <t>FQN59_RS02230</t>
  </si>
  <si>
    <t>WP_122144335.1</t>
  </si>
  <si>
    <t>FQN59_RS02235</t>
  </si>
  <si>
    <t>diacylglycerol kinase family protein</t>
  </si>
  <si>
    <t>WP_005854690.1</t>
  </si>
  <si>
    <t>FQN59_RS02240</t>
  </si>
  <si>
    <t>WP_008773430.1</t>
  </si>
  <si>
    <t>FQN59_RS02245</t>
  </si>
  <si>
    <t>WP_195320280.1</t>
  </si>
  <si>
    <t>FQN59_RS02250</t>
  </si>
  <si>
    <t>WP_146334094.1</t>
  </si>
  <si>
    <t>FQN59_RS02255</t>
  </si>
  <si>
    <t>WP_146334093.1</t>
  </si>
  <si>
    <t>FQN59_RS02260</t>
  </si>
  <si>
    <t>WP_146334092.1</t>
  </si>
  <si>
    <t>FQN59_RS02265</t>
  </si>
  <si>
    <t>WP_211738214.1</t>
  </si>
  <si>
    <t>FQN59_RS02270</t>
  </si>
  <si>
    <t>WP_005864774.1</t>
  </si>
  <si>
    <t>FQN59_RS02275</t>
  </si>
  <si>
    <t>DNA-binding domain-containing protein</t>
  </si>
  <si>
    <t>WP_005864772.1</t>
  </si>
  <si>
    <t>FQN59_RS02280</t>
  </si>
  <si>
    <t>WP_005854666.1</t>
  </si>
  <si>
    <t>FQN59_RS02285</t>
  </si>
  <si>
    <t>WP_005864766.1</t>
  </si>
  <si>
    <t>FQN59_RS02290</t>
  </si>
  <si>
    <t>WP_005864764.1</t>
  </si>
  <si>
    <t>FQN59_RS02295</t>
  </si>
  <si>
    <t>WP_005864762.1</t>
  </si>
  <si>
    <t>FQN59_RS02300</t>
  </si>
  <si>
    <t>WP_005854659.1</t>
  </si>
  <si>
    <t>FQN59_RS02305</t>
  </si>
  <si>
    <t>WP_005864757.1</t>
  </si>
  <si>
    <t>FQN59_RS02310</t>
  </si>
  <si>
    <t>WP_005864755.1</t>
  </si>
  <si>
    <t>FQN59_RS02315</t>
  </si>
  <si>
    <t>WP_005864752.1</t>
  </si>
  <si>
    <t>FQN59_RS02320</t>
  </si>
  <si>
    <t>WP_005864750.1</t>
  </si>
  <si>
    <t>FQN59_RS02325</t>
  </si>
  <si>
    <t>WP_005864748.1</t>
  </si>
  <si>
    <t>FQN59_RS02330</t>
  </si>
  <si>
    <t>WP_005864747.1</t>
  </si>
  <si>
    <t>FQN59_RS02335</t>
  </si>
  <si>
    <t>beta-galactosidase GalB</t>
  </si>
  <si>
    <t>galB</t>
  </si>
  <si>
    <t>WP_121961154.1</t>
  </si>
  <si>
    <t>FQN59_RS02340</t>
  </si>
  <si>
    <t>anaerobic C4-dicarboxylate transporter family protein</t>
  </si>
  <si>
    <t>WP_008773446.1</t>
  </si>
  <si>
    <t>FQN59_RS02345</t>
  </si>
  <si>
    <t>thioredoxin domain-containing protein</t>
  </si>
  <si>
    <t>WP_005854641.1</t>
  </si>
  <si>
    <t>FQN59_RS02350</t>
  </si>
  <si>
    <t>threonine ammonia-lyase</t>
  </si>
  <si>
    <t>ilvA</t>
  </si>
  <si>
    <t>WP_008773447.1</t>
  </si>
  <si>
    <t>FQN59_RS02355</t>
  </si>
  <si>
    <t>WP_005864739.1</t>
  </si>
  <si>
    <t>FQN59_RS02360</t>
  </si>
  <si>
    <t>WP_036613131.1</t>
  </si>
  <si>
    <t>FQN59_RS02365</t>
  </si>
  <si>
    <t>WP_048927620.1</t>
  </si>
  <si>
    <t>FQN59_RS02370</t>
  </si>
  <si>
    <t>DUF2141 domain-containing protein</t>
  </si>
  <si>
    <t>WP_008773449.1</t>
  </si>
  <si>
    <t>FQN59_RS02375</t>
  </si>
  <si>
    <t>O-acetyl-ADP-ribose deacetylase</t>
  </si>
  <si>
    <t>WP_005864731.1</t>
  </si>
  <si>
    <t>FQN59_RS02380</t>
  </si>
  <si>
    <t>DUF5715 family protein</t>
  </si>
  <si>
    <t>WP_008773450.1</t>
  </si>
  <si>
    <t>FQN59_RS02385</t>
  </si>
  <si>
    <t>WP_005854625.1</t>
  </si>
  <si>
    <t>FQN59_RS02390</t>
  </si>
  <si>
    <t>phosphoribosylaminoimidazolesuccinocarboxamide synthase</t>
  </si>
  <si>
    <t>WP_048927619.1</t>
  </si>
  <si>
    <t>FQN59_RS02395</t>
  </si>
  <si>
    <t>bifunctional demethylmenaquinone methyltransferase/2-methoxy-6-polyprenyl-1,4-benzoquinol methylase UbiE</t>
  </si>
  <si>
    <t>ubiE</t>
  </si>
  <si>
    <t>WP_008773451.1</t>
  </si>
  <si>
    <t>FQN59_RS02400</t>
  </si>
  <si>
    <t>shikimate dehydrogenase family protein</t>
  </si>
  <si>
    <t>WP_005854619.1</t>
  </si>
  <si>
    <t>FQN59_RS02405</t>
  </si>
  <si>
    <t>4'-phosphopantetheinyl transferase family protein</t>
  </si>
  <si>
    <t>WP_211738216.1</t>
  </si>
  <si>
    <t>FQN59_RS02410</t>
  </si>
  <si>
    <t>gliding motility protein GldD</t>
  </si>
  <si>
    <t>WP_121772326.1</t>
  </si>
  <si>
    <t>FQN59_RS02415</t>
  </si>
  <si>
    <t>gliding motility-associated protein GldE</t>
  </si>
  <si>
    <t>gldE</t>
  </si>
  <si>
    <t>WP_008773452.1</t>
  </si>
  <si>
    <t>FQN59_RS02420</t>
  </si>
  <si>
    <t>single-stranded DNA-binding protein</t>
  </si>
  <si>
    <t>WP_005864715.1</t>
  </si>
  <si>
    <t>FQN59_RS02425</t>
  </si>
  <si>
    <t>A/G-specific adenine glycosylase</t>
  </si>
  <si>
    <t>mutY</t>
  </si>
  <si>
    <t>WP_005864713.1</t>
  </si>
  <si>
    <t>FQN59_RS02430</t>
  </si>
  <si>
    <t>WP_005854607.1</t>
  </si>
  <si>
    <t>FQN59_RS02435</t>
  </si>
  <si>
    <t>Rne/Rng family ribonuclease</t>
  </si>
  <si>
    <t>WP_005854603.1</t>
  </si>
  <si>
    <t>FQN59_RS02440</t>
  </si>
  <si>
    <t>molecular chaperone DnaK</t>
  </si>
  <si>
    <t>dnaK</t>
  </si>
  <si>
    <t>WP_057329031.1</t>
  </si>
  <si>
    <t>FQN59_RS02445</t>
  </si>
  <si>
    <t>WP_211738218.1</t>
  </si>
  <si>
    <t>FQN59_RS02450</t>
  </si>
  <si>
    <t>WP_057317145.1</t>
  </si>
  <si>
    <t>FQN59_RS02455</t>
  </si>
  <si>
    <t>WP_005864650.1</t>
  </si>
  <si>
    <t>FQN59_RS02460</t>
  </si>
  <si>
    <t>amidohydrolase</t>
  </si>
  <si>
    <t>WP_008773477.1</t>
  </si>
  <si>
    <t>FQN59_RS02465</t>
  </si>
  <si>
    <t>1-acyl-sn-glycerol-3-phosphate acyltransferase</t>
  </si>
  <si>
    <t>WP_008773478.1</t>
  </si>
  <si>
    <t>FQN59_RS02470</t>
  </si>
  <si>
    <t>WP_005854588.1</t>
  </si>
  <si>
    <t>FQN59_RS02475</t>
  </si>
  <si>
    <t>IS30-like element IS4351 family transposase</t>
  </si>
  <si>
    <t>WP_005794072.1</t>
  </si>
  <si>
    <t>FQN59_RS02480</t>
  </si>
  <si>
    <t>WP_057326934.1</t>
  </si>
  <si>
    <t>FQN59_RS02485</t>
  </si>
  <si>
    <t>alpha-glucan family phosphorylase</t>
  </si>
  <si>
    <t>glgP</t>
  </si>
  <si>
    <t>WP_057326935.1</t>
  </si>
  <si>
    <t>FQN59_RS02490</t>
  </si>
  <si>
    <t>OmpP1/FadL family transporter</t>
  </si>
  <si>
    <t>WP_005864631.1</t>
  </si>
  <si>
    <t>FQN59_RS02495</t>
  </si>
  <si>
    <t>esterase</t>
  </si>
  <si>
    <t>WP_211738220.1</t>
  </si>
  <si>
    <t>FQN59_RS02500</t>
  </si>
  <si>
    <t>AraC family transcriptional regulator</t>
  </si>
  <si>
    <t>WP_048927600.1</t>
  </si>
  <si>
    <t>FQN59_RS02505</t>
  </si>
  <si>
    <t>YybH family protein</t>
  </si>
  <si>
    <t>WP_005864625.1</t>
  </si>
  <si>
    <t>FQN59_RS02510</t>
  </si>
  <si>
    <t>fimbrillin family protein</t>
  </si>
  <si>
    <t>WP_211738222.1</t>
  </si>
  <si>
    <t>FQN59_RS02515</t>
  </si>
  <si>
    <t>DNA-formamidopyrimidine glycosylase family protein</t>
  </si>
  <si>
    <t>WP_048927597.1</t>
  </si>
  <si>
    <t>FQN59_RS02520</t>
  </si>
  <si>
    <t>tRNA-Asp</t>
  </si>
  <si>
    <t>FQN59_RS02525</t>
  </si>
  <si>
    <t>FQN59_RS02530</t>
  </si>
  <si>
    <t>imidazole glycerol phosphate synthase subunit HisH</t>
  </si>
  <si>
    <t>hisH</t>
  </si>
  <si>
    <t>WP_008780097.1</t>
  </si>
  <si>
    <t>FQN59_RS02535</t>
  </si>
  <si>
    <t>1-(5-phosphoribosyl)-5-[(5-phosphoribosylamino)methylideneamino]imidazole-4-carboxamide isomerase</t>
  </si>
  <si>
    <t>hisA</t>
  </si>
  <si>
    <t>WP_005854558.1</t>
  </si>
  <si>
    <t>FQN59_RS02540</t>
  </si>
  <si>
    <t>imidazole glycerol phosphate synthase subunit HisF</t>
  </si>
  <si>
    <t>hisF</t>
  </si>
  <si>
    <t>WP_005854556.1</t>
  </si>
  <si>
    <t>FQN59_RS02545</t>
  </si>
  <si>
    <t>bifunctional phosphoribosyl-AMP cyclohydrolase/phosphoribosyl-ATP diphosphatase HisIE</t>
  </si>
  <si>
    <t>hisIE</t>
  </si>
  <si>
    <t>WP_005854554.1</t>
  </si>
  <si>
    <t>FQN59_RS02550</t>
  </si>
  <si>
    <t>cell division ATP-binding protein FtsE</t>
  </si>
  <si>
    <t>WP_005854551.1</t>
  </si>
  <si>
    <t>FQN59_RS02555</t>
  </si>
  <si>
    <t>aspartate kinase</t>
  </si>
  <si>
    <t>WP_005854548.1</t>
  </si>
  <si>
    <t>FQN59_RS02560</t>
  </si>
  <si>
    <t>diaminopimelate decarboxylase</t>
  </si>
  <si>
    <t>lysA</t>
  </si>
  <si>
    <t>WP_005854546.1</t>
  </si>
  <si>
    <t>FQN59_RS02565</t>
  </si>
  <si>
    <t>WP_211738224.1</t>
  </si>
  <si>
    <t>FQN59_RS02570</t>
  </si>
  <si>
    <t>WP_005864462.1</t>
  </si>
  <si>
    <t>FQN59_RS02575</t>
  </si>
  <si>
    <t>Ig-like domain-containing protein</t>
  </si>
  <si>
    <t>WP_005864460.1</t>
  </si>
  <si>
    <t>FQN59_RS02580</t>
  </si>
  <si>
    <t>transposase</t>
  </si>
  <si>
    <t>WP_122268703.1</t>
  </si>
  <si>
    <t>FQN59_RS02585</t>
  </si>
  <si>
    <t>IS3 family transposase</t>
  </si>
  <si>
    <t>WP_232306318.1</t>
  </si>
  <si>
    <t>FQN59_RS02590</t>
  </si>
  <si>
    <t>WP_044546318.1</t>
  </si>
  <si>
    <t>FQN59_RS02595</t>
  </si>
  <si>
    <t>WP_070103051.1</t>
  </si>
  <si>
    <t>FQN59_RS02600</t>
  </si>
  <si>
    <t>very short patch repair endonuclease</t>
  </si>
  <si>
    <t>WP_044547028.1</t>
  </si>
  <si>
    <t>FQN59_RS02605</t>
  </si>
  <si>
    <t>WP_005864454.1</t>
  </si>
  <si>
    <t>FQN59_RS02610</t>
  </si>
  <si>
    <t>pyridoxal phosphate-dependent aminotransferase</t>
  </si>
  <si>
    <t>WP_005854538.1</t>
  </si>
  <si>
    <t>FQN59_RS02615</t>
  </si>
  <si>
    <t>YitT family protein</t>
  </si>
  <si>
    <t>WP_005864449.1</t>
  </si>
  <si>
    <t>FQN59_RS02620</t>
  </si>
  <si>
    <t>WP_005854532.1</t>
  </si>
  <si>
    <t>FQN59_RS02625</t>
  </si>
  <si>
    <t>WP_005854530.1</t>
  </si>
  <si>
    <t>FQN59_RS02630</t>
  </si>
  <si>
    <t>WP_008773491.1</t>
  </si>
  <si>
    <t>FQN59_RS02635</t>
  </si>
  <si>
    <t>WP_146374969.1</t>
  </si>
  <si>
    <t>FQN59_RS02640</t>
  </si>
  <si>
    <t>WP_211738226.1</t>
  </si>
  <si>
    <t>FQN59_RS02645</t>
  </si>
  <si>
    <t>uracil-DNA glycosylase</t>
  </si>
  <si>
    <t>ung</t>
  </si>
  <si>
    <t>WP_087343209.1</t>
  </si>
  <si>
    <t>FQN59_RS02650</t>
  </si>
  <si>
    <t>DUF169 domain-containing protein</t>
  </si>
  <si>
    <t>WP_146374966.1</t>
  </si>
  <si>
    <t>FQN59_RS02655</t>
  </si>
  <si>
    <t>MGMT family protein</t>
  </si>
  <si>
    <t>WP_005864435.1</t>
  </si>
  <si>
    <t>FQN59_RS02660</t>
  </si>
  <si>
    <t>alpha/beta hydrolase</t>
  </si>
  <si>
    <t>WP_122368891.1</t>
  </si>
  <si>
    <t>FQN59_RS02665</t>
  </si>
  <si>
    <t>cupin domain-containing carboxymuconolactone decarboxylase family protein</t>
  </si>
  <si>
    <t>WP_211738228.1</t>
  </si>
  <si>
    <t>FQN59_RS02670</t>
  </si>
  <si>
    <t>WP_070104343.1</t>
  </si>
  <si>
    <t>FQN59_RS02675</t>
  </si>
  <si>
    <t>WP_211738230.1</t>
  </si>
  <si>
    <t>FQN59_RS02680</t>
  </si>
  <si>
    <t>WP_211738232.1</t>
  </si>
  <si>
    <t>FQN59_RS02685</t>
  </si>
  <si>
    <t>aldo/keto reductase</t>
  </si>
  <si>
    <t>WP_211738234.1</t>
  </si>
  <si>
    <t>FQN59_RS02690</t>
  </si>
  <si>
    <t>peptide-methionine (R)-S-oxide reductase MsrB</t>
  </si>
  <si>
    <t>msrB</t>
  </si>
  <si>
    <t>WP_121961871.1</t>
  </si>
  <si>
    <t>FQN59_RS02695</t>
  </si>
  <si>
    <t>WP_211738235.1</t>
  </si>
  <si>
    <t>FQN59_RS02700</t>
  </si>
  <si>
    <t>FQN59_RS22430</t>
  </si>
  <si>
    <t>pyridoxamine 5'-phosphate oxidase family protein</t>
  </si>
  <si>
    <t>WP_249222548.1</t>
  </si>
  <si>
    <t>FQN59_RS22435</t>
  </si>
  <si>
    <t>WP_211738239.1</t>
  </si>
  <si>
    <t>FQN59_RS02710</t>
  </si>
  <si>
    <t>pentapeptide repeat-containing protein</t>
  </si>
  <si>
    <t>WP_008780073.1</t>
  </si>
  <si>
    <t>FQN59_RS02715</t>
  </si>
  <si>
    <t>WP_008780072.1</t>
  </si>
  <si>
    <t>FQN59_RS02720</t>
  </si>
  <si>
    <t>WP_211738241.1</t>
  </si>
  <si>
    <t>FQN59_RS02725</t>
  </si>
  <si>
    <t>WP_211738243.1</t>
  </si>
  <si>
    <t>FQN59_RS02730</t>
  </si>
  <si>
    <t>Gfo/Idh/MocA family protein</t>
  </si>
  <si>
    <t>WP_011966672.1</t>
  </si>
  <si>
    <t>FQN59_RS02735</t>
  </si>
  <si>
    <t>WP_005864412.1</t>
  </si>
  <si>
    <t>FQN59_RS02740</t>
  </si>
  <si>
    <t>WP_009275752.1</t>
  </si>
  <si>
    <t>FQN59_RS02745</t>
  </si>
  <si>
    <t>WP_057329056.1</t>
  </si>
  <si>
    <t>FQN59_RS02750</t>
  </si>
  <si>
    <t>WP_036613227.1</t>
  </si>
  <si>
    <t>FQN59_RS02755</t>
  </si>
  <si>
    <t>T9SS type A sorting domain-containing protein</t>
  </si>
  <si>
    <t>WP_211738245.1</t>
  </si>
  <si>
    <t>FQN59_RS02760</t>
  </si>
  <si>
    <t>WP_211738247.1</t>
  </si>
  <si>
    <t>FQN59_RS02765</t>
  </si>
  <si>
    <t>DUF4301 family protein</t>
  </si>
  <si>
    <t>WP_005854486.1</t>
  </si>
  <si>
    <t>FQN59_RS02770</t>
  </si>
  <si>
    <t>RelA/SpoT family protein</t>
  </si>
  <si>
    <t>WP_057317132.1</t>
  </si>
  <si>
    <t>FQN59_RS02775</t>
  </si>
  <si>
    <t>CCA tRNA nucleotidyltransferase</t>
  </si>
  <si>
    <t>WP_211738249.1</t>
  </si>
  <si>
    <t>FQN59_RS02780</t>
  </si>
  <si>
    <t>WP_005864407.1</t>
  </si>
  <si>
    <t>FQN59_RS02785</t>
  </si>
  <si>
    <t>DUF6383 domain-containing protein</t>
  </si>
  <si>
    <t>WP_211738251.1</t>
  </si>
  <si>
    <t>FQN59_RS02790</t>
  </si>
  <si>
    <t>WP_005864403.1</t>
  </si>
  <si>
    <t>FQN59_RS02795</t>
  </si>
  <si>
    <t>mechanosensitive ion channel family protein</t>
  </si>
  <si>
    <t>WP_005854480.1</t>
  </si>
  <si>
    <t>FQN59_RS02800</t>
  </si>
  <si>
    <t>WP_008780061.1</t>
  </si>
  <si>
    <t>FQN59_RS02805</t>
  </si>
  <si>
    <t>3-isopropylmalate dehydrogenase</t>
  </si>
  <si>
    <t>leuB</t>
  </si>
  <si>
    <t>WP_036613247.1</t>
  </si>
  <si>
    <t>FQN59_RS02810</t>
  </si>
  <si>
    <t>methylglyoxal synthase</t>
  </si>
  <si>
    <t>WP_005854477.1</t>
  </si>
  <si>
    <t>FQN59_RS02815</t>
  </si>
  <si>
    <t>alpha-isopropylmalate synthase regulatory domain-containing protein</t>
  </si>
  <si>
    <t>WP_008778605.1</t>
  </si>
  <si>
    <t>FQN59_RS02820</t>
  </si>
  <si>
    <t>3-isopropylmalate dehydratase small subunit</t>
  </si>
  <si>
    <t>leuD</t>
  </si>
  <si>
    <t>WP_005854475.1</t>
  </si>
  <si>
    <t>FQN59_RS02825</t>
  </si>
  <si>
    <t>3-isopropylmalate dehydratase large subunit</t>
  </si>
  <si>
    <t>leuC</t>
  </si>
  <si>
    <t>WP_005864399.1</t>
  </si>
  <si>
    <t>FQN59_RS02830</t>
  </si>
  <si>
    <t>2-isopropylmalate synthase</t>
  </si>
  <si>
    <t>WP_005864398.1</t>
  </si>
  <si>
    <t>FQN59_RS02835</t>
  </si>
  <si>
    <t>InlB B-repeat-containing protein</t>
  </si>
  <si>
    <t>WP_211738253.1</t>
  </si>
  <si>
    <t>FQN59_RS02840</t>
  </si>
  <si>
    <t>WP_211738256.1</t>
  </si>
  <si>
    <t>FQN59_RS02845</t>
  </si>
  <si>
    <t>WP_211738258.1</t>
  </si>
  <si>
    <t>FQN59_RS02850</t>
  </si>
  <si>
    <t>type II toxin-antitoxin system RelE/ParE family toxin</t>
  </si>
  <si>
    <t>WP_044546937.1</t>
  </si>
  <si>
    <t>FQN59_RS02855</t>
  </si>
  <si>
    <t>WP_121962828.1</t>
  </si>
  <si>
    <t>FQN59_RS02860</t>
  </si>
  <si>
    <t>WP_211738260.1</t>
  </si>
  <si>
    <t>FQN59_RS02865</t>
  </si>
  <si>
    <t>ketol-acid reductoisomerase</t>
  </si>
  <si>
    <t>ilvC</t>
  </si>
  <si>
    <t>WP_005864389.1</t>
  </si>
  <si>
    <t>FQN59_RS02870</t>
  </si>
  <si>
    <t>acyl-[acyl-carrier-protein] thioesterase</t>
  </si>
  <si>
    <t>WP_005864388.1</t>
  </si>
  <si>
    <t>FQN59_RS02875</t>
  </si>
  <si>
    <t>acetolactate synthase small subunit</t>
  </si>
  <si>
    <t>ilvN</t>
  </si>
  <si>
    <t>WP_008780057.1</t>
  </si>
  <si>
    <t>FQN59_RS02880</t>
  </si>
  <si>
    <t>biosynthetic-type acetolactate synthase large subunit</t>
  </si>
  <si>
    <t>ilvB</t>
  </si>
  <si>
    <t>WP_211738262.1</t>
  </si>
  <si>
    <t>FQN59_RS02885</t>
  </si>
  <si>
    <t>dihydroxy-acid dehydratase</t>
  </si>
  <si>
    <t>ilvD</t>
  </si>
  <si>
    <t>WP_005864376.1</t>
  </si>
  <si>
    <t>FQN59_RS02890</t>
  </si>
  <si>
    <t>MalY/PatB family protein</t>
  </si>
  <si>
    <t>WP_211738264.1</t>
  </si>
  <si>
    <t>FQN59_RS02895</t>
  </si>
  <si>
    <t>FKBP-type peptidyl-prolyl cis-trans isomerase</t>
  </si>
  <si>
    <t>WP_005854436.1</t>
  </si>
  <si>
    <t>FQN59_RS02900</t>
  </si>
  <si>
    <t>chorismate synthase</t>
  </si>
  <si>
    <t>aroC</t>
  </si>
  <si>
    <t>WP_022192777.1</t>
  </si>
  <si>
    <t>FQN59_RS02905</t>
  </si>
  <si>
    <t>WP_249222549.1</t>
  </si>
  <si>
    <t>FQN59_RS02910</t>
  </si>
  <si>
    <t>23S rRNA (pseudouridine(1915)-N(3))-methyltransferase RlmH</t>
  </si>
  <si>
    <t>rlmH</t>
  </si>
  <si>
    <t>WP_211738266.1</t>
  </si>
  <si>
    <t>FQN59_RS02915</t>
  </si>
  <si>
    <t>DUF4783 domain-containing protein</t>
  </si>
  <si>
    <t>WP_008780051.1</t>
  </si>
  <si>
    <t>FQN59_RS02920</t>
  </si>
  <si>
    <t>carboxylating nicotinate-nucleotide diphosphorylase</t>
  </si>
  <si>
    <t>nadC</t>
  </si>
  <si>
    <t>WP_005854425.1</t>
  </si>
  <si>
    <t>FQN59_RS02925</t>
  </si>
  <si>
    <t>aldehyde dehydrogenase</t>
  </si>
  <si>
    <t>aldA</t>
  </si>
  <si>
    <t>WP_211738268.1</t>
  </si>
  <si>
    <t>FQN59_RS02930</t>
  </si>
  <si>
    <t>DNA polymerase III subunit gamma/tau</t>
  </si>
  <si>
    <t>WP_211738270.1</t>
  </si>
  <si>
    <t>FQN59_RS02935</t>
  </si>
  <si>
    <t>FtsB family cell division protein</t>
  </si>
  <si>
    <t>WP_005854418.1</t>
  </si>
  <si>
    <t>FQN59_RS02940</t>
  </si>
  <si>
    <t>WP_036613279.1</t>
  </si>
  <si>
    <t>FQN59_RS02945</t>
  </si>
  <si>
    <t>OmpH family outer membrane protein</t>
  </si>
  <si>
    <t>WP_005854413.1</t>
  </si>
  <si>
    <t>FQN59_RS02950</t>
  </si>
  <si>
    <t>WP_005854411.1</t>
  </si>
  <si>
    <t>FQN59_RS02955</t>
  </si>
  <si>
    <t>aminoacyl-histidine dipeptidase</t>
  </si>
  <si>
    <t>WP_048927567.1</t>
  </si>
  <si>
    <t>FQN59_RS02960</t>
  </si>
  <si>
    <t>WP_005864361.1</t>
  </si>
  <si>
    <t>FQN59_RS02965</t>
  </si>
  <si>
    <t>WP_044545015.1</t>
  </si>
  <si>
    <t>FQN59_RS02970</t>
  </si>
  <si>
    <t>M23 family metallopeptidase</t>
  </si>
  <si>
    <t>WP_048927565.1</t>
  </si>
  <si>
    <t>FQN59_RS02975</t>
  </si>
  <si>
    <t>phospho-sugar mutase</t>
  </si>
  <si>
    <t>WP_008780043.1</t>
  </si>
  <si>
    <t>FQN59_RS02980</t>
  </si>
  <si>
    <t>cytidine deaminase</t>
  </si>
  <si>
    <t>cdd</t>
  </si>
  <si>
    <t>WP_005864357.1</t>
  </si>
  <si>
    <t>FQN59_RS02985</t>
  </si>
  <si>
    <t>FQN59_RS02990</t>
  </si>
  <si>
    <t>FQN59_RS02995</t>
  </si>
  <si>
    <t>FQN59_RS22440</t>
  </si>
  <si>
    <t>glucosaminidase domain-containing protein</t>
  </si>
  <si>
    <t>WP_005864355.1</t>
  </si>
  <si>
    <t>FQN59_RS03000</t>
  </si>
  <si>
    <t>AIR synthase related protein</t>
  </si>
  <si>
    <t>WP_048927564.1</t>
  </si>
  <si>
    <t>FQN59_RS03005</t>
  </si>
  <si>
    <t>peptide chain release factor 1</t>
  </si>
  <si>
    <t>prfA</t>
  </si>
  <si>
    <t>WP_048927563.1</t>
  </si>
  <si>
    <t>FQN59_RS03010</t>
  </si>
  <si>
    <t>orotidine-5'-phosphate decarboxylase</t>
  </si>
  <si>
    <t>pyrF</t>
  </si>
  <si>
    <t>WP_211738273.1</t>
  </si>
  <si>
    <t>FQN59_RS03015</t>
  </si>
  <si>
    <t>UDP-3-O-(3-hydroxymyristoyl)glucosamine N-acyltransferase</t>
  </si>
  <si>
    <t>lpxD</t>
  </si>
  <si>
    <t>WP_005864351.1</t>
  </si>
  <si>
    <t>FQN59_RS03020</t>
  </si>
  <si>
    <t>bifunctional UDP-3-O-[3-hydroxymyristoyl] N-acetylglucosamine deacetylase/3-hydroxyacyl-ACP dehydratase</t>
  </si>
  <si>
    <t>WP_005864349.1</t>
  </si>
  <si>
    <t>FQN59_RS03025</t>
  </si>
  <si>
    <t>acyl-ACP--UDP-N-acetylglucosamine O-acyltransferase</t>
  </si>
  <si>
    <t>lpxA</t>
  </si>
  <si>
    <t>WP_211738274.1</t>
  </si>
  <si>
    <t>FQN59_RS03030</t>
  </si>
  <si>
    <t>WP_008773553.1</t>
  </si>
  <si>
    <t>FQN59_RS22905</t>
  </si>
  <si>
    <t>IS1096 element passenger TnpR family protein</t>
  </si>
  <si>
    <t>WP_005854369.1</t>
  </si>
  <si>
    <t>FQN59_RS03040</t>
  </si>
  <si>
    <t>tRNA (adenosine(37)-N6)-dimethylallyltransferase MiaA</t>
  </si>
  <si>
    <t>miaA</t>
  </si>
  <si>
    <t>WP_211738276.1</t>
  </si>
  <si>
    <t>FQN59_RS03045</t>
  </si>
  <si>
    <t>DMT family protein</t>
  </si>
  <si>
    <t>WP_005854365.1</t>
  </si>
  <si>
    <t>FQN59_RS03050</t>
  </si>
  <si>
    <t>tRNA 2-thiocytidine biosynthesis TtcA family protein</t>
  </si>
  <si>
    <t>WP_211738279.1</t>
  </si>
  <si>
    <t>FQN59_RS03055</t>
  </si>
  <si>
    <t>WP_211738281.1</t>
  </si>
  <si>
    <t>FQN59_RS03060</t>
  </si>
  <si>
    <t>NfeD family protein</t>
  </si>
  <si>
    <t>WP_009275728.1</t>
  </si>
  <si>
    <t>FQN59_RS03065</t>
  </si>
  <si>
    <t>flotillin-like protein FloA</t>
  </si>
  <si>
    <t>floA</t>
  </si>
  <si>
    <t>WP_008780036.1</t>
  </si>
  <si>
    <t>FQN59_RS03070</t>
  </si>
  <si>
    <t>nucleoside phosphorylase</t>
  </si>
  <si>
    <t>WP_009275727.1</t>
  </si>
  <si>
    <t>FQN59_RS03075</t>
  </si>
  <si>
    <t>ribose 5-phosphate isomerase A</t>
  </si>
  <si>
    <t>rpiA</t>
  </si>
  <si>
    <t>WP_211738284.1</t>
  </si>
  <si>
    <t>FQN59_RS03080</t>
  </si>
  <si>
    <t>WP_011966699.1</t>
  </si>
  <si>
    <t>FQN59_RS03085</t>
  </si>
  <si>
    <t>WP_005854357.1</t>
  </si>
  <si>
    <t>FQN59_RS03090</t>
  </si>
  <si>
    <t>WP_121963139.1</t>
  </si>
  <si>
    <t>FQN59_RS03095</t>
  </si>
  <si>
    <t>tRNA uridine-5-carboxymethylaminomethyl(34) synthesis GTPase MnmE</t>
  </si>
  <si>
    <t>mnmE</t>
  </si>
  <si>
    <t>WP_211738286.1</t>
  </si>
  <si>
    <t>FQN59_RS03100</t>
  </si>
  <si>
    <t>WP_005859021.1</t>
  </si>
  <si>
    <t>FQN59_RS03105</t>
  </si>
  <si>
    <t>WP_005859027.1</t>
  </si>
  <si>
    <t>FQN59_RS03110</t>
  </si>
  <si>
    <t>WP_005859029.1</t>
  </si>
  <si>
    <t>FQN59_RS03115</t>
  </si>
  <si>
    <t>WP_005859030.1</t>
  </si>
  <si>
    <t>FQN59_RS03120</t>
  </si>
  <si>
    <t>reverse transcriptase family protein</t>
  </si>
  <si>
    <t>WP_005859032.1</t>
  </si>
  <si>
    <t>FQN59_RS03125</t>
  </si>
  <si>
    <t>WP_005859034.1</t>
  </si>
  <si>
    <t>FQN59_RS03130</t>
  </si>
  <si>
    <t>WP_005859036.1</t>
  </si>
  <si>
    <t>FQN59_RS03135</t>
  </si>
  <si>
    <t>WP_005859037.1</t>
  </si>
  <si>
    <t>FQN59_RS03140</t>
  </si>
  <si>
    <t>DUF6371 domain-containing protein</t>
  </si>
  <si>
    <t>WP_005859039.1</t>
  </si>
  <si>
    <t>FQN59_RS03145</t>
  </si>
  <si>
    <t>MobC family plasmid mobilization relaxosome protein</t>
  </si>
  <si>
    <t>WP_004316509.1</t>
  </si>
  <si>
    <t>FQN59_RS03150</t>
  </si>
  <si>
    <t>relaxase/mobilization nuclease domain-containing protein</t>
  </si>
  <si>
    <t>WP_005859041.1</t>
  </si>
  <si>
    <t>FQN59_RS03155</t>
  </si>
  <si>
    <t>WP_005859043.1</t>
  </si>
  <si>
    <t>FQN59_RS03160</t>
  </si>
  <si>
    <t>restriction endonuclease subunit S</t>
  </si>
  <si>
    <t>WP_005859045.1</t>
  </si>
  <si>
    <t>FQN59_RS03165</t>
  </si>
  <si>
    <t>WP_005859047.1</t>
  </si>
  <si>
    <t>FQN59_RS22445</t>
  </si>
  <si>
    <t>WP_227154503.1</t>
  </si>
  <si>
    <t>FQN59_RS03170</t>
  </si>
  <si>
    <t>WP_249222502.1</t>
  </si>
  <si>
    <t>FQN59_RS03175</t>
  </si>
  <si>
    <t>WP_249222503.1</t>
  </si>
  <si>
    <t>FQN59_RS22450</t>
  </si>
  <si>
    <t>FQN59_RS03180</t>
  </si>
  <si>
    <t>site-specific tyrosine recombinase/integron integrase</t>
  </si>
  <si>
    <t>xerA</t>
  </si>
  <si>
    <t>WP_005859054.1</t>
  </si>
  <si>
    <t>FQN59_RS03185</t>
  </si>
  <si>
    <t>WP_005859056.1</t>
  </si>
  <si>
    <t>FQN59_RS03190</t>
  </si>
  <si>
    <t>WP_005859058.1</t>
  </si>
  <si>
    <t>FQN59_RS03195</t>
  </si>
  <si>
    <t>WP_005859071.1</t>
  </si>
  <si>
    <t>FQN59_RS03200</t>
  </si>
  <si>
    <t>WP_005859074.1</t>
  </si>
  <si>
    <t>FQN59_RS03205</t>
  </si>
  <si>
    <t>virulence RhuM family protein</t>
  </si>
  <si>
    <t>WP_005859076.1</t>
  </si>
  <si>
    <t>FQN59_RS03210</t>
  </si>
  <si>
    <t>HsdM family class I SAM-dependent methyltransferase</t>
  </si>
  <si>
    <t>WP_005859077.1</t>
  </si>
  <si>
    <t>FQN59_RS03215</t>
  </si>
  <si>
    <t>type I restriction endonuclease</t>
  </si>
  <si>
    <t>WP_005859079.1</t>
  </si>
  <si>
    <t>FQN59_RS03220</t>
  </si>
  <si>
    <t>WP_005859081.1</t>
  </si>
  <si>
    <t>FQN59_RS03225</t>
  </si>
  <si>
    <t>GIY-YIG nuclease family protein</t>
  </si>
  <si>
    <t>WP_008779797.1</t>
  </si>
  <si>
    <t>FQN59_RS03230</t>
  </si>
  <si>
    <t>DUF6155 family protein</t>
  </si>
  <si>
    <t>WP_005859085.1</t>
  </si>
  <si>
    <t>FQN59_RS03235</t>
  </si>
  <si>
    <t>WP_005859087.1</t>
  </si>
  <si>
    <t>FQN59_RS03240</t>
  </si>
  <si>
    <t>WP_211738288.1</t>
  </si>
  <si>
    <t>FQN59_RS03245</t>
  </si>
  <si>
    <t>FQN59_RS03250</t>
  </si>
  <si>
    <t>WP_008778614.1</t>
  </si>
  <si>
    <t>FQN59_RS03255</t>
  </si>
  <si>
    <t>WP_036617556.1</t>
  </si>
  <si>
    <t>FQN59_RS03260</t>
  </si>
  <si>
    <t>metallophosphoesterase</t>
  </si>
  <si>
    <t>WP_211738290.1</t>
  </si>
  <si>
    <t>FQN59_RS03265</t>
  </si>
  <si>
    <t>WP_333559166.1</t>
  </si>
  <si>
    <t>FQN59_RS22785</t>
  </si>
  <si>
    <t>FQN59_RS03270</t>
  </si>
  <si>
    <t>type 1 glutamine amidotransferase family protein</t>
  </si>
  <si>
    <t>WP_211738292.1</t>
  </si>
  <si>
    <t>FQN59_RS03275</t>
  </si>
  <si>
    <t>WP_211738294.1</t>
  </si>
  <si>
    <t>FQN59_RS03280</t>
  </si>
  <si>
    <t>WP_249222504.1</t>
  </si>
  <si>
    <t>FQN59_RS03285</t>
  </si>
  <si>
    <t>WP_211738297.1</t>
  </si>
  <si>
    <t>FQN59_RS03290</t>
  </si>
  <si>
    <t>DUF6078 family protein</t>
  </si>
  <si>
    <t>WP_008773634.1</t>
  </si>
  <si>
    <t>FQN59_RS03295</t>
  </si>
  <si>
    <t>type I restriction endonuclease subunit R</t>
  </si>
  <si>
    <t>WP_083434111.1</t>
  </si>
  <si>
    <t>FQN59_RS03300</t>
  </si>
  <si>
    <t>WP_195284138.1</t>
  </si>
  <si>
    <t>FQN59_RS03305</t>
  </si>
  <si>
    <t>WP_195284139.1</t>
  </si>
  <si>
    <t>FQN59_RS03310</t>
  </si>
  <si>
    <t>type I restriction-modification system subunit M</t>
  </si>
  <si>
    <t>WP_048927553.1</t>
  </si>
  <si>
    <t>FQN59_RS03315</t>
  </si>
  <si>
    <t>WP_008780018.1</t>
  </si>
  <si>
    <t>FQN59_RS03320</t>
  </si>
  <si>
    <t>Fic family protein</t>
  </si>
  <si>
    <t>WP_048927552.1</t>
  </si>
  <si>
    <t>FQN59_RS03325</t>
  </si>
  <si>
    <t>HEPN domain-containing protein</t>
  </si>
  <si>
    <t>WP_008780016.1</t>
  </si>
  <si>
    <t>FQN59_RS03330</t>
  </si>
  <si>
    <t>alcohol dehydrogenase</t>
  </si>
  <si>
    <t>WP_048927551.1</t>
  </si>
  <si>
    <t>FQN59_RS03335</t>
  </si>
  <si>
    <t>WP_057329309.1</t>
  </si>
  <si>
    <t>FQN59_RS03340</t>
  </si>
  <si>
    <t>flavin reductase family protein</t>
  </si>
  <si>
    <t>WP_087342633.1</t>
  </si>
  <si>
    <t>FQN59_RS03345</t>
  </si>
  <si>
    <t>TIGR01777 family oxidoreductase</t>
  </si>
  <si>
    <t>WP_211738299.1</t>
  </si>
  <si>
    <t>FQN59_RS03350</t>
  </si>
  <si>
    <t>SDR family NAD(P)-dependent oxidoreductase</t>
  </si>
  <si>
    <t>WP_195284141.1</t>
  </si>
  <si>
    <t>FQN59_RS03355</t>
  </si>
  <si>
    <t>WP_195284142.1</t>
  </si>
  <si>
    <t>FQN59_RS03360</t>
  </si>
  <si>
    <t>WP_005864267.1</t>
  </si>
  <si>
    <t>FQN59_RS03365</t>
  </si>
  <si>
    <t>FQN59_RS22790</t>
  </si>
  <si>
    <t>WP_306439182.1</t>
  </si>
  <si>
    <t>FQN59_RS22795</t>
  </si>
  <si>
    <t>type II CRISPR RNA-guided endonuclease Cas9</t>
  </si>
  <si>
    <t>cas9</t>
  </si>
  <si>
    <t>WP_211738301.1</t>
  </si>
  <si>
    <t>FQN59_RS03375</t>
  </si>
  <si>
    <t>type II CRISPR-associated endonuclease Cas1</t>
  </si>
  <si>
    <t>cas1</t>
  </si>
  <si>
    <t>WP_005864261.1</t>
  </si>
  <si>
    <t>FQN59_RS03380</t>
  </si>
  <si>
    <t>CRISPR-associated endonuclease Cas2</t>
  </si>
  <si>
    <t>cas2</t>
  </si>
  <si>
    <t>WP_005864259.1</t>
  </si>
  <si>
    <t>FQN59_RS03385</t>
  </si>
  <si>
    <t>WP_057319350.1</t>
  </si>
  <si>
    <t>FQN59_RS03390</t>
  </si>
  <si>
    <t>family 43 glycosylhydrolase</t>
  </si>
  <si>
    <t>WP_122144606.1</t>
  </si>
  <si>
    <t>FQN59_RS03395</t>
  </si>
  <si>
    <t>RluA family pseudouridine synthase</t>
  </si>
  <si>
    <t>WP_211738303.1</t>
  </si>
  <si>
    <t>FQN59_RS03400</t>
  </si>
  <si>
    <t>WP_121961764.1</t>
  </si>
  <si>
    <t>FQN59_RS03405</t>
  </si>
  <si>
    <t>MATE family efflux transporter</t>
  </si>
  <si>
    <t>WP_121960949.1</t>
  </si>
  <si>
    <t>FQN59_RS03410</t>
  </si>
  <si>
    <t>WP_211738304.1</t>
  </si>
  <si>
    <t>FQN59_RS03415</t>
  </si>
  <si>
    <t>acyltransferase</t>
  </si>
  <si>
    <t>WP_122145486.1</t>
  </si>
  <si>
    <t>FQN59_RS03420</t>
  </si>
  <si>
    <t>SAM-dependent methyltransferase</t>
  </si>
  <si>
    <t>WP_005854278.1</t>
  </si>
  <si>
    <t>FQN59_RS03425</t>
  </si>
  <si>
    <t>methyltransferase RsmF C-terminal domain-like protein</t>
  </si>
  <si>
    <t>WP_121961763.1</t>
  </si>
  <si>
    <t>FQN59_RS03430</t>
  </si>
  <si>
    <t>DUF4837 family protein</t>
  </si>
  <si>
    <t>WP_211738306.1</t>
  </si>
  <si>
    <t>FQN59_RS03435</t>
  </si>
  <si>
    <t>WP_005864237.1</t>
  </si>
  <si>
    <t>FQN59_RS03440</t>
  </si>
  <si>
    <t>RNA degradosome polyphosphate kinase</t>
  </si>
  <si>
    <t>WP_211738308.1</t>
  </si>
  <si>
    <t>FQN59_RS03445</t>
  </si>
  <si>
    <t>metallophosphoesterase family protein</t>
  </si>
  <si>
    <t>WP_005864233.1</t>
  </si>
  <si>
    <t>FQN59_RS03450</t>
  </si>
  <si>
    <t>WP_121960954.1</t>
  </si>
  <si>
    <t>FQN59_RS03455</t>
  </si>
  <si>
    <t>lipoyl synthase</t>
  </si>
  <si>
    <t>lipA</t>
  </si>
  <si>
    <t>WP_005864229.1</t>
  </si>
  <si>
    <t>FQN59_RS03460</t>
  </si>
  <si>
    <t>WP_121960955.1</t>
  </si>
  <si>
    <t>FQN59_RS03465</t>
  </si>
  <si>
    <t>TIGR01212 family radical SAM protein</t>
  </si>
  <si>
    <t>WP_158532239.1</t>
  </si>
  <si>
    <t>FQN59_RS03470</t>
  </si>
  <si>
    <t>DUF4251 domain-containing protein</t>
  </si>
  <si>
    <t>WP_211738311.1</t>
  </si>
  <si>
    <t>FQN59_RS03475</t>
  </si>
  <si>
    <t>alpha/beta hydrolase family protein</t>
  </si>
  <si>
    <t>WP_211738313.1</t>
  </si>
  <si>
    <t>FQN59_RS03480</t>
  </si>
  <si>
    <t>DUF6565 domain-containing protein</t>
  </si>
  <si>
    <t>WP_008773659.1</t>
  </si>
  <si>
    <t>FQN59_RS03485</t>
  </si>
  <si>
    <t>WP_211738315.1</t>
  </si>
  <si>
    <t>FQN59_RS03490</t>
  </si>
  <si>
    <t>WP_014298122.1</t>
  </si>
  <si>
    <t>FQN59_RS03495</t>
  </si>
  <si>
    <t>WP_014298123.1</t>
  </si>
  <si>
    <t>FQN59_RS03500</t>
  </si>
  <si>
    <t>WP_014298124.1</t>
  </si>
  <si>
    <t>FQN59_RS03505</t>
  </si>
  <si>
    <t>WP_014298125.1</t>
  </si>
  <si>
    <t>FQN59_RS03510</t>
  </si>
  <si>
    <t>WP_211738317.1</t>
  </si>
  <si>
    <t>FQN59_RS03515</t>
  </si>
  <si>
    <t>WP_211738319.1</t>
  </si>
  <si>
    <t>FQN59_RS03520</t>
  </si>
  <si>
    <t>DUF1896 family protein</t>
  </si>
  <si>
    <t>WP_014298128.1</t>
  </si>
  <si>
    <t>FQN59_RS03525</t>
  </si>
  <si>
    <t>WP_211738322.1</t>
  </si>
  <si>
    <t>FQN59_RS03530</t>
  </si>
  <si>
    <t>DUF3945 domain-containing protein</t>
  </si>
  <si>
    <t>WP_211738324.1</t>
  </si>
  <si>
    <t>FQN59_RS03535</t>
  </si>
  <si>
    <t>FQN59_RS03540</t>
  </si>
  <si>
    <t>WP_041161330.1</t>
  </si>
  <si>
    <t>FQN59_RS03545</t>
  </si>
  <si>
    <t>WP_211738328.1</t>
  </si>
  <si>
    <t>FQN59_RS03550</t>
  </si>
  <si>
    <t>DUF5074 domain-containing protein</t>
  </si>
  <si>
    <t>WP_211738330.1</t>
  </si>
  <si>
    <t>FQN59_RS03555</t>
  </si>
  <si>
    <t>methyltransferase family protein</t>
  </si>
  <si>
    <t>WP_211738332.1</t>
  </si>
  <si>
    <t>FQN59_RS03560</t>
  </si>
  <si>
    <t>WP_211738334.1</t>
  </si>
  <si>
    <t>FQN59_RS03565</t>
  </si>
  <si>
    <t>WP_211738335.1</t>
  </si>
  <si>
    <t>FQN59_RS03570</t>
  </si>
  <si>
    <t>ribosome biogenesis protein</t>
  </si>
  <si>
    <t>WP_144011110.1</t>
  </si>
  <si>
    <t>FQN59_RS03575</t>
  </si>
  <si>
    <t>WP_050809236.1</t>
  </si>
  <si>
    <t>FQN59_RS03580</t>
  </si>
  <si>
    <t>Type 1 glutamine amidotransferase-like domain-containing protein</t>
  </si>
  <si>
    <t>WP_211738336.1</t>
  </si>
  <si>
    <t>FQN59_RS22910</t>
  </si>
  <si>
    <t>WP_057319935.1</t>
  </si>
  <si>
    <t>FQN59_RS22715</t>
  </si>
  <si>
    <t>ClbS/DfsB family four-helix bundle protein</t>
  </si>
  <si>
    <t>WP_007898728.1</t>
  </si>
  <si>
    <t>FQN59_RS03595</t>
  </si>
  <si>
    <t>WP_014298139.1</t>
  </si>
  <si>
    <t>FQN59_RS03600</t>
  </si>
  <si>
    <t>C10 family peptidase</t>
  </si>
  <si>
    <t>WP_014298140.1</t>
  </si>
  <si>
    <t>FQN59_RS03605</t>
  </si>
  <si>
    <t>WP_057319933.1</t>
  </si>
  <si>
    <t>FQN59_RS03610</t>
  </si>
  <si>
    <t>WP_235290450.1</t>
  </si>
  <si>
    <t>FQN59_RS03615</t>
  </si>
  <si>
    <t>WP_014298143.1</t>
  </si>
  <si>
    <t>FQN59_RS22455</t>
  </si>
  <si>
    <t>WP_211738337.1</t>
  </si>
  <si>
    <t>FQN59_RS03625</t>
  </si>
  <si>
    <t>WP_211738338.1</t>
  </si>
  <si>
    <t>FQN59_RS03630</t>
  </si>
  <si>
    <t>WP_211738339.1</t>
  </si>
  <si>
    <t>FQN59_RS03635</t>
  </si>
  <si>
    <t>WP_014298148.1</t>
  </si>
  <si>
    <t>FQN59_RS03640</t>
  </si>
  <si>
    <t>WP_014298149.1</t>
  </si>
  <si>
    <t>FQN59_RS03645</t>
  </si>
  <si>
    <t>WP_014298150.1</t>
  </si>
  <si>
    <t>FQN59_RS03650</t>
  </si>
  <si>
    <t>WP_211738340.1</t>
  </si>
  <si>
    <t>FQN59_RS03655</t>
  </si>
  <si>
    <t>WP_211738341.1</t>
  </si>
  <si>
    <t>FQN59_RS03660</t>
  </si>
  <si>
    <t>conjugal transfer protein</t>
  </si>
  <si>
    <t>WP_211738342.1</t>
  </si>
  <si>
    <t>FQN59_RS03665</t>
  </si>
  <si>
    <t>WP_004332848.1</t>
  </si>
  <si>
    <t>FQN59_RS03670</t>
  </si>
  <si>
    <t>WP_014298154.1</t>
  </si>
  <si>
    <t>FQN59_RS03675</t>
  </si>
  <si>
    <t>TraG family conjugative transposon ATPase</t>
  </si>
  <si>
    <t>WP_014298155.1</t>
  </si>
  <si>
    <t>FQN59_RS03680</t>
  </si>
  <si>
    <t>WP_211738345.1</t>
  </si>
  <si>
    <t>FQN59_RS03685</t>
  </si>
  <si>
    <t>WP_014298157.1</t>
  </si>
  <si>
    <t>FQN59_RS03690</t>
  </si>
  <si>
    <t>WP_117959046.1</t>
  </si>
  <si>
    <t>FQN59_RS03695</t>
  </si>
  <si>
    <t>WP_211738347.1</t>
  </si>
  <si>
    <t>FQN59_RS03700</t>
  </si>
  <si>
    <t>WP_211738349.1</t>
  </si>
  <si>
    <t>FQN59_RS03705</t>
  </si>
  <si>
    <t>WP_057319929.1</t>
  </si>
  <si>
    <t>FQN59_RS03710</t>
  </si>
  <si>
    <t>WP_211738351.1</t>
  </si>
  <si>
    <t>FQN59_RS03715</t>
  </si>
  <si>
    <t>WP_211738354.1</t>
  </si>
  <si>
    <t>FQN59_RS03720</t>
  </si>
  <si>
    <t>WP_014298164.1</t>
  </si>
  <si>
    <t>FQN59_RS03725</t>
  </si>
  <si>
    <t>lysozyme</t>
  </si>
  <si>
    <t>WP_014298165.1</t>
  </si>
  <si>
    <t>FQN59_RS03730</t>
  </si>
  <si>
    <t>FQN59_RS03735</t>
  </si>
  <si>
    <t>cupin domain-containing protein</t>
  </si>
  <si>
    <t>WP_022430057.1</t>
  </si>
  <si>
    <t>FQN59_RS03740</t>
  </si>
  <si>
    <t>DUF438 domain-containing protein</t>
  </si>
  <si>
    <t>WP_117959049.1</t>
  </si>
  <si>
    <t>FQN59_RS03745</t>
  </si>
  <si>
    <t>WP_014298168.1</t>
  </si>
  <si>
    <t>FQN59_RS03750</t>
  </si>
  <si>
    <t>WP_014298169.1</t>
  </si>
  <si>
    <t>FQN59_RS03755</t>
  </si>
  <si>
    <t>WP_014298170.1</t>
  </si>
  <si>
    <t>FQN59_RS03760</t>
  </si>
  <si>
    <t>antirestriction protein ArdA</t>
  </si>
  <si>
    <t>WP_014298171.1</t>
  </si>
  <si>
    <t>FQN59_RS03765</t>
  </si>
  <si>
    <t>WP_014298172.1</t>
  </si>
  <si>
    <t>FQN59_RS03770</t>
  </si>
  <si>
    <t>WP_014298173.1</t>
  </si>
  <si>
    <t>FQN59_RS03775</t>
  </si>
  <si>
    <t>WP_195349790.1</t>
  </si>
  <si>
    <t>FQN59_RS22800</t>
  </si>
  <si>
    <t>calcium-translocating P-type ATPase, PMCA-type</t>
  </si>
  <si>
    <t>WP_211738356.1</t>
  </si>
  <si>
    <t>FQN59_RS03780</t>
  </si>
  <si>
    <t>WP_229055235.1</t>
  </si>
  <si>
    <t>FQN59_RS03785</t>
  </si>
  <si>
    <t>WP_005863417.1</t>
  </si>
  <si>
    <t>FQN59_RS03790</t>
  </si>
  <si>
    <t>WP_008773662.1</t>
  </si>
  <si>
    <t>FQN59_RS03795</t>
  </si>
  <si>
    <t>WP_211738358.1</t>
  </si>
  <si>
    <t>FQN59_RS03800</t>
  </si>
  <si>
    <t>WP_211738359.1</t>
  </si>
  <si>
    <t>FQN59_RS03805</t>
  </si>
  <si>
    <t>WP_087342521.1</t>
  </si>
  <si>
    <t>FQN59_RS03810</t>
  </si>
  <si>
    <t>WP_057328206.1</t>
  </si>
  <si>
    <t>FQN59_RS03815</t>
  </si>
  <si>
    <t>aminopeptidase C</t>
  </si>
  <si>
    <t>WP_121961757.1</t>
  </si>
  <si>
    <t>FQN59_RS03820</t>
  </si>
  <si>
    <t>pyrroline-5-carboxylate reductase</t>
  </si>
  <si>
    <t>proC</t>
  </si>
  <si>
    <t>WP_005867255.1</t>
  </si>
  <si>
    <t>FQN59_RS03825</t>
  </si>
  <si>
    <t>proline dehydrogenase family protein</t>
  </si>
  <si>
    <t>WP_211738361.1</t>
  </si>
  <si>
    <t>FQN59_RS03830</t>
  </si>
  <si>
    <t>L-glutamate gamma-semialdehyde dehydrogenase</t>
  </si>
  <si>
    <t>pruA</t>
  </si>
  <si>
    <t>WP_211738364.1</t>
  </si>
  <si>
    <t>FQN59_RS03835</t>
  </si>
  <si>
    <t>ferredoxin</t>
  </si>
  <si>
    <t>WP_005854237.1</t>
  </si>
  <si>
    <t>FQN59_RS03840</t>
  </si>
  <si>
    <t>DUF1349 domain-containing protein</t>
  </si>
  <si>
    <t>WP_005854236.1</t>
  </si>
  <si>
    <t>FQN59_RS03845</t>
  </si>
  <si>
    <t>WP_005854235.1</t>
  </si>
  <si>
    <t>FQN59_RS03850</t>
  </si>
  <si>
    <t>AMP-binding protein</t>
  </si>
  <si>
    <t>WP_009018023.1</t>
  </si>
  <si>
    <t>FQN59_RS03855</t>
  </si>
  <si>
    <t>glutamate 5-kinase</t>
  </si>
  <si>
    <t>proB</t>
  </si>
  <si>
    <t>WP_211738366.1</t>
  </si>
  <si>
    <t>FQN59_RS03860</t>
  </si>
  <si>
    <t>glutamate-5-semialdehyde dehydrogenase</t>
  </si>
  <si>
    <t>WP_211738368.1</t>
  </si>
  <si>
    <t>FQN59_RS03865</t>
  </si>
  <si>
    <t>WP_057319337.1</t>
  </si>
  <si>
    <t>FQN59_RS03870</t>
  </si>
  <si>
    <t>N-acetylornithine carbamoyltransferase</t>
  </si>
  <si>
    <t>WP_005854226.1</t>
  </si>
  <si>
    <t>FQN59_RS03875</t>
  </si>
  <si>
    <t>DUF3467 domain-containing protein</t>
  </si>
  <si>
    <t>WP_005854225.1</t>
  </si>
  <si>
    <t>FQN59_RS03880</t>
  </si>
  <si>
    <t>WP_005854224.1</t>
  </si>
  <si>
    <t>FQN59_RS03885</t>
  </si>
  <si>
    <t>WP_008773675.1</t>
  </si>
  <si>
    <t>FQN59_RS03890</t>
  </si>
  <si>
    <t>DNA-directed RNA polymerase subunit beta'</t>
  </si>
  <si>
    <t>rpoC</t>
  </si>
  <si>
    <t>WP_005867246.1</t>
  </si>
  <si>
    <t>FQN59_RS03895</t>
  </si>
  <si>
    <t>DNA-directed RNA polymerase subunit beta</t>
  </si>
  <si>
    <t>rpoB</t>
  </si>
  <si>
    <t>WP_005854221.1</t>
  </si>
  <si>
    <t>FQN59_RS03900</t>
  </si>
  <si>
    <t>50S ribosomal protein L7/L12</t>
  </si>
  <si>
    <t>rplL</t>
  </si>
  <si>
    <t>WP_005854220.1</t>
  </si>
  <si>
    <t>FQN59_RS03905</t>
  </si>
  <si>
    <t>50S ribosomal protein L10</t>
  </si>
  <si>
    <t>rplJ</t>
  </si>
  <si>
    <t>WP_057328200.1</t>
  </si>
  <si>
    <t>FQN59_RS03910</t>
  </si>
  <si>
    <t>50S ribosomal protein L1</t>
  </si>
  <si>
    <t>rplA</t>
  </si>
  <si>
    <t>WP_005854218.1</t>
  </si>
  <si>
    <t>FQN59_RS03915</t>
  </si>
  <si>
    <t>50S ribosomal protein L11</t>
  </si>
  <si>
    <t>rplK</t>
  </si>
  <si>
    <t>WP_005867244.1</t>
  </si>
  <si>
    <t>FQN59_RS03920</t>
  </si>
  <si>
    <t>WP_005854213.1</t>
  </si>
  <si>
    <t>FQN59_RS03925</t>
  </si>
  <si>
    <t>preprotein translocase subunit SecE</t>
  </si>
  <si>
    <t>secE</t>
  </si>
  <si>
    <t>WP_005854211.1</t>
  </si>
  <si>
    <t>FQN59_RS03930</t>
  </si>
  <si>
    <t>tRNA-Trp</t>
  </si>
  <si>
    <t>FQN59_RS03935</t>
  </si>
  <si>
    <t>elongation factor Tu</t>
  </si>
  <si>
    <t>tuf</t>
  </si>
  <si>
    <t>WP_048927526.1</t>
  </si>
  <si>
    <t>FQN59_RS03940</t>
  </si>
  <si>
    <t>tRNA-Thr</t>
  </si>
  <si>
    <t>FQN59_RS03945</t>
  </si>
  <si>
    <t>tRNA-Gly</t>
  </si>
  <si>
    <t>FQN59_RS03950</t>
  </si>
  <si>
    <t>tRNA-Tyr</t>
  </si>
  <si>
    <t>FQN59_RS03955</t>
  </si>
  <si>
    <t>FQN59_RS03960</t>
  </si>
  <si>
    <t>ribosome hibernation-promoting factor, HPF/YfiA family</t>
  </si>
  <si>
    <t>hpf</t>
  </si>
  <si>
    <t>WP_008778704.1</t>
  </si>
  <si>
    <t>FQN59_RS03965</t>
  </si>
  <si>
    <t>WP_121961750.1</t>
  </si>
  <si>
    <t>FQN59_RS03970</t>
  </si>
  <si>
    <t>30S ribosomal protein S21</t>
  </si>
  <si>
    <t>rpsU</t>
  </si>
  <si>
    <t>WP_005854174.1</t>
  </si>
  <si>
    <t>FQN59_RS03975</t>
  </si>
  <si>
    <t>S-methyl-5-thioribose-1-phosphate isomerase</t>
  </si>
  <si>
    <t>mtnA</t>
  </si>
  <si>
    <t>WP_122114761.1</t>
  </si>
  <si>
    <t>FQN59_RS03980</t>
  </si>
  <si>
    <t>WP_008773678.1</t>
  </si>
  <si>
    <t>FQN59_RS03985</t>
  </si>
  <si>
    <t>WP_048927694.1</t>
  </si>
  <si>
    <t>FQN59_RS03990</t>
  </si>
  <si>
    <t>aminopeptidase P family protein</t>
  </si>
  <si>
    <t>WP_158532229.1</t>
  </si>
  <si>
    <t>FQN59_RS03995</t>
  </si>
  <si>
    <t>gamma carbonic anhydrase family protein</t>
  </si>
  <si>
    <t>WP_005854163.1</t>
  </si>
  <si>
    <t>FQN59_RS04000</t>
  </si>
  <si>
    <t>serine hydrolase domain-containing protein</t>
  </si>
  <si>
    <t>WP_170106364.1</t>
  </si>
  <si>
    <t>FQN59_RS04005</t>
  </si>
  <si>
    <t>carbohydrate-binding family 9-like protein</t>
  </si>
  <si>
    <t>WP_211738371.1</t>
  </si>
  <si>
    <t>FQN59_RS04010</t>
  </si>
  <si>
    <t>C1 family peptidase</t>
  </si>
  <si>
    <t>WP_048927520.1</t>
  </si>
  <si>
    <t>FQN59_RS04015</t>
  </si>
  <si>
    <t>3-deoxy-D-manno-octulosonic acid transferase</t>
  </si>
  <si>
    <t>WP_008773682.1</t>
  </si>
  <si>
    <t>FQN59_RS04020</t>
  </si>
  <si>
    <t>glutamate--tRNA ligase</t>
  </si>
  <si>
    <t>gltX</t>
  </si>
  <si>
    <t>WP_005867230.1</t>
  </si>
  <si>
    <t>FQN59_RS04025</t>
  </si>
  <si>
    <t>HD family phosphohydrolase</t>
  </si>
  <si>
    <t>WP_048927518.1</t>
  </si>
  <si>
    <t>FQN59_RS04030</t>
  </si>
  <si>
    <t>low molecular weight protein-tyrosine-phosphatase</t>
  </si>
  <si>
    <t>WP_172618161.1</t>
  </si>
  <si>
    <t>FQN59_RS04035</t>
  </si>
  <si>
    <t>replication restart helicase PriA</t>
  </si>
  <si>
    <t>priA</t>
  </si>
  <si>
    <t>WP_008773690.1</t>
  </si>
  <si>
    <t>FQN59_RS04040</t>
  </si>
  <si>
    <t>WP_005867222.1</t>
  </si>
  <si>
    <t>FQN59_RS04045</t>
  </si>
  <si>
    <t>type II pantothenate kinase</t>
  </si>
  <si>
    <t>coaW</t>
  </si>
  <si>
    <t>WP_008773692.1</t>
  </si>
  <si>
    <t>FQN59_RS04050</t>
  </si>
  <si>
    <t>methylmalonyl-CoA mutase</t>
  </si>
  <si>
    <t>scpA</t>
  </si>
  <si>
    <t>WP_048927515.1</t>
  </si>
  <si>
    <t>FQN59_RS04055</t>
  </si>
  <si>
    <t>methylmalonyl-CoA mutase small subunit</t>
  </si>
  <si>
    <t>mutA</t>
  </si>
  <si>
    <t>WP_048927514.1</t>
  </si>
  <si>
    <t>FQN59_RS04060</t>
  </si>
  <si>
    <t>tRNA-Glu</t>
  </si>
  <si>
    <t>FQN59_RS04065</t>
  </si>
  <si>
    <t>WP_005867216.1</t>
  </si>
  <si>
    <t>FQN59_RS04070</t>
  </si>
  <si>
    <t>WP_005854120.1</t>
  </si>
  <si>
    <t>FQN59_RS04075</t>
  </si>
  <si>
    <t>WP_008778708.1</t>
  </si>
  <si>
    <t>FQN59_RS04080</t>
  </si>
  <si>
    <t>ectonucleotide pyrophosphatase/phosphodiesterase</t>
  </si>
  <si>
    <t>WP_233563990.1</t>
  </si>
  <si>
    <t>FQN59_RS04085</t>
  </si>
  <si>
    <t>WP_122369574.1</t>
  </si>
  <si>
    <t>FQN59_RS04090</t>
  </si>
  <si>
    <t>M12 family metallopeptidase</t>
  </si>
  <si>
    <t>WP_158593851.1</t>
  </si>
  <si>
    <t>FQN59_RS04095</t>
  </si>
  <si>
    <t>FQN59_RS04100</t>
  </si>
  <si>
    <t>WP_005867205.1</t>
  </si>
  <si>
    <t>FQN59_RS04105</t>
  </si>
  <si>
    <t>SPFH domain-containing protein</t>
  </si>
  <si>
    <t>WP_057326318.1</t>
  </si>
  <si>
    <t>FQN59_RS04110</t>
  </si>
  <si>
    <t>Arc family DNA-binding protein</t>
  </si>
  <si>
    <t>WP_005854106.1</t>
  </si>
  <si>
    <t>FQN59_RS04115</t>
  </si>
  <si>
    <t>SPOR domain-containing protein</t>
  </si>
  <si>
    <t>WP_005867201.1</t>
  </si>
  <si>
    <t>FQN59_RS04120</t>
  </si>
  <si>
    <t>WP_057326317.1</t>
  </si>
  <si>
    <t>FQN59_RS04125</t>
  </si>
  <si>
    <t>WP_057326342.1</t>
  </si>
  <si>
    <t>FQN59_RS04130</t>
  </si>
  <si>
    <t>WP_029257215.1</t>
  </si>
  <si>
    <t>FQN59_RS04135</t>
  </si>
  <si>
    <t>WP_224201700.1</t>
  </si>
  <si>
    <t>FQN59_RS04140</t>
  </si>
  <si>
    <t>sulfatase family protein</t>
  </si>
  <si>
    <t>WP_211738373.1</t>
  </si>
  <si>
    <t>FQN59_RS04145</t>
  </si>
  <si>
    <t>WP_122369566.1</t>
  </si>
  <si>
    <t>FQN59_RS04150</t>
  </si>
  <si>
    <t>WP_154395150.1</t>
  </si>
  <si>
    <t>FQN59_RS04155</t>
  </si>
  <si>
    <t>WP_009017992.1</t>
  </si>
  <si>
    <t>FQN59_RS04160</t>
  </si>
  <si>
    <t>WP_122145366.1</t>
  </si>
  <si>
    <t>FQN59_RS04165</t>
  </si>
  <si>
    <t>WP_005854084.1</t>
  </si>
  <si>
    <t>FQN59_RS04170</t>
  </si>
  <si>
    <t>WP_005854082.1</t>
  </si>
  <si>
    <t>FQN59_RS04175</t>
  </si>
  <si>
    <t>HD domain-containing protein</t>
  </si>
  <si>
    <t>WP_009017989.1</t>
  </si>
  <si>
    <t>FQN59_RS04180</t>
  </si>
  <si>
    <t>WP_011966820.1</t>
  </si>
  <si>
    <t>FQN59_RS04185</t>
  </si>
  <si>
    <t>WP_022191757.1</t>
  </si>
  <si>
    <t>FQN59_RS04190</t>
  </si>
  <si>
    <t>WP_022191758.1</t>
  </si>
  <si>
    <t>FQN59_RS04195</t>
  </si>
  <si>
    <t>capsule assembly Wzi family protein</t>
  </si>
  <si>
    <t>WP_009017986.1</t>
  </si>
  <si>
    <t>FQN59_RS04200</t>
  </si>
  <si>
    <t>lysophospholipid acyltransferase family protein</t>
  </si>
  <si>
    <t>WP_005854069.1</t>
  </si>
  <si>
    <t>FQN59_RS04205</t>
  </si>
  <si>
    <t>WP_005854067.1</t>
  </si>
  <si>
    <t>FQN59_RS04210</t>
  </si>
  <si>
    <t>WP_005867163.1</t>
  </si>
  <si>
    <t>FQN59_RS04215</t>
  </si>
  <si>
    <t>glycoside hydrolase family 3 N-terminal domain-containing protein</t>
  </si>
  <si>
    <t>WP_121961005.1</t>
  </si>
  <si>
    <t>FQN59_RS04220</t>
  </si>
  <si>
    <t>TonB-dependent receptor domain-containing protein</t>
  </si>
  <si>
    <t>WP_005854042.1</t>
  </si>
  <si>
    <t>FQN59_RS04225</t>
  </si>
  <si>
    <t>DUF4249 domain-containing protein</t>
  </si>
  <si>
    <t>WP_005854041.1</t>
  </si>
  <si>
    <t>FQN59_RS04230</t>
  </si>
  <si>
    <t>50S ribosomal protein L19</t>
  </si>
  <si>
    <t>rplS</t>
  </si>
  <si>
    <t>WP_005854040.1</t>
  </si>
  <si>
    <t>FQN59_RS04235</t>
  </si>
  <si>
    <t>WP_229103457.1</t>
  </si>
  <si>
    <t>FQN59_RS04240</t>
  </si>
  <si>
    <t>leucine-rich repeat domain-containing protein</t>
  </si>
  <si>
    <t>WP_048927499.1</t>
  </si>
  <si>
    <t>FQN59_RS04245</t>
  </si>
  <si>
    <t>DUF3990 domain-containing protein</t>
  </si>
  <si>
    <t>WP_008773742.1</t>
  </si>
  <si>
    <t>FQN59_RS04250</t>
  </si>
  <si>
    <t>DUF3791 domain-containing protein</t>
  </si>
  <si>
    <t>WP_005867148.1</t>
  </si>
  <si>
    <t>FQN59_RS04255</t>
  </si>
  <si>
    <t>WP_129984471.1</t>
  </si>
  <si>
    <t>FQN59_RS04260</t>
  </si>
  <si>
    <t>LuxR family transcriptional regulator</t>
  </si>
  <si>
    <t>WP_238696780.1</t>
  </si>
  <si>
    <t>FQN59_RS04265</t>
  </si>
  <si>
    <t>WP_005867144.1</t>
  </si>
  <si>
    <t>FQN59_RS04270</t>
  </si>
  <si>
    <t>WP_036618389.1</t>
  </si>
  <si>
    <t>FQN59_RS04275</t>
  </si>
  <si>
    <t>WP_211738375.1</t>
  </si>
  <si>
    <t>FQN59_RS04280</t>
  </si>
  <si>
    <t>WP_146375941.1</t>
  </si>
  <si>
    <t>FQN59_RS04285</t>
  </si>
  <si>
    <t>DUF4270 family protein</t>
  </si>
  <si>
    <t>WP_211738377.1</t>
  </si>
  <si>
    <t>FQN59_RS04290</t>
  </si>
  <si>
    <t>Kelch repeat-containing protein</t>
  </si>
  <si>
    <t>WP_008773751.1</t>
  </si>
  <si>
    <t>FQN59_RS04295</t>
  </si>
  <si>
    <t>DUF4907 domain-containing protein</t>
  </si>
  <si>
    <t>WP_008778715.1</t>
  </si>
  <si>
    <t>FQN59_RS04300</t>
  </si>
  <si>
    <t>phosphopyruvate hydratase</t>
  </si>
  <si>
    <t>eno</t>
  </si>
  <si>
    <t>WP_211738380.1</t>
  </si>
  <si>
    <t>FQN59_RS04305</t>
  </si>
  <si>
    <t>50S ribosomal protein L17</t>
  </si>
  <si>
    <t>rplQ</t>
  </si>
  <si>
    <t>WP_211738382.1</t>
  </si>
  <si>
    <t>FQN59_RS04310</t>
  </si>
  <si>
    <t>DNA-directed RNA polymerase subunit alpha</t>
  </si>
  <si>
    <t>WP_005867125.1</t>
  </si>
  <si>
    <t>FQN59_RS04315</t>
  </si>
  <si>
    <t>30S ribosomal protein S4</t>
  </si>
  <si>
    <t>rpsD</t>
  </si>
  <si>
    <t>WP_005867123.1</t>
  </si>
  <si>
    <t>FQN59_RS04320</t>
  </si>
  <si>
    <t>30S ribosomal protein S11</t>
  </si>
  <si>
    <t>rpsK</t>
  </si>
  <si>
    <t>WP_005634781.1</t>
  </si>
  <si>
    <t>FQN59_RS04325</t>
  </si>
  <si>
    <t>30S ribosomal protein S13</t>
  </si>
  <si>
    <t>rpsM</t>
  </si>
  <si>
    <t>WP_005854010.1</t>
  </si>
  <si>
    <t>FQN59_RS04330</t>
  </si>
  <si>
    <t>type B 50S ribosomal protein L36</t>
  </si>
  <si>
    <t>ykgO</t>
  </si>
  <si>
    <t>WP_005645768.1</t>
  </si>
  <si>
    <t>FQN59_RS04335</t>
  </si>
  <si>
    <t>translation initiation factor IF-1</t>
  </si>
  <si>
    <t>infA</t>
  </si>
  <si>
    <t>WP_005854007.1</t>
  </si>
  <si>
    <t>FQN59_RS04340</t>
  </si>
  <si>
    <t>type I methionyl aminopeptidase</t>
  </si>
  <si>
    <t>map</t>
  </si>
  <si>
    <t>WP_005867121.1</t>
  </si>
  <si>
    <t>FQN59_RS04345</t>
  </si>
  <si>
    <t>preprotein translocase subunit SecY</t>
  </si>
  <si>
    <t>secY</t>
  </si>
  <si>
    <t>WP_005854004.1</t>
  </si>
  <si>
    <t>FQN59_RS04350</t>
  </si>
  <si>
    <t>50S ribosomal protein L15</t>
  </si>
  <si>
    <t>rplO</t>
  </si>
  <si>
    <t>WP_005853999.1</t>
  </si>
  <si>
    <t>FQN59_RS04355</t>
  </si>
  <si>
    <t>50S ribosomal protein L30</t>
  </si>
  <si>
    <t>rpmD</t>
  </si>
  <si>
    <t>WP_005853996.1</t>
  </si>
  <si>
    <t>FQN59_RS04360</t>
  </si>
  <si>
    <t>30S ribosomal protein S5</t>
  </si>
  <si>
    <t>rpsE</t>
  </si>
  <si>
    <t>WP_008773758.1</t>
  </si>
  <si>
    <t>FQN59_RS04365</t>
  </si>
  <si>
    <t>50S ribosomal protein L18</t>
  </si>
  <si>
    <t>rplR</t>
  </si>
  <si>
    <t>WP_005853992.1</t>
  </si>
  <si>
    <t>FQN59_RS04370</t>
  </si>
  <si>
    <t>50S ribosomal protein L6</t>
  </si>
  <si>
    <t>rplF</t>
  </si>
  <si>
    <t>WP_005853990.1</t>
  </si>
  <si>
    <t>FQN59_RS04375</t>
  </si>
  <si>
    <t>30S ribosomal protein S8</t>
  </si>
  <si>
    <t>rpsH</t>
  </si>
  <si>
    <t>WP_005634758.1</t>
  </si>
  <si>
    <t>FQN59_RS04380</t>
  </si>
  <si>
    <t>30S ribosomal protein S14</t>
  </si>
  <si>
    <t>rpsN</t>
  </si>
  <si>
    <t>WP_005853988.1</t>
  </si>
  <si>
    <t>FQN59_RS04385</t>
  </si>
  <si>
    <t>50S ribosomal protein L5</t>
  </si>
  <si>
    <t>rplE</t>
  </si>
  <si>
    <t>WP_005853986.1</t>
  </si>
  <si>
    <t>FQN59_RS04390</t>
  </si>
  <si>
    <t>50S ribosomal protein L24</t>
  </si>
  <si>
    <t>rplX</t>
  </si>
  <si>
    <t>WP_005853984.1</t>
  </si>
  <si>
    <t>FQN59_RS04395</t>
  </si>
  <si>
    <t>50S ribosomal protein L14</t>
  </si>
  <si>
    <t>rplN</t>
  </si>
  <si>
    <t>WP_005853982.1</t>
  </si>
  <si>
    <t>FQN59_RS04400</t>
  </si>
  <si>
    <t>30S ribosomal protein S17</t>
  </si>
  <si>
    <t>rpsQ</t>
  </si>
  <si>
    <t>WP_008773759.1</t>
  </si>
  <si>
    <t>FQN59_RS04405</t>
  </si>
  <si>
    <t>50S ribosomal protein L29</t>
  </si>
  <si>
    <t>rpmC</t>
  </si>
  <si>
    <t>WP_005853979.1</t>
  </si>
  <si>
    <t>FQN59_RS04410</t>
  </si>
  <si>
    <t>50S ribosomal protein L16</t>
  </si>
  <si>
    <t>rplP</t>
  </si>
  <si>
    <t>WP_005853976.1</t>
  </si>
  <si>
    <t>FQN59_RS04415</t>
  </si>
  <si>
    <t>30S ribosomal protein S3</t>
  </si>
  <si>
    <t>rpsC</t>
  </si>
  <si>
    <t>WP_005853974.1</t>
  </si>
  <si>
    <t>FQN59_RS04420</t>
  </si>
  <si>
    <t>50S ribosomal protein L22</t>
  </si>
  <si>
    <t>rplV</t>
  </si>
  <si>
    <t>WP_005853972.1</t>
  </si>
  <si>
    <t>FQN59_RS04425</t>
  </si>
  <si>
    <t>30S ribosomal protein S19</t>
  </si>
  <si>
    <t>rpsS</t>
  </si>
  <si>
    <t>WP_005634738.1</t>
  </si>
  <si>
    <t>FQN59_RS04430</t>
  </si>
  <si>
    <t>50S ribosomal protein L2</t>
  </si>
  <si>
    <t>rplB</t>
  </si>
  <si>
    <t>WP_005853970.1</t>
  </si>
  <si>
    <t>FQN59_RS04435</t>
  </si>
  <si>
    <t>50S ribosomal protein L23</t>
  </si>
  <si>
    <t>rplW</t>
  </si>
  <si>
    <t>WP_005853968.1</t>
  </si>
  <si>
    <t>FQN59_RS04440</t>
  </si>
  <si>
    <t>50S ribosomal protein L4</t>
  </si>
  <si>
    <t>rplD</t>
  </si>
  <si>
    <t>WP_005853966.1</t>
  </si>
  <si>
    <t>FQN59_RS04445</t>
  </si>
  <si>
    <t>50S ribosomal protein L3</t>
  </si>
  <si>
    <t>rplC</t>
  </si>
  <si>
    <t>WP_005853963.1</t>
  </si>
  <si>
    <t>FQN59_RS04450</t>
  </si>
  <si>
    <t>30S ribosomal protein S10</t>
  </si>
  <si>
    <t>rpsJ</t>
  </si>
  <si>
    <t>WP_005853961.1</t>
  </si>
  <si>
    <t>FQN59_RS04455</t>
  </si>
  <si>
    <t>elongation factor G</t>
  </si>
  <si>
    <t>fusA</t>
  </si>
  <si>
    <t>WP_009017971.1</t>
  </si>
  <si>
    <t>FQN59_RS04460</t>
  </si>
  <si>
    <t>30S ribosomal protein S7</t>
  </si>
  <si>
    <t>rpsG</t>
  </si>
  <si>
    <t>WP_005853957.1</t>
  </si>
  <si>
    <t>FQN59_RS04465</t>
  </si>
  <si>
    <t>30S ribosomal protein S12</t>
  </si>
  <si>
    <t>rpsL</t>
  </si>
  <si>
    <t>WP_005853956.1</t>
  </si>
  <si>
    <t>FQN59_RS04470</t>
  </si>
  <si>
    <t>WP_057328144.1</t>
  </si>
  <si>
    <t>FQN59_RS04475</t>
  </si>
  <si>
    <t>WP_005867113.1</t>
  </si>
  <si>
    <t>FQN59_RS22460</t>
  </si>
  <si>
    <t>virulence-associated E family protein</t>
  </si>
  <si>
    <t>WP_249222506.1</t>
  </si>
  <si>
    <t>FQN59_RS22465</t>
  </si>
  <si>
    <t>DUF3874 domain-containing protein</t>
  </si>
  <si>
    <t>WP_227154224.1</t>
  </si>
  <si>
    <t>FQN59_RS22470</t>
  </si>
  <si>
    <t>DNA mismatch repair endonuclease MutL</t>
  </si>
  <si>
    <t>mutL</t>
  </si>
  <si>
    <t>WP_005867111.1</t>
  </si>
  <si>
    <t>FQN59_RS04485</t>
  </si>
  <si>
    <t>WP_211738384.1</t>
  </si>
  <si>
    <t>FQN59_RS04490</t>
  </si>
  <si>
    <t>OstA-like protein</t>
  </si>
  <si>
    <t>WP_005867109.1</t>
  </si>
  <si>
    <t>FQN59_RS04495</t>
  </si>
  <si>
    <t>peptidylprolyl isomerase</t>
  </si>
  <si>
    <t>WP_009017967.1</t>
  </si>
  <si>
    <t>FQN59_RS04500</t>
  </si>
  <si>
    <t>WP_005867108.1</t>
  </si>
  <si>
    <t>FQN59_RS04505</t>
  </si>
  <si>
    <t>WP_057326857.1</t>
  </si>
  <si>
    <t>FQN59_RS04510</t>
  </si>
  <si>
    <t>IMP dehydrogenase</t>
  </si>
  <si>
    <t>guaB</t>
  </si>
  <si>
    <t>WP_005853938.1</t>
  </si>
  <si>
    <t>FQN59_RS04515</t>
  </si>
  <si>
    <t>DNA helicase RecQ</t>
  </si>
  <si>
    <t>recQ</t>
  </si>
  <si>
    <t>WP_005853936.1</t>
  </si>
  <si>
    <t>FQN59_RS04520</t>
  </si>
  <si>
    <t>ATP-dependent Clp protease ATP-binding subunit ClpX</t>
  </si>
  <si>
    <t>clpX</t>
  </si>
  <si>
    <t>WP_005867105.1</t>
  </si>
  <si>
    <t>FQN59_RS04525</t>
  </si>
  <si>
    <t>ATP-dependent Clp endopeptidase proteolytic subunit ClpP</t>
  </si>
  <si>
    <t>clpP</t>
  </si>
  <si>
    <t>WP_005853931.1</t>
  </si>
  <si>
    <t>FQN59_RS04530</t>
  </si>
  <si>
    <t>trigger factor</t>
  </si>
  <si>
    <t>tig</t>
  </si>
  <si>
    <t>WP_005853929.1</t>
  </si>
  <si>
    <t>FQN59_RS04535</t>
  </si>
  <si>
    <t>CPBP family intramembrane glutamic endopeptidase</t>
  </si>
  <si>
    <t>WP_211738387.1</t>
  </si>
  <si>
    <t>FQN59_RS04540</t>
  </si>
  <si>
    <t>LPS export ABC transporter ATP-binding protein</t>
  </si>
  <si>
    <t>lptB</t>
  </si>
  <si>
    <t>WP_005853924.1</t>
  </si>
  <si>
    <t>FQN59_RS04545</t>
  </si>
  <si>
    <t>glycoside hydrolase family 43 protein</t>
  </si>
  <si>
    <t>WP_005867100.1</t>
  </si>
  <si>
    <t>FQN59_RS04550</t>
  </si>
  <si>
    <t>MlaE family ABC transporter permease</t>
  </si>
  <si>
    <t>WP_008773770.1</t>
  </si>
  <si>
    <t>FQN59_RS04555</t>
  </si>
  <si>
    <t>WP_005853918.1</t>
  </si>
  <si>
    <t>FQN59_RS04560</t>
  </si>
  <si>
    <t>methionine adenosyltransferase</t>
  </si>
  <si>
    <t>metK</t>
  </si>
  <si>
    <t>WP_005867099.1</t>
  </si>
  <si>
    <t>FQN59_RS04565</t>
  </si>
  <si>
    <t>WP_008778718.1</t>
  </si>
  <si>
    <t>FQN59_RS04570</t>
  </si>
  <si>
    <t>2-amino-4-hydroxy-6-hydroxymethyldihydropteridine diphosphokinase</t>
  </si>
  <si>
    <t>folK</t>
  </si>
  <si>
    <t>WP_005867096.1</t>
  </si>
  <si>
    <t>FQN59_RS04575</t>
  </si>
  <si>
    <t>tRNA preQ1(34) S-adenosylmethionine ribosyltransferase-isomerase QueA</t>
  </si>
  <si>
    <t>queA</t>
  </si>
  <si>
    <t>WP_005853911.1</t>
  </si>
  <si>
    <t>FQN59_RS04580</t>
  </si>
  <si>
    <t>tRNA pseudouridine(55) synthase TruB</t>
  </si>
  <si>
    <t>truB</t>
  </si>
  <si>
    <t>WP_005867095.1</t>
  </si>
  <si>
    <t>FQN59_RS04585</t>
  </si>
  <si>
    <t>undecaprenyl-diphosphate phosphatase</t>
  </si>
  <si>
    <t>WP_005867094.1</t>
  </si>
  <si>
    <t>FQN59_RS04590</t>
  </si>
  <si>
    <t>DUF3098 domain-containing protein</t>
  </si>
  <si>
    <t>WP_005853907.1</t>
  </si>
  <si>
    <t>FQN59_RS04595</t>
  </si>
  <si>
    <t>cell division protein FtsX</t>
  </si>
  <si>
    <t>WP_005853905.1</t>
  </si>
  <si>
    <t>FQN59_RS04600</t>
  </si>
  <si>
    <t>WP_211738389.1</t>
  </si>
  <si>
    <t>FQN59_RS04605</t>
  </si>
  <si>
    <t>DUF1565 domain-containing protein</t>
  </si>
  <si>
    <t>WP_249222507.1</t>
  </si>
  <si>
    <t>FQN59_RS04610</t>
  </si>
  <si>
    <t>FQN59_RS04615</t>
  </si>
  <si>
    <t>FQN59_RS04620</t>
  </si>
  <si>
    <t>nucleotidyl transferase AbiEii/AbiGii toxin family protein</t>
  </si>
  <si>
    <t>WP_009017957.1</t>
  </si>
  <si>
    <t>FQN59_RS04625</t>
  </si>
  <si>
    <t>WP_009017956.1</t>
  </si>
  <si>
    <t>FQN59_RS04630</t>
  </si>
  <si>
    <t>tRNA (N6-isopentenyl adenosine(37)-C2)-methylthiotransferase MiaB</t>
  </si>
  <si>
    <t>miaB</t>
  </si>
  <si>
    <t>WP_211738391.1</t>
  </si>
  <si>
    <t>FQN59_RS04635</t>
  </si>
  <si>
    <t>WP_008773783.1</t>
  </si>
  <si>
    <t>FQN59_RS04640</t>
  </si>
  <si>
    <t>acetyl-CoA hydrolase/transferase family protein</t>
  </si>
  <si>
    <t>WP_005867081.1</t>
  </si>
  <si>
    <t>FQN59_RS04645</t>
  </si>
  <si>
    <t>DUF6722 family protein</t>
  </si>
  <si>
    <t>WP_008778724.1</t>
  </si>
  <si>
    <t>FQN59_RS04650</t>
  </si>
  <si>
    <t>phosphate ABC transporter permease subunit PstC</t>
  </si>
  <si>
    <t>pstC</t>
  </si>
  <si>
    <t>WP_121961093.1</t>
  </si>
  <si>
    <t>FQN59_RS04655</t>
  </si>
  <si>
    <t>phosphate ABC transporter permease PstA</t>
  </si>
  <si>
    <t>pstA</t>
  </si>
  <si>
    <t>WP_005867077.1</t>
  </si>
  <si>
    <t>FQN59_RS04660</t>
  </si>
  <si>
    <t>phosphate ABC transporter ATP-binding protein PstB</t>
  </si>
  <si>
    <t>pstB</t>
  </si>
  <si>
    <t>WP_005867076.1</t>
  </si>
  <si>
    <t>FQN59_RS04665</t>
  </si>
  <si>
    <t>phosphate signaling complex protein PhoU</t>
  </si>
  <si>
    <t>phoU</t>
  </si>
  <si>
    <t>WP_005853873.1</t>
  </si>
  <si>
    <t>FQN59_RS04670</t>
  </si>
  <si>
    <t>OprO/OprP family phosphate-selective porin</t>
  </si>
  <si>
    <t>WP_009275551.1</t>
  </si>
  <si>
    <t>FQN59_RS04675</t>
  </si>
  <si>
    <t>glycoside hydrolase family 95 protein</t>
  </si>
  <si>
    <t>WP_211738393.1</t>
  </si>
  <si>
    <t>FQN59_RS04680</t>
  </si>
  <si>
    <t>WP_211738395.1</t>
  </si>
  <si>
    <t>FQN59_RS04685</t>
  </si>
  <si>
    <t>radical SAM-associated putative lipoprotein</t>
  </si>
  <si>
    <t>WP_211738397.1</t>
  </si>
  <si>
    <t>FQN59_RS04690</t>
  </si>
  <si>
    <t>WP_005867071.1</t>
  </si>
  <si>
    <t>FQN59_RS04695</t>
  </si>
  <si>
    <t>TIGR04133 family radical SAM/SPASM protein</t>
  </si>
  <si>
    <t>WP_211738399.1</t>
  </si>
  <si>
    <t>FQN59_RS04700</t>
  </si>
  <si>
    <t>DUF4091 domain-containing protein</t>
  </si>
  <si>
    <t>WP_008778726.1</t>
  </si>
  <si>
    <t>FQN59_RS04705</t>
  </si>
  <si>
    <t>WP_211738401.1</t>
  </si>
  <si>
    <t>FQN59_RS04710</t>
  </si>
  <si>
    <t>WP_146375960.1</t>
  </si>
  <si>
    <t>FQN59_RS04715</t>
  </si>
  <si>
    <t>DUF2442 domain-containing protein</t>
  </si>
  <si>
    <t>WP_005867066.1</t>
  </si>
  <si>
    <t>FQN59_RS04720</t>
  </si>
  <si>
    <t>WP_005867063.1</t>
  </si>
  <si>
    <t>FQN59_RS04725</t>
  </si>
  <si>
    <t>WP_270620819.1</t>
  </si>
  <si>
    <t>FQN59_RS22720</t>
  </si>
  <si>
    <t>WP_122144967.1</t>
  </si>
  <si>
    <t>FQN59_RS04730</t>
  </si>
  <si>
    <t>WP_008773800.1</t>
  </si>
  <si>
    <t>FQN59_RS04735</t>
  </si>
  <si>
    <t>type II toxin-antitoxin system YafQ family toxin</t>
  </si>
  <si>
    <t>WP_211738403.1</t>
  </si>
  <si>
    <t>FQN59_RS04740</t>
  </si>
  <si>
    <t>ribosome biogenesis GTPase Der</t>
  </si>
  <si>
    <t>der</t>
  </si>
  <si>
    <t>WP_044545262.1</t>
  </si>
  <si>
    <t>FQN59_RS04745</t>
  </si>
  <si>
    <t>GTPase Era</t>
  </si>
  <si>
    <t>era</t>
  </si>
  <si>
    <t>WP_008773803.1</t>
  </si>
  <si>
    <t>FQN59_RS04750</t>
  </si>
  <si>
    <t>beta-ketoacyl-ACP synthase III</t>
  </si>
  <si>
    <t>WP_211738405.1</t>
  </si>
  <si>
    <t>FQN59_RS04755</t>
  </si>
  <si>
    <t>50S ribosomal protein L32</t>
  </si>
  <si>
    <t>rpmF</t>
  </si>
  <si>
    <t>WP_005634607.1</t>
  </si>
  <si>
    <t>FQN59_RS04760</t>
  </si>
  <si>
    <t>YceD family protein</t>
  </si>
  <si>
    <t>WP_005867041.1</t>
  </si>
  <si>
    <t>FQN59_RS04765</t>
  </si>
  <si>
    <t>WP_057326855.1</t>
  </si>
  <si>
    <t>FQN59_RS04770</t>
  </si>
  <si>
    <t>5S ribosomal RNA</t>
  </si>
  <si>
    <t>rrf</t>
  </si>
  <si>
    <t>rRNA</t>
  </si>
  <si>
    <t>FQN59_RS04775</t>
  </si>
  <si>
    <t>23S ribosomal RNA</t>
  </si>
  <si>
    <t>FQN59_RS04780</t>
  </si>
  <si>
    <t>tRNA-Ala</t>
  </si>
  <si>
    <t>FQN59_RS04785</t>
  </si>
  <si>
    <t>tRNA-Ile</t>
  </si>
  <si>
    <t>FQN59_RS04790</t>
  </si>
  <si>
    <t>16S ribosomal RNA</t>
  </si>
  <si>
    <t>FQN59_RS04795</t>
  </si>
  <si>
    <t>DUF4255 domain-containing protein</t>
  </si>
  <si>
    <t>WP_022191828.1</t>
  </si>
  <si>
    <t>FQN59_RS04800</t>
  </si>
  <si>
    <t>WP_158532589.1</t>
  </si>
  <si>
    <t>FQN59_RS04805</t>
  </si>
  <si>
    <t>phage tail sheath family protein</t>
  </si>
  <si>
    <t>WP_005867035.1</t>
  </si>
  <si>
    <t>FQN59_RS04810</t>
  </si>
  <si>
    <t>phage tail protein</t>
  </si>
  <si>
    <t>WP_005861441.1</t>
  </si>
  <si>
    <t>FQN59_RS04815</t>
  </si>
  <si>
    <t>WP_005861439.1</t>
  </si>
  <si>
    <t>FQN59_RS04820</t>
  </si>
  <si>
    <t>WP_005867031.1</t>
  </si>
  <si>
    <t>FQN59_RS04825</t>
  </si>
  <si>
    <t>type VI secretion system tip protein VgrG</t>
  </si>
  <si>
    <t>vgrG</t>
  </si>
  <si>
    <t>WP_249222508.1</t>
  </si>
  <si>
    <t>FQN59_RS04830</t>
  </si>
  <si>
    <t>GPW/gp25 family protein</t>
  </si>
  <si>
    <t>WP_005867028.1</t>
  </si>
  <si>
    <t>FQN59_RS04835</t>
  </si>
  <si>
    <t>WP_211738407.1</t>
  </si>
  <si>
    <t>FQN59_RS04840</t>
  </si>
  <si>
    <t>WP_005861427.1</t>
  </si>
  <si>
    <t>FQN59_RS04845</t>
  </si>
  <si>
    <t>WP_048927985.1</t>
  </si>
  <si>
    <t>FQN59_RS04850</t>
  </si>
  <si>
    <t>WP_211738409.1</t>
  </si>
  <si>
    <t>FQN59_RS04855</t>
  </si>
  <si>
    <t>WP_211738411.1</t>
  </si>
  <si>
    <t>FQN59_RS04860</t>
  </si>
  <si>
    <t>DUF4157 domain-containing protein</t>
  </si>
  <si>
    <t>WP_005867018.1</t>
  </si>
  <si>
    <t>FQN59_RS04865</t>
  </si>
  <si>
    <t>contractile injection system tape measure protein</t>
  </si>
  <si>
    <t>WP_211738413.1</t>
  </si>
  <si>
    <t>FQN59_RS04870</t>
  </si>
  <si>
    <t>WP_008773813.1</t>
  </si>
  <si>
    <t>FQN59_RS04875</t>
  </si>
  <si>
    <t>NPCBM/NEW2 domain-containing protein</t>
  </si>
  <si>
    <t>WP_211738415.1</t>
  </si>
  <si>
    <t>FQN59_RS04880</t>
  </si>
  <si>
    <t>WP_087343728.1</t>
  </si>
  <si>
    <t>FQN59_RS04885</t>
  </si>
  <si>
    <t>glycoside hydrolase family 172 protein</t>
  </si>
  <si>
    <t>WP_008780730.1</t>
  </si>
  <si>
    <t>FQN59_RS04890</t>
  </si>
  <si>
    <t>glycoside hydrolase family 140 protein</t>
  </si>
  <si>
    <t>WP_146376025.1</t>
  </si>
  <si>
    <t>FQN59_RS04895</t>
  </si>
  <si>
    <t>glycoside hydrolase family 28 protein</t>
  </si>
  <si>
    <t>WP_146376024.1</t>
  </si>
  <si>
    <t>FQN59_RS04900</t>
  </si>
  <si>
    <t>WP_211738418.1</t>
  </si>
  <si>
    <t>FQN59_RS04905</t>
  </si>
  <si>
    <t>WP_249222509.1</t>
  </si>
  <si>
    <t>FQN59_RS04910</t>
  </si>
  <si>
    <t>WP_009018300.1</t>
  </si>
  <si>
    <t>FQN59_RS04915</t>
  </si>
  <si>
    <t>WP_008773822.1</t>
  </si>
  <si>
    <t>FQN59_RS04920</t>
  </si>
  <si>
    <t>WP_009018301.1</t>
  </si>
  <si>
    <t>FQN59_RS04925</t>
  </si>
  <si>
    <t>WP_009018302.1</t>
  </si>
  <si>
    <t>FQN59_RS04930</t>
  </si>
  <si>
    <t>WP_211738422.1</t>
  </si>
  <si>
    <t>FQN59_RS04935</t>
  </si>
  <si>
    <t>WP_211738424.1</t>
  </si>
  <si>
    <t>FQN59_RS04940</t>
  </si>
  <si>
    <t>WP_211738426.1</t>
  </si>
  <si>
    <t>FQN59_RS04945</t>
  </si>
  <si>
    <t>WP_008773829.1</t>
  </si>
  <si>
    <t>FQN59_RS04950</t>
  </si>
  <si>
    <t>WP_211738428.1</t>
  </si>
  <si>
    <t>FQN59_RS04955</t>
  </si>
  <si>
    <t>WP_005861390.1</t>
  </si>
  <si>
    <t>FQN59_RS04960</t>
  </si>
  <si>
    <t>WP_005861388.1</t>
  </si>
  <si>
    <t>FQN59_RS04965</t>
  </si>
  <si>
    <t>carbon starvation CstA family protein</t>
  </si>
  <si>
    <t>WP_211738430.1</t>
  </si>
  <si>
    <t>FQN59_RS04970</t>
  </si>
  <si>
    <t>GatB/YqeY domain-containing protein</t>
  </si>
  <si>
    <t>WP_005861384.1</t>
  </si>
  <si>
    <t>FQN59_RS04975</t>
  </si>
  <si>
    <t>cell division protein FtsZ</t>
  </si>
  <si>
    <t>ftsZ</t>
  </si>
  <si>
    <t>WP_044545492.1</t>
  </si>
  <si>
    <t>FQN59_RS04980</t>
  </si>
  <si>
    <t>cell division protein FtsA</t>
  </si>
  <si>
    <t>ftsA</t>
  </si>
  <si>
    <t>WP_122145186.1</t>
  </si>
  <si>
    <t>FQN59_RS04985</t>
  </si>
  <si>
    <t>cell division protein FtsQ/DivIB</t>
  </si>
  <si>
    <t>WP_005866972.1</t>
  </si>
  <si>
    <t>FQN59_RS04990</t>
  </si>
  <si>
    <t>UDP-N-acetylmuramate--L-alanine ligase</t>
  </si>
  <si>
    <t>murC</t>
  </si>
  <si>
    <t>WP_211738432.1</t>
  </si>
  <si>
    <t>FQN59_RS04995</t>
  </si>
  <si>
    <t>undecaprenyldiphospho-muramoylpentapeptide beta-N-acetylglucosaminyltransferase</t>
  </si>
  <si>
    <t>murG</t>
  </si>
  <si>
    <t>WP_008773833.1</t>
  </si>
  <si>
    <t>FQN59_RS05000</t>
  </si>
  <si>
    <t>FtsW/RodA/SpoVE family cell cycle protein</t>
  </si>
  <si>
    <t>WP_005866970.1</t>
  </si>
  <si>
    <t>FQN59_RS05005</t>
  </si>
  <si>
    <t>UDP-N-acetylmuramoyl-L-alanine--D-glutamate ligase</t>
  </si>
  <si>
    <t>murD</t>
  </si>
  <si>
    <t>WP_008773835.1</t>
  </si>
  <si>
    <t>FQN59_RS05010</t>
  </si>
  <si>
    <t>phospho-N-acetylmuramoyl-pentapeptide-transferase</t>
  </si>
  <si>
    <t>mraY</t>
  </si>
  <si>
    <t>WP_005861367.1</t>
  </si>
  <si>
    <t>FQN59_RS05015</t>
  </si>
  <si>
    <t>UDP-N-acetylmuramoyl-L-alanyl-D-glutamate--2,6-diaminopimelate ligase</t>
  </si>
  <si>
    <t>WP_009018313.1</t>
  </si>
  <si>
    <t>FQN59_RS05020</t>
  </si>
  <si>
    <t>penicillin-binding protein</t>
  </si>
  <si>
    <t>WP_039848975.1</t>
  </si>
  <si>
    <t>FQN59_RS05025</t>
  </si>
  <si>
    <t>FtsL-like putative cell division protein</t>
  </si>
  <si>
    <t>WP_005861360.1</t>
  </si>
  <si>
    <t>FQN59_RS05030</t>
  </si>
  <si>
    <t>16S rRNA (cytosine(1402)-N(4))-methyltransferase RsmH</t>
  </si>
  <si>
    <t>rsmH</t>
  </si>
  <si>
    <t>WP_129984525.1</t>
  </si>
  <si>
    <t>FQN59_RS05035</t>
  </si>
  <si>
    <t>WP_009276480.1</t>
  </si>
  <si>
    <t>FQN59_RS05040</t>
  </si>
  <si>
    <t>WP_005866962.1</t>
  </si>
  <si>
    <t>FQN59_RS05045</t>
  </si>
  <si>
    <t>YjbH domain-containing protein</t>
  </si>
  <si>
    <t>WP_048927964.1</t>
  </si>
  <si>
    <t>FQN59_RS05050</t>
  </si>
  <si>
    <t>carboxypeptidase-like regulatory domain-containing protein</t>
  </si>
  <si>
    <t>WP_122268308.1</t>
  </si>
  <si>
    <t>FQN59_RS05055</t>
  </si>
  <si>
    <t>WP_416339359.1</t>
  </si>
  <si>
    <t>FQN59_RS05060</t>
  </si>
  <si>
    <t>cardiolipin synthase</t>
  </si>
  <si>
    <t>cls</t>
  </si>
  <si>
    <t>WP_005866953.1</t>
  </si>
  <si>
    <t>FQN59_RS05065</t>
  </si>
  <si>
    <t>RsmD family RNA methyltransferase</t>
  </si>
  <si>
    <t>WP_005861342.1</t>
  </si>
  <si>
    <t>FQN59_RS05070</t>
  </si>
  <si>
    <t>DUF3822 family protein</t>
  </si>
  <si>
    <t>WP_008773842.1</t>
  </si>
  <si>
    <t>FQN59_RS05075</t>
  </si>
  <si>
    <t>WP_005861338.1</t>
  </si>
  <si>
    <t>FQN59_RS05080</t>
  </si>
  <si>
    <t>ATP-dependent DNA helicase</t>
  </si>
  <si>
    <t>WP_122268502.1</t>
  </si>
  <si>
    <t>FQN59_RS05085</t>
  </si>
  <si>
    <t>WP_211738436.1</t>
  </si>
  <si>
    <t>FQN59_RS05090</t>
  </si>
  <si>
    <t>16S rRNA (cytidine(1402)-2'-O)-methyltransferase</t>
  </si>
  <si>
    <t>rsmI</t>
  </si>
  <si>
    <t>WP_005861332.1</t>
  </si>
  <si>
    <t>FQN59_RS05095</t>
  </si>
  <si>
    <t>WP_005861330.1</t>
  </si>
  <si>
    <t>FQN59_RS05100</t>
  </si>
  <si>
    <t>YjjG family noncanonical pyrimidine nucleotidase</t>
  </si>
  <si>
    <t>WP_005866942.1</t>
  </si>
  <si>
    <t>FQN59_RS05105</t>
  </si>
  <si>
    <t>FAD:protein FMN transferase</t>
  </si>
  <si>
    <t>WP_005866940.1</t>
  </si>
  <si>
    <t>FQN59_RS05110</t>
  </si>
  <si>
    <t>peptide chain release factor 3</t>
  </si>
  <si>
    <t>WP_005866938.1</t>
  </si>
  <si>
    <t>FQN59_RS05115</t>
  </si>
  <si>
    <t>dTDP-4-dehydrorhamnose reductase</t>
  </si>
  <si>
    <t>rfbD</t>
  </si>
  <si>
    <t>WP_005866936.1</t>
  </si>
  <si>
    <t>FQN59_RS05120</t>
  </si>
  <si>
    <t>DUF4924 family protein</t>
  </si>
  <si>
    <t>WP_005861320.1</t>
  </si>
  <si>
    <t>FQN59_RS05125</t>
  </si>
  <si>
    <t>Mur ligase family protein</t>
  </si>
  <si>
    <t>WP_005861318.1</t>
  </si>
  <si>
    <t>FQN59_RS05130</t>
  </si>
  <si>
    <t>TolB family protein</t>
  </si>
  <si>
    <t>WP_121961105.1</t>
  </si>
  <si>
    <t>FQN59_RS05135</t>
  </si>
  <si>
    <t>DUF6057 family protein</t>
  </si>
  <si>
    <t>WP_121961104.1</t>
  </si>
  <si>
    <t>FQN59_RS05140</t>
  </si>
  <si>
    <t>WP_121961103.1</t>
  </si>
  <si>
    <t>FQN59_RS05145</t>
  </si>
  <si>
    <t>WP_005866928.1</t>
  </si>
  <si>
    <t>FQN59_RS05150</t>
  </si>
  <si>
    <t>WP_005866926.1</t>
  </si>
  <si>
    <t>FQN59_RS05155</t>
  </si>
  <si>
    <t>MBL fold metallo-hydrolase</t>
  </si>
  <si>
    <t>WP_005866924.1</t>
  </si>
  <si>
    <t>FQN59_RS05160</t>
  </si>
  <si>
    <t>WP_211738438.1</t>
  </si>
  <si>
    <t>FQN59_RS05165</t>
  </si>
  <si>
    <t>WP_005866920.1</t>
  </si>
  <si>
    <t>FQN59_RS05170</t>
  </si>
  <si>
    <t>WP_005866918.1</t>
  </si>
  <si>
    <t>FQN59_RS05175</t>
  </si>
  <si>
    <t>WP_005866917.1</t>
  </si>
  <si>
    <t>FQN59_RS05180</t>
  </si>
  <si>
    <t>phosphoribosylformylglycinamidine synthase</t>
  </si>
  <si>
    <t>purL</t>
  </si>
  <si>
    <t>WP_005866914.1</t>
  </si>
  <si>
    <t>FQN59_RS05185</t>
  </si>
  <si>
    <t>WP_005866912.1</t>
  </si>
  <si>
    <t>FQN59_RS05190</t>
  </si>
  <si>
    <t>WP_211738440.1</t>
  </si>
  <si>
    <t>FQN59_RS05195</t>
  </si>
  <si>
    <t>calcineurin-like phosphoesterase C-terminal domain-containing protein</t>
  </si>
  <si>
    <t>WP_172514231.1</t>
  </si>
  <si>
    <t>FQN59_RS05200</t>
  </si>
  <si>
    <t>WP_122378451.1</t>
  </si>
  <si>
    <t>FQN59_RS05205</t>
  </si>
  <si>
    <t>WP_211738442.1</t>
  </si>
  <si>
    <t>FQN59_RS05210</t>
  </si>
  <si>
    <t>tRNA-Pro</t>
  </si>
  <si>
    <t>FQN59_RS05215</t>
  </si>
  <si>
    <t>3-dehydroquinate synthase</t>
  </si>
  <si>
    <t>aroB</t>
  </si>
  <si>
    <t>WP_005861282.1</t>
  </si>
  <si>
    <t>FQN59_RS05220</t>
  </si>
  <si>
    <t>alanine--tRNA ligase</t>
  </si>
  <si>
    <t>alaS</t>
  </si>
  <si>
    <t>WP_009018344.1</t>
  </si>
  <si>
    <t>FQN59_RS05225</t>
  </si>
  <si>
    <t>WP_005861279.1</t>
  </si>
  <si>
    <t>FQN59_RS05230</t>
  </si>
  <si>
    <t>MerR family transcriptional regulator</t>
  </si>
  <si>
    <t>WP_005861277.1</t>
  </si>
  <si>
    <t>FQN59_RS05235</t>
  </si>
  <si>
    <t>DUF3127 domain-containing protein</t>
  </si>
  <si>
    <t>WP_005866893.1</t>
  </si>
  <si>
    <t>FQN59_RS05240</t>
  </si>
  <si>
    <t>calcium/sodium antiporter</t>
  </si>
  <si>
    <t>WP_005866891.1</t>
  </si>
  <si>
    <t>FQN59_RS05245</t>
  </si>
  <si>
    <t>WP_211738444.1</t>
  </si>
  <si>
    <t>FQN59_RS05250</t>
  </si>
  <si>
    <t>radical SAM protein</t>
  </si>
  <si>
    <t>WP_005866887.1</t>
  </si>
  <si>
    <t>FQN59_RS05255</t>
  </si>
  <si>
    <t>GTP-binding protein</t>
  </si>
  <si>
    <t>WP_211738446.1</t>
  </si>
  <si>
    <t>FQN59_RS05260</t>
  </si>
  <si>
    <t>MIP/aquaporin family protein</t>
  </si>
  <si>
    <t>WP_005866878.1</t>
  </si>
  <si>
    <t>FQN59_RS05265</t>
  </si>
  <si>
    <t>ArsR/SmtB family transcription factor</t>
  </si>
  <si>
    <t>WP_005866876.1</t>
  </si>
  <si>
    <t>FQN59_RS05270</t>
  </si>
  <si>
    <t>Lrp/AsnC family transcriptional regulator</t>
  </si>
  <si>
    <t>WP_005866874.1</t>
  </si>
  <si>
    <t>FQN59_RS05275</t>
  </si>
  <si>
    <t>O-acetylhomoserine aminocarboxypropyltransferase/cysteine synthase family protein</t>
  </si>
  <si>
    <t>WP_005866872.1</t>
  </si>
  <si>
    <t>FQN59_RS05280</t>
  </si>
  <si>
    <t>PQQ-binding-like beta-propeller repeat protein</t>
  </si>
  <si>
    <t>WP_005866869.1</t>
  </si>
  <si>
    <t>FQN59_RS05285</t>
  </si>
  <si>
    <t>WP_227804669.1</t>
  </si>
  <si>
    <t>FQN59_RS05290</t>
  </si>
  <si>
    <t>WP_211738448.1</t>
  </si>
  <si>
    <t>FQN59_RS05295</t>
  </si>
  <si>
    <t>WP_211738450.1</t>
  </si>
  <si>
    <t>FQN59_RS05300</t>
  </si>
  <si>
    <t>FtsX-like permease family protein</t>
  </si>
  <si>
    <t>WP_211738452.1</t>
  </si>
  <si>
    <t>FQN59_RS05305</t>
  </si>
  <si>
    <t>WP_005866856.1</t>
  </si>
  <si>
    <t>FQN59_RS05310</t>
  </si>
  <si>
    <t>WP_211738454.1</t>
  </si>
  <si>
    <t>FQN59_RS05315</t>
  </si>
  <si>
    <t>2Fe-2S iron-sulfur cluster-binding protein</t>
  </si>
  <si>
    <t>WP_211738456.1</t>
  </si>
  <si>
    <t>FQN59_RS05320</t>
  </si>
  <si>
    <t>NAD(P)H-dependent oxidoreductase subunit E</t>
  </si>
  <si>
    <t>WP_249222510.1</t>
  </si>
  <si>
    <t>FQN59_RS05325</t>
  </si>
  <si>
    <t>PQQ-like beta-propeller repeat protein</t>
  </si>
  <si>
    <t>WP_005866849.1</t>
  </si>
  <si>
    <t>FQN59_RS05330</t>
  </si>
  <si>
    <t>4Fe-4S binding protein</t>
  </si>
  <si>
    <t>WP_158532564.1</t>
  </si>
  <si>
    <t>FQN59_RS05335</t>
  </si>
  <si>
    <t>WP_195283964.1</t>
  </si>
  <si>
    <t>FQN59_RS05340</t>
  </si>
  <si>
    <t>WP_005866843.1</t>
  </si>
  <si>
    <t>FQN59_RS05345</t>
  </si>
  <si>
    <t>WP_122144743.1</t>
  </si>
  <si>
    <t>FQN59_RS05350</t>
  </si>
  <si>
    <t>prenyltransferase/squalene oxidase repeat-containing protein</t>
  </si>
  <si>
    <t>WP_211738460.1</t>
  </si>
  <si>
    <t>FQN59_RS05355</t>
  </si>
  <si>
    <t>WP_122144741.1</t>
  </si>
  <si>
    <t>FQN59_RS05360</t>
  </si>
  <si>
    <t>polyprenyl synthetase family protein</t>
  </si>
  <si>
    <t>WP_122144740.1</t>
  </si>
  <si>
    <t>FQN59_RS05365</t>
  </si>
  <si>
    <t>WP_057326017.1</t>
  </si>
  <si>
    <t>FQN59_RS05370</t>
  </si>
  <si>
    <t>WP_036615196.1</t>
  </si>
  <si>
    <t>FQN59_RS05375</t>
  </si>
  <si>
    <t>WP_005866829.1</t>
  </si>
  <si>
    <t>FQN59_RS05380</t>
  </si>
  <si>
    <t>WP_005866826.1</t>
  </si>
  <si>
    <t>FQN59_RS05385</t>
  </si>
  <si>
    <t>WP_211738463.1</t>
  </si>
  <si>
    <t>FQN59_RS05390</t>
  </si>
  <si>
    <t>WP_048927948.1</t>
  </si>
  <si>
    <t>FQN59_RS05395</t>
  </si>
  <si>
    <t>DUF5683 domain-containing protein</t>
  </si>
  <si>
    <t>WP_005866821.1</t>
  </si>
  <si>
    <t>FQN59_RS05400</t>
  </si>
  <si>
    <t>ParB/RepB/Spo0J family partition protein</t>
  </si>
  <si>
    <t>WP_008773872.1</t>
  </si>
  <si>
    <t>FQN59_RS05405</t>
  </si>
  <si>
    <t>WP_005861254.1</t>
  </si>
  <si>
    <t>FQN59_RS05410</t>
  </si>
  <si>
    <t>WP_211738465.1</t>
  </si>
  <si>
    <t>FQN59_RS05415</t>
  </si>
  <si>
    <t>biotin--[acetyl-CoA-carboxylase] ligase</t>
  </si>
  <si>
    <t>WP_211738466.1</t>
  </si>
  <si>
    <t>FQN59_RS05420</t>
  </si>
  <si>
    <t>WP_005866809.1</t>
  </si>
  <si>
    <t>FQN59_RS05425</t>
  </si>
  <si>
    <t>YraN family protein</t>
  </si>
  <si>
    <t>WP_008773876.1</t>
  </si>
  <si>
    <t>FQN59_RS05430</t>
  </si>
  <si>
    <t>WP_005866807.1</t>
  </si>
  <si>
    <t>FQN59_RS05435</t>
  </si>
  <si>
    <t>nucleoside deaminase</t>
  </si>
  <si>
    <t>WP_008780688.1</t>
  </si>
  <si>
    <t>FQN59_RS05440</t>
  </si>
  <si>
    <t>DUF4834 family protein</t>
  </si>
  <si>
    <t>WP_008773877.1</t>
  </si>
  <si>
    <t>FQN59_RS05445</t>
  </si>
  <si>
    <t>CDP-alcohol phosphatidyltransferase family protein</t>
  </si>
  <si>
    <t>WP_048927943.1</t>
  </si>
  <si>
    <t>FQN59_RS05450</t>
  </si>
  <si>
    <t>phosphatidylserine decarboxylase family protein</t>
  </si>
  <si>
    <t>WP_005861238.1</t>
  </si>
  <si>
    <t>FQN59_RS05455</t>
  </si>
  <si>
    <t>UvrD-helicase domain-containing protein</t>
  </si>
  <si>
    <t>WP_211738468.1</t>
  </si>
  <si>
    <t>FQN59_RS05460</t>
  </si>
  <si>
    <t>translation initiation factor</t>
  </si>
  <si>
    <t>WP_005866798.1</t>
  </si>
  <si>
    <t>FQN59_RS05465</t>
  </si>
  <si>
    <t>WP_196008874.1</t>
  </si>
  <si>
    <t>FQN59_RS05470</t>
  </si>
  <si>
    <t>WP_005866789.1</t>
  </si>
  <si>
    <t>FQN59_RS05475</t>
  </si>
  <si>
    <t>WP_008778467.1</t>
  </si>
  <si>
    <t>FQN59_RS05480</t>
  </si>
  <si>
    <t>2-C-methyl-D-erythritol 2,4-cyclodiphosphate synthase</t>
  </si>
  <si>
    <t>ispF</t>
  </si>
  <si>
    <t>WP_195472802.1</t>
  </si>
  <si>
    <t>FQN59_RS05485</t>
  </si>
  <si>
    <t>type IX secretion system outer membrane channel protein PorV</t>
  </si>
  <si>
    <t>porV</t>
  </si>
  <si>
    <t>WP_057326022.1</t>
  </si>
  <si>
    <t>FQN59_RS05490</t>
  </si>
  <si>
    <t>type IX secretion system sortase PorU</t>
  </si>
  <si>
    <t>porU</t>
  </si>
  <si>
    <t>WP_211738470.1</t>
  </si>
  <si>
    <t>FQN59_RS05495</t>
  </si>
  <si>
    <t>fumarylacetoacetate hydrolase family protein</t>
  </si>
  <si>
    <t>WP_005861219.1</t>
  </si>
  <si>
    <t>FQN59_RS05500</t>
  </si>
  <si>
    <t>redox-sensing transcriptional repressor Rex</t>
  </si>
  <si>
    <t>WP_005861218.1</t>
  </si>
  <si>
    <t>FQN59_RS05505</t>
  </si>
  <si>
    <t>BRO-N domain-containing protein</t>
  </si>
  <si>
    <t>WP_211738473.1</t>
  </si>
  <si>
    <t>FQN59_RS05510</t>
  </si>
  <si>
    <t>WP_211738475.1</t>
  </si>
  <si>
    <t>FQN59_RS05515</t>
  </si>
  <si>
    <t>WP_011966905.1</t>
  </si>
  <si>
    <t>FQN59_RS05520</t>
  </si>
  <si>
    <t>lysylphosphatidylglycerol synthase transmembrane domain-containing protein</t>
  </si>
  <si>
    <t>WP_009276449.1</t>
  </si>
  <si>
    <t>FQN59_RS05525</t>
  </si>
  <si>
    <t>16S rRNA (adenine(1518)-N(6)/adenine(1519)-N(6))-dimethyltransferase RsmA</t>
  </si>
  <si>
    <t>rsmA</t>
  </si>
  <si>
    <t>WP_005861207.1</t>
  </si>
  <si>
    <t>FQN59_RS05530</t>
  </si>
  <si>
    <t>magnesium transporter</t>
  </si>
  <si>
    <t>mgtE</t>
  </si>
  <si>
    <t>WP_005861206.1</t>
  </si>
  <si>
    <t>FQN59_RS05535</t>
  </si>
  <si>
    <t>CidA/LrgA family protein</t>
  </si>
  <si>
    <t>WP_005861203.1</t>
  </si>
  <si>
    <t>FQN59_RS05540</t>
  </si>
  <si>
    <t>LrgB family protein</t>
  </si>
  <si>
    <t>WP_005861201.1</t>
  </si>
  <si>
    <t>FQN59_RS05545</t>
  </si>
  <si>
    <t>elongation factor P</t>
  </si>
  <si>
    <t>efp</t>
  </si>
  <si>
    <t>WP_121737042.1</t>
  </si>
  <si>
    <t>FQN59_RS05550</t>
  </si>
  <si>
    <t>RadC family protein</t>
  </si>
  <si>
    <t>radC</t>
  </si>
  <si>
    <t>WP_005866762.1</t>
  </si>
  <si>
    <t>FQN59_RS05555</t>
  </si>
  <si>
    <t>metal-sulfur cluster assembly factor</t>
  </si>
  <si>
    <t>WP_005861198.1</t>
  </si>
  <si>
    <t>FQN59_RS05560</t>
  </si>
  <si>
    <t>UDP-2,3-diacylglucosamine diphosphatase</t>
  </si>
  <si>
    <t>WP_005861197.1</t>
  </si>
  <si>
    <t>FQN59_RS05565</t>
  </si>
  <si>
    <t>PstS family phosphate ABC transporter substrate-binding protein</t>
  </si>
  <si>
    <t>WP_005861193.1</t>
  </si>
  <si>
    <t>FQN59_RS05570</t>
  </si>
  <si>
    <t>WP_121962002.1</t>
  </si>
  <si>
    <t>FQN59_RS05575</t>
  </si>
  <si>
    <t>WP_005861189.1</t>
  </si>
  <si>
    <t>FQN59_RS05580</t>
  </si>
  <si>
    <t>DUF3868 domain-containing protein</t>
  </si>
  <si>
    <t>WP_211738477.1</t>
  </si>
  <si>
    <t>FQN59_RS05585</t>
  </si>
  <si>
    <t>DUF3575 domain-containing protein</t>
  </si>
  <si>
    <t>WP_005861186.1</t>
  </si>
  <si>
    <t>FQN59_RS05590</t>
  </si>
  <si>
    <t>WP_005861184.1</t>
  </si>
  <si>
    <t>FQN59_RS05595</t>
  </si>
  <si>
    <t>hemerythrin domain-containing protein</t>
  </si>
  <si>
    <t>WP_010185248.1</t>
  </si>
  <si>
    <t>FQN59_RS05600</t>
  </si>
  <si>
    <t>Rid family hydrolase</t>
  </si>
  <si>
    <t>WP_211738480.1</t>
  </si>
  <si>
    <t>FQN59_RS05605</t>
  </si>
  <si>
    <t>WP_211738482.1</t>
  </si>
  <si>
    <t>FQN59_RS05610</t>
  </si>
  <si>
    <t>porin</t>
  </si>
  <si>
    <t>WP_146375710.1</t>
  </si>
  <si>
    <t>FQN59_RS05615</t>
  </si>
  <si>
    <t>di-heme oxidoredictase family protein</t>
  </si>
  <si>
    <t>WP_005866749.1</t>
  </si>
  <si>
    <t>FQN59_RS05620</t>
  </si>
  <si>
    <t>imelysin family protein</t>
  </si>
  <si>
    <t>WP_036652038.1</t>
  </si>
  <si>
    <t>FQN59_RS05625</t>
  </si>
  <si>
    <t>WP_005861166.1</t>
  </si>
  <si>
    <t>FQN59_RS05630</t>
  </si>
  <si>
    <t>type II toxin-antitoxin system HicA family toxin</t>
  </si>
  <si>
    <t>WP_005866745.1</t>
  </si>
  <si>
    <t>FQN59_RS05635</t>
  </si>
  <si>
    <t>type II toxin-antitoxin system HicB family antitoxin</t>
  </si>
  <si>
    <t>WP_005866743.1</t>
  </si>
  <si>
    <t>FQN59_RS05640</t>
  </si>
  <si>
    <t>transcriptional regulator</t>
  </si>
  <si>
    <t>WP_008773899.1</t>
  </si>
  <si>
    <t>FQN59_RS05645</t>
  </si>
  <si>
    <t>WP_005861164.1</t>
  </si>
  <si>
    <t>FQN59_RS05650</t>
  </si>
  <si>
    <t>FQN59_RS22805</t>
  </si>
  <si>
    <t>FQN59_RS05660</t>
  </si>
  <si>
    <t>WP_170105881.1</t>
  </si>
  <si>
    <t>FQN59_RS05665</t>
  </si>
  <si>
    <t>arylsulfatase</t>
  </si>
  <si>
    <t>WP_211738484.1</t>
  </si>
  <si>
    <t>FQN59_RS05670</t>
  </si>
  <si>
    <t>LysE family translocator</t>
  </si>
  <si>
    <t>WP_005861153.1</t>
  </si>
  <si>
    <t>FQN59_RS05675</t>
  </si>
  <si>
    <t>WP_211738486.1</t>
  </si>
  <si>
    <t>FQN59_RS05680</t>
  </si>
  <si>
    <t>DUF6249 domain-containing protein</t>
  </si>
  <si>
    <t>WP_022192544.1</t>
  </si>
  <si>
    <t>FQN59_RS05685</t>
  </si>
  <si>
    <t>WP_041525678.1</t>
  </si>
  <si>
    <t>FQN59_RS05690</t>
  </si>
  <si>
    <t>WP_005861145.1</t>
  </si>
  <si>
    <t>FQN59_RS05695</t>
  </si>
  <si>
    <t>FQN59_RS22810</t>
  </si>
  <si>
    <t>tetratricopeptide repeat-containing sensor histidine kinase</t>
  </si>
  <si>
    <t>WP_211738489.1</t>
  </si>
  <si>
    <t>FQN59_RS05705</t>
  </si>
  <si>
    <t>WP_227742499.1</t>
  </si>
  <si>
    <t>FQN59_RS05710</t>
  </si>
  <si>
    <t>30S ribosomal protein S1</t>
  </si>
  <si>
    <t>rpsA</t>
  </si>
  <si>
    <t>WP_005861137.1</t>
  </si>
  <si>
    <t>FQN59_RS05715</t>
  </si>
  <si>
    <t>WP_005861135.1</t>
  </si>
  <si>
    <t>FQN59_RS05720</t>
  </si>
  <si>
    <t>HAD family hydrolase</t>
  </si>
  <si>
    <t>WP_036631611.1</t>
  </si>
  <si>
    <t>FQN59_RS05725</t>
  </si>
  <si>
    <t>WP_005861131.1</t>
  </si>
  <si>
    <t>FQN59_RS05730</t>
  </si>
  <si>
    <t>WP_195472701.1</t>
  </si>
  <si>
    <t>FQN59_RS05735</t>
  </si>
  <si>
    <t>WP_121962105.1</t>
  </si>
  <si>
    <t>FQN59_RS05740</t>
  </si>
  <si>
    <t>LamG-like jellyroll fold domain-containing protein</t>
  </si>
  <si>
    <t>WP_211738491.1</t>
  </si>
  <si>
    <t>FQN59_RS05745</t>
  </si>
  <si>
    <t>WP_121961257.1</t>
  </si>
  <si>
    <t>FQN59_RS05750</t>
  </si>
  <si>
    <t>WP_005861117.1</t>
  </si>
  <si>
    <t>FQN59_RS05755</t>
  </si>
  <si>
    <t>histidine phosphatase family protein</t>
  </si>
  <si>
    <t>WP_008773916.1</t>
  </si>
  <si>
    <t>FQN59_RS05760</t>
  </si>
  <si>
    <t>WP_034527662.1</t>
  </si>
  <si>
    <t>FQN59_RS05765</t>
  </si>
  <si>
    <t>3-deoxy-manno-octulosonate cytidylyltransferase family protein</t>
  </si>
  <si>
    <t>WP_129984394.1</t>
  </si>
  <si>
    <t>FQN59_RS05770</t>
  </si>
  <si>
    <t>sialidase family protein</t>
  </si>
  <si>
    <t>WP_008780660.1</t>
  </si>
  <si>
    <t>FQN59_RS05775</t>
  </si>
  <si>
    <t>WP_211738493.1</t>
  </si>
  <si>
    <t>FQN59_RS05780</t>
  </si>
  <si>
    <t>Rpn family recombination-promoting nuclease/putative transposase</t>
  </si>
  <si>
    <t>WP_211738495.1</t>
  </si>
  <si>
    <t>FQN59_RS05785</t>
  </si>
  <si>
    <t>5'/3'-nucleotidase SurE</t>
  </si>
  <si>
    <t>surE</t>
  </si>
  <si>
    <t>WP_011966925.1</t>
  </si>
  <si>
    <t>FQN59_RS05790</t>
  </si>
  <si>
    <t>lipid-A-disaccharide synthase</t>
  </si>
  <si>
    <t>lpxB</t>
  </si>
  <si>
    <t>WP_048927917.1</t>
  </si>
  <si>
    <t>FQN59_RS05795</t>
  </si>
  <si>
    <t>NigD-like protein</t>
  </si>
  <si>
    <t>WP_048927916.1</t>
  </si>
  <si>
    <t>FQN59_RS05800</t>
  </si>
  <si>
    <t>WP_022192943.1</t>
  </si>
  <si>
    <t>FQN59_RS05805</t>
  </si>
  <si>
    <t>WP_009018380.1</t>
  </si>
  <si>
    <t>FQN59_RS05810</t>
  </si>
  <si>
    <t>WP_211738497.1</t>
  </si>
  <si>
    <t>FQN59_RS05815</t>
  </si>
  <si>
    <t>WP_226769929.1</t>
  </si>
  <si>
    <t>FQN59_RS05820</t>
  </si>
  <si>
    <t>WP_008773926.1</t>
  </si>
  <si>
    <t>FQN59_RS05825</t>
  </si>
  <si>
    <t>WP_005861087.1</t>
  </si>
  <si>
    <t>FQN59_RS05830</t>
  </si>
  <si>
    <t>WP_005861085.1</t>
  </si>
  <si>
    <t>FQN59_RS05835</t>
  </si>
  <si>
    <t>DoxX family membrane protein</t>
  </si>
  <si>
    <t>WP_005861083.1</t>
  </si>
  <si>
    <t>FQN59_RS05840</t>
  </si>
  <si>
    <t>WP_005861081.1</t>
  </si>
  <si>
    <t>FQN59_RS05845</t>
  </si>
  <si>
    <t>WP_036615329.1</t>
  </si>
  <si>
    <t>FQN59_RS05850</t>
  </si>
  <si>
    <t>DUF4492 domain-containing protein</t>
  </si>
  <si>
    <t>WP_005861078.1</t>
  </si>
  <si>
    <t>FQN59_RS05855</t>
  </si>
  <si>
    <t>cytochrome ubiquinol oxidase subunit I</t>
  </si>
  <si>
    <t>WP_057326036.1</t>
  </si>
  <si>
    <t>FQN59_RS05860</t>
  </si>
  <si>
    <t>cytochrome d ubiquinol oxidase subunit II</t>
  </si>
  <si>
    <t>WP_005861074.1</t>
  </si>
  <si>
    <t>FQN59_RS05865</t>
  </si>
  <si>
    <t>M28 family peptidase</t>
  </si>
  <si>
    <t>WP_005866675.1</t>
  </si>
  <si>
    <t>FQN59_RS05870</t>
  </si>
  <si>
    <t>ribonuclease Z</t>
  </si>
  <si>
    <t>WP_005866674.1</t>
  </si>
  <si>
    <t>FQN59_RS05875</t>
  </si>
  <si>
    <t>WP_005861068.1</t>
  </si>
  <si>
    <t>FQN59_RS05880</t>
  </si>
  <si>
    <t>WP_005866671.1</t>
  </si>
  <si>
    <t>FQN59_RS05885</t>
  </si>
  <si>
    <t>WP_211738499.1</t>
  </si>
  <si>
    <t>FQN59_RS05890</t>
  </si>
  <si>
    <t>DUF3109 family protein</t>
  </si>
  <si>
    <t>WP_005861059.1</t>
  </si>
  <si>
    <t>FQN59_RS05895</t>
  </si>
  <si>
    <t>2,3-bisphosphoglycerate-independent phosphoglycerate mutase</t>
  </si>
  <si>
    <t>gpmI</t>
  </si>
  <si>
    <t>WP_008780648.1</t>
  </si>
  <si>
    <t>FQN59_RS05900</t>
  </si>
  <si>
    <t>M48 family metallopeptidase</t>
  </si>
  <si>
    <t>WP_211738501.1</t>
  </si>
  <si>
    <t>FQN59_RS05905</t>
  </si>
  <si>
    <t>WP_005866658.1</t>
  </si>
  <si>
    <t>FQN59_RS05910</t>
  </si>
  <si>
    <t>cell surface protein SprA</t>
  </si>
  <si>
    <t>sprA</t>
  </si>
  <si>
    <t>WP_005866656.1</t>
  </si>
  <si>
    <t>FQN59_RS05915</t>
  </si>
  <si>
    <t>Holliday junction branch migration protein RuvA</t>
  </si>
  <si>
    <t>ruvA</t>
  </si>
  <si>
    <t>WP_211738503.1</t>
  </si>
  <si>
    <t>FQN59_RS05920</t>
  </si>
  <si>
    <t>SMP-30/gluconolactonase/LRE family protein</t>
  </si>
  <si>
    <t>WP_170105893.1</t>
  </si>
  <si>
    <t>FQN59_RS05925</t>
  </si>
  <si>
    <t>WP_005861045.1</t>
  </si>
  <si>
    <t>FQN59_RS05930</t>
  </si>
  <si>
    <t>Trk system potassium transporter TrkA</t>
  </si>
  <si>
    <t>trkA</t>
  </si>
  <si>
    <t>WP_005861043.1</t>
  </si>
  <si>
    <t>FQN59_RS05935</t>
  </si>
  <si>
    <t>1-deoxy-D-xylulose-5-phosphate synthase</t>
  </si>
  <si>
    <t>dxs</t>
  </si>
  <si>
    <t>WP_008773943.1</t>
  </si>
  <si>
    <t>FQN59_RS05940</t>
  </si>
  <si>
    <t>DUF3244 domain-containing protein</t>
  </si>
  <si>
    <t>WP_048927899.1</t>
  </si>
  <si>
    <t>FQN59_RS05945</t>
  </si>
  <si>
    <t>WP_196009704.1</t>
  </si>
  <si>
    <t>FQN59_RS05950</t>
  </si>
  <si>
    <t>inositol monophosphatase family protein</t>
  </si>
  <si>
    <t>WP_121773568.1</t>
  </si>
  <si>
    <t>FQN59_RS05955</t>
  </si>
  <si>
    <t>WP_008780639.1</t>
  </si>
  <si>
    <t>FQN59_RS05960</t>
  </si>
  <si>
    <t>translocation/assembly module TamB domain-containing protein</t>
  </si>
  <si>
    <t>WP_211738505.1</t>
  </si>
  <si>
    <t>FQN59_RS05965</t>
  </si>
  <si>
    <t>BamA/TamA family outer membrane protein</t>
  </si>
  <si>
    <t>WP_005866633.1</t>
  </si>
  <si>
    <t>FQN59_RS05970</t>
  </si>
  <si>
    <t>WP_044544947.1</t>
  </si>
  <si>
    <t>FQN59_RS05975</t>
  </si>
  <si>
    <t>arginase</t>
  </si>
  <si>
    <t>rocF</t>
  </si>
  <si>
    <t>WP_005861034.1</t>
  </si>
  <si>
    <t>FQN59_RS05980</t>
  </si>
  <si>
    <t>ornithine--oxo-acid transaminase</t>
  </si>
  <si>
    <t>rocD</t>
  </si>
  <si>
    <t>WP_044544513.1</t>
  </si>
  <si>
    <t>FQN59_RS05985</t>
  </si>
  <si>
    <t>WP_044544514.1</t>
  </si>
  <si>
    <t>FQN59_RS05990</t>
  </si>
  <si>
    <t>WP_211738507.1</t>
  </si>
  <si>
    <t>FQN59_RS05995</t>
  </si>
  <si>
    <t>WP_122368916.1</t>
  </si>
  <si>
    <t>FQN59_RS06000</t>
  </si>
  <si>
    <t>WP_147423677.1</t>
  </si>
  <si>
    <t>FQN59_RS06005</t>
  </si>
  <si>
    <t>MAC/perforin domain-containing protein</t>
  </si>
  <si>
    <t>WP_211738509.1</t>
  </si>
  <si>
    <t>FQN59_RS06010</t>
  </si>
  <si>
    <t>helix-turn-helix transcriptional regulator</t>
  </si>
  <si>
    <t>WP_211738511.1</t>
  </si>
  <si>
    <t>FQN59_RS06015</t>
  </si>
  <si>
    <t>WP_048927888.1</t>
  </si>
  <si>
    <t>FQN59_RS06020</t>
  </si>
  <si>
    <t>WP_005866611.1</t>
  </si>
  <si>
    <t>FQN59_RS06025</t>
  </si>
  <si>
    <t>D-alanine--D-alanine ligase</t>
  </si>
  <si>
    <t>WP_022191919.1</t>
  </si>
  <si>
    <t>FQN59_RS06030</t>
  </si>
  <si>
    <t>WP_008780635.1</t>
  </si>
  <si>
    <t>FQN59_RS06035</t>
  </si>
  <si>
    <t>PASTA domain-containing protein</t>
  </si>
  <si>
    <t>WP_122268569.1</t>
  </si>
  <si>
    <t>FQN59_RS06040</t>
  </si>
  <si>
    <t>50S ribosomal protein L34</t>
  </si>
  <si>
    <t>rpmH</t>
  </si>
  <si>
    <t>WP_005633099.1</t>
  </si>
  <si>
    <t>FQN59_RS06045</t>
  </si>
  <si>
    <t>WP_211738963.1</t>
  </si>
  <si>
    <t>FQN59_RS06050</t>
  </si>
  <si>
    <t>fimbrial protein</t>
  </si>
  <si>
    <t>WP_211738513.1</t>
  </si>
  <si>
    <t>FQN59_RS06055</t>
  </si>
  <si>
    <t>WP_211738516.1</t>
  </si>
  <si>
    <t>FQN59_RS06060</t>
  </si>
  <si>
    <t>WP_211738518.1</t>
  </si>
  <si>
    <t>FQN59_RS06065</t>
  </si>
  <si>
    <t>WP_121773613.1</t>
  </si>
  <si>
    <t>FQN59_RS06070</t>
  </si>
  <si>
    <t>OadG family protein</t>
  </si>
  <si>
    <t>WP_008773957.1</t>
  </si>
  <si>
    <t>FQN59_RS06075</t>
  </si>
  <si>
    <t>biotin/lipoyl-containing protein</t>
  </si>
  <si>
    <t>WP_005861011.1</t>
  </si>
  <si>
    <t>FQN59_RS06080</t>
  </si>
  <si>
    <t>sodium ion-translocating decarboxylase subunit beta</t>
  </si>
  <si>
    <t>WP_005866596.1</t>
  </si>
  <si>
    <t>FQN59_RS06085</t>
  </si>
  <si>
    <t>DUF349 domain-containing protein</t>
  </si>
  <si>
    <t>WP_008780630.1</t>
  </si>
  <si>
    <t>FQN59_RS06090</t>
  </si>
  <si>
    <t>WP_211738519.1</t>
  </si>
  <si>
    <t>FQN59_RS06095</t>
  </si>
  <si>
    <t>WP_005866590.1</t>
  </si>
  <si>
    <t>FQN59_RS06100</t>
  </si>
  <si>
    <t>WP_211738522.1</t>
  </si>
  <si>
    <t>FQN59_RS06105</t>
  </si>
  <si>
    <t>WP_005866589.1</t>
  </si>
  <si>
    <t>FQN59_RS06110</t>
  </si>
  <si>
    <t>WP_057319263.1</t>
  </si>
  <si>
    <t>FQN59_RS06115</t>
  </si>
  <si>
    <t>WP_211738523.1</t>
  </si>
  <si>
    <t>FQN59_RS06120</t>
  </si>
  <si>
    <t>serpin family protein</t>
  </si>
  <si>
    <t>WP_211738526.1</t>
  </si>
  <si>
    <t>FQN59_RS06125</t>
  </si>
  <si>
    <t>FQN59_RS22915</t>
  </si>
  <si>
    <t>WP_034532133.1</t>
  </si>
  <si>
    <t>FQN59_RS06130</t>
  </si>
  <si>
    <t>FQN59_RS06135</t>
  </si>
  <si>
    <t>WP_122268010.1</t>
  </si>
  <si>
    <t>FQN59_RS06140</t>
  </si>
  <si>
    <t>GTP cyclohydrolase I FolE</t>
  </si>
  <si>
    <t>folE</t>
  </si>
  <si>
    <t>WP_009018420.1</t>
  </si>
  <si>
    <t>FQN59_RS06145</t>
  </si>
  <si>
    <t>WP_005860984.1</t>
  </si>
  <si>
    <t>FQN59_RS06150</t>
  </si>
  <si>
    <t>triose-phosphate isomerase</t>
  </si>
  <si>
    <t>tpiA</t>
  </si>
  <si>
    <t>WP_005866575.1</t>
  </si>
  <si>
    <t>FQN59_RS06155</t>
  </si>
  <si>
    <t>BT_3928 family protein</t>
  </si>
  <si>
    <t>WP_211738527.1</t>
  </si>
  <si>
    <t>FQN59_RS06160</t>
  </si>
  <si>
    <t>DUF1599 domain-containing protein</t>
  </si>
  <si>
    <t>WP_146376309.1</t>
  </si>
  <si>
    <t>FQN59_RS06165</t>
  </si>
  <si>
    <t>WP_048927874.1</t>
  </si>
  <si>
    <t>FQN59_RS06170</t>
  </si>
  <si>
    <t>ATP-dependent DNA helicase RecG</t>
  </si>
  <si>
    <t>recG</t>
  </si>
  <si>
    <t>WP_008773973.1</t>
  </si>
  <si>
    <t>FQN59_RS06175</t>
  </si>
  <si>
    <t>2-C-methyl-D-erythritol 4-phosphate cytidylyltransferase</t>
  </si>
  <si>
    <t>WP_211738529.1</t>
  </si>
  <si>
    <t>FQN59_RS06180</t>
  </si>
  <si>
    <t>exodeoxyribonuclease VII small subunit</t>
  </si>
  <si>
    <t>xseB</t>
  </si>
  <si>
    <t>WP_005860969.1</t>
  </si>
  <si>
    <t>FQN59_RS06185</t>
  </si>
  <si>
    <t>exodeoxyribonuclease VII large subunit</t>
  </si>
  <si>
    <t>xseA</t>
  </si>
  <si>
    <t>WP_121960971.1</t>
  </si>
  <si>
    <t>FQN59_RS06190</t>
  </si>
  <si>
    <t>S8 family serine peptidase</t>
  </si>
  <si>
    <t>WP_008773976.1</t>
  </si>
  <si>
    <t>FQN59_RS06195</t>
  </si>
  <si>
    <t>WP_005860962.1</t>
  </si>
  <si>
    <t>FQN59_RS06200</t>
  </si>
  <si>
    <t>WP_005860960.1</t>
  </si>
  <si>
    <t>FQN59_RS06205</t>
  </si>
  <si>
    <t>WP_005866557.1</t>
  </si>
  <si>
    <t>FQN59_RS06210</t>
  </si>
  <si>
    <t>SIR2 family NAD-dependent protein deacylase</t>
  </si>
  <si>
    <t>WP_005866555.1</t>
  </si>
  <si>
    <t>FQN59_RS06215</t>
  </si>
  <si>
    <t>WP_211738531.1</t>
  </si>
  <si>
    <t>FQN59_RS06220</t>
  </si>
  <si>
    <t>DNA methyltransferase</t>
  </si>
  <si>
    <t>WP_005866545.1</t>
  </si>
  <si>
    <t>FQN59_RS06225</t>
  </si>
  <si>
    <t>WP_005860945.1</t>
  </si>
  <si>
    <t>FQN59_RS06230</t>
  </si>
  <si>
    <t>MvaI/BcnI restriction endonuclease family protein</t>
  </si>
  <si>
    <t>WP_005860943.1</t>
  </si>
  <si>
    <t>FQN59_RS06235</t>
  </si>
  <si>
    <t>WP_121962151.1</t>
  </si>
  <si>
    <t>FQN59_RS06240</t>
  </si>
  <si>
    <t>WP_036611664.1</t>
  </si>
  <si>
    <t>FQN59_RS06245</t>
  </si>
  <si>
    <t>Na+/H+ antiporter NhaC</t>
  </si>
  <si>
    <t>nhaC</t>
  </si>
  <si>
    <t>WP_036611667.1</t>
  </si>
  <si>
    <t>FQN59_RS06250</t>
  </si>
  <si>
    <t>dicarboxylate/amino acid:cation symporter</t>
  </si>
  <si>
    <t>WP_005866537.1</t>
  </si>
  <si>
    <t>FQN59_RS06255</t>
  </si>
  <si>
    <t>WP_009276400.1</t>
  </si>
  <si>
    <t>FQN59_RS06260</t>
  </si>
  <si>
    <t>S41 family peptidase</t>
  </si>
  <si>
    <t>WP_211738533.1</t>
  </si>
  <si>
    <t>FQN59_RS06265</t>
  </si>
  <si>
    <t>LysO family transporter</t>
  </si>
  <si>
    <t>WP_172718840.1</t>
  </si>
  <si>
    <t>FQN59_RS06270</t>
  </si>
  <si>
    <t>lysine exporter LysO family protein</t>
  </si>
  <si>
    <t>WP_048927869.1</t>
  </si>
  <si>
    <t>FQN59_RS06275</t>
  </si>
  <si>
    <t>WP_211738535.1</t>
  </si>
  <si>
    <t>FQN59_RS06280</t>
  </si>
  <si>
    <t>WP_005860923.1</t>
  </si>
  <si>
    <t>FQN59_RS06285</t>
  </si>
  <si>
    <t>histidine kinase</t>
  </si>
  <si>
    <t>WP_211738537.1</t>
  </si>
  <si>
    <t>FQN59_RS06290</t>
  </si>
  <si>
    <t>WP_211738539.1</t>
  </si>
  <si>
    <t>FQN59_RS06295</t>
  </si>
  <si>
    <t>WP_005866516.1</t>
  </si>
  <si>
    <t>FQN59_RS06300</t>
  </si>
  <si>
    <t>WP_008773990.1</t>
  </si>
  <si>
    <t>FQN59_RS06305</t>
  </si>
  <si>
    <t>WP_044546139.1</t>
  </si>
  <si>
    <t>FQN59_RS06310</t>
  </si>
  <si>
    <t>WP_044546140.1</t>
  </si>
  <si>
    <t>FQN59_RS06315</t>
  </si>
  <si>
    <t>WP_211738541.1</t>
  </si>
  <si>
    <t>FQN59_RS06320</t>
  </si>
  <si>
    <t>YbjQ family protein</t>
  </si>
  <si>
    <t>WP_005860908.1</t>
  </si>
  <si>
    <t>FQN59_RS06325</t>
  </si>
  <si>
    <t>DinB family protein</t>
  </si>
  <si>
    <t>WP_122144486.1</t>
  </si>
  <si>
    <t>FQN59_RS06330</t>
  </si>
  <si>
    <t>FQN59_RS06335</t>
  </si>
  <si>
    <t>FQN59_RS06340</t>
  </si>
  <si>
    <t>FQN59_RS06345</t>
  </si>
  <si>
    <t>FQN59_RS06350</t>
  </si>
  <si>
    <t>FQN59_RS06355</t>
  </si>
  <si>
    <t>alpha-L-fucosidase</t>
  </si>
  <si>
    <t>WP_008781091.1</t>
  </si>
  <si>
    <t>FQN59_RS06360</t>
  </si>
  <si>
    <t>WP_009018669.1</t>
  </si>
  <si>
    <t>FQN59_RS06365</t>
  </si>
  <si>
    <t>WP_008781089.1</t>
  </si>
  <si>
    <t>FQN59_RS06370</t>
  </si>
  <si>
    <t>carboxylesterase/lipase family protein</t>
  </si>
  <si>
    <t>WP_122383192.1</t>
  </si>
  <si>
    <t>FQN59_RS06375</t>
  </si>
  <si>
    <t>WP_211738544.1</t>
  </si>
  <si>
    <t>FQN59_RS06380</t>
  </si>
  <si>
    <t>WP_211738546.1</t>
  </si>
  <si>
    <t>FQN59_RS06385</t>
  </si>
  <si>
    <t>WP_048928747.1</t>
  </si>
  <si>
    <t>FQN59_RS06390</t>
  </si>
  <si>
    <t>WP_005860843.1</t>
  </si>
  <si>
    <t>FQN59_RS06395</t>
  </si>
  <si>
    <t>WP_048928746.1</t>
  </si>
  <si>
    <t>FQN59_RS06400</t>
  </si>
  <si>
    <t>hybrid sensor histidine kinase/response regulator transcription factor</t>
  </si>
  <si>
    <t>WP_211738965.1</t>
  </si>
  <si>
    <t>FQN59_RS06405</t>
  </si>
  <si>
    <t>WP_005860837.1</t>
  </si>
  <si>
    <t>FQN59_RS06410</t>
  </si>
  <si>
    <t>DUF6051 family protein</t>
  </si>
  <si>
    <t>WP_022192278.1</t>
  </si>
  <si>
    <t>FQN59_RS06415</t>
  </si>
  <si>
    <t>FQN59_RS06420</t>
  </si>
  <si>
    <t>peptide chain release factor 2</t>
  </si>
  <si>
    <t>prfB</t>
  </si>
  <si>
    <t>WP_121963098.1</t>
  </si>
  <si>
    <t>FQN59_RS06425</t>
  </si>
  <si>
    <t>WP_008781083.1</t>
  </si>
  <si>
    <t>FQN59_RS06430</t>
  </si>
  <si>
    <t>PadR family transcriptional regulator</t>
  </si>
  <si>
    <t>WP_005860828.1</t>
  </si>
  <si>
    <t>FQN59_RS06435</t>
  </si>
  <si>
    <t>PspC domain-containing protein</t>
  </si>
  <si>
    <t>WP_044546543.1</t>
  </si>
  <si>
    <t>FQN59_RS06440</t>
  </si>
  <si>
    <t>HIT family protein</t>
  </si>
  <si>
    <t>WP_005860824.1</t>
  </si>
  <si>
    <t>FQN59_RS06445</t>
  </si>
  <si>
    <t>transcription elongation factor GreA</t>
  </si>
  <si>
    <t>greA</t>
  </si>
  <si>
    <t>WP_005860822.1</t>
  </si>
  <si>
    <t>FQN59_RS06450</t>
  </si>
  <si>
    <t>TlpA disulfide reductase family protein</t>
  </si>
  <si>
    <t>WP_044546627.1</t>
  </si>
  <si>
    <t>FQN59_RS06455</t>
  </si>
  <si>
    <t>polyribonucleotide nucleotidyltransferase</t>
  </si>
  <si>
    <t>pnp</t>
  </si>
  <si>
    <t>WP_122383206.1</t>
  </si>
  <si>
    <t>FQN59_RS06460</t>
  </si>
  <si>
    <t>FQN59_RS06465</t>
  </si>
  <si>
    <t>WP_211738547.1</t>
  </si>
  <si>
    <t>FQN59_RS06470</t>
  </si>
  <si>
    <t>WP_057326721.1</t>
  </si>
  <si>
    <t>FQN59_RS06475</t>
  </si>
  <si>
    <t>WP_057326722.1</t>
  </si>
  <si>
    <t>FQN59_RS06480</t>
  </si>
  <si>
    <t>WP_211738549.1</t>
  </si>
  <si>
    <t>FQN59_RS06485</t>
  </si>
  <si>
    <t>WP_211738551.1</t>
  </si>
  <si>
    <t>FQN59_RS06490</t>
  </si>
  <si>
    <t>WP_172514241.1</t>
  </si>
  <si>
    <t>FQN59_RS06495</t>
  </si>
  <si>
    <t>fumarate hydratase</t>
  </si>
  <si>
    <t>WP_211738553.1</t>
  </si>
  <si>
    <t>FQN59_RS06500</t>
  </si>
  <si>
    <t>trypsin-like peptidase domain-containing protein</t>
  </si>
  <si>
    <t>WP_211738555.1</t>
  </si>
  <si>
    <t>FQN59_RS06505</t>
  </si>
  <si>
    <t>WP_087345405.1</t>
  </si>
  <si>
    <t>FQN59_RS06510</t>
  </si>
  <si>
    <t>WP_211738557.1</t>
  </si>
  <si>
    <t>FQN59_RS06515</t>
  </si>
  <si>
    <t>translational GTPase TypA</t>
  </si>
  <si>
    <t>typA</t>
  </si>
  <si>
    <t>WP_005864133.1</t>
  </si>
  <si>
    <t>FQN59_RS06520</t>
  </si>
  <si>
    <t>30S ribosomal protein S15</t>
  </si>
  <si>
    <t>rpsO</t>
  </si>
  <si>
    <t>WP_005864132.1</t>
  </si>
  <si>
    <t>FQN59_RS06525</t>
  </si>
  <si>
    <t>WP_036613898.1</t>
  </si>
  <si>
    <t>FQN59_RS06530</t>
  </si>
  <si>
    <t>WP_005864131.1</t>
  </si>
  <si>
    <t>FQN59_RS06535</t>
  </si>
  <si>
    <t>WP_009018689.1</t>
  </si>
  <si>
    <t>FQN59_RS06540</t>
  </si>
  <si>
    <t>SDR family oxidoreductase</t>
  </si>
  <si>
    <t>WP_211738558.1</t>
  </si>
  <si>
    <t>FQN59_RS06545</t>
  </si>
  <si>
    <t>adenosylhomocysteinase</t>
  </si>
  <si>
    <t>ahcY</t>
  </si>
  <si>
    <t>WP_011966979.1</t>
  </si>
  <si>
    <t>FQN59_RS06550</t>
  </si>
  <si>
    <t>WP_211738559.1</t>
  </si>
  <si>
    <t>FQN59_RS06555</t>
  </si>
  <si>
    <t>YfhO family protein</t>
  </si>
  <si>
    <t>WP_211738560.1</t>
  </si>
  <si>
    <t>FQN59_RS06560</t>
  </si>
  <si>
    <t>WP_211738967.1</t>
  </si>
  <si>
    <t>FQN59_RS06565</t>
  </si>
  <si>
    <t>RNA-binding domain-containing protein</t>
  </si>
  <si>
    <t>WP_211738561.1</t>
  </si>
  <si>
    <t>FQN59_RS06570</t>
  </si>
  <si>
    <t>WP_211738562.1</t>
  </si>
  <si>
    <t>FQN59_RS06575</t>
  </si>
  <si>
    <t>glycosyl transferase</t>
  </si>
  <si>
    <t>WP_135958945.1</t>
  </si>
  <si>
    <t>FQN59_RS06580</t>
  </si>
  <si>
    <t>WP_135958944.1</t>
  </si>
  <si>
    <t>FQN59_RS06585</t>
  </si>
  <si>
    <t>WP_211738563.1</t>
  </si>
  <si>
    <t>FQN59_RS06590</t>
  </si>
  <si>
    <t>WP_195603853.1</t>
  </si>
  <si>
    <t>FQN59_RS06595</t>
  </si>
  <si>
    <t>WP_008774354.1</t>
  </si>
  <si>
    <t>FQN59_RS06600</t>
  </si>
  <si>
    <t>WP_008774353.1</t>
  </si>
  <si>
    <t>FQN59_RS06605</t>
  </si>
  <si>
    <t>WP_008774352.1</t>
  </si>
  <si>
    <t>FQN59_RS06610</t>
  </si>
  <si>
    <t>WP_036618974.1</t>
  </si>
  <si>
    <t>FQN59_RS06615</t>
  </si>
  <si>
    <t>FQN59_RS22490</t>
  </si>
  <si>
    <t>WP_333559018.1</t>
  </si>
  <si>
    <t>FQN59_RS22495</t>
  </si>
  <si>
    <t>WP_211738566.1</t>
  </si>
  <si>
    <t>FQN59_RS06625</t>
  </si>
  <si>
    <t>DegT/DnrJ/EryC1/StrS family aminotransferase</t>
  </si>
  <si>
    <t>WP_211738969.1</t>
  </si>
  <si>
    <t>FQN59_RS06630</t>
  </si>
  <si>
    <t>methionine--tRNA ligase</t>
  </si>
  <si>
    <t>metG</t>
  </si>
  <si>
    <t>WP_211738567.1</t>
  </si>
  <si>
    <t>FQN59_RS06635</t>
  </si>
  <si>
    <t>WP_413641263.1</t>
  </si>
  <si>
    <t>FQN59_RS22920</t>
  </si>
  <si>
    <t>DUF4493 domain-containing protein</t>
  </si>
  <si>
    <t>WP_211738568.1</t>
  </si>
  <si>
    <t>FQN59_RS06640</t>
  </si>
  <si>
    <t>WP_211738569.1</t>
  </si>
  <si>
    <t>FQN59_RS06645</t>
  </si>
  <si>
    <t>WP_211738570.1</t>
  </si>
  <si>
    <t>FQN59_RS06650</t>
  </si>
  <si>
    <t>WP_005860749.1</t>
  </si>
  <si>
    <t>FQN59_RS06655</t>
  </si>
  <si>
    <t>WP_211738571.1</t>
  </si>
  <si>
    <t>FQN59_RS06660</t>
  </si>
  <si>
    <t>WP_211738572.1</t>
  </si>
  <si>
    <t>FQN59_RS06665</t>
  </si>
  <si>
    <t>WP_211738573.1</t>
  </si>
  <si>
    <t>FQN59_RS06670</t>
  </si>
  <si>
    <t>WP_211738574.1</t>
  </si>
  <si>
    <t>FQN59_RS06675</t>
  </si>
  <si>
    <t>WP_211738575.1</t>
  </si>
  <si>
    <t>FQN59_RS06680</t>
  </si>
  <si>
    <t>YifB family Mg chelatase-like AAA ATPase</t>
  </si>
  <si>
    <t>WP_121961149.1</t>
  </si>
  <si>
    <t>FQN59_RS06685</t>
  </si>
  <si>
    <t>WP_036633470.1</t>
  </si>
  <si>
    <t>FQN59_RS06690</t>
  </si>
  <si>
    <t>phosphoenolpyruvate carboxykinase (ATP)</t>
  </si>
  <si>
    <t>pckA</t>
  </si>
  <si>
    <t>WP_005860732.1</t>
  </si>
  <si>
    <t>FQN59_RS06695</t>
  </si>
  <si>
    <t>2-oxoacid:ferredoxin oxidoreductase subunit beta</t>
  </si>
  <si>
    <t>WP_005864059.1</t>
  </si>
  <si>
    <t>FQN59_RS06700</t>
  </si>
  <si>
    <t>2-oxoacid:acceptor oxidoreductase subunit alpha</t>
  </si>
  <si>
    <t>WP_211738576.1</t>
  </si>
  <si>
    <t>FQN59_RS06705</t>
  </si>
  <si>
    <t>alanine dehydrogenase</t>
  </si>
  <si>
    <t>WP_005860726.1</t>
  </si>
  <si>
    <t>FQN59_RS06710</t>
  </si>
  <si>
    <t>shikimate kinase</t>
  </si>
  <si>
    <t>WP_005864057.1</t>
  </si>
  <si>
    <t>FQN59_RS06715</t>
  </si>
  <si>
    <t>WP_211738577.1</t>
  </si>
  <si>
    <t>FQN59_RS06720</t>
  </si>
  <si>
    <t>glycosyltransferase family 87 protein</t>
  </si>
  <si>
    <t>WP_008778798.1</t>
  </si>
  <si>
    <t>FQN59_RS06725</t>
  </si>
  <si>
    <t>WP_005864051.1</t>
  </si>
  <si>
    <t>FQN59_RS06730</t>
  </si>
  <si>
    <t>polysaccharide deacetylase family protein</t>
  </si>
  <si>
    <t>WP_005864049.1</t>
  </si>
  <si>
    <t>FQN59_RS06735</t>
  </si>
  <si>
    <t>viroplasmin family protein</t>
  </si>
  <si>
    <t>WP_005864047.1</t>
  </si>
  <si>
    <t>FQN59_RS06740</t>
  </si>
  <si>
    <t>WP_005864045.1</t>
  </si>
  <si>
    <t>FQN59_RS06745</t>
  </si>
  <si>
    <t>WP_005864043.1</t>
  </si>
  <si>
    <t>FQN59_RS06750</t>
  </si>
  <si>
    <t>WP_005864041.1</t>
  </si>
  <si>
    <t>FQN59_RS06755</t>
  </si>
  <si>
    <t>lipopolysaccharide kinase InaA family protein</t>
  </si>
  <si>
    <t>WP_211738578.1</t>
  </si>
  <si>
    <t>FQN59_RS06760</t>
  </si>
  <si>
    <t>glycosyltransferase family 9 protein</t>
  </si>
  <si>
    <t>WP_122144714.1</t>
  </si>
  <si>
    <t>FQN59_RS06765</t>
  </si>
  <si>
    <t>DUF4254 domain-containing protein</t>
  </si>
  <si>
    <t>WP_087345485.1</t>
  </si>
  <si>
    <t>FQN59_RS06770</t>
  </si>
  <si>
    <t>WP_005860708.1</t>
  </si>
  <si>
    <t>FQN59_RS06775</t>
  </si>
  <si>
    <t>WP_122145725.1</t>
  </si>
  <si>
    <t>FQN59_RS06780</t>
  </si>
  <si>
    <t>GLPGLI family protein</t>
  </si>
  <si>
    <t>WP_211738579.1</t>
  </si>
  <si>
    <t>FQN59_RS06785</t>
  </si>
  <si>
    <t>WP_211738580.1</t>
  </si>
  <si>
    <t>FQN59_RS06790</t>
  </si>
  <si>
    <t>WP_158532925.1</t>
  </si>
  <si>
    <t>FQN59_RS06795</t>
  </si>
  <si>
    <t>4-phosphoerythronate dehydrogenase PdxB</t>
  </si>
  <si>
    <t>pdxB</t>
  </si>
  <si>
    <t>WP_211738581.1</t>
  </si>
  <si>
    <t>FQN59_RS06800</t>
  </si>
  <si>
    <t>phosphoribosylglycinamide formyltransferase</t>
  </si>
  <si>
    <t>WP_005860699.1</t>
  </si>
  <si>
    <t>FQN59_RS06805</t>
  </si>
  <si>
    <t>acyl carrier protein</t>
  </si>
  <si>
    <t>WP_005639879.1</t>
  </si>
  <si>
    <t>FQN59_RS06810</t>
  </si>
  <si>
    <t>beta-ketoacyl-ACP synthase II</t>
  </si>
  <si>
    <t>fabF</t>
  </si>
  <si>
    <t>WP_005860697.1</t>
  </si>
  <si>
    <t>FQN59_RS06815</t>
  </si>
  <si>
    <t>ribonuclease III</t>
  </si>
  <si>
    <t>rnc</t>
  </si>
  <si>
    <t>WP_005864026.1</t>
  </si>
  <si>
    <t>FQN59_RS06820</t>
  </si>
  <si>
    <t>FQN59_RS06825</t>
  </si>
  <si>
    <t>ATP-dependent 6-phosphofructokinase</t>
  </si>
  <si>
    <t>WP_005864022.1</t>
  </si>
  <si>
    <t>FQN59_RS06830</t>
  </si>
  <si>
    <t>GH3 auxin-responsive promoter family protein</t>
  </si>
  <si>
    <t>WP_211738582.1</t>
  </si>
  <si>
    <t>FQN59_RS06835</t>
  </si>
  <si>
    <t>WP_211738583.1</t>
  </si>
  <si>
    <t>FQN59_RS06840</t>
  </si>
  <si>
    <t>right-handed parallel beta-helix repeat-containing protein</t>
  </si>
  <si>
    <t>WP_211738584.1</t>
  </si>
  <si>
    <t>FQN59_RS06845</t>
  </si>
  <si>
    <t>FQN59_RS06850</t>
  </si>
  <si>
    <t>FQN59_RS06855</t>
  </si>
  <si>
    <t>WP_211738585.1</t>
  </si>
  <si>
    <t>FQN59_RS06860</t>
  </si>
  <si>
    <t>WP_008778028.1</t>
  </si>
  <si>
    <t>FQN59_RS06865</t>
  </si>
  <si>
    <t>WP_005864009.1</t>
  </si>
  <si>
    <t>FQN59_RS06870</t>
  </si>
  <si>
    <t>cysteine--tRNA ligase</t>
  </si>
  <si>
    <t>cysS</t>
  </si>
  <si>
    <t>WP_005864007.1</t>
  </si>
  <si>
    <t>FQN59_RS06875</t>
  </si>
  <si>
    <t>PaaI family thioesterase</t>
  </si>
  <si>
    <t>WP_005864005.1</t>
  </si>
  <si>
    <t>FQN59_RS06880</t>
  </si>
  <si>
    <t>DUF3108 domain-containing protein</t>
  </si>
  <si>
    <t>WP_005860674.1</t>
  </si>
  <si>
    <t>FQN59_RS06885</t>
  </si>
  <si>
    <t>WP_005864003.1</t>
  </si>
  <si>
    <t>FQN59_RS06890</t>
  </si>
  <si>
    <t>WP_005864002.1</t>
  </si>
  <si>
    <t>FQN59_RS06895</t>
  </si>
  <si>
    <t>WP_005864000.1</t>
  </si>
  <si>
    <t>FQN59_RS06900</t>
  </si>
  <si>
    <t>DUF2851 family protein</t>
  </si>
  <si>
    <t>WP_005863998.1</t>
  </si>
  <si>
    <t>FQN59_RS06905</t>
  </si>
  <si>
    <t>WP_009126113.1</t>
  </si>
  <si>
    <t>FQN59_RS06910</t>
  </si>
  <si>
    <t>WP_004291535.1</t>
  </si>
  <si>
    <t>FQN59_RS06915</t>
  </si>
  <si>
    <t>WP_004291534.1</t>
  </si>
  <si>
    <t>FQN59_RS06920</t>
  </si>
  <si>
    <t>WP_004291533.1</t>
  </si>
  <si>
    <t>FQN59_RS06925</t>
  </si>
  <si>
    <t>WP_004291532.1</t>
  </si>
  <si>
    <t>FQN59_RS06930</t>
  </si>
  <si>
    <t>WP_004291531.1</t>
  </si>
  <si>
    <t>FQN59_RS06935</t>
  </si>
  <si>
    <t>WP_004304291.1</t>
  </si>
  <si>
    <t>FQN59_RS06940</t>
  </si>
  <si>
    <t>WP_004291529.1</t>
  </si>
  <si>
    <t>FQN59_RS06945</t>
  </si>
  <si>
    <t>WP_004304290.1</t>
  </si>
  <si>
    <t>FQN59_RS06950</t>
  </si>
  <si>
    <t>WP_004291527.1</t>
  </si>
  <si>
    <t>FQN59_RS22820</t>
  </si>
  <si>
    <t>WP_004291526.1</t>
  </si>
  <si>
    <t>FQN59_RS06965</t>
  </si>
  <si>
    <t>WP_004291525.1</t>
  </si>
  <si>
    <t>FQN59_RS06970</t>
  </si>
  <si>
    <t>WP_004291524.1</t>
  </si>
  <si>
    <t>FQN59_RS06975</t>
  </si>
  <si>
    <t>WP_004291523.1</t>
  </si>
  <si>
    <t>FQN59_RS06980</t>
  </si>
  <si>
    <t>WP_004291522.1</t>
  </si>
  <si>
    <t>FQN59_RS06985</t>
  </si>
  <si>
    <t>WP_004291521.1</t>
  </si>
  <si>
    <t>FQN59_RS06990</t>
  </si>
  <si>
    <t>WP_018697145.1</t>
  </si>
  <si>
    <t>FQN59_RS06995</t>
  </si>
  <si>
    <t>WP_004291519.1</t>
  </si>
  <si>
    <t>FQN59_RS07000</t>
  </si>
  <si>
    <t>FQN59_RS07005</t>
  </si>
  <si>
    <t>WP_004304283.1</t>
  </si>
  <si>
    <t>FQN59_RS07010</t>
  </si>
  <si>
    <t>WP_004291516.1</t>
  </si>
  <si>
    <t>FQN59_RS07015</t>
  </si>
  <si>
    <t>WP_004291515.1</t>
  </si>
  <si>
    <t>FQN59_RS07020</t>
  </si>
  <si>
    <t>FQN59_RS07025</t>
  </si>
  <si>
    <t>WP_002560983.1</t>
  </si>
  <si>
    <t>FQN59_RS07030</t>
  </si>
  <si>
    <t>WP_004304280.1</t>
  </si>
  <si>
    <t>FQN59_RS07035</t>
  </si>
  <si>
    <t>WP_004291505.1</t>
  </si>
  <si>
    <t>FQN59_RS07040</t>
  </si>
  <si>
    <t>WP_004291503.1</t>
  </si>
  <si>
    <t>FQN59_RS07045</t>
  </si>
  <si>
    <t>WP_005783105.1</t>
  </si>
  <si>
    <t>FQN59_RS07050</t>
  </si>
  <si>
    <t>WP_196029218.1</t>
  </si>
  <si>
    <t>FQN59_RS22500</t>
  </si>
  <si>
    <t>WP_004291488.1</t>
  </si>
  <si>
    <t>FQN59_RS07055</t>
  </si>
  <si>
    <t>WP_004291483.1</t>
  </si>
  <si>
    <t>FQN59_RS07060</t>
  </si>
  <si>
    <t>WP_004291482.1</t>
  </si>
  <si>
    <t>FQN59_RS07065</t>
  </si>
  <si>
    <t>P-loop NTPase fold protein</t>
  </si>
  <si>
    <t>WP_004291481.1</t>
  </si>
  <si>
    <t>FQN59_RS07070</t>
  </si>
  <si>
    <t>WP_004291480.1</t>
  </si>
  <si>
    <t>FQN59_RS07075</t>
  </si>
  <si>
    <t>WP_004304269.1</t>
  </si>
  <si>
    <t>FQN59_RS07080</t>
  </si>
  <si>
    <t>WP_004291474.1</t>
  </si>
  <si>
    <t>FQN59_RS07085</t>
  </si>
  <si>
    <t>WP_004291471.1</t>
  </si>
  <si>
    <t>FQN59_RS07090</t>
  </si>
  <si>
    <t>WP_004291467.1</t>
  </si>
  <si>
    <t>FQN59_RS07095</t>
  </si>
  <si>
    <t>tetracycline resistance ribosomal protection protein Tet(Q)</t>
  </si>
  <si>
    <t>tet(Q)</t>
  </si>
  <si>
    <t>WP_004291466.1</t>
  </si>
  <si>
    <t>FQN59_RS07100</t>
  </si>
  <si>
    <t>WP_004291462.1</t>
  </si>
  <si>
    <t>FQN59_RS07105</t>
  </si>
  <si>
    <t>WP_004304266.1</t>
  </si>
  <si>
    <t>FQN59_RS07110</t>
  </si>
  <si>
    <t>topB</t>
  </si>
  <si>
    <t>WP_004291456.1</t>
  </si>
  <si>
    <t>FQN59_RS07115</t>
  </si>
  <si>
    <t>WP_004291455.1</t>
  </si>
  <si>
    <t>FQN59_RS07120</t>
  </si>
  <si>
    <t>WP_004291454.1</t>
  </si>
  <si>
    <t>FQN59_RS07125</t>
  </si>
  <si>
    <t>WP_004291432.1</t>
  </si>
  <si>
    <t>FQN59_RS07130</t>
  </si>
  <si>
    <t>WP_004291426.1</t>
  </si>
  <si>
    <t>FQN59_RS07135</t>
  </si>
  <si>
    <t>WP_004291424.1</t>
  </si>
  <si>
    <t>FQN59_RS07140</t>
  </si>
  <si>
    <t>WP_004291423.1</t>
  </si>
  <si>
    <t>FQN59_RS07145</t>
  </si>
  <si>
    <t>WP_004291422.1</t>
  </si>
  <si>
    <t>FQN59_RS07150</t>
  </si>
  <si>
    <t>4-hydroxy-tetrahydrodipicolinate reductase</t>
  </si>
  <si>
    <t>dapB</t>
  </si>
  <si>
    <t>WP_005863996.1</t>
  </si>
  <si>
    <t>FQN59_RS07155</t>
  </si>
  <si>
    <t>S26 family signal peptidase</t>
  </si>
  <si>
    <t>WP_005863994.1</t>
  </si>
  <si>
    <t>FQN59_RS07160</t>
  </si>
  <si>
    <t>signal peptidase I</t>
  </si>
  <si>
    <t>lepB</t>
  </si>
  <si>
    <t>WP_005863992.1</t>
  </si>
  <si>
    <t>FQN59_RS07165</t>
  </si>
  <si>
    <t>WbqC family protein</t>
  </si>
  <si>
    <t>WP_005863989.1</t>
  </si>
  <si>
    <t>FQN59_RS07170</t>
  </si>
  <si>
    <t>2-aminoethylphosphonate--pyruvate transaminase</t>
  </si>
  <si>
    <t>phnW</t>
  </si>
  <si>
    <t>WP_005863987.1</t>
  </si>
  <si>
    <t>FQN59_RS07175</t>
  </si>
  <si>
    <t>phosphonoacetaldehyde hydrolase</t>
  </si>
  <si>
    <t>phnX</t>
  </si>
  <si>
    <t>WP_005863985.1</t>
  </si>
  <si>
    <t>FQN59_RS07180</t>
  </si>
  <si>
    <t>DUF5690 family protein</t>
  </si>
  <si>
    <t>WP_008774290.1</t>
  </si>
  <si>
    <t>FQN59_RS07185</t>
  </si>
  <si>
    <t>WP_009276618.1</t>
  </si>
  <si>
    <t>FQN59_RS07190</t>
  </si>
  <si>
    <t>inorganic phosphate transporter</t>
  </si>
  <si>
    <t>WP_044545184.1</t>
  </si>
  <si>
    <t>FQN59_RS07195</t>
  </si>
  <si>
    <t>WP_005860644.1</t>
  </si>
  <si>
    <t>FQN59_RS07200</t>
  </si>
  <si>
    <t>FQN59_RS07205</t>
  </si>
  <si>
    <t>FQN59_RS07210</t>
  </si>
  <si>
    <t>FQN59_RS07215</t>
  </si>
  <si>
    <t>FQN59_RS07220</t>
  </si>
  <si>
    <t>FQN59_RS07225</t>
  </si>
  <si>
    <t>WP_005865070.1</t>
  </si>
  <si>
    <t>FQN59_RS07230</t>
  </si>
  <si>
    <t>WP_229100401.1</t>
  </si>
  <si>
    <t>FQN59_RS07235</t>
  </si>
  <si>
    <t>WP_005863959.1</t>
  </si>
  <si>
    <t>FQN59_RS07240</t>
  </si>
  <si>
    <t>WP_121962607.1</t>
  </si>
  <si>
    <t>FQN59_RS07245</t>
  </si>
  <si>
    <t>WP_121962608.1</t>
  </si>
  <si>
    <t>FQN59_RS07250</t>
  </si>
  <si>
    <t>WP_005863952.1</t>
  </si>
  <si>
    <t>FQN59_RS07255</t>
  </si>
  <si>
    <t>WP_249222515.1</t>
  </si>
  <si>
    <t>FQN59_RS07260</t>
  </si>
  <si>
    <t>WP_005863947.1</t>
  </si>
  <si>
    <t>FQN59_RS07265</t>
  </si>
  <si>
    <t>WP_057327059.1</t>
  </si>
  <si>
    <t>FQN59_RS07270</t>
  </si>
  <si>
    <t>WP_005863943.1</t>
  </si>
  <si>
    <t>FQN59_RS07275</t>
  </si>
  <si>
    <t>galactosamine-6-phosphate isomerase</t>
  </si>
  <si>
    <t>WP_005860625.1</t>
  </si>
  <si>
    <t>FQN59_RS07280</t>
  </si>
  <si>
    <t>ROK family protein</t>
  </si>
  <si>
    <t>WP_005863941.1</t>
  </si>
  <si>
    <t>FQN59_RS07285</t>
  </si>
  <si>
    <t>WP_211738587.1</t>
  </si>
  <si>
    <t>FQN59_RS07290</t>
  </si>
  <si>
    <t>glycoside hydrolase family 97 protein</t>
  </si>
  <si>
    <t>WP_211738588.1</t>
  </si>
  <si>
    <t>FQN59_RS07295</t>
  </si>
  <si>
    <t>tRNA threonylcarbamoyladenosine dehydratase</t>
  </si>
  <si>
    <t>WP_005863934.1</t>
  </si>
  <si>
    <t>FQN59_RS07300</t>
  </si>
  <si>
    <t>WP_005863932.1</t>
  </si>
  <si>
    <t>FQN59_RS07305</t>
  </si>
  <si>
    <t>WP_211738589.1</t>
  </si>
  <si>
    <t>FQN59_RS07310</t>
  </si>
  <si>
    <t>FQN59_RS22825</t>
  </si>
  <si>
    <t>FimB/Mfa2 family fimbrial subunit</t>
  </si>
  <si>
    <t>WP_048926885.1</t>
  </si>
  <si>
    <t>FQN59_RS07320</t>
  </si>
  <si>
    <t>Mfa1 family fimbria major subunit</t>
  </si>
  <si>
    <t>WP_211738592.1</t>
  </si>
  <si>
    <t>FQN59_RS07325</t>
  </si>
  <si>
    <t>WP_211738594.1</t>
  </si>
  <si>
    <t>FQN59_RS07330</t>
  </si>
  <si>
    <t>WP_008778867.1</t>
  </si>
  <si>
    <t>FQN59_RS07335</t>
  </si>
  <si>
    <t>WP_122368749.1</t>
  </si>
  <si>
    <t>FQN59_RS07340</t>
  </si>
  <si>
    <t>sodium-dependent transporter</t>
  </si>
  <si>
    <t>WP_122368750.1</t>
  </si>
  <si>
    <t>FQN59_RS07345</t>
  </si>
  <si>
    <t>ComEA family DNA-binding protein</t>
  </si>
  <si>
    <t>WP_141806926.1</t>
  </si>
  <si>
    <t>FQN59_RS07350</t>
  </si>
  <si>
    <t>WP_008773277.1</t>
  </si>
  <si>
    <t>FQN59_RS07355</t>
  </si>
  <si>
    <t>WP_008778870.1</t>
  </si>
  <si>
    <t>FQN59_RS07360</t>
  </si>
  <si>
    <t>WP_008778659.1</t>
  </si>
  <si>
    <t>FQN59_RS07365</t>
  </si>
  <si>
    <t>WP_057327057.1</t>
  </si>
  <si>
    <t>FQN59_RS07370</t>
  </si>
  <si>
    <t>acyloxyacyl hydrolase</t>
  </si>
  <si>
    <t>WP_211738597.1</t>
  </si>
  <si>
    <t>FQN59_RS07375</t>
  </si>
  <si>
    <t>M16 family metallopeptidase</t>
  </si>
  <si>
    <t>WP_211738599.1</t>
  </si>
  <si>
    <t>FQN59_RS07380</t>
  </si>
  <si>
    <t>WP_048926897.1</t>
  </si>
  <si>
    <t>FQN59_RS07385</t>
  </si>
  <si>
    <t>M20/M25/M40 family metallo-hydrolase</t>
  </si>
  <si>
    <t>WP_048926898.1</t>
  </si>
  <si>
    <t>FQN59_RS07390</t>
  </si>
  <si>
    <t>WP_005860581.1</t>
  </si>
  <si>
    <t>FQN59_RS07395</t>
  </si>
  <si>
    <t>carbohydrate kinase family protein</t>
  </si>
  <si>
    <t>WP_005860579.1</t>
  </si>
  <si>
    <t>FQN59_RS07400</t>
  </si>
  <si>
    <t>tyrosine-protein phosphatase</t>
  </si>
  <si>
    <t>WP_005863891.1</t>
  </si>
  <si>
    <t>FQN59_RS07405</t>
  </si>
  <si>
    <t>DEAD/DEAH box helicase</t>
  </si>
  <si>
    <t>WP_211738971.1</t>
  </si>
  <si>
    <t>FQN59_RS07410</t>
  </si>
  <si>
    <t>WP_122145560.1</t>
  </si>
  <si>
    <t>FQN59_RS07415</t>
  </si>
  <si>
    <t>dipeptidase</t>
  </si>
  <si>
    <t>WP_121772798.1</t>
  </si>
  <si>
    <t>FQN59_RS07420</t>
  </si>
  <si>
    <t>WP_211738601.1</t>
  </si>
  <si>
    <t>FQN59_RS07425</t>
  </si>
  <si>
    <t>S46 family peptidase</t>
  </si>
  <si>
    <t>WP_349200191.1</t>
  </si>
  <si>
    <t>FQN59_RS07430</t>
  </si>
  <si>
    <t>TIGR00341 family protein</t>
  </si>
  <si>
    <t>WP_121772800.1</t>
  </si>
  <si>
    <t>FQN59_RS07435</t>
  </si>
  <si>
    <t>WP_211738605.1</t>
  </si>
  <si>
    <t>FQN59_RS07440</t>
  </si>
  <si>
    <t>WP_211738606.1</t>
  </si>
  <si>
    <t>FQN59_RS07445</t>
  </si>
  <si>
    <t>Holliday junction branch migration DNA helicase RuvB</t>
  </si>
  <si>
    <t>ruvB</t>
  </si>
  <si>
    <t>WP_008778665.1</t>
  </si>
  <si>
    <t>FQN59_RS07450</t>
  </si>
  <si>
    <t>6-bladed beta-propeller</t>
  </si>
  <si>
    <t>WP_005863873.1</t>
  </si>
  <si>
    <t>FQN59_RS07455</t>
  </si>
  <si>
    <t>WP_211738607.1</t>
  </si>
  <si>
    <t>FQN59_RS07460</t>
  </si>
  <si>
    <t>WP_121961876.1</t>
  </si>
  <si>
    <t>FQN59_RS07465</t>
  </si>
  <si>
    <t>FQN59_RS07470</t>
  </si>
  <si>
    <t>WP_211738608.1</t>
  </si>
  <si>
    <t>FQN59_RS07475</t>
  </si>
  <si>
    <t>WP_008773255.1</t>
  </si>
  <si>
    <t>FQN59_RS07480</t>
  </si>
  <si>
    <t>WP_080707584.1</t>
  </si>
  <si>
    <t>FQN59_RS07485</t>
  </si>
  <si>
    <t>WP_095231433.1</t>
  </si>
  <si>
    <t>FQN59_RS07490</t>
  </si>
  <si>
    <t>WP_249222516.1</t>
  </si>
  <si>
    <t>FQN59_RS07495</t>
  </si>
  <si>
    <t>WP_121962632.1</t>
  </si>
  <si>
    <t>FQN59_RS07500</t>
  </si>
  <si>
    <t>LytTR family DNA-binding domain-containing protein</t>
  </si>
  <si>
    <t>WP_034531889.1</t>
  </si>
  <si>
    <t>FQN59_RS07505</t>
  </si>
  <si>
    <t>TIGR04149 family rSAM-modified RiPP</t>
  </si>
  <si>
    <t>WP_080707583.1</t>
  </si>
  <si>
    <t>FQN59_RS07510</t>
  </si>
  <si>
    <t>radical SAM peptide maturase</t>
  </si>
  <si>
    <t>WP_211738610.1</t>
  </si>
  <si>
    <t>FQN59_RS07515</t>
  </si>
  <si>
    <t>TIGR04150 pseudo-rSAM protein</t>
  </si>
  <si>
    <t>WP_008773248.1</t>
  </si>
  <si>
    <t>FQN59_RS07520</t>
  </si>
  <si>
    <t>WP_211738612.1</t>
  </si>
  <si>
    <t>FQN59_RS07525</t>
  </si>
  <si>
    <t>lanthionine synthetase LanC family protein</t>
  </si>
  <si>
    <t>WP_050758721.1</t>
  </si>
  <si>
    <t>FQN59_RS07530</t>
  </si>
  <si>
    <t>TIGR04157 family glycosyltransferase</t>
  </si>
  <si>
    <t>WP_122380290.1</t>
  </si>
  <si>
    <t>FQN59_RS07535</t>
  </si>
  <si>
    <t>WP_081033169.1</t>
  </si>
  <si>
    <t>FQN59_RS07540</t>
  </si>
  <si>
    <t>WP_008773243.1</t>
  </si>
  <si>
    <t>FQN59_RS07545</t>
  </si>
  <si>
    <t>WP_158532672.1</t>
  </si>
  <si>
    <t>FQN59_RS07550</t>
  </si>
  <si>
    <t>WP_057317666.1</t>
  </si>
  <si>
    <t>FQN59_RS07555</t>
  </si>
  <si>
    <t>peptidase domain-containing ABC transporter</t>
  </si>
  <si>
    <t>WP_211738614.1</t>
  </si>
  <si>
    <t>FQN59_RS07560</t>
  </si>
  <si>
    <t>WP_211738616.1</t>
  </si>
  <si>
    <t>FQN59_RS07565</t>
  </si>
  <si>
    <t>ROK family transcriptional regulator</t>
  </si>
  <si>
    <t>WP_005860500.1</t>
  </si>
  <si>
    <t>FQN59_RS07570</t>
  </si>
  <si>
    <t>dihydrodipicolinate synthase family protein</t>
  </si>
  <si>
    <t>WP_211738618.1</t>
  </si>
  <si>
    <t>FQN59_RS07575</t>
  </si>
  <si>
    <t>AGE family epimerase/isomerase</t>
  </si>
  <si>
    <t>WP_211738620.1</t>
  </si>
  <si>
    <t>FQN59_RS07580</t>
  </si>
  <si>
    <t>WP_005860494.1</t>
  </si>
  <si>
    <t>FQN59_RS07585</t>
  </si>
  <si>
    <t>WP_122115116.1</t>
  </si>
  <si>
    <t>FQN59_RS07590</t>
  </si>
  <si>
    <t>SusD family outer membrane lipoprotein NanU</t>
  </si>
  <si>
    <t>nanU</t>
  </si>
  <si>
    <t>WP_005863837.1</t>
  </si>
  <si>
    <t>FQN59_RS07595</t>
  </si>
  <si>
    <t>WP_005863836.1</t>
  </si>
  <si>
    <t>FQN59_RS07600</t>
  </si>
  <si>
    <t>family 20 glycosylhydrolase</t>
  </si>
  <si>
    <t>WP_211738642.1</t>
  </si>
  <si>
    <t>FQN59_RS07605</t>
  </si>
  <si>
    <t>GDSL-type esterase/lipase family protein</t>
  </si>
  <si>
    <t>WP_122380686.1</t>
  </si>
  <si>
    <t>FQN59_RS07610</t>
  </si>
  <si>
    <t>cyclically-permuted mutarotase family protein</t>
  </si>
  <si>
    <t>WP_057319879.1</t>
  </si>
  <si>
    <t>FQN59_RS07615</t>
  </si>
  <si>
    <t>WP_249222517.1</t>
  </si>
  <si>
    <t>FQN59_RS07620</t>
  </si>
  <si>
    <t>WP_211738646.1</t>
  </si>
  <si>
    <t>FQN59_RS07625</t>
  </si>
  <si>
    <t>TIGR00730 family Rossman fold protein</t>
  </si>
  <si>
    <t>WP_211738648.1</t>
  </si>
  <si>
    <t>FQN59_RS07630</t>
  </si>
  <si>
    <t>TIGR02757 family protein</t>
  </si>
  <si>
    <t>WP_005863824.1</t>
  </si>
  <si>
    <t>FQN59_RS07635</t>
  </si>
  <si>
    <t>DNA alkylation repair protein</t>
  </si>
  <si>
    <t>WP_048926921.1</t>
  </si>
  <si>
    <t>FQN59_RS07640</t>
  </si>
  <si>
    <t>2-hydroxyacid dehydrogenase family protein</t>
  </si>
  <si>
    <t>WP_122382880.1</t>
  </si>
  <si>
    <t>FQN59_RS07645</t>
  </si>
  <si>
    <t>nucleoside recognition domain-containing protein</t>
  </si>
  <si>
    <t>WP_005863819.1</t>
  </si>
  <si>
    <t>FQN59_RS07650</t>
  </si>
  <si>
    <t>rRNA maturation RNase YbeY</t>
  </si>
  <si>
    <t>ybeY</t>
  </si>
  <si>
    <t>WP_009016521.1</t>
  </si>
  <si>
    <t>FQN59_RS07655</t>
  </si>
  <si>
    <t>FQN59_RS07660</t>
  </si>
  <si>
    <t>WP_186761497.1</t>
  </si>
  <si>
    <t>FQN59_RS07665</t>
  </si>
  <si>
    <t>WP_146334516.1</t>
  </si>
  <si>
    <t>FQN59_RS07670</t>
  </si>
  <si>
    <t>WP_211738650.1</t>
  </si>
  <si>
    <t>FQN59_RS07675</t>
  </si>
  <si>
    <t>tRNA uridine-5-carboxymethylaminomethyl(34) synthesis enzyme MnmG</t>
  </si>
  <si>
    <t>mnmG</t>
  </si>
  <si>
    <t>WP_005863809.1</t>
  </si>
  <si>
    <t>FQN59_RS07680</t>
  </si>
  <si>
    <t>adenine deaminase</t>
  </si>
  <si>
    <t>ade</t>
  </si>
  <si>
    <t>WP_211738652.1</t>
  </si>
  <si>
    <t>FQN59_RS07685</t>
  </si>
  <si>
    <t>excinuclease ABC subunit UvrC</t>
  </si>
  <si>
    <t>uvrC</t>
  </si>
  <si>
    <t>WP_005863805.1</t>
  </si>
  <si>
    <t>FQN59_RS07690</t>
  </si>
  <si>
    <t>D-aminoacyl-tRNA deacylase</t>
  </si>
  <si>
    <t>dtd</t>
  </si>
  <si>
    <t>WP_005860440.1</t>
  </si>
  <si>
    <t>FQN59_RS07695</t>
  </si>
  <si>
    <t>nucleotide pyrophosphohydrolase</t>
  </si>
  <si>
    <t>WP_005860438.1</t>
  </si>
  <si>
    <t>FQN59_RS07700</t>
  </si>
  <si>
    <t>deoxyribose-phosphate aldolase</t>
  </si>
  <si>
    <t>deoC</t>
  </si>
  <si>
    <t>WP_009275485.1</t>
  </si>
  <si>
    <t>FQN59_RS07705</t>
  </si>
  <si>
    <t>WP_008773223.1</t>
  </si>
  <si>
    <t>FQN59_RS07710</t>
  </si>
  <si>
    <t>DNA polymerase I</t>
  </si>
  <si>
    <t>polA</t>
  </si>
  <si>
    <t>WP_211738654.1</t>
  </si>
  <si>
    <t>FQN59_RS07715</t>
  </si>
  <si>
    <t>WP_249222518.1</t>
  </si>
  <si>
    <t>FQN59_RS07720</t>
  </si>
  <si>
    <t>WP_211738658.1</t>
  </si>
  <si>
    <t>FQN59_RS07725</t>
  </si>
  <si>
    <t>redox-regulated ATPase YchF</t>
  </si>
  <si>
    <t>ychF</t>
  </si>
  <si>
    <t>WP_005863784.1</t>
  </si>
  <si>
    <t>FQN59_RS07730</t>
  </si>
  <si>
    <t>WP_008773214.1</t>
  </si>
  <si>
    <t>FQN59_RS07735</t>
  </si>
  <si>
    <t>WP_211738660.1</t>
  </si>
  <si>
    <t>FQN59_RS07740</t>
  </si>
  <si>
    <t>WP_249222519.1</t>
  </si>
  <si>
    <t>FQN59_RS22515</t>
  </si>
  <si>
    <t>WP_249222520.1</t>
  </si>
  <si>
    <t>FQN59_RS22520</t>
  </si>
  <si>
    <t>WP_121962048.1</t>
  </si>
  <si>
    <t>FQN59_RS07750</t>
  </si>
  <si>
    <t>DUF4252 domain-containing protein</t>
  </si>
  <si>
    <t>WP_029257165.1</t>
  </si>
  <si>
    <t>FQN59_RS07755</t>
  </si>
  <si>
    <t>WP_005860415.1</t>
  </si>
  <si>
    <t>FQN59_RS07760</t>
  </si>
  <si>
    <t>WP_211738662.1</t>
  </si>
  <si>
    <t>FQN59_RS07765</t>
  </si>
  <si>
    <t>WP_146375808.1</t>
  </si>
  <si>
    <t>FQN59_RS07770</t>
  </si>
  <si>
    <t>WP_211738664.1</t>
  </si>
  <si>
    <t>FQN59_RS07775</t>
  </si>
  <si>
    <t>DNA mismatch repair protein MutS</t>
  </si>
  <si>
    <t>mutS</t>
  </si>
  <si>
    <t>WP_172724878.1</t>
  </si>
  <si>
    <t>FQN59_RS07780</t>
  </si>
  <si>
    <t>fructose-6-phosphate aldolase</t>
  </si>
  <si>
    <t>fsa</t>
  </si>
  <si>
    <t>WP_005860406.1</t>
  </si>
  <si>
    <t>FQN59_RS07785</t>
  </si>
  <si>
    <t>DNA cytosine methyltransferase</t>
  </si>
  <si>
    <t>WP_394811575.1</t>
  </si>
  <si>
    <t>FQN59_RS07790</t>
  </si>
  <si>
    <t>WP_005860400.1</t>
  </si>
  <si>
    <t>FQN59_RS07795</t>
  </si>
  <si>
    <t>DUF4848 domain-containing protein</t>
  </si>
  <si>
    <t>WP_211738667.1</t>
  </si>
  <si>
    <t>FQN59_RS07800</t>
  </si>
  <si>
    <t>WP_008778928.1</t>
  </si>
  <si>
    <t>FQN59_RS07805</t>
  </si>
  <si>
    <t>WP_249222522.1</t>
  </si>
  <si>
    <t>FQN59_RS07810</t>
  </si>
  <si>
    <t>IS4-like element ISBf8 family transposase</t>
  </si>
  <si>
    <t>WP_005642186.1</t>
  </si>
  <si>
    <t>FQN59_RS07815</t>
  </si>
  <si>
    <t>WP_249222523.1</t>
  </si>
  <si>
    <t>FQN59_RS07820</t>
  </si>
  <si>
    <t>ORF6N domain-containing protein</t>
  </si>
  <si>
    <t>WP_121772828.1</t>
  </si>
  <si>
    <t>FQN59_RS07825</t>
  </si>
  <si>
    <t>WP_087345191.1</t>
  </si>
  <si>
    <t>FQN59_RS07830</t>
  </si>
  <si>
    <t>leucine--tRNA ligase</t>
  </si>
  <si>
    <t>leuS</t>
  </si>
  <si>
    <t>WP_211738669.1</t>
  </si>
  <si>
    <t>FQN59_RS07835</t>
  </si>
  <si>
    <t>WP_005860386.1</t>
  </si>
  <si>
    <t>FQN59_RS07840</t>
  </si>
  <si>
    <t>non-canonical purine NTP diphosphatase</t>
  </si>
  <si>
    <t>WP_005860384.1</t>
  </si>
  <si>
    <t>FQN59_RS07845</t>
  </si>
  <si>
    <t>two-component regulator propeller domain-containing protein</t>
  </si>
  <si>
    <t>WP_121960726.1</t>
  </si>
  <si>
    <t>FQN59_RS07850</t>
  </si>
  <si>
    <t>WP_048926945.1</t>
  </si>
  <si>
    <t>FQN59_RS07855</t>
  </si>
  <si>
    <t>WP_227154513.1</t>
  </si>
  <si>
    <t>FQN59_RS07860</t>
  </si>
  <si>
    <t>MBOAT family O-acyltransferase</t>
  </si>
  <si>
    <t>WP_211738672.1</t>
  </si>
  <si>
    <t>FQN59_RS07865</t>
  </si>
  <si>
    <t>WP_211738674.1</t>
  </si>
  <si>
    <t>FQN59_RS07870</t>
  </si>
  <si>
    <t>quinolinate synthase NadA</t>
  </si>
  <si>
    <t>nadA</t>
  </si>
  <si>
    <t>WP_036615066.1</t>
  </si>
  <si>
    <t>FQN59_RS07875</t>
  </si>
  <si>
    <t>RNA methyltransferase</t>
  </si>
  <si>
    <t>WP_005860365.1</t>
  </si>
  <si>
    <t>FQN59_RS07880</t>
  </si>
  <si>
    <t>DUF4294 domain-containing protein</t>
  </si>
  <si>
    <t>WP_008778681.1</t>
  </si>
  <si>
    <t>FQN59_RS07885</t>
  </si>
  <si>
    <t>DNA damage-inducible protein D</t>
  </si>
  <si>
    <t>dinD</t>
  </si>
  <si>
    <t>WP_005860360.1</t>
  </si>
  <si>
    <t>FQN59_RS07890</t>
  </si>
  <si>
    <t>WP_211738676.1</t>
  </si>
  <si>
    <t>FQN59_RS07895</t>
  </si>
  <si>
    <t>WP_211738678.1</t>
  </si>
  <si>
    <t>FQN59_RS07900</t>
  </si>
  <si>
    <t>WP_172514247.1</t>
  </si>
  <si>
    <t>FQN59_RS07905</t>
  </si>
  <si>
    <t>glycosyl hydrolase 2 galactose-binding domain-containing protein</t>
  </si>
  <si>
    <t>WP_211738680.1</t>
  </si>
  <si>
    <t>FQN59_RS07910</t>
  </si>
  <si>
    <t>WP_057327037.1</t>
  </si>
  <si>
    <t>FQN59_RS07915</t>
  </si>
  <si>
    <t>WP_057327036.1</t>
  </si>
  <si>
    <t>FQN59_RS07920</t>
  </si>
  <si>
    <t>WP_048926951.1</t>
  </si>
  <si>
    <t>FQN59_RS07925</t>
  </si>
  <si>
    <t>WP_233554215.1</t>
  </si>
  <si>
    <t>FQN59_RS07930</t>
  </si>
  <si>
    <t>WP_146376323.1</t>
  </si>
  <si>
    <t>FQN59_RS07935</t>
  </si>
  <si>
    <t>WP_122382890.1</t>
  </si>
  <si>
    <t>FQN59_RS07940</t>
  </si>
  <si>
    <t>WP_233554217.1</t>
  </si>
  <si>
    <t>FQN59_RS22925</t>
  </si>
  <si>
    <t>DUF5025 domain-containing protein</t>
  </si>
  <si>
    <t>WP_233554218.1</t>
  </si>
  <si>
    <t>FQN59_RS22930</t>
  </si>
  <si>
    <t>WP_122382891.1</t>
  </si>
  <si>
    <t>FQN59_RS07950</t>
  </si>
  <si>
    <t>WP_122382892.1</t>
  </si>
  <si>
    <t>FQN59_RS07955</t>
  </si>
  <si>
    <t>WP_122382893.1</t>
  </si>
  <si>
    <t>FQN59_RS07960</t>
  </si>
  <si>
    <t>WP_172681050.1</t>
  </si>
  <si>
    <t>FQN59_RS07965</t>
  </si>
  <si>
    <t>PA14 domain-containing protein</t>
  </si>
  <si>
    <t>WP_005863716.1</t>
  </si>
  <si>
    <t>FQN59_RS07970</t>
  </si>
  <si>
    <t>SulP family inorganic anion transporter</t>
  </si>
  <si>
    <t>WP_005860327.1</t>
  </si>
  <si>
    <t>FQN59_RS07975</t>
  </si>
  <si>
    <t>rubrerythrin</t>
  </si>
  <si>
    <t>rbr</t>
  </si>
  <si>
    <t>WP_008777696.1</t>
  </si>
  <si>
    <t>FQN59_RS07980</t>
  </si>
  <si>
    <t>L-aspartate oxidase</t>
  </si>
  <si>
    <t>nadB</t>
  </si>
  <si>
    <t>WP_057327032.1</t>
  </si>
  <si>
    <t>FQN59_RS07985</t>
  </si>
  <si>
    <t>WP_249222524.1</t>
  </si>
  <si>
    <t>FQN59_RS07990</t>
  </si>
  <si>
    <t>WP_211738682.1</t>
  </si>
  <si>
    <t>FQN59_RS07995</t>
  </si>
  <si>
    <t>WP_008778948.1</t>
  </si>
  <si>
    <t>FQN59_RS08000</t>
  </si>
  <si>
    <t>WP_008778949.1</t>
  </si>
  <si>
    <t>FQN59_RS08005</t>
  </si>
  <si>
    <t>WP_005863703.1</t>
  </si>
  <si>
    <t>FQN59_RS08010</t>
  </si>
  <si>
    <t>WP_036616454.1</t>
  </si>
  <si>
    <t>FQN59_RS08015</t>
  </si>
  <si>
    <t>WP_211738685.1</t>
  </si>
  <si>
    <t>FQN59_RS08020</t>
  </si>
  <si>
    <t>WP_211738687.1</t>
  </si>
  <si>
    <t>FQN59_RS08025</t>
  </si>
  <si>
    <t>WP_211738689.1</t>
  </si>
  <si>
    <t>FQN59_RS08030</t>
  </si>
  <si>
    <t>tail fiber domain-containing protein</t>
  </si>
  <si>
    <t>WP_224201869.1</t>
  </si>
  <si>
    <t>FQN59_RS08035</t>
  </si>
  <si>
    <t>WP_008778959.1</t>
  </si>
  <si>
    <t>FQN59_RS08040</t>
  </si>
  <si>
    <t>RHS repeat-associated core domain-containing protein</t>
  </si>
  <si>
    <t>WP_249222525.1</t>
  </si>
  <si>
    <t>FQN59_RS08045</t>
  </si>
  <si>
    <t>WP_121737493.1</t>
  </si>
  <si>
    <t>FQN59_RS08050</t>
  </si>
  <si>
    <t>WP_008781475.1</t>
  </si>
  <si>
    <t>FQN59_RS08055</t>
  </si>
  <si>
    <t>IS66 family insertion sequence element accessory protein TnpB</t>
  </si>
  <si>
    <t>tnpB</t>
  </si>
  <si>
    <t>WP_008782597.1</t>
  </si>
  <si>
    <t>FQN59_RS08060</t>
  </si>
  <si>
    <t>IS66 family transposase</t>
  </si>
  <si>
    <t>tnpC</t>
  </si>
  <si>
    <t>WP_032951975.1</t>
  </si>
  <si>
    <t>FQN59_RS08065</t>
  </si>
  <si>
    <t>WP_121960720.1</t>
  </si>
  <si>
    <t>FQN59_RS08070</t>
  </si>
  <si>
    <t>ribonuclease domain-containing protein</t>
  </si>
  <si>
    <t>WP_249222526.1</t>
  </si>
  <si>
    <t>FQN59_RS08075</t>
  </si>
  <si>
    <t>barstar family protein</t>
  </si>
  <si>
    <t>WP_160217508.1</t>
  </si>
  <si>
    <t>FQN59_RS08080</t>
  </si>
  <si>
    <t>WP_249222527.1</t>
  </si>
  <si>
    <t>FQN59_RS08085</t>
  </si>
  <si>
    <t>macro domain-containing protein</t>
  </si>
  <si>
    <t>WP_249222528.1</t>
  </si>
  <si>
    <t>FQN59_RS08090</t>
  </si>
  <si>
    <t>WP_229103534.1</t>
  </si>
  <si>
    <t>FQN59_RS08095</t>
  </si>
  <si>
    <t>WP_121960719.1</t>
  </si>
  <si>
    <t>FQN59_RS08100</t>
  </si>
  <si>
    <t>WP_211738691.1</t>
  </si>
  <si>
    <t>FQN59_RS08105</t>
  </si>
  <si>
    <t>WP_005860303.1</t>
  </si>
  <si>
    <t>FQN59_RS08110</t>
  </si>
  <si>
    <t>PH domain-containing protein</t>
  </si>
  <si>
    <t>WP_009016772.1</t>
  </si>
  <si>
    <t>FQN59_RS08115</t>
  </si>
  <si>
    <t>WP_005860301.1</t>
  </si>
  <si>
    <t>FQN59_RS08120</t>
  </si>
  <si>
    <t>DUF4271 domain-containing protein</t>
  </si>
  <si>
    <t>WP_008773164.1</t>
  </si>
  <si>
    <t>FQN59_RS08125</t>
  </si>
  <si>
    <t>uroporphyrinogen-III synthase</t>
  </si>
  <si>
    <t>WP_029257164.1</t>
  </si>
  <si>
    <t>FQN59_RS08130</t>
  </si>
  <si>
    <t>ribonuclease P protein component</t>
  </si>
  <si>
    <t>rnpA</t>
  </si>
  <si>
    <t>WP_009016771.1</t>
  </si>
  <si>
    <t>FQN59_RS08135</t>
  </si>
  <si>
    <t>membrane protein insertion efficiency factor YidD</t>
  </si>
  <si>
    <t>yidD</t>
  </si>
  <si>
    <t>WP_005863660.1</t>
  </si>
  <si>
    <t>FQN59_RS08140</t>
  </si>
  <si>
    <t>TatD family hydrolase</t>
  </si>
  <si>
    <t>WP_039848529.1</t>
  </si>
  <si>
    <t>FQN59_RS08145</t>
  </si>
  <si>
    <t>tyrosine--tRNA ligase</t>
  </si>
  <si>
    <t>tyrS</t>
  </si>
  <si>
    <t>WP_008778966.1</t>
  </si>
  <si>
    <t>FQN59_RS08150</t>
  </si>
  <si>
    <t>WP_010182615.1</t>
  </si>
  <si>
    <t>FQN59_RS08155</t>
  </si>
  <si>
    <t>WP_121956120.1</t>
  </si>
  <si>
    <t>FQN59_RS08160</t>
  </si>
  <si>
    <t>GH116 family glycosyl hydrolase</t>
  </si>
  <si>
    <t>WP_211738693.1</t>
  </si>
  <si>
    <t>FQN59_RS08165</t>
  </si>
  <si>
    <t>WP_146376098.1</t>
  </si>
  <si>
    <t>FQN59_RS08170</t>
  </si>
  <si>
    <t>WP_211738695.1</t>
  </si>
  <si>
    <t>FQN59_RS08175</t>
  </si>
  <si>
    <t>glycoside hydrolase family 16 protein</t>
  </si>
  <si>
    <t>WP_009275446.1</t>
  </si>
  <si>
    <t>FQN59_RS08180</t>
  </si>
  <si>
    <t>triple tyrosine motif-containing protein</t>
  </si>
  <si>
    <t>WP_211738975.1</t>
  </si>
  <si>
    <t>FQN59_RS08185</t>
  </si>
  <si>
    <t>WP_048926963.1</t>
  </si>
  <si>
    <t>FQN59_RS08190</t>
  </si>
  <si>
    <t>WP_005860289.1</t>
  </si>
  <si>
    <t>FQN59_RS08195</t>
  </si>
  <si>
    <t>glucoamylase family protein</t>
  </si>
  <si>
    <t>WP_211738697.1</t>
  </si>
  <si>
    <t>FQN59_RS08200</t>
  </si>
  <si>
    <t>WP_211738699.1</t>
  </si>
  <si>
    <t>FQN59_RS08205</t>
  </si>
  <si>
    <t>WP_010182603.1</t>
  </si>
  <si>
    <t>FQN59_RS08210</t>
  </si>
  <si>
    <t>beta-glucosidase BglX</t>
  </si>
  <si>
    <t>bglX</t>
  </si>
  <si>
    <t>WP_211738701.1</t>
  </si>
  <si>
    <t>FQN59_RS08215</t>
  </si>
  <si>
    <t>WP_211738703.1</t>
  </si>
  <si>
    <t>FQN59_RS08220</t>
  </si>
  <si>
    <t>WP_057319847.1</t>
  </si>
  <si>
    <t>FQN59_RS08225</t>
  </si>
  <si>
    <t>prolyl oligopeptidase family serine peptidase</t>
  </si>
  <si>
    <t>WP_122114996.1</t>
  </si>
  <si>
    <t>FQN59_RS08230</t>
  </si>
  <si>
    <t>WP_005860275.1</t>
  </si>
  <si>
    <t>FQN59_RS08235</t>
  </si>
  <si>
    <t>WP_005860273.1</t>
  </si>
  <si>
    <t>FQN59_RS08240</t>
  </si>
  <si>
    <t>WP_122382731.1</t>
  </si>
  <si>
    <t>FQN59_RS08245</t>
  </si>
  <si>
    <t>(4Fe-4S)-binding protein</t>
  </si>
  <si>
    <t>WP_057317236.1</t>
  </si>
  <si>
    <t>FQN59_RS08250</t>
  </si>
  <si>
    <t>WP_036614495.1</t>
  </si>
  <si>
    <t>FQN59_RS08255</t>
  </si>
  <si>
    <t>DUF2723 domain-containing protein</t>
  </si>
  <si>
    <t>WP_121960715.1</t>
  </si>
  <si>
    <t>FQN59_RS08260</t>
  </si>
  <si>
    <t>WP_005860262.1</t>
  </si>
  <si>
    <t>FQN59_RS08265</t>
  </si>
  <si>
    <t>tRNA epoxyqueuosine(34) reductase QueG</t>
  </si>
  <si>
    <t>queG</t>
  </si>
  <si>
    <t>WP_008778979.1</t>
  </si>
  <si>
    <t>FQN59_RS08270</t>
  </si>
  <si>
    <t>S28 family serine protease</t>
  </si>
  <si>
    <t>WP_008778980.1</t>
  </si>
  <si>
    <t>FQN59_RS08275</t>
  </si>
  <si>
    <t>FkbM family methyltransferase</t>
  </si>
  <si>
    <t>WP_227154383.1</t>
  </si>
  <si>
    <t>FQN59_RS08280</t>
  </si>
  <si>
    <t>metal ABC transporter solute-binding protein, Zn/Mn family</t>
  </si>
  <si>
    <t>WP_121960713.1</t>
  </si>
  <si>
    <t>FQN59_RS08285</t>
  </si>
  <si>
    <t>metal ABC transporter ATP-binding protein</t>
  </si>
  <si>
    <t>WP_048926974.1</t>
  </si>
  <si>
    <t>FQN59_RS08290</t>
  </si>
  <si>
    <t>WP_005860253.1</t>
  </si>
  <si>
    <t>FQN59_RS08295</t>
  </si>
  <si>
    <t>WP_005863616.1</t>
  </si>
  <si>
    <t>FQN59_RS08300</t>
  </si>
  <si>
    <t>head GIN domain-containing protein</t>
  </si>
  <si>
    <t>WP_005863614.1</t>
  </si>
  <si>
    <t>FQN59_RS08305</t>
  </si>
  <si>
    <t>WP_211738705.1</t>
  </si>
  <si>
    <t>FQN59_RS08310</t>
  </si>
  <si>
    <t>WP_005863610.1</t>
  </si>
  <si>
    <t>FQN59_RS08315</t>
  </si>
  <si>
    <t>WP_005863609.1</t>
  </si>
  <si>
    <t>FQN59_RS08320</t>
  </si>
  <si>
    <t>WP_005860241.1</t>
  </si>
  <si>
    <t>FQN59_RS08325</t>
  </si>
  <si>
    <t>WP_211738707.1</t>
  </si>
  <si>
    <t>FQN59_RS08330</t>
  </si>
  <si>
    <t>WP_057317246.1</t>
  </si>
  <si>
    <t>FQN59_RS08335</t>
  </si>
  <si>
    <t>WP_008778988.1</t>
  </si>
  <si>
    <t>FQN59_RS08340</t>
  </si>
  <si>
    <t>WP_005860231.1</t>
  </si>
  <si>
    <t>FQN59_RS08345</t>
  </si>
  <si>
    <t>THUMP domain-containing class I SAM-dependent RNA methyltransferase</t>
  </si>
  <si>
    <t>WP_005863595.1</t>
  </si>
  <si>
    <t>FQN59_RS08350</t>
  </si>
  <si>
    <t>WP_211738709.1</t>
  </si>
  <si>
    <t>FQN59_RS08355</t>
  </si>
  <si>
    <t>phosphoribosylamine--glycine ligase</t>
  </si>
  <si>
    <t>purD</t>
  </si>
  <si>
    <t>WP_008773120.1</t>
  </si>
  <si>
    <t>FQN59_RS08360</t>
  </si>
  <si>
    <t>family 78 glycoside hydrolase catalytic domain</t>
  </si>
  <si>
    <t>WP_249222530.1</t>
  </si>
  <si>
    <t>FQN59_RS08365</t>
  </si>
  <si>
    <t>WP_005860222.1</t>
  </si>
  <si>
    <t>FQN59_RS08370</t>
  </si>
  <si>
    <t>YqaA family protein</t>
  </si>
  <si>
    <t>WP_005863579.1</t>
  </si>
  <si>
    <t>FQN59_RS08375</t>
  </si>
  <si>
    <t>WP_211738713.1</t>
  </si>
  <si>
    <t>FQN59_RS08380</t>
  </si>
  <si>
    <t>M20 family metallo-hydrolase</t>
  </si>
  <si>
    <t>WP_057317251.1</t>
  </si>
  <si>
    <t>FQN59_RS08385</t>
  </si>
  <si>
    <t>riboflavin biosynthesis protein RibF</t>
  </si>
  <si>
    <t>ribF</t>
  </si>
  <si>
    <t>WP_121960709.1</t>
  </si>
  <si>
    <t>FQN59_RS08390</t>
  </si>
  <si>
    <t>WP_211738977.1</t>
  </si>
  <si>
    <t>FQN59_RS08395</t>
  </si>
  <si>
    <t>TIM-barrel domain-containing protein</t>
  </si>
  <si>
    <t>WP_211738715.1</t>
  </si>
  <si>
    <t>FQN59_RS08400</t>
  </si>
  <si>
    <t>sugar-binding domain-containing protein</t>
  </si>
  <si>
    <t>WP_211738717.1</t>
  </si>
  <si>
    <t>FQN59_RS08405</t>
  </si>
  <si>
    <t>WP_249222532.1</t>
  </si>
  <si>
    <t>FQN59_RS08410</t>
  </si>
  <si>
    <t>fibronectin type III-like domain-contianing protein</t>
  </si>
  <si>
    <t>WP_249222533.1</t>
  </si>
  <si>
    <t>FQN59_RS22535</t>
  </si>
  <si>
    <t>Dyp-type peroxidase</t>
  </si>
  <si>
    <t>WP_005860205.1</t>
  </si>
  <si>
    <t>FQN59_RS08415</t>
  </si>
  <si>
    <t>WP_005863563.1</t>
  </si>
  <si>
    <t>FQN59_RS08420</t>
  </si>
  <si>
    <t>WP_005863561.1</t>
  </si>
  <si>
    <t>FQN59_RS08425</t>
  </si>
  <si>
    <t>DUF1573 domain-containing protein</t>
  </si>
  <si>
    <t>WP_057317256.1</t>
  </si>
  <si>
    <t>FQN59_RS08430</t>
  </si>
  <si>
    <t>NVEALA domain-containing protein</t>
  </si>
  <si>
    <t>WP_157257407.1</t>
  </si>
  <si>
    <t>FQN59_RS08435</t>
  </si>
  <si>
    <t>DUF4221 family protein</t>
  </si>
  <si>
    <t>WP_083434090.1</t>
  </si>
  <si>
    <t>FQN59_RS08440</t>
  </si>
  <si>
    <t>BF3164 family lipoprotein</t>
  </si>
  <si>
    <t>WP_249222534.1</t>
  </si>
  <si>
    <t>FQN59_RS08445</t>
  </si>
  <si>
    <t>transglutaminase domain-containing protein</t>
  </si>
  <si>
    <t>WP_005863552.1</t>
  </si>
  <si>
    <t>FQN59_RS08450</t>
  </si>
  <si>
    <t>WP_008779004.1</t>
  </si>
  <si>
    <t>FQN59_RS08455</t>
  </si>
  <si>
    <t>WP_057326784.1</t>
  </si>
  <si>
    <t>FQN59_RS08460</t>
  </si>
  <si>
    <t>WP_005863546.1</t>
  </si>
  <si>
    <t>FQN59_RS08465</t>
  </si>
  <si>
    <t>WP_005863544.1</t>
  </si>
  <si>
    <t>FQN59_RS08470</t>
  </si>
  <si>
    <t>WP_005863542.1</t>
  </si>
  <si>
    <t>FQN59_RS08475</t>
  </si>
  <si>
    <t>restriction endonuclease</t>
  </si>
  <si>
    <t>WP_211738719.1</t>
  </si>
  <si>
    <t>FQN59_RS08480</t>
  </si>
  <si>
    <t>WP_005863538.1</t>
  </si>
  <si>
    <t>FQN59_RS08485</t>
  </si>
  <si>
    <t>WP_005863536.1</t>
  </si>
  <si>
    <t>FQN59_RS08490</t>
  </si>
  <si>
    <t>WP_005863534.1</t>
  </si>
  <si>
    <t>FQN59_RS08495</t>
  </si>
  <si>
    <t>WP_009275411.1</t>
  </si>
  <si>
    <t>FQN59_RS08500</t>
  </si>
  <si>
    <t>WP_211738722.1</t>
  </si>
  <si>
    <t>FQN59_RS08505</t>
  </si>
  <si>
    <t>DUF3863 domain-containing protein</t>
  </si>
  <si>
    <t>WP_211738724.1</t>
  </si>
  <si>
    <t>FQN59_RS08510</t>
  </si>
  <si>
    <t>glycoside hydrolase family 2 protein</t>
  </si>
  <si>
    <t>WP_211738726.1</t>
  </si>
  <si>
    <t>FQN59_RS08515</t>
  </si>
  <si>
    <t>glycerate kinase</t>
  </si>
  <si>
    <t>WP_211738728.1</t>
  </si>
  <si>
    <t>FQN59_RS08520</t>
  </si>
  <si>
    <t>GntP family permease</t>
  </si>
  <si>
    <t>WP_211738979.1</t>
  </si>
  <si>
    <t>FQN59_RS08525</t>
  </si>
  <si>
    <t>FQN59_RS08530</t>
  </si>
  <si>
    <t>FQN59_RS08535</t>
  </si>
  <si>
    <t>WP_008779022.1</t>
  </si>
  <si>
    <t>FQN59_RS08540</t>
  </si>
  <si>
    <t>WP_005863511.1</t>
  </si>
  <si>
    <t>FQN59_RS08545</t>
  </si>
  <si>
    <t>WP_005860121.1</t>
  </si>
  <si>
    <t>FQN59_RS08550</t>
  </si>
  <si>
    <t>WP_211738730.1</t>
  </si>
  <si>
    <t>FQN59_RS08555</t>
  </si>
  <si>
    <t>WP_211738731.1</t>
  </si>
  <si>
    <t>FQN59_RS08560</t>
  </si>
  <si>
    <t>WP_211738732.1</t>
  </si>
  <si>
    <t>FQN59_RS08565</t>
  </si>
  <si>
    <t>WP_211738733.1</t>
  </si>
  <si>
    <t>FQN59_RS08570</t>
  </si>
  <si>
    <t>WP_128577490.1</t>
  </si>
  <si>
    <t>FQN59_RS08575</t>
  </si>
  <si>
    <t>3-phosphoshikimate 1-carboxyvinyltransferase</t>
  </si>
  <si>
    <t>WP_009275210.1</t>
  </si>
  <si>
    <t>FQN59_RS08580</t>
  </si>
  <si>
    <t>WP_005860099.1</t>
  </si>
  <si>
    <t>FQN59_RS08585</t>
  </si>
  <si>
    <t>metal ABC transporter permease</t>
  </si>
  <si>
    <t>WP_005860097.1</t>
  </si>
  <si>
    <t>FQN59_RS08590</t>
  </si>
  <si>
    <t>WP_196009015.1</t>
  </si>
  <si>
    <t>FQN59_RS08595</t>
  </si>
  <si>
    <t>AI-2E family transporter</t>
  </si>
  <si>
    <t>WP_005863489.1</t>
  </si>
  <si>
    <t>FQN59_RS08600</t>
  </si>
  <si>
    <t>N-acetylglucosamine-6-phosphate deacetylase</t>
  </si>
  <si>
    <t>nagA</t>
  </si>
  <si>
    <t>WP_005863488.1</t>
  </si>
  <si>
    <t>FQN59_RS08605</t>
  </si>
  <si>
    <t>WP_005863487.1</t>
  </si>
  <si>
    <t>FQN59_RS08610</t>
  </si>
  <si>
    <t>Na/Pi cotransporter family protein</t>
  </si>
  <si>
    <t>WP_005863486.1</t>
  </si>
  <si>
    <t>FQN59_RS08615</t>
  </si>
  <si>
    <t>nucleoside kinase</t>
  </si>
  <si>
    <t>WP_008773059.1</t>
  </si>
  <si>
    <t>FQN59_RS08620</t>
  </si>
  <si>
    <t>WP_005863484.1</t>
  </si>
  <si>
    <t>FQN59_RS08625</t>
  </si>
  <si>
    <t>FQN59_RS08630</t>
  </si>
  <si>
    <t>FQN59_RS08635</t>
  </si>
  <si>
    <t>WP_211738734.1</t>
  </si>
  <si>
    <t>FQN59_RS08640</t>
  </si>
  <si>
    <t>WP_005863481.1</t>
  </si>
  <si>
    <t>FQN59_RS08645</t>
  </si>
  <si>
    <t>WP_005863480.1</t>
  </si>
  <si>
    <t>FQN59_RS08650</t>
  </si>
  <si>
    <t>WP_005863479.1</t>
  </si>
  <si>
    <t>FQN59_RS08655</t>
  </si>
  <si>
    <t>WP_211738735.1</t>
  </si>
  <si>
    <t>FQN59_RS08660</t>
  </si>
  <si>
    <t>WP_211738737.1</t>
  </si>
  <si>
    <t>FQN59_RS08665</t>
  </si>
  <si>
    <t>WP_211738739.1</t>
  </si>
  <si>
    <t>FQN59_RS08670</t>
  </si>
  <si>
    <t>WP_211738741.1</t>
  </si>
  <si>
    <t>FQN59_RS08675</t>
  </si>
  <si>
    <t>WP_211738743.1</t>
  </si>
  <si>
    <t>FQN59_RS08680</t>
  </si>
  <si>
    <t>WP_211738745.1</t>
  </si>
  <si>
    <t>FQN59_RS08685</t>
  </si>
  <si>
    <t>WP_211738746.1</t>
  </si>
  <si>
    <t>FQN59_RS08690</t>
  </si>
  <si>
    <t>WP_211738747.1</t>
  </si>
  <si>
    <t>FQN59_RS08695</t>
  </si>
  <si>
    <t>RNA polymerase factor sigma-54</t>
  </si>
  <si>
    <t>rpoN</t>
  </si>
  <si>
    <t>WP_005860047.1</t>
  </si>
  <si>
    <t>FQN59_RS08700</t>
  </si>
  <si>
    <t>WP_005863464.1</t>
  </si>
  <si>
    <t>FQN59_RS08705</t>
  </si>
  <si>
    <t>glycine cleavage system protein GcvH</t>
  </si>
  <si>
    <t>gcvH</t>
  </si>
  <si>
    <t>WP_005863462.1</t>
  </si>
  <si>
    <t>FQN59_RS08710</t>
  </si>
  <si>
    <t>5-(carboxyamino)imidazole ribonucleotide mutase</t>
  </si>
  <si>
    <t>purE</t>
  </si>
  <si>
    <t>WP_005860041.1</t>
  </si>
  <si>
    <t>FQN59_RS08715</t>
  </si>
  <si>
    <t>4-hydroxy-3-methylbut-2-en-1-yl diphosphate synthase</t>
  </si>
  <si>
    <t>WP_005863460.1</t>
  </si>
  <si>
    <t>FQN59_RS08720</t>
  </si>
  <si>
    <t>WP_005863458.1</t>
  </si>
  <si>
    <t>FQN59_RS08725</t>
  </si>
  <si>
    <t>WP_005863457.1</t>
  </si>
  <si>
    <t>FQN59_RS08730</t>
  </si>
  <si>
    <t>dUTP diphosphatase</t>
  </si>
  <si>
    <t>dut</t>
  </si>
  <si>
    <t>WP_005860037.1</t>
  </si>
  <si>
    <t>FQN59_RS08735</t>
  </si>
  <si>
    <t>WP_005863454.1</t>
  </si>
  <si>
    <t>FQN59_RS08740</t>
  </si>
  <si>
    <t>DUF4292 domain-containing protein</t>
  </si>
  <si>
    <t>WP_211738748.1</t>
  </si>
  <si>
    <t>FQN59_RS08745</t>
  </si>
  <si>
    <t>murein hydrolase activator EnvC family protein</t>
  </si>
  <si>
    <t>WP_211738749.1</t>
  </si>
  <si>
    <t>FQN59_RS08750</t>
  </si>
  <si>
    <t>phosphatidylinositol-specific phospholipase C/glycerophosphodiester phosphodiesterase family protein</t>
  </si>
  <si>
    <t>WP_211738750.1</t>
  </si>
  <si>
    <t>FQN59_RS08755</t>
  </si>
  <si>
    <t>MGH1-like glycoside hydrolase domain-containing protein</t>
  </si>
  <si>
    <t>WP_121773296.1</t>
  </si>
  <si>
    <t>FQN59_RS08760</t>
  </si>
  <si>
    <t>alkaline phosphatase</t>
  </si>
  <si>
    <t>WP_196007328.1</t>
  </si>
  <si>
    <t>FQN59_RS08765</t>
  </si>
  <si>
    <t>WP_211738751.1</t>
  </si>
  <si>
    <t>FQN59_RS08770</t>
  </si>
  <si>
    <t>WP_005863444.1</t>
  </si>
  <si>
    <t>FQN59_RS08775</t>
  </si>
  <si>
    <t>WP_005863443.1</t>
  </si>
  <si>
    <t>FQN59_RS08780</t>
  </si>
  <si>
    <t>FQN59_RS08785</t>
  </si>
  <si>
    <t>glucuronate isomerase</t>
  </si>
  <si>
    <t>uxaC</t>
  </si>
  <si>
    <t>WP_211738753.1</t>
  </si>
  <si>
    <t>FQN59_RS08790</t>
  </si>
  <si>
    <t>bifunctional 4-hydroxy-2-oxoglutarate aldolase/2-dehydro-3-deoxy-phosphogluconate aldolase</t>
  </si>
  <si>
    <t>WP_211738755.1</t>
  </si>
  <si>
    <t>FQN59_RS08795</t>
  </si>
  <si>
    <t>sugar kinase</t>
  </si>
  <si>
    <t>WP_048927014.1</t>
  </si>
  <si>
    <t>FQN59_RS08800</t>
  </si>
  <si>
    <t>WP_022192377.1</t>
  </si>
  <si>
    <t>FQN59_RS08805</t>
  </si>
  <si>
    <t>tRNA dihydrouridine synthase DusB</t>
  </si>
  <si>
    <t>dusB</t>
  </si>
  <si>
    <t>WP_211738756.1</t>
  </si>
  <si>
    <t>FQN59_RS08810</t>
  </si>
  <si>
    <t>peptidase U32 family protein</t>
  </si>
  <si>
    <t>WP_172618166.1</t>
  </si>
  <si>
    <t>FQN59_RS08815</t>
  </si>
  <si>
    <t>acyl-CoA thioesterase</t>
  </si>
  <si>
    <t>WP_048927016.1</t>
  </si>
  <si>
    <t>FQN59_RS08820</t>
  </si>
  <si>
    <t>DNA-processing protein DprA</t>
  </si>
  <si>
    <t>dprA</t>
  </si>
  <si>
    <t>WP_048927017.1</t>
  </si>
  <si>
    <t>FQN59_RS08825</t>
  </si>
  <si>
    <t>tRNA-Leu</t>
  </si>
  <si>
    <t>FQN59_RS08830</t>
  </si>
  <si>
    <t>WP_048927018.1</t>
  </si>
  <si>
    <t>FQN59_RS08835</t>
  </si>
  <si>
    <t>DUF3316 domain-containing protein</t>
  </si>
  <si>
    <t>WP_022192372.1</t>
  </si>
  <si>
    <t>FQN59_RS08840</t>
  </si>
  <si>
    <t>DNA gyrase/topoisomerase IV subunit A</t>
  </si>
  <si>
    <t>WP_048927019.1</t>
  </si>
  <si>
    <t>FQN59_RS08845</t>
  </si>
  <si>
    <t>WP_048927020.1</t>
  </si>
  <si>
    <t>FQN59_RS08850</t>
  </si>
  <si>
    <t>WP_048927214.1</t>
  </si>
  <si>
    <t>FQN59_RS08855</t>
  </si>
  <si>
    <t>WP_005863419.1</t>
  </si>
  <si>
    <t>FQN59_RS08860</t>
  </si>
  <si>
    <t>WP_227154496.1</t>
  </si>
  <si>
    <t>FQN59_RS22540</t>
  </si>
  <si>
    <t>WP_005863413.1</t>
  </si>
  <si>
    <t>FQN59_RS08870</t>
  </si>
  <si>
    <t>glycine--tRNA ligase</t>
  </si>
  <si>
    <t>WP_005863410.1</t>
  </si>
  <si>
    <t>FQN59_RS08875</t>
  </si>
  <si>
    <t>WP_008773016.1</t>
  </si>
  <si>
    <t>FQN59_RS08880</t>
  </si>
  <si>
    <t>WP_087344704.1</t>
  </si>
  <si>
    <t>FQN59_RS08885</t>
  </si>
  <si>
    <t>LiaF transmembrane domain-containing protein</t>
  </si>
  <si>
    <t>WP_034531861.1</t>
  </si>
  <si>
    <t>FQN59_RS08890</t>
  </si>
  <si>
    <t>FQN59_RS22935</t>
  </si>
  <si>
    <t>WP_211738758.1</t>
  </si>
  <si>
    <t>FQN59_RS08900</t>
  </si>
  <si>
    <t>WP_211738760.1</t>
  </si>
  <si>
    <t>FQN59_RS08905</t>
  </si>
  <si>
    <t>succinate dehydrogenase/fumarate reductase iron-sulfur subunit</t>
  </si>
  <si>
    <t>WP_005859980.1</t>
  </si>
  <si>
    <t>FQN59_RS08910</t>
  </si>
  <si>
    <t>fumarate reductase/succinate dehydrogenase flavoprotein subunit</t>
  </si>
  <si>
    <t>WP_005859978.1</t>
  </si>
  <si>
    <t>FQN59_RS08915</t>
  </si>
  <si>
    <t>succinate dehydrogenase cytochrome b subunit</t>
  </si>
  <si>
    <t>WP_005859976.1</t>
  </si>
  <si>
    <t>FQN59_RS08920</t>
  </si>
  <si>
    <t>WP_039848558.1</t>
  </si>
  <si>
    <t>FQN59_RS08925</t>
  </si>
  <si>
    <t>WP_211738762.1</t>
  </si>
  <si>
    <t>FQN59_RS08930</t>
  </si>
  <si>
    <t>energy transducer TonB</t>
  </si>
  <si>
    <t>WP_211738764.1</t>
  </si>
  <si>
    <t>FQN59_RS08935</t>
  </si>
  <si>
    <t>WP_005859967.1</t>
  </si>
  <si>
    <t>FQN59_RS08940</t>
  </si>
  <si>
    <t>TonB family protein</t>
  </si>
  <si>
    <t>WP_211738767.1</t>
  </si>
  <si>
    <t>FQN59_RS08945</t>
  </si>
  <si>
    <t>WP_196006557.1</t>
  </si>
  <si>
    <t>FQN59_RS08950</t>
  </si>
  <si>
    <t>WP_048927027.1</t>
  </si>
  <si>
    <t>FQN59_RS08955</t>
  </si>
  <si>
    <t>WP_211738769.1</t>
  </si>
  <si>
    <t>FQN59_RS08960</t>
  </si>
  <si>
    <t>DUF2461 domain-containing protein</t>
  </si>
  <si>
    <t>WP_005863382.1</t>
  </si>
  <si>
    <t>FQN59_RS08965</t>
  </si>
  <si>
    <t>BPL-N domain-containing protein</t>
  </si>
  <si>
    <t>WP_005863380.1</t>
  </si>
  <si>
    <t>FQN59_RS08970</t>
  </si>
  <si>
    <t>WP_211738771.1</t>
  </si>
  <si>
    <t>FQN59_RS08975</t>
  </si>
  <si>
    <t>DUF3836 domain-containing protein</t>
  </si>
  <si>
    <t>WP_005859949.1</t>
  </si>
  <si>
    <t>FQN59_RS08980</t>
  </si>
  <si>
    <t>TrpB-like pyridoxal phosphate-dependent enzyme</t>
  </si>
  <si>
    <t>WP_057328439.1</t>
  </si>
  <si>
    <t>FQN59_RS08985</t>
  </si>
  <si>
    <t>DcaP family trimeric outer membrane transporter</t>
  </si>
  <si>
    <t>WP_005859945.1</t>
  </si>
  <si>
    <t>FQN59_RS08990</t>
  </si>
  <si>
    <t>WP_057326164.1</t>
  </si>
  <si>
    <t>FQN59_RS08995</t>
  </si>
  <si>
    <t>aspartate-semialdehyde dehydrogenase</t>
  </si>
  <si>
    <t>WP_005859941.1</t>
  </si>
  <si>
    <t>FQN59_RS09000</t>
  </si>
  <si>
    <t>lamin tail domain-containing protein</t>
  </si>
  <si>
    <t>WP_211738773.1</t>
  </si>
  <si>
    <t>FQN59_RS09005</t>
  </si>
  <si>
    <t>WP_087344737.1</t>
  </si>
  <si>
    <t>FQN59_RS09010</t>
  </si>
  <si>
    <t>clostripain-related cysteine peptidase</t>
  </si>
  <si>
    <t>WP_211738775.1</t>
  </si>
  <si>
    <t>FQN59_RS09015</t>
  </si>
  <si>
    <t>PDDEXK nuclease domain-containing protein</t>
  </si>
  <si>
    <t>WP_197735325.1</t>
  </si>
  <si>
    <t>FQN59_RS09020</t>
  </si>
  <si>
    <t>WP_005863367.1</t>
  </si>
  <si>
    <t>FQN59_RS09025</t>
  </si>
  <si>
    <t>WP_121956061.1</t>
  </si>
  <si>
    <t>FQN59_RS09030</t>
  </si>
  <si>
    <t>WP_122378418.1</t>
  </si>
  <si>
    <t>FQN59_RS09035</t>
  </si>
  <si>
    <t>WP_211738777.1</t>
  </si>
  <si>
    <t>FQN59_RS09040</t>
  </si>
  <si>
    <t>WP_413641098.1</t>
  </si>
  <si>
    <t>FQN59_RS22940</t>
  </si>
  <si>
    <t>FQN59_RS09050</t>
  </si>
  <si>
    <t>FQN59_RS09055</t>
  </si>
  <si>
    <t>WP_087344766.1</t>
  </si>
  <si>
    <t>FQN59_RS09060</t>
  </si>
  <si>
    <t>DUF5119 domain-containing protein</t>
  </si>
  <si>
    <t>WP_121961174.1</t>
  </si>
  <si>
    <t>FQN59_RS09065</t>
  </si>
  <si>
    <t>WP_211738779.1</t>
  </si>
  <si>
    <t>FQN59_RS09070</t>
  </si>
  <si>
    <t>glycoside hydrolase family 10 protein</t>
  </si>
  <si>
    <t>WP_121961172.1</t>
  </si>
  <si>
    <t>FQN59_RS09075</t>
  </si>
  <si>
    <t>excinuclease ABC subunit UvrA</t>
  </si>
  <si>
    <t>uvrA</t>
  </si>
  <si>
    <t>WP_005859908.1</t>
  </si>
  <si>
    <t>FQN59_RS09080</t>
  </si>
  <si>
    <t>WP_005863343.1</t>
  </si>
  <si>
    <t>FQN59_RS09085</t>
  </si>
  <si>
    <t>WP_005863341.1</t>
  </si>
  <si>
    <t>FQN59_RS09090</t>
  </si>
  <si>
    <t>WP_005863339.1</t>
  </si>
  <si>
    <t>FQN59_RS09095</t>
  </si>
  <si>
    <t>WP_211738782.1</t>
  </si>
  <si>
    <t>FQN59_RS09100</t>
  </si>
  <si>
    <t>GTPase HflX</t>
  </si>
  <si>
    <t>hflX</t>
  </si>
  <si>
    <t>WP_005859898.1</t>
  </si>
  <si>
    <t>FQN59_RS09105</t>
  </si>
  <si>
    <t>DUF4954 family protein</t>
  </si>
  <si>
    <t>WP_211738784.1</t>
  </si>
  <si>
    <t>FQN59_RS09110</t>
  </si>
  <si>
    <t>WP_005863332.1</t>
  </si>
  <si>
    <t>FQN59_RS09115</t>
  </si>
  <si>
    <t>glucose-6-phosphate isomerase</t>
  </si>
  <si>
    <t>WP_211738786.1</t>
  </si>
  <si>
    <t>FQN59_RS09120</t>
  </si>
  <si>
    <t>WP_009016585.1</t>
  </si>
  <si>
    <t>FQN59_RS09125</t>
  </si>
  <si>
    <t>glucose-6-phosphate isomerase family protein</t>
  </si>
  <si>
    <t>WP_211738788.1</t>
  </si>
  <si>
    <t>FQN59_RS09130</t>
  </si>
  <si>
    <t>sugar porter family MFS transporter</t>
  </si>
  <si>
    <t>WP_211738790.1</t>
  </si>
  <si>
    <t>FQN59_RS09135</t>
  </si>
  <si>
    <t>cellulase-like family protein</t>
  </si>
  <si>
    <t>WP_121962429.1</t>
  </si>
  <si>
    <t>FQN59_RS09140</t>
  </si>
  <si>
    <t>WP_249222539.1</t>
  </si>
  <si>
    <t>FQN59_RS09145</t>
  </si>
  <si>
    <t>WP_249222540.1</t>
  </si>
  <si>
    <t>FQN59_RS09150</t>
  </si>
  <si>
    <t>WP_249222541.1</t>
  </si>
  <si>
    <t>FQN59_RS22555</t>
  </si>
  <si>
    <t>WP_005863316.1</t>
  </si>
  <si>
    <t>FQN59_RS09155</t>
  </si>
  <si>
    <t>WP_034531679.1</t>
  </si>
  <si>
    <t>FQN59_RS09160</t>
  </si>
  <si>
    <t>site-specific tyrosine recombinase XerD</t>
  </si>
  <si>
    <t>xerD</t>
  </si>
  <si>
    <t>WP_005859891.1</t>
  </si>
  <si>
    <t>FQN59_RS09165</t>
  </si>
  <si>
    <t>type II 3-dehydroquinate dehydratase</t>
  </si>
  <si>
    <t>aroQ</t>
  </si>
  <si>
    <t>WP_048927048.1</t>
  </si>
  <si>
    <t>FQN59_RS09170</t>
  </si>
  <si>
    <t>pyruvate kinase</t>
  </si>
  <si>
    <t>pyk</t>
  </si>
  <si>
    <t>WP_005859887.1</t>
  </si>
  <si>
    <t>FQN59_RS09175</t>
  </si>
  <si>
    <t>O-methyltransferase</t>
  </si>
  <si>
    <t>WP_005859885.1</t>
  </si>
  <si>
    <t>FQN59_RS09180</t>
  </si>
  <si>
    <t>30S ribosome-binding factor RbfA</t>
  </si>
  <si>
    <t>rbfA</t>
  </si>
  <si>
    <t>WP_048927049.1</t>
  </si>
  <si>
    <t>FQN59_RS09185</t>
  </si>
  <si>
    <t>WP_008778805.1</t>
  </si>
  <si>
    <t>FQN59_RS09190</t>
  </si>
  <si>
    <t>WP_009016577.1</t>
  </si>
  <si>
    <t>FQN59_RS09195</t>
  </si>
  <si>
    <t>FQN59_RS09200</t>
  </si>
  <si>
    <t>FQN59_RS09205</t>
  </si>
  <si>
    <t>WP_011967264.1</t>
  </si>
  <si>
    <t>FQN59_RS09210</t>
  </si>
  <si>
    <t>WP_211738793.1</t>
  </si>
  <si>
    <t>FQN59_RS09215</t>
  </si>
  <si>
    <t>FQN59_RS09220</t>
  </si>
  <si>
    <t>WP_048927051.1</t>
  </si>
  <si>
    <t>FQN59_RS09230</t>
  </si>
  <si>
    <t>WP_008777734.1</t>
  </si>
  <si>
    <t>FQN59_RS09235</t>
  </si>
  <si>
    <t>DUF6582 domain-containing protein</t>
  </si>
  <si>
    <t>WP_005859868.1</t>
  </si>
  <si>
    <t>FQN59_RS09240</t>
  </si>
  <si>
    <t>chloramphenicol acetyltransferase</t>
  </si>
  <si>
    <t>WP_008779104.1</t>
  </si>
  <si>
    <t>FQN59_RS09245</t>
  </si>
  <si>
    <t>WP_008772942.1</t>
  </si>
  <si>
    <t>FQN59_RS09250</t>
  </si>
  <si>
    <t>nitrilase family protein</t>
  </si>
  <si>
    <t>WP_121772097.1</t>
  </si>
  <si>
    <t>FQN59_RS09255</t>
  </si>
  <si>
    <t>WP_005863273.1</t>
  </si>
  <si>
    <t>FQN59_RS09260</t>
  </si>
  <si>
    <t>WP_211738797.1</t>
  </si>
  <si>
    <t>FQN59_RS09265</t>
  </si>
  <si>
    <t>gliding motility protein GldN</t>
  </si>
  <si>
    <t>gldN</t>
  </si>
  <si>
    <t>WP_005863269.1</t>
  </si>
  <si>
    <t>FQN59_RS09270</t>
  </si>
  <si>
    <t>gliding motility protein GldM</t>
  </si>
  <si>
    <t>gldM</t>
  </si>
  <si>
    <t>WP_005859860.1</t>
  </si>
  <si>
    <t>FQN59_RS09275</t>
  </si>
  <si>
    <t>gliding motility protein GldL</t>
  </si>
  <si>
    <t>gldL</t>
  </si>
  <si>
    <t>WP_008777735.1</t>
  </si>
  <si>
    <t>FQN59_RS09280</t>
  </si>
  <si>
    <t>WP_005863265.1</t>
  </si>
  <si>
    <t>FQN59_RS09285</t>
  </si>
  <si>
    <t>PorP/SprF family type IX secretion system membrane protein</t>
  </si>
  <si>
    <t>WP_008777736.1</t>
  </si>
  <si>
    <t>FQN59_RS09290</t>
  </si>
  <si>
    <t>DUF2795 domain-containing protein</t>
  </si>
  <si>
    <t>WP_005633363.1</t>
  </si>
  <si>
    <t>FQN59_RS09295</t>
  </si>
  <si>
    <t>cob(I)yrinic acid a,c-diamide adenosyltransferase</t>
  </si>
  <si>
    <t>WP_005859850.1</t>
  </si>
  <si>
    <t>FQN59_RS09300</t>
  </si>
  <si>
    <t>WP_005863261.1</t>
  </si>
  <si>
    <t>FQN59_RS09305</t>
  </si>
  <si>
    <t>WP_036618744.1</t>
  </si>
  <si>
    <t>FQN59_RS09310</t>
  </si>
  <si>
    <t>WP_057326127.1</t>
  </si>
  <si>
    <t>FQN59_RS09315</t>
  </si>
  <si>
    <t>WP_034530110.1</t>
  </si>
  <si>
    <t>FQN59_RS09320</t>
  </si>
  <si>
    <t>WP_211738799.1</t>
  </si>
  <si>
    <t>FQN59_RS09325</t>
  </si>
  <si>
    <t>sodium:solute symporter family protein</t>
  </si>
  <si>
    <t>WP_122143845.1</t>
  </si>
  <si>
    <t>FQN59_RS09330</t>
  </si>
  <si>
    <t>WP_005863247.1</t>
  </si>
  <si>
    <t>FQN59_RS09335</t>
  </si>
  <si>
    <t>tRNA-dependent cyclodipeptide synthase</t>
  </si>
  <si>
    <t>WP_122143846.1</t>
  </si>
  <si>
    <t>FQN59_RS09340</t>
  </si>
  <si>
    <t>WP_232054473.1</t>
  </si>
  <si>
    <t>FQN59_RS09345</t>
  </si>
  <si>
    <t>potassium/proton antiporter</t>
  </si>
  <si>
    <t>WP_005863241.1</t>
  </si>
  <si>
    <t>FQN59_RS09350</t>
  </si>
  <si>
    <t>beta-L-arabinofuranosidase domain-containing protein</t>
  </si>
  <si>
    <t>WP_005863239.1</t>
  </si>
  <si>
    <t>FQN59_RS09355</t>
  </si>
  <si>
    <t>glycoside hydrolase family 127 protein</t>
  </si>
  <si>
    <t>WP_122380216.1</t>
  </si>
  <si>
    <t>FQN59_RS09360</t>
  </si>
  <si>
    <t>WP_005863235.1</t>
  </si>
  <si>
    <t>FQN59_RS09365</t>
  </si>
  <si>
    <t>WP_211738801.1</t>
  </si>
  <si>
    <t>FQN59_RS09370</t>
  </si>
  <si>
    <t>WP_008772924.1</t>
  </si>
  <si>
    <t>FQN59_RS09375</t>
  </si>
  <si>
    <t>WP_005867296.1</t>
  </si>
  <si>
    <t>FQN59_RS09380</t>
  </si>
  <si>
    <t>amylo-alpha-1,6-glucosidase</t>
  </si>
  <si>
    <t>WP_122143852.1</t>
  </si>
  <si>
    <t>FQN59_RS09385</t>
  </si>
  <si>
    <t>WP_158532704.1</t>
  </si>
  <si>
    <t>FQN59_RS09390</t>
  </si>
  <si>
    <t>WP_232299930.1</t>
  </si>
  <si>
    <t>FQN59_RS09395</t>
  </si>
  <si>
    <t>WP_009275289.1</t>
  </si>
  <si>
    <t>FQN59_RS09400</t>
  </si>
  <si>
    <t>WP_009016548.1</t>
  </si>
  <si>
    <t>FQN59_RS09405</t>
  </si>
  <si>
    <t>PglZ domain-containing protein</t>
  </si>
  <si>
    <t>WP_005867323.1</t>
  </si>
  <si>
    <t>FQN59_RS09410</t>
  </si>
  <si>
    <t>WP_036617276.1</t>
  </si>
  <si>
    <t>FQN59_RS09415</t>
  </si>
  <si>
    <t>WP_036617273.1</t>
  </si>
  <si>
    <t>FQN59_RS09420</t>
  </si>
  <si>
    <t>tRNA (adenosine(37)-N6)-threonylcarbamoyltransferase complex ATPase subunit type 1 TsaE</t>
  </si>
  <si>
    <t>tsaE</t>
  </si>
  <si>
    <t>WP_048927062.1</t>
  </si>
  <si>
    <t>FQN59_RS09425</t>
  </si>
  <si>
    <t>immunity 17 family protein</t>
  </si>
  <si>
    <t>WP_005859813.1</t>
  </si>
  <si>
    <t>FQN59_RS09430</t>
  </si>
  <si>
    <t>ribonuclease R</t>
  </si>
  <si>
    <t>rnr</t>
  </si>
  <si>
    <t>WP_121960685.1</t>
  </si>
  <si>
    <t>FQN59_RS09435</t>
  </si>
  <si>
    <t>WP_005859808.1</t>
  </si>
  <si>
    <t>FQN59_RS09440</t>
  </si>
  <si>
    <t>WP_005859806.1</t>
  </si>
  <si>
    <t>FQN59_RS09445</t>
  </si>
  <si>
    <t>DNA topoisomerase IV subunit B</t>
  </si>
  <si>
    <t>WP_005859805.1</t>
  </si>
  <si>
    <t>FQN59_RS09450</t>
  </si>
  <si>
    <t>pantetheine-phosphate adenylyltransferase</t>
  </si>
  <si>
    <t>coaD</t>
  </si>
  <si>
    <t>WP_005859804.1</t>
  </si>
  <si>
    <t>FQN59_RS09455</t>
  </si>
  <si>
    <t>WP_036630834.1</t>
  </si>
  <si>
    <t>FQN59_RS09460</t>
  </si>
  <si>
    <t>chromate transporter</t>
  </si>
  <si>
    <t>WP_005859800.1</t>
  </si>
  <si>
    <t>FQN59_RS09465</t>
  </si>
  <si>
    <t>WP_022192757.1</t>
  </si>
  <si>
    <t>FQN59_RS09470</t>
  </si>
  <si>
    <t>WP_211738803.1</t>
  </si>
  <si>
    <t>FQN59_RS09475</t>
  </si>
  <si>
    <t>WP_005867336.1</t>
  </si>
  <si>
    <t>FQN59_RS09480</t>
  </si>
  <si>
    <t>WP_005867337.1</t>
  </si>
  <si>
    <t>FQN59_RS09485</t>
  </si>
  <si>
    <t>WP_009275295.1</t>
  </si>
  <si>
    <t>FQN59_RS09490</t>
  </si>
  <si>
    <t>WP_122377471.1</t>
  </si>
  <si>
    <t>FQN59_RS09495</t>
  </si>
  <si>
    <t>WP_211738805.1</t>
  </si>
  <si>
    <t>FQN59_RS09500</t>
  </si>
  <si>
    <t>D-alanyl-D-alanine carboxypeptidase/D-alanyl-D-alanine endopeptidase</t>
  </si>
  <si>
    <t>dacB</t>
  </si>
  <si>
    <t>WP_211738807.1</t>
  </si>
  <si>
    <t>FQN59_RS09505</t>
  </si>
  <si>
    <t>WP_005867343.1</t>
  </si>
  <si>
    <t>FQN59_RS09510</t>
  </si>
  <si>
    <t>tRNA-Lys</t>
  </si>
  <si>
    <t>FQN59_RS09515</t>
  </si>
  <si>
    <t>WP_211738809.1</t>
  </si>
  <si>
    <t>FQN59_RS09520</t>
  </si>
  <si>
    <t>WP_004293696.1</t>
  </si>
  <si>
    <t>FQN59_RS09525</t>
  </si>
  <si>
    <t>WP_211738811.1</t>
  </si>
  <si>
    <t>FQN59_RS09530</t>
  </si>
  <si>
    <t>WP_036610024.1</t>
  </si>
  <si>
    <t>FQN59_RS09535</t>
  </si>
  <si>
    <t>LuxR C-terminal-related transcriptional regulator</t>
  </si>
  <si>
    <t>WP_211738813.1</t>
  </si>
  <si>
    <t>FQN59_RS09540</t>
  </si>
  <si>
    <t>phosphoglycerate mutase family protein</t>
  </si>
  <si>
    <t>WP_211738815.1</t>
  </si>
  <si>
    <t>FQN59_RS09545</t>
  </si>
  <si>
    <t>HelD family protein</t>
  </si>
  <si>
    <t>WP_211738817.1</t>
  </si>
  <si>
    <t>FQN59_RS09550</t>
  </si>
  <si>
    <t>TetR/AcrR family transcriptional regulator</t>
  </si>
  <si>
    <t>WP_211738819.1</t>
  </si>
  <si>
    <t>FQN59_RS09555</t>
  </si>
  <si>
    <t>Acg family FMN-binding oxidoreductase</t>
  </si>
  <si>
    <t>WP_211738821.1</t>
  </si>
  <si>
    <t>FQN59_RS09560</t>
  </si>
  <si>
    <t>WP_211738823.1</t>
  </si>
  <si>
    <t>FQN59_RS09565</t>
  </si>
  <si>
    <t>WP_211738825.1</t>
  </si>
  <si>
    <t>FQN59_RS09570</t>
  </si>
  <si>
    <t>WP_211738827.1</t>
  </si>
  <si>
    <t>FQN59_RS09575</t>
  </si>
  <si>
    <t>CatB-related O-acetyltransferase</t>
  </si>
  <si>
    <t>WP_211738829.1</t>
  </si>
  <si>
    <t>FQN59_RS09580</t>
  </si>
  <si>
    <t>WP_211738831.1</t>
  </si>
  <si>
    <t>FQN59_RS09585</t>
  </si>
  <si>
    <t>WP_211738833.1</t>
  </si>
  <si>
    <t>FQN59_RS09590</t>
  </si>
  <si>
    <t>WP_005679707.1</t>
  </si>
  <si>
    <t>FQN59_RS09595</t>
  </si>
  <si>
    <t>BfmA/BtgA family mobilization protein</t>
  </si>
  <si>
    <t>WP_211738835.1</t>
  </si>
  <si>
    <t>FQN59_RS09600</t>
  </si>
  <si>
    <t>DUF5712 family protein</t>
  </si>
  <si>
    <t>WP_211738837.1</t>
  </si>
  <si>
    <t>FQN59_RS09605</t>
  </si>
  <si>
    <t>WP_211738839.1</t>
  </si>
  <si>
    <t>FQN59_RS09610</t>
  </si>
  <si>
    <t>WP_211738841.1</t>
  </si>
  <si>
    <t>FQN59_RS09615</t>
  </si>
  <si>
    <t>WP_211738843.1</t>
  </si>
  <si>
    <t>FQN59_RS09620</t>
  </si>
  <si>
    <t>BbrUII/HgiDII family restriction enzyme</t>
  </si>
  <si>
    <t>WP_211738844.1</t>
  </si>
  <si>
    <t>FQN59_RS09625</t>
  </si>
  <si>
    <t>WP_057326145.1</t>
  </si>
  <si>
    <t>FQN59_RS09630</t>
  </si>
  <si>
    <t>WP_211738845.1</t>
  </si>
  <si>
    <t>FQN59_RS09635</t>
  </si>
  <si>
    <t>WP_211738846.1</t>
  </si>
  <si>
    <t>FQN59_RS09640</t>
  </si>
  <si>
    <t>WP_211738847.1</t>
  </si>
  <si>
    <t>FQN59_RS09645</t>
  </si>
  <si>
    <t>PfkB family carbohydrate kinase</t>
  </si>
  <si>
    <t>WP_036614664.1</t>
  </si>
  <si>
    <t>FQN59_RS09650</t>
  </si>
  <si>
    <t>WP_249222542.1</t>
  </si>
  <si>
    <t>FQN59_RS09655</t>
  </si>
  <si>
    <t>DUF2339 domain-containing protein</t>
  </si>
  <si>
    <t>WP_211738848.1</t>
  </si>
  <si>
    <t>FQN59_RS09660</t>
  </si>
  <si>
    <t>UDP-N-acetylmuramoyl-tripeptide--D-alanyl-D-alanine ligase</t>
  </si>
  <si>
    <t>WP_005859772.1</t>
  </si>
  <si>
    <t>FQN59_RS09665</t>
  </si>
  <si>
    <t>dihydropteroate synthase</t>
  </si>
  <si>
    <t>folP</t>
  </si>
  <si>
    <t>WP_211738849.1</t>
  </si>
  <si>
    <t>FQN59_RS09670</t>
  </si>
  <si>
    <t>diadenylate cyclase CdaA</t>
  </si>
  <si>
    <t>cdaA</t>
  </si>
  <si>
    <t>WP_008779131.1</t>
  </si>
  <si>
    <t>FQN59_RS09675</t>
  </si>
  <si>
    <t>phosphate acetyltransferase</t>
  </si>
  <si>
    <t>pta</t>
  </si>
  <si>
    <t>WP_005867355.1</t>
  </si>
  <si>
    <t>FQN59_RS09680</t>
  </si>
  <si>
    <t>acetate/propionate family kinase</t>
  </si>
  <si>
    <t>WP_036614670.1</t>
  </si>
  <si>
    <t>FQN59_RS09685</t>
  </si>
  <si>
    <t>WP_005867359.1</t>
  </si>
  <si>
    <t>FQN59_RS09690</t>
  </si>
  <si>
    <t>WP_005867361.1</t>
  </si>
  <si>
    <t>FQN59_RS09695</t>
  </si>
  <si>
    <t>UMP kinase</t>
  </si>
  <si>
    <t>pyrH</t>
  </si>
  <si>
    <t>WP_005867363.1</t>
  </si>
  <si>
    <t>FQN59_RS09700</t>
  </si>
  <si>
    <t>WP_211738851.1</t>
  </si>
  <si>
    <t>FQN59_RS09705</t>
  </si>
  <si>
    <t>DUF4980 domain-containing protein</t>
  </si>
  <si>
    <t>WP_211738853.1</t>
  </si>
  <si>
    <t>FQN59_RS09710</t>
  </si>
  <si>
    <t>WP_121961585.1</t>
  </si>
  <si>
    <t>FQN59_RS09715</t>
  </si>
  <si>
    <t>WP_211738855.1</t>
  </si>
  <si>
    <t>FQN59_RS09720</t>
  </si>
  <si>
    <t>ribosome recycling factor</t>
  </si>
  <si>
    <t>frr</t>
  </si>
  <si>
    <t>WP_211738857.1</t>
  </si>
  <si>
    <t>FQN59_RS09725</t>
  </si>
  <si>
    <t>ribosome small subunit-dependent GTPase A</t>
  </si>
  <si>
    <t>rsgA</t>
  </si>
  <si>
    <t>WP_005867373.1</t>
  </si>
  <si>
    <t>FQN59_RS09730</t>
  </si>
  <si>
    <t>dGTP triphosphohydrolase</t>
  </si>
  <si>
    <t>dgt</t>
  </si>
  <si>
    <t>WP_211738859.1</t>
  </si>
  <si>
    <t>FQN59_RS09735</t>
  </si>
  <si>
    <t>WP_048927092.1</t>
  </si>
  <si>
    <t>FQN59_RS09740</t>
  </si>
  <si>
    <t>WP_036614774.1</t>
  </si>
  <si>
    <t>FQN59_RS09745</t>
  </si>
  <si>
    <t>WP_211738861.1</t>
  </si>
  <si>
    <t>FQN59_RS09750</t>
  </si>
  <si>
    <t>L-threonylcarbamoyladenylate synthase</t>
  </si>
  <si>
    <t>WP_008779135.1</t>
  </si>
  <si>
    <t>FQN59_RS09755</t>
  </si>
  <si>
    <t>enoyl-ACP reductase FabI</t>
  </si>
  <si>
    <t>WP_008779136.1</t>
  </si>
  <si>
    <t>FQN59_RS09760</t>
  </si>
  <si>
    <t>bifunctional UDP-N-acetylmuramoyl-tripeptide:D-alanyl-D-alanine ligase/alanine racemase</t>
  </si>
  <si>
    <t>WP_122380195.1</t>
  </si>
  <si>
    <t>FQN59_RS09765</t>
  </si>
  <si>
    <t>GSCFA domain-containing protein</t>
  </si>
  <si>
    <t>WP_008779137.1</t>
  </si>
  <si>
    <t>FQN59_RS09770</t>
  </si>
  <si>
    <t>basic secretory family protein</t>
  </si>
  <si>
    <t>WP_009016816.1</t>
  </si>
  <si>
    <t>FQN59_RS09775</t>
  </si>
  <si>
    <t>WP_211738864.1</t>
  </si>
  <si>
    <t>FQN59_RS09780</t>
  </si>
  <si>
    <t>WP_005859723.1</t>
  </si>
  <si>
    <t>FQN59_RS09785</t>
  </si>
  <si>
    <t>WP_036614798.1</t>
  </si>
  <si>
    <t>FQN59_RS09790</t>
  </si>
  <si>
    <t>WP_416339353.1</t>
  </si>
  <si>
    <t>FQN59_RS09795</t>
  </si>
  <si>
    <t>WP_211738866.1</t>
  </si>
  <si>
    <t>FQN59_RS09800</t>
  </si>
  <si>
    <t>formate C-acetyltransferase</t>
  </si>
  <si>
    <t>pflB</t>
  </si>
  <si>
    <t>WP_211738868.1</t>
  </si>
  <si>
    <t>FQN59_RS09805</t>
  </si>
  <si>
    <t>pyruvate formate-lyase-activating protein</t>
  </si>
  <si>
    <t>pflA</t>
  </si>
  <si>
    <t>WP_005867396.1</t>
  </si>
  <si>
    <t>FQN59_RS09810</t>
  </si>
  <si>
    <t>WP_008777750.1</t>
  </si>
  <si>
    <t>FQN59_RS09815</t>
  </si>
  <si>
    <t>WP_005867398.1</t>
  </si>
  <si>
    <t>FQN59_RS09820</t>
  </si>
  <si>
    <t>alkyl hydroperoxide reductase subunit C</t>
  </si>
  <si>
    <t>ahpC</t>
  </si>
  <si>
    <t>WP_005867400.1</t>
  </si>
  <si>
    <t>FQN59_RS09825</t>
  </si>
  <si>
    <t>alkyl hydroperoxide reductase subunit F</t>
  </si>
  <si>
    <t>ahpF</t>
  </si>
  <si>
    <t>WP_057326154.1</t>
  </si>
  <si>
    <t>FQN59_RS09830</t>
  </si>
  <si>
    <t>WP_005867403.1</t>
  </si>
  <si>
    <t>FQN59_RS09835</t>
  </si>
  <si>
    <t>WP_211738870.1</t>
  </si>
  <si>
    <t>FQN59_RS09840</t>
  </si>
  <si>
    <t>WP_005859698.1</t>
  </si>
  <si>
    <t>FQN59_RS09845</t>
  </si>
  <si>
    <t>WP_211738872.1</t>
  </si>
  <si>
    <t>FQN59_RS09850</t>
  </si>
  <si>
    <t>DUF4374 domain-containing protein</t>
  </si>
  <si>
    <t>WP_044545610.1</t>
  </si>
  <si>
    <t>FQN59_RS09855</t>
  </si>
  <si>
    <t>WP_057326155.1</t>
  </si>
  <si>
    <t>FQN59_RS09860</t>
  </si>
  <si>
    <t>PepSY-associated TM helix domain-containing protein</t>
  </si>
  <si>
    <t>WP_057326156.1</t>
  </si>
  <si>
    <t>FQN59_RS09865</t>
  </si>
  <si>
    <t>flavodoxin FldA</t>
  </si>
  <si>
    <t>fldA</t>
  </si>
  <si>
    <t>WP_005859688.1</t>
  </si>
  <si>
    <t>FQN59_RS09870</t>
  </si>
  <si>
    <t>WP_229040457.1</t>
  </si>
  <si>
    <t>FQN59_RS09875</t>
  </si>
  <si>
    <t>WP_195319839.1</t>
  </si>
  <si>
    <t>FQN59_RS09880</t>
  </si>
  <si>
    <t>PHP domain-containing protein</t>
  </si>
  <si>
    <t>WP_044546544.1</t>
  </si>
  <si>
    <t>FQN59_RS09885</t>
  </si>
  <si>
    <t>WP_211738874.1</t>
  </si>
  <si>
    <t>FQN59_RS09890</t>
  </si>
  <si>
    <t>WP_211738875.1</t>
  </si>
  <si>
    <t>FQN59_RS09895</t>
  </si>
  <si>
    <t>WP_227154235.1</t>
  </si>
  <si>
    <t>FQN59_RS09900</t>
  </si>
  <si>
    <t>DUF2284 domain-containing protein</t>
  </si>
  <si>
    <t>WP_009016835.1</t>
  </si>
  <si>
    <t>FQN59_RS09905</t>
  </si>
  <si>
    <t>WP_009016836.1</t>
  </si>
  <si>
    <t>FQN59_RS09910</t>
  </si>
  <si>
    <t>WP_044544887.1</t>
  </si>
  <si>
    <t>FQN59_RS09915</t>
  </si>
  <si>
    <t>TonB-dependent siderophore receptor</t>
  </si>
  <si>
    <t>WP_211738876.1</t>
  </si>
  <si>
    <t>FQN59_RS09920</t>
  </si>
  <si>
    <t>threonine/serine ThrE exporter family protein</t>
  </si>
  <si>
    <t>WP_044544886.1</t>
  </si>
  <si>
    <t>FQN59_RS09925</t>
  </si>
  <si>
    <t>WP_044544885.1</t>
  </si>
  <si>
    <t>FQN59_RS09930</t>
  </si>
  <si>
    <t>WP_044544884.1</t>
  </si>
  <si>
    <t>FQN59_RS09935</t>
  </si>
  <si>
    <t>WP_039848533.1</t>
  </si>
  <si>
    <t>FQN59_RS09940</t>
  </si>
  <si>
    <t>WP_044544883.1</t>
  </si>
  <si>
    <t>FQN59_RS09945</t>
  </si>
  <si>
    <t>anaerobic ribonucleoside-triphosphate reductase activating protein</t>
  </si>
  <si>
    <t>nrdG</t>
  </si>
  <si>
    <t>WP_005859652.1</t>
  </si>
  <si>
    <t>FQN59_RS09950</t>
  </si>
  <si>
    <t>anaerobic ribonucleoside triphosphate reductase</t>
  </si>
  <si>
    <t>WP_211738877.1</t>
  </si>
  <si>
    <t>FQN59_RS09955</t>
  </si>
  <si>
    <t>WP_211738878.1</t>
  </si>
  <si>
    <t>FQN59_RS09960</t>
  </si>
  <si>
    <t>sirohydrochlorin cobaltochelatase</t>
  </si>
  <si>
    <t>WP_122268322.1</t>
  </si>
  <si>
    <t>FQN59_RS09965</t>
  </si>
  <si>
    <t>WP_211738879.1</t>
  </si>
  <si>
    <t>FQN59_RS09970</t>
  </si>
  <si>
    <t>FQN59_RS09975</t>
  </si>
  <si>
    <t>DnaJ domain-containing protein</t>
  </si>
  <si>
    <t>WP_005867440.1</t>
  </si>
  <si>
    <t>FQN59_RS09980</t>
  </si>
  <si>
    <t>WP_048927107.1</t>
  </si>
  <si>
    <t>FQN59_RS09985</t>
  </si>
  <si>
    <t>WP_211738881.1</t>
  </si>
  <si>
    <t>FQN59_RS09990</t>
  </si>
  <si>
    <t>WP_211738883.1</t>
  </si>
  <si>
    <t>FQN59_RS09995</t>
  </si>
  <si>
    <t>FQN59_RS22840</t>
  </si>
  <si>
    <t>acetyl-CoA carboxylase biotin carboxylase subunit</t>
  </si>
  <si>
    <t>accC</t>
  </si>
  <si>
    <t>WP_008777846.1</t>
  </si>
  <si>
    <t>FQN59_RS10000</t>
  </si>
  <si>
    <t>WP_005859628.1</t>
  </si>
  <si>
    <t>FQN59_RS10005</t>
  </si>
  <si>
    <t>WP_005859626.1</t>
  </si>
  <si>
    <t>FQN59_RS10010</t>
  </si>
  <si>
    <t>putative transporter</t>
  </si>
  <si>
    <t>WP_211738885.1</t>
  </si>
  <si>
    <t>FQN59_RS10015</t>
  </si>
  <si>
    <t>WP_034526476.1</t>
  </si>
  <si>
    <t>FQN59_RS10020</t>
  </si>
  <si>
    <t>WP_005859612.1</t>
  </si>
  <si>
    <t>FQN59_RS10025</t>
  </si>
  <si>
    <t>ABC transporter substrate-binding protein</t>
  </si>
  <si>
    <t>WP_005867452.1</t>
  </si>
  <si>
    <t>FQN59_RS10030</t>
  </si>
  <si>
    <t>FAD-binding and (Fe-S)-binding domain-containing protein</t>
  </si>
  <si>
    <t>WP_211738887.1</t>
  </si>
  <si>
    <t>FQN59_RS10035</t>
  </si>
  <si>
    <t>NAD(P)/FAD-dependent oxidoreductase</t>
  </si>
  <si>
    <t>WP_008772856.1</t>
  </si>
  <si>
    <t>FQN59_RS10040</t>
  </si>
  <si>
    <t>WP_211738889.1</t>
  </si>
  <si>
    <t>FQN59_RS10045</t>
  </si>
  <si>
    <t>WP_005867460.1</t>
  </si>
  <si>
    <t>FQN59_RS10050</t>
  </si>
  <si>
    <t>WP_048927111.1</t>
  </si>
  <si>
    <t>FQN59_RS10055</t>
  </si>
  <si>
    <t>WP_199486262.1</t>
  </si>
  <si>
    <t>FQN59_RS10060</t>
  </si>
  <si>
    <t>WP_211738891.1</t>
  </si>
  <si>
    <t>FQN59_RS10065</t>
  </si>
  <si>
    <t>WP_211738893.1</t>
  </si>
  <si>
    <t>FQN59_RS10070</t>
  </si>
  <si>
    <t>WP_249222544.1</t>
  </si>
  <si>
    <t>FQN59_RS22560</t>
  </si>
  <si>
    <t>WP_211738895.1</t>
  </si>
  <si>
    <t>FQN59_RS10080</t>
  </si>
  <si>
    <t>WP_147331035.1</t>
  </si>
  <si>
    <t>FQN59_RS10085</t>
  </si>
  <si>
    <t>WP_121961557.1</t>
  </si>
  <si>
    <t>FQN59_RS10090</t>
  </si>
  <si>
    <t>WP_121961556.1</t>
  </si>
  <si>
    <t>FQN59_RS10095</t>
  </si>
  <si>
    <t>WP_005867468.1</t>
  </si>
  <si>
    <t>FQN59_RS10100</t>
  </si>
  <si>
    <t>WP_057326219.1</t>
  </si>
  <si>
    <t>FQN59_RS10105</t>
  </si>
  <si>
    <t>WP_008772846.1</t>
  </si>
  <si>
    <t>FQN59_RS10110</t>
  </si>
  <si>
    <t>WP_009016859.1</t>
  </si>
  <si>
    <t>FQN59_RS10115</t>
  </si>
  <si>
    <t>WP_044545980.1</t>
  </si>
  <si>
    <t>FQN59_RS10120</t>
  </si>
  <si>
    <t>WP_057319078.1</t>
  </si>
  <si>
    <t>FQN59_RS10125</t>
  </si>
  <si>
    <t>WP_005859567.1</t>
  </si>
  <si>
    <t>FQN59_RS10130</t>
  </si>
  <si>
    <t>WP_005859565.1</t>
  </si>
  <si>
    <t>FQN59_RS10135</t>
  </si>
  <si>
    <t>WP_005859563.1</t>
  </si>
  <si>
    <t>FQN59_RS10140</t>
  </si>
  <si>
    <t>TolB-like 6-bladed beta-propeller domain-containing protein</t>
  </si>
  <si>
    <t>WP_005867481.1</t>
  </si>
  <si>
    <t>FQN59_RS10145</t>
  </si>
  <si>
    <t>WP_005867482.1</t>
  </si>
  <si>
    <t>FQN59_RS10150</t>
  </si>
  <si>
    <t>WP_224201987.1</t>
  </si>
  <si>
    <t>FQN59_RS10155</t>
  </si>
  <si>
    <t>WP_005859561.1</t>
  </si>
  <si>
    <t>FQN59_RS10160</t>
  </si>
  <si>
    <t>DUF4933 domain-containing protein</t>
  </si>
  <si>
    <t>WP_009275353.1</t>
  </si>
  <si>
    <t>FQN59_RS10165</t>
  </si>
  <si>
    <t>WP_048927115.1</t>
  </si>
  <si>
    <t>FQN59_RS10170</t>
  </si>
  <si>
    <t>PAAR domain-containing protein</t>
  </si>
  <si>
    <t>WP_005859557.1</t>
  </si>
  <si>
    <t>FQN59_RS10175</t>
  </si>
  <si>
    <t>tryptophan--tRNA ligase</t>
  </si>
  <si>
    <t>trpS</t>
  </si>
  <si>
    <t>WP_005859555.1</t>
  </si>
  <si>
    <t>FQN59_RS10180</t>
  </si>
  <si>
    <t>WP_005859552.1</t>
  </si>
  <si>
    <t>FQN59_RS10185</t>
  </si>
  <si>
    <t>WP_005867490.1</t>
  </si>
  <si>
    <t>FQN59_RS10190</t>
  </si>
  <si>
    <t>WP_048927116.1</t>
  </si>
  <si>
    <t>FQN59_RS10195</t>
  </si>
  <si>
    <t>WP_211738897.1</t>
  </si>
  <si>
    <t>FQN59_RS10200</t>
  </si>
  <si>
    <t>WP_211738899.1</t>
  </si>
  <si>
    <t>FQN59_RS10205</t>
  </si>
  <si>
    <t>FQN59_RS10210</t>
  </si>
  <si>
    <t>WP_211738902.1</t>
  </si>
  <si>
    <t>FQN59_RS10215</t>
  </si>
  <si>
    <t>FQN59_RS10220</t>
  </si>
  <si>
    <t>ISAon1 family transposase</t>
  </si>
  <si>
    <t>WP_416921281.1</t>
  </si>
  <si>
    <t>FQN59_RS10225</t>
  </si>
  <si>
    <t>ISAon1 family transposase N-terminal region protein</t>
  </si>
  <si>
    <t>WP_044546025.1</t>
  </si>
  <si>
    <t>FQN59_RS10230</t>
  </si>
  <si>
    <t>FQN59_RS22565</t>
  </si>
  <si>
    <t>WP_211738985.1</t>
  </si>
  <si>
    <t>FQN59_RS10235</t>
  </si>
  <si>
    <t>LVIVD repeat-containing protein</t>
  </si>
  <si>
    <t>WP_211738904.1</t>
  </si>
  <si>
    <t>FQN59_RS10240</t>
  </si>
  <si>
    <t>WP_211738906.1</t>
  </si>
  <si>
    <t>FQN59_RS10245</t>
  </si>
  <si>
    <t>WP_211738908.1</t>
  </si>
  <si>
    <t>FQN59_RS10250</t>
  </si>
  <si>
    <t>M14 family metallopeptidase</t>
  </si>
  <si>
    <t>WP_211738910.1</t>
  </si>
  <si>
    <t>FQN59_RS10255</t>
  </si>
  <si>
    <t>WP_249222546.1</t>
  </si>
  <si>
    <t>FQN59_RS10260</t>
  </si>
  <si>
    <t>WP_211738914.1</t>
  </si>
  <si>
    <t>FQN59_RS10265</t>
  </si>
  <si>
    <t>WP_005867508.1</t>
  </si>
  <si>
    <t>FQN59_RS10270</t>
  </si>
  <si>
    <t>WP_005867510.1</t>
  </si>
  <si>
    <t>FQN59_RS10275</t>
  </si>
  <si>
    <t>type II toxin-antitoxin system PemK/MazF family toxin</t>
  </si>
  <si>
    <t>WP_008772819.1</t>
  </si>
  <si>
    <t>FQN59_RS10280</t>
  </si>
  <si>
    <t>WP_211738916.1</t>
  </si>
  <si>
    <t>FQN59_RS10285</t>
  </si>
  <si>
    <t>WP_129984453.1</t>
  </si>
  <si>
    <t>FQN59_RS10290</t>
  </si>
  <si>
    <t>NERD domain-containing protein</t>
  </si>
  <si>
    <t>WP_172514264.1</t>
  </si>
  <si>
    <t>FQN59_RS10295</t>
  </si>
  <si>
    <t>WP_005867516.1</t>
  </si>
  <si>
    <t>FQN59_RS10300</t>
  </si>
  <si>
    <t>WP_211738918.1</t>
  </si>
  <si>
    <t>FQN59_RS10305</t>
  </si>
  <si>
    <t>WP_211738920.1</t>
  </si>
  <si>
    <t>FQN59_RS10310</t>
  </si>
  <si>
    <t>WP_211738922.1</t>
  </si>
  <si>
    <t>FQN59_RS10315</t>
  </si>
  <si>
    <t>NAD(+) diphosphatase</t>
  </si>
  <si>
    <t>nudC</t>
  </si>
  <si>
    <t>WP_009016882.1</t>
  </si>
  <si>
    <t>FQN59_RS10320</t>
  </si>
  <si>
    <t>DUF4858 domain-containing protein</t>
  </si>
  <si>
    <t>WP_008772812.1</t>
  </si>
  <si>
    <t>FQN59_RS10325</t>
  </si>
  <si>
    <t>WP_009275379.1</t>
  </si>
  <si>
    <t>FQN59_RS10330</t>
  </si>
  <si>
    <t>WP_211738924.1</t>
  </si>
  <si>
    <t>FQN59_RS10335</t>
  </si>
  <si>
    <t>WP_009275380.1</t>
  </si>
  <si>
    <t>FQN59_RS10340</t>
  </si>
  <si>
    <t>WP_158532441.1</t>
  </si>
  <si>
    <t>FQN59_RS10345</t>
  </si>
  <si>
    <t>tRNA (5-methylaminomethyl-2-thiouridine)(34)-methyltransferase MnmD</t>
  </si>
  <si>
    <t>mnmD</t>
  </si>
  <si>
    <t>WP_249222547.1</t>
  </si>
  <si>
    <t>FQN59_RS10350</t>
  </si>
  <si>
    <t>WP_009016887.1</t>
  </si>
  <si>
    <t>FQN59_RS10355</t>
  </si>
  <si>
    <t>DNA polymerase III subunit alpha</t>
  </si>
  <si>
    <t>dnaE</t>
  </si>
  <si>
    <t>WP_008772806.1</t>
  </si>
  <si>
    <t>FQN59_RS10360</t>
  </si>
  <si>
    <t>WP_008777864.1</t>
  </si>
  <si>
    <t>FQN59_RS10365</t>
  </si>
  <si>
    <t>WP_121772024.1</t>
  </si>
  <si>
    <t>FQN59_RS10370</t>
  </si>
  <si>
    <t>WP_181987506.1</t>
  </si>
  <si>
    <t>FQN59_RS10375</t>
  </si>
  <si>
    <t>WP_229033138.1</t>
  </si>
  <si>
    <t>FQN59_RS10380</t>
  </si>
  <si>
    <t>50S ribosomal protein L13</t>
  </si>
  <si>
    <t>rplM</t>
  </si>
  <si>
    <t>WP_005859486.1</t>
  </si>
  <si>
    <t>FQN59_RS10385</t>
  </si>
  <si>
    <t>30S ribosomal protein S9</t>
  </si>
  <si>
    <t>rpsI</t>
  </si>
  <si>
    <t>WP_005859484.1</t>
  </si>
  <si>
    <t>FQN59_RS10390</t>
  </si>
  <si>
    <t>30S ribosomal protein S2</t>
  </si>
  <si>
    <t>rpsB</t>
  </si>
  <si>
    <t>WP_005859482.1</t>
  </si>
  <si>
    <t>FQN59_RS10395</t>
  </si>
  <si>
    <t>translation elongation factor Ts</t>
  </si>
  <si>
    <t>tsf</t>
  </si>
  <si>
    <t>WP_005867537.1</t>
  </si>
  <si>
    <t>FQN59_RS10400</t>
  </si>
  <si>
    <t>WP_048927137.1</t>
  </si>
  <si>
    <t>FQN59_RS10405</t>
  </si>
  <si>
    <t>bifunctional 3,4-dihydroxy-2-butanone-4-phosphate synthase/GTP cyclohydrolase II</t>
  </si>
  <si>
    <t>WP_005859476.1</t>
  </si>
  <si>
    <t>FQN59_RS10410</t>
  </si>
  <si>
    <t>WP_048927139.1</t>
  </si>
  <si>
    <t>FQN59_RS10415</t>
  </si>
  <si>
    <t>START-like domain-containing protein</t>
  </si>
  <si>
    <t>WP_005859472.1</t>
  </si>
  <si>
    <t>FQN59_RS10420</t>
  </si>
  <si>
    <t>tRNA-Met</t>
  </si>
  <si>
    <t>FQN59_RS10425</t>
  </si>
  <si>
    <t>WP_211738928.1</t>
  </si>
  <si>
    <t>FQN59_RS10430</t>
  </si>
  <si>
    <t>WP_008777866.1</t>
  </si>
  <si>
    <t>FQN59_RS10435</t>
  </si>
  <si>
    <t>WP_229033071.1</t>
  </si>
  <si>
    <t>FQN59_RS10440</t>
  </si>
  <si>
    <t>WP_211738930.1</t>
  </si>
  <si>
    <t>FQN59_RS10445</t>
  </si>
  <si>
    <t>PD-(D/E)XK nuclease family transposase</t>
  </si>
  <si>
    <t>WP_122143914.1</t>
  </si>
  <si>
    <t>FQN59_RS10450</t>
  </si>
  <si>
    <t>FQN59_RS22570</t>
  </si>
  <si>
    <t>WP_008670537.1</t>
  </si>
  <si>
    <t>FQN59_RS10460</t>
  </si>
  <si>
    <t>WP_008782100.1</t>
  </si>
  <si>
    <t>FQN59_RS10465</t>
  </si>
  <si>
    <t>WP_005859453.1</t>
  </si>
  <si>
    <t>FQN59_RS10470</t>
  </si>
  <si>
    <t>WP_009016895.1</t>
  </si>
  <si>
    <t>FQN59_RS10475</t>
  </si>
  <si>
    <t>WP_005825814.1</t>
  </si>
  <si>
    <t>FQN59_RS10480</t>
  </si>
  <si>
    <t>WP_005654459.1</t>
  </si>
  <si>
    <t>FQN59_RS10485</t>
  </si>
  <si>
    <t>arginase family protein</t>
  </si>
  <si>
    <t>WP_005825802.1</t>
  </si>
  <si>
    <t>FQN59_RS10490</t>
  </si>
  <si>
    <t>WP_211738932.1</t>
  </si>
  <si>
    <t>FQN59_RS10495</t>
  </si>
  <si>
    <t>cation:proton antiporter</t>
  </si>
  <si>
    <t>WP_005825801.1</t>
  </si>
  <si>
    <t>FQN59_RS10500</t>
  </si>
  <si>
    <t>6-phosphofructokinase</t>
  </si>
  <si>
    <t>pfkA</t>
  </si>
  <si>
    <t>WP_005825800.1</t>
  </si>
  <si>
    <t>FQN59_RS10505</t>
  </si>
  <si>
    <t>WP_005825799.1</t>
  </si>
  <si>
    <t>FQN59_RS10510</t>
  </si>
  <si>
    <t>Hsp20/alpha crystallin family protein</t>
  </si>
  <si>
    <t>WP_005825798.1</t>
  </si>
  <si>
    <t>FQN59_RS10515</t>
  </si>
  <si>
    <t>WP_211738934.1</t>
  </si>
  <si>
    <t>FQN59_RS10520</t>
  </si>
  <si>
    <t>class I fructose-bisphosphate aldolase</t>
  </si>
  <si>
    <t>WP_005825795.1</t>
  </si>
  <si>
    <t>FQN59_RS10525</t>
  </si>
  <si>
    <t>ferritin</t>
  </si>
  <si>
    <t>WP_009276872.1</t>
  </si>
  <si>
    <t>FQN59_RS10530</t>
  </si>
  <si>
    <t>WP_005851956.1</t>
  </si>
  <si>
    <t>FQN59_RS10535</t>
  </si>
  <si>
    <t>ferritin-like domain-containing protein</t>
  </si>
  <si>
    <t>WP_005851954.1</t>
  </si>
  <si>
    <t>FQN59_RS10540</t>
  </si>
  <si>
    <t>WP_005654431.1</t>
  </si>
  <si>
    <t>FQN59_RS22850</t>
  </si>
  <si>
    <t>WP_151881457.1</t>
  </si>
  <si>
    <t>FQN59_RS10545</t>
  </si>
  <si>
    <t>FQN59_RS10550</t>
  </si>
  <si>
    <t>WP_005859437.1</t>
  </si>
  <si>
    <t>FQN59_RS10555</t>
  </si>
  <si>
    <t>WP_010185707.1</t>
  </si>
  <si>
    <t>FQN59_RS22945</t>
  </si>
  <si>
    <t>WP_005825771.1</t>
  </si>
  <si>
    <t>FQN59_RS10565</t>
  </si>
  <si>
    <t>FQN59_RS22580</t>
  </si>
  <si>
    <t>WP_005859435.1</t>
  </si>
  <si>
    <t>FQN59_RS10570</t>
  </si>
  <si>
    <t>WP_211738936.1</t>
  </si>
  <si>
    <t>FQN59_RS10575</t>
  </si>
  <si>
    <t>WP_211738937.1</t>
  </si>
  <si>
    <t>FQN59_RS10580</t>
  </si>
  <si>
    <t>WP_211738938.1</t>
  </si>
  <si>
    <t>FQN59_RS10585</t>
  </si>
  <si>
    <t>WP_009275395.1</t>
  </si>
  <si>
    <t>FQN59_RS10590</t>
  </si>
  <si>
    <t>WP_005867562.1</t>
  </si>
  <si>
    <t>FQN59_RS10595</t>
  </si>
  <si>
    <t>WP_211738939.1</t>
  </si>
  <si>
    <t>FQN59_RS10600</t>
  </si>
  <si>
    <t>WP_005867565.1</t>
  </si>
  <si>
    <t>FQN59_RS10605</t>
  </si>
  <si>
    <t>WP_005867566.1</t>
  </si>
  <si>
    <t>FQN59_RS10610</t>
  </si>
  <si>
    <t>WP_211738940.1</t>
  </si>
  <si>
    <t>FQN59_RS10615</t>
  </si>
  <si>
    <t>FQN59_RS22950</t>
  </si>
  <si>
    <t>WP_122297496.1</t>
  </si>
  <si>
    <t>FQN59_RS10620</t>
  </si>
  <si>
    <t>WP_005859412.1</t>
  </si>
  <si>
    <t>FQN59_RS10625</t>
  </si>
  <si>
    <t>WP_005867573.1</t>
  </si>
  <si>
    <t>FQN59_RS10630</t>
  </si>
  <si>
    <t>WP_005867576.1</t>
  </si>
  <si>
    <t>FQN59_RS10635</t>
  </si>
  <si>
    <t>thiamine diphosphokinase</t>
  </si>
  <si>
    <t>WP_195392890.1</t>
  </si>
  <si>
    <t>FQN59_RS10640</t>
  </si>
  <si>
    <t>nicotinamide riboside transporter PnuC</t>
  </si>
  <si>
    <t>pnuC</t>
  </si>
  <si>
    <t>WP_005859404.1</t>
  </si>
  <si>
    <t>FQN59_RS10645</t>
  </si>
  <si>
    <t>WP_121955997.1</t>
  </si>
  <si>
    <t>FQN59_RS10650</t>
  </si>
  <si>
    <t>ribosome assembly cofactor RimP</t>
  </si>
  <si>
    <t>rimP</t>
  </si>
  <si>
    <t>WP_005859398.1</t>
  </si>
  <si>
    <t>FQN59_RS10655</t>
  </si>
  <si>
    <t>transcription termination factor NusA</t>
  </si>
  <si>
    <t>nusA</t>
  </si>
  <si>
    <t>WP_005867586.1</t>
  </si>
  <si>
    <t>FQN59_RS10660</t>
  </si>
  <si>
    <t>translation initiation factor IF-2</t>
  </si>
  <si>
    <t>infB</t>
  </si>
  <si>
    <t>WP_008772780.1</t>
  </si>
  <si>
    <t>FQN59_RS10665</t>
  </si>
  <si>
    <t>CvpA family protein</t>
  </si>
  <si>
    <t>WP_005859392.1</t>
  </si>
  <si>
    <t>FQN59_RS10670</t>
  </si>
  <si>
    <t>Fe-S cluster assembly protein SufB</t>
  </si>
  <si>
    <t>sufB</t>
  </si>
  <si>
    <t>WP_005859390.1</t>
  </si>
  <si>
    <t>FQN59_RS10675</t>
  </si>
  <si>
    <t>Fe-S cluster assembly ATPase SufC</t>
  </si>
  <si>
    <t>sufC</t>
  </si>
  <si>
    <t>WP_005859388.1</t>
  </si>
  <si>
    <t>FQN59_RS10680</t>
  </si>
  <si>
    <t>Fe-S cluster assembly protein SufD</t>
  </si>
  <si>
    <t>sufD</t>
  </si>
  <si>
    <t>WP_211738941.1</t>
  </si>
  <si>
    <t>FQN59_RS10685</t>
  </si>
  <si>
    <t>WP_211738943.1</t>
  </si>
  <si>
    <t>FQN59_RS10690</t>
  </si>
  <si>
    <t>glycoside hydrolase family 13 protein</t>
  </si>
  <si>
    <t>WP_122380404.1</t>
  </si>
  <si>
    <t>FQN59_RS10695</t>
  </si>
  <si>
    <t>WP_211738945.1</t>
  </si>
  <si>
    <t>FQN59_RS10700</t>
  </si>
  <si>
    <t>WP_005867593.1</t>
  </si>
  <si>
    <t>FQN59_RS10705</t>
  </si>
  <si>
    <t>aminotransferase class V-fold PLP-dependent enzyme</t>
  </si>
  <si>
    <t>WP_005867594.1</t>
  </si>
  <si>
    <t>FQN59_RS10710</t>
  </si>
  <si>
    <t>VanZ family protein</t>
  </si>
  <si>
    <t>WP_008777889.1</t>
  </si>
  <si>
    <t>FQN59_RS10715</t>
  </si>
  <si>
    <t>ribonuclease HII</t>
  </si>
  <si>
    <t>WP_005859375.1</t>
  </si>
  <si>
    <t>FQN59_RS10720</t>
  </si>
  <si>
    <t>SufE family protein</t>
  </si>
  <si>
    <t>WP_005867596.1</t>
  </si>
  <si>
    <t>FQN59_RS10725</t>
  </si>
  <si>
    <t>M20 family metallopeptidase</t>
  </si>
  <si>
    <t>WP_044545406.1</t>
  </si>
  <si>
    <t>FQN59_RS10730</t>
  </si>
  <si>
    <t>gamma-glutamyl-gamma-aminobutyrate hydrolase family protein</t>
  </si>
  <si>
    <t>WP_211736894.1</t>
  </si>
  <si>
    <t>FQN59_RS10735</t>
  </si>
  <si>
    <t>WP_211736896.1</t>
  </si>
  <si>
    <t>FQN59_RS10740</t>
  </si>
  <si>
    <t>DNA topoisomerase (ATP-hydrolyzing) subunit B</t>
  </si>
  <si>
    <t>gyrB</t>
  </si>
  <si>
    <t>WP_005867602.1</t>
  </si>
  <si>
    <t>FQN59_RS10745</t>
  </si>
  <si>
    <t>FQN59_RS10750</t>
  </si>
  <si>
    <t>30S ribosomal protein S20</t>
  </si>
  <si>
    <t>rpsT</t>
  </si>
  <si>
    <t>WP_005859369.1</t>
  </si>
  <si>
    <t>FQN59_RS10755</t>
  </si>
  <si>
    <t>FQN59_RS10760</t>
  </si>
  <si>
    <t>DUF2721 domain-containing protein</t>
  </si>
  <si>
    <t>WP_005867604.1</t>
  </si>
  <si>
    <t>FQN59_RS10765</t>
  </si>
  <si>
    <t>DNA repair protein RecO</t>
  </si>
  <si>
    <t>recO</t>
  </si>
  <si>
    <t>WP_034530164.1</t>
  </si>
  <si>
    <t>FQN59_RS10770</t>
  </si>
  <si>
    <t>FQN59_RS10775</t>
  </si>
  <si>
    <t>WP_122103703.1</t>
  </si>
  <si>
    <t>FQN59_RS10780</t>
  </si>
  <si>
    <t>WP_211736898.1</t>
  </si>
  <si>
    <t>FQN59_RS10785</t>
  </si>
  <si>
    <t>WP_122114628.1</t>
  </si>
  <si>
    <t>FQN59_RS10790</t>
  </si>
  <si>
    <t>phage/plasmid replication protein</t>
  </si>
  <si>
    <t>WP_211736900.1</t>
  </si>
  <si>
    <t>FQN59_RS10795</t>
  </si>
  <si>
    <t>WP_005865085.1</t>
  </si>
  <si>
    <t>FQN59_RS10800</t>
  </si>
  <si>
    <t>WP_044548218.1</t>
  </si>
  <si>
    <t>FQN59_RS10805</t>
  </si>
  <si>
    <t>WP_249222443.1</t>
  </si>
  <si>
    <t>FQN59_RS10810</t>
  </si>
  <si>
    <t>site-specific DNA-methyltransferase</t>
  </si>
  <si>
    <t>WP_211738990.1</t>
  </si>
  <si>
    <t>FQN59_RS10815</t>
  </si>
  <si>
    <t>DEAD/DEAH box helicase family protein</t>
  </si>
  <si>
    <t>WP_211736902.1</t>
  </si>
  <si>
    <t>FQN59_RS10820</t>
  </si>
  <si>
    <t>WP_011967089.1</t>
  </si>
  <si>
    <t>FQN59_RS10825</t>
  </si>
  <si>
    <t>WP_172606910.1</t>
  </si>
  <si>
    <t>FQN59_RS10830</t>
  </si>
  <si>
    <t>WP_428846729.1</t>
  </si>
  <si>
    <t>FQN59_RS22955</t>
  </si>
  <si>
    <t>WP_211736904.1</t>
  </si>
  <si>
    <t>FQN59_RS10835</t>
  </si>
  <si>
    <t>WP_005867608.1</t>
  </si>
  <si>
    <t>FQN59_RS10840</t>
  </si>
  <si>
    <t>WP_005859341.1</t>
  </si>
  <si>
    <t>FQN59_RS10845</t>
  </si>
  <si>
    <t>STAS domain-containing protein</t>
  </si>
  <si>
    <t>WP_005859339.1</t>
  </si>
  <si>
    <t>FQN59_RS10850</t>
  </si>
  <si>
    <t>WP_005867611.1</t>
  </si>
  <si>
    <t>FQN59_RS10855</t>
  </si>
  <si>
    <t>WP_005867614.1</t>
  </si>
  <si>
    <t>FQN59_RS10860</t>
  </si>
  <si>
    <t>WP_005859333.1</t>
  </si>
  <si>
    <t>FQN59_RS10865</t>
  </si>
  <si>
    <t>WP_005867616.1</t>
  </si>
  <si>
    <t>FQN59_RS10870</t>
  </si>
  <si>
    <t>diaminopimelate dehydrogenase</t>
  </si>
  <si>
    <t>WP_005867618.1</t>
  </si>
  <si>
    <t>FQN59_RS10875</t>
  </si>
  <si>
    <t>prolipoprotein diacylglyceryl transferase</t>
  </si>
  <si>
    <t>lgt</t>
  </si>
  <si>
    <t>WP_005859327.1</t>
  </si>
  <si>
    <t>FQN59_RS10880</t>
  </si>
  <si>
    <t>FprA family A-type flavoprotein</t>
  </si>
  <si>
    <t>WP_005867620.1</t>
  </si>
  <si>
    <t>FQN59_RS10885</t>
  </si>
  <si>
    <t>glucosamine-6-phosphate deaminase</t>
  </si>
  <si>
    <t>nagB</t>
  </si>
  <si>
    <t>WP_005859323.1</t>
  </si>
  <si>
    <t>FQN59_RS10890</t>
  </si>
  <si>
    <t>WP_005867623.1</t>
  </si>
  <si>
    <t>FQN59_RS10895</t>
  </si>
  <si>
    <t>WP_005859319.1</t>
  </si>
  <si>
    <t>FQN59_RS10900</t>
  </si>
  <si>
    <t>WP_005867625.1</t>
  </si>
  <si>
    <t>FQN59_RS10905</t>
  </si>
  <si>
    <t>WP_034531600.1</t>
  </si>
  <si>
    <t>FQN59_RS10910</t>
  </si>
  <si>
    <t>WP_005867627.1</t>
  </si>
  <si>
    <t>FQN59_RS10915</t>
  </si>
  <si>
    <t>WP_048927175.1</t>
  </si>
  <si>
    <t>FQN59_RS10920</t>
  </si>
  <si>
    <t>WP_005867632.1</t>
  </si>
  <si>
    <t>FQN59_RS10925</t>
  </si>
  <si>
    <t>WP_005867634.1</t>
  </si>
  <si>
    <t>FQN59_RS10930</t>
  </si>
  <si>
    <t>formate-dependent phosphoribosylglycinamide formyltransferase</t>
  </si>
  <si>
    <t>purT</t>
  </si>
  <si>
    <t>WP_048927176.1</t>
  </si>
  <si>
    <t>FQN59_RS10935</t>
  </si>
  <si>
    <t>WP_057326183.1</t>
  </si>
  <si>
    <t>FQN59_RS10940</t>
  </si>
  <si>
    <t>WP_048927178.1</t>
  </si>
  <si>
    <t>FQN59_RS10945</t>
  </si>
  <si>
    <t>WP_048927179.1</t>
  </si>
  <si>
    <t>FQN59_RS10950</t>
  </si>
  <si>
    <t>WP_048927180.1</t>
  </si>
  <si>
    <t>FQN59_RS10955</t>
  </si>
  <si>
    <t>WP_036650646.1</t>
  </si>
  <si>
    <t>FQN59_RS10960</t>
  </si>
  <si>
    <t>WP_211736906.1</t>
  </si>
  <si>
    <t>FQN59_RS10965</t>
  </si>
  <si>
    <t>WP_211736908.1</t>
  </si>
  <si>
    <t>FQN59_RS10970</t>
  </si>
  <si>
    <t>WP_057326179.1</t>
  </si>
  <si>
    <t>FQN59_RS10975</t>
  </si>
  <si>
    <t>WP_057326178.1</t>
  </si>
  <si>
    <t>FQN59_RS10980</t>
  </si>
  <si>
    <t>VOC family protein</t>
  </si>
  <si>
    <t>WP_005867648.1</t>
  </si>
  <si>
    <t>FQN59_RS10985</t>
  </si>
  <si>
    <t>WP_005867650.1</t>
  </si>
  <si>
    <t>FQN59_RS10990</t>
  </si>
  <si>
    <t>NUDIX domain-containing protein</t>
  </si>
  <si>
    <t>WP_005867651.1</t>
  </si>
  <si>
    <t>FQN59_RS10995</t>
  </si>
  <si>
    <t>WP_048927185.1</t>
  </si>
  <si>
    <t>FQN59_RS11000</t>
  </si>
  <si>
    <t>WP_121960640.1</t>
  </si>
  <si>
    <t>FQN59_RS11005</t>
  </si>
  <si>
    <t>WP_057326177.1</t>
  </si>
  <si>
    <t>FQN59_RS11010</t>
  </si>
  <si>
    <t>WP_008779247.1</t>
  </si>
  <si>
    <t>FQN59_RS11015</t>
  </si>
  <si>
    <t>WP_005867658.1</t>
  </si>
  <si>
    <t>FQN59_RS11020</t>
  </si>
  <si>
    <t>PP2C family protein-serine/threonine phosphatase</t>
  </si>
  <si>
    <t>WP_005859268.1</t>
  </si>
  <si>
    <t>FQN59_RS11025</t>
  </si>
  <si>
    <t>WP_005859264.1</t>
  </si>
  <si>
    <t>FQN59_RS11030</t>
  </si>
  <si>
    <t>type I DNA topoisomerase</t>
  </si>
  <si>
    <t>topA</t>
  </si>
  <si>
    <t>WP_008772731.1</t>
  </si>
  <si>
    <t>FQN59_RS11035</t>
  </si>
  <si>
    <t>VIT1/CCC1 transporter family protein</t>
  </si>
  <si>
    <t>WP_005867660.1</t>
  </si>
  <si>
    <t>FQN59_RS11040</t>
  </si>
  <si>
    <t>arginine--tRNA ligase</t>
  </si>
  <si>
    <t>argS</t>
  </si>
  <si>
    <t>WP_005867661.1</t>
  </si>
  <si>
    <t>FQN59_RS11045</t>
  </si>
  <si>
    <t>WP_005859256.1</t>
  </si>
  <si>
    <t>FQN59_RS11050</t>
  </si>
  <si>
    <t>rhomboid family intramembrane serine protease</t>
  </si>
  <si>
    <t>WP_005859254.1</t>
  </si>
  <si>
    <t>FQN59_RS11055</t>
  </si>
  <si>
    <t>WP_012056087.1</t>
  </si>
  <si>
    <t>FQN59_RS11060</t>
  </si>
  <si>
    <t>WP_009276208.1</t>
  </si>
  <si>
    <t>FQN59_RS11065</t>
  </si>
  <si>
    <t>DUF4468 domain-containing protein</t>
  </si>
  <si>
    <t>WP_005859247.1</t>
  </si>
  <si>
    <t>FQN59_RS11070</t>
  </si>
  <si>
    <t>WP_211736910.1</t>
  </si>
  <si>
    <t>FQN59_RS11075</t>
  </si>
  <si>
    <t>protein translocase subunit SecDF</t>
  </si>
  <si>
    <t>secDF</t>
  </si>
  <si>
    <t>WP_005859243.1</t>
  </si>
  <si>
    <t>FQN59_RS11080</t>
  </si>
  <si>
    <t>WP_005859241.1</t>
  </si>
  <si>
    <t>FQN59_RS11085</t>
  </si>
  <si>
    <t>WP_211736912.1</t>
  </si>
  <si>
    <t>FQN59_RS11090</t>
  </si>
  <si>
    <t>WP_048927193.1</t>
  </si>
  <si>
    <t>FQN59_RS11095</t>
  </si>
  <si>
    <t>WP_211736915.1</t>
  </si>
  <si>
    <t>FQN59_RS11100</t>
  </si>
  <si>
    <t>WP_005859232.1</t>
  </si>
  <si>
    <t>FQN59_RS11105</t>
  </si>
  <si>
    <t>WP_005859229.1</t>
  </si>
  <si>
    <t>FQN59_RS11110</t>
  </si>
  <si>
    <t>WP_036617756.1</t>
  </si>
  <si>
    <t>FQN59_RS11115</t>
  </si>
  <si>
    <t>polysaccharide biosynthesis protein</t>
  </si>
  <si>
    <t>WP_122382464.1</t>
  </si>
  <si>
    <t>FQN59_RS11120</t>
  </si>
  <si>
    <t>FQN59_RS11125</t>
  </si>
  <si>
    <t>UDP binding domain-containing protein</t>
  </si>
  <si>
    <t>WP_283093129.1</t>
  </si>
  <si>
    <t>FQN59_RS11130</t>
  </si>
  <si>
    <t>WP_005867683.1</t>
  </si>
  <si>
    <t>FQN59_RS11135</t>
  </si>
  <si>
    <t>WP_005867684.1</t>
  </si>
  <si>
    <t>FQN59_RS11140</t>
  </si>
  <si>
    <t>WP_005867685.1</t>
  </si>
  <si>
    <t>FQN59_RS11145</t>
  </si>
  <si>
    <t>lipid II flippase MurJ</t>
  </si>
  <si>
    <t>WP_122369004.1</t>
  </si>
  <si>
    <t>FQN59_RS11150</t>
  </si>
  <si>
    <t>WP_249222444.1</t>
  </si>
  <si>
    <t>FQN59_RS11155</t>
  </si>
  <si>
    <t>maltose acetyltransferase</t>
  </si>
  <si>
    <t>WP_122369006.1</t>
  </si>
  <si>
    <t>FQN59_RS11160</t>
  </si>
  <si>
    <t>WP_122369007.1</t>
  </si>
  <si>
    <t>FQN59_RS11165</t>
  </si>
  <si>
    <t>WP_005867692.1</t>
  </si>
  <si>
    <t>FQN59_RS11170</t>
  </si>
  <si>
    <t>WP_233554130.1</t>
  </si>
  <si>
    <t>FQN59_RS11175</t>
  </si>
  <si>
    <t>WP_122382463.1</t>
  </si>
  <si>
    <t>FQN59_RS11180</t>
  </si>
  <si>
    <t>WP_005867792.1</t>
  </si>
  <si>
    <t>FQN59_RS11185</t>
  </si>
  <si>
    <t>WP_122382462.1</t>
  </si>
  <si>
    <t>FQN59_RS11190</t>
  </si>
  <si>
    <t>3-oxoacyl-ACP synthase III family protein</t>
  </si>
  <si>
    <t>WP_122382461.1</t>
  </si>
  <si>
    <t>FQN59_RS11195</t>
  </si>
  <si>
    <t>WP_005867797.1</t>
  </si>
  <si>
    <t>FQN59_RS11200</t>
  </si>
  <si>
    <t>ANL family adenylate-forming protein</t>
  </si>
  <si>
    <t>WP_005867799.1</t>
  </si>
  <si>
    <t>FQN59_RS11205</t>
  </si>
  <si>
    <t>WP_122382460.1</t>
  </si>
  <si>
    <t>FQN59_RS11210</t>
  </si>
  <si>
    <t>WP_005867802.1</t>
  </si>
  <si>
    <t>FQN59_RS11215</t>
  </si>
  <si>
    <t>WP_005867804.1</t>
  </si>
  <si>
    <t>FQN59_RS11220</t>
  </si>
  <si>
    <t>FQN59_RS11225</t>
  </si>
  <si>
    <t>WP_121961604.1</t>
  </si>
  <si>
    <t>FQN59_RS11230</t>
  </si>
  <si>
    <t>urocanate hydratase</t>
  </si>
  <si>
    <t>WP_196008625.1</t>
  </si>
  <si>
    <t>FQN59_RS11235</t>
  </si>
  <si>
    <t>glutamate formimidoyltransferase</t>
  </si>
  <si>
    <t>ftcD</t>
  </si>
  <si>
    <t>WP_211736917.1</t>
  </si>
  <si>
    <t>FQN59_RS11240</t>
  </si>
  <si>
    <t>imidazolonepropionase</t>
  </si>
  <si>
    <t>hutI</t>
  </si>
  <si>
    <t>WP_005859151.1</t>
  </si>
  <si>
    <t>FQN59_RS11245</t>
  </si>
  <si>
    <t>cyclodeaminase/cyclohydrolase family protein</t>
  </si>
  <si>
    <t>WP_008779294.1</t>
  </si>
  <si>
    <t>FQN59_RS11250</t>
  </si>
  <si>
    <t>histidine ammonia-lyase</t>
  </si>
  <si>
    <t>hutH</t>
  </si>
  <si>
    <t>WP_057327372.1</t>
  </si>
  <si>
    <t>FQN59_RS11255</t>
  </si>
  <si>
    <t>WP_211736919.1</t>
  </si>
  <si>
    <t>FQN59_RS11260</t>
  </si>
  <si>
    <t>Mrp/NBP35 family ATP-binding protein</t>
  </si>
  <si>
    <t>WP_005859141.1</t>
  </si>
  <si>
    <t>FQN59_RS11265</t>
  </si>
  <si>
    <t>tRNA (guanosine(46)-N7)-methyltransferase TrmB</t>
  </si>
  <si>
    <t>trmB</t>
  </si>
  <si>
    <t>WP_211736922.1</t>
  </si>
  <si>
    <t>FQN59_RS11270</t>
  </si>
  <si>
    <t>glycosyltransferase 87 family protein</t>
  </si>
  <si>
    <t>WP_122380355.1</t>
  </si>
  <si>
    <t>FQN59_RS11275</t>
  </si>
  <si>
    <t>tRNA-Asn</t>
  </si>
  <si>
    <t>FQN59_RS11280</t>
  </si>
  <si>
    <t>FQN59_RS11285</t>
  </si>
  <si>
    <t>FQN59_RS11290</t>
  </si>
  <si>
    <t>adenosine kinase</t>
  </si>
  <si>
    <t>WP_044546014.1</t>
  </si>
  <si>
    <t>FQN59_RS11295</t>
  </si>
  <si>
    <t>WP_044546013.1</t>
  </si>
  <si>
    <t>FQN59_RS11300</t>
  </si>
  <si>
    <t>WP_211736924.1</t>
  </si>
  <si>
    <t>FQN59_RS11305</t>
  </si>
  <si>
    <t>WP_211736925.1</t>
  </si>
  <si>
    <t>FQN59_RS11310</t>
  </si>
  <si>
    <t>WP_416339360.1</t>
  </si>
  <si>
    <t>FQN59_RS22960</t>
  </si>
  <si>
    <t>FQN59_RS11320</t>
  </si>
  <si>
    <t>SagB/ThcOx family dehydrogenase</t>
  </si>
  <si>
    <t>WP_211736928.1</t>
  </si>
  <si>
    <t>FQN59_RS11325</t>
  </si>
  <si>
    <t>WP_211736930.1</t>
  </si>
  <si>
    <t>FQN59_RS11330</t>
  </si>
  <si>
    <t>WP_211736932.1</t>
  </si>
  <si>
    <t>FQN59_RS11335</t>
  </si>
  <si>
    <t>WP_211736934.1</t>
  </si>
  <si>
    <t>FQN59_RS11340</t>
  </si>
  <si>
    <t>WP_211736936.1</t>
  </si>
  <si>
    <t>FQN59_RS11345</t>
  </si>
  <si>
    <t>fructose-1,6-bisphosphatase</t>
  </si>
  <si>
    <t>WP_008772677.1</t>
  </si>
  <si>
    <t>FQN59_RS11350</t>
  </si>
  <si>
    <t>WP_005867839.1</t>
  </si>
  <si>
    <t>FQN59_RS11355</t>
  </si>
  <si>
    <t>WP_005867840.1</t>
  </si>
  <si>
    <t>FQN59_RS11360</t>
  </si>
  <si>
    <t>WP_080707547.1</t>
  </si>
  <si>
    <t>FQN59_RS11365</t>
  </si>
  <si>
    <t>WP_008777904.1</t>
  </si>
  <si>
    <t>FQN59_RS11370</t>
  </si>
  <si>
    <t>WP_048928124.1</t>
  </si>
  <si>
    <t>FQN59_RS11375</t>
  </si>
  <si>
    <t>FQN59_RS11380</t>
  </si>
  <si>
    <t>iron ABC transporter permease</t>
  </si>
  <si>
    <t>WP_048928125.1</t>
  </si>
  <si>
    <t>FQN59_RS11385</t>
  </si>
  <si>
    <t>WP_048928126.1</t>
  </si>
  <si>
    <t>FQN59_RS11390</t>
  </si>
  <si>
    <t>WP_048928127.1</t>
  </si>
  <si>
    <t>FQN59_RS11395</t>
  </si>
  <si>
    <t>WP_005859017.1</t>
  </si>
  <si>
    <t>FQN59_RS11400</t>
  </si>
  <si>
    <t>co-chaperone GroES</t>
  </si>
  <si>
    <t>WP_005859009.1</t>
  </si>
  <si>
    <t>FQN59_RS11405</t>
  </si>
  <si>
    <t>sulfide/dihydroorotate dehydrogenase-like FAD/NAD-binding protein</t>
  </si>
  <si>
    <t>WP_005867880.1</t>
  </si>
  <si>
    <t>FQN59_RS11410</t>
  </si>
  <si>
    <t>NADPH-dependent glutamate synthase</t>
  </si>
  <si>
    <t>gltA</t>
  </si>
  <si>
    <t>WP_211736938.1</t>
  </si>
  <si>
    <t>FQN59_RS11415</t>
  </si>
  <si>
    <t>DUF3037 domain-containing protein</t>
  </si>
  <si>
    <t>WP_005859003.1</t>
  </si>
  <si>
    <t>FQN59_RS11420</t>
  </si>
  <si>
    <t>HipA family kinase</t>
  </si>
  <si>
    <t>WP_005859001.1</t>
  </si>
  <si>
    <t>FQN59_RS11425</t>
  </si>
  <si>
    <t>FQN59_RS11430</t>
  </si>
  <si>
    <t>FQN59_RS11435</t>
  </si>
  <si>
    <t>FQN59_RS11440</t>
  </si>
  <si>
    <t>Rieske (2Fe-2S) protein</t>
  </si>
  <si>
    <t>WP_044545206.1</t>
  </si>
  <si>
    <t>FQN59_RS11445</t>
  </si>
  <si>
    <t>argininosuccinate lyase</t>
  </si>
  <si>
    <t>argH</t>
  </si>
  <si>
    <t>WP_005867884.1</t>
  </si>
  <si>
    <t>FQN59_RS11450</t>
  </si>
  <si>
    <t>polyketide cyclase</t>
  </si>
  <si>
    <t>WP_005858994.1</t>
  </si>
  <si>
    <t>FQN59_RS11455</t>
  </si>
  <si>
    <t>orotate phosphoribosyltransferase</t>
  </si>
  <si>
    <t>pyrE</t>
  </si>
  <si>
    <t>WP_008772664.1</t>
  </si>
  <si>
    <t>FQN59_RS11460</t>
  </si>
  <si>
    <t>ComF family protein</t>
  </si>
  <si>
    <t>WP_087346620.1</t>
  </si>
  <si>
    <t>FQN59_RS11465</t>
  </si>
  <si>
    <t>regulatory protein RecX</t>
  </si>
  <si>
    <t>WP_195319006.1</t>
  </si>
  <si>
    <t>FQN59_RS11470</t>
  </si>
  <si>
    <t>N5-glutamine methyltransferase family protein</t>
  </si>
  <si>
    <t>WP_211736940.1</t>
  </si>
  <si>
    <t>FQN59_RS11475</t>
  </si>
  <si>
    <t>bifunctional diaminohydroxyphosphoribosylaminopyrimidine deaminase/5-amino-6-(5-phosphoribosylamino)uracil reductase RibD</t>
  </si>
  <si>
    <t>ribD</t>
  </si>
  <si>
    <t>WP_211736942.1</t>
  </si>
  <si>
    <t>FQN59_RS11480</t>
  </si>
  <si>
    <t>DUF6242 domain-containing protein</t>
  </si>
  <si>
    <t>WP_022193244.1</t>
  </si>
  <si>
    <t>FQN59_RS11485</t>
  </si>
  <si>
    <t>DUF6089 family protein</t>
  </si>
  <si>
    <t>WP_008772658.1</t>
  </si>
  <si>
    <t>FQN59_RS11490</t>
  </si>
  <si>
    <t>isoprenyl transferase</t>
  </si>
  <si>
    <t>WP_005858978.1</t>
  </si>
  <si>
    <t>FQN59_RS11495</t>
  </si>
  <si>
    <t>outer membrane protein assembly factor BamA</t>
  </si>
  <si>
    <t>bamA</t>
  </si>
  <si>
    <t>WP_196009849.1</t>
  </si>
  <si>
    <t>FQN59_RS11500</t>
  </si>
  <si>
    <t>WP_005858974.1</t>
  </si>
  <si>
    <t>FQN59_RS11505</t>
  </si>
  <si>
    <t>WP_005858972.1</t>
  </si>
  <si>
    <t>FQN59_RS11510</t>
  </si>
  <si>
    <t>glutamate racemase</t>
  </si>
  <si>
    <t>murI</t>
  </si>
  <si>
    <t>WP_005867900.1</t>
  </si>
  <si>
    <t>FQN59_RS11515</t>
  </si>
  <si>
    <t>YccF domain-containing protein</t>
  </si>
  <si>
    <t>WP_005867901.1</t>
  </si>
  <si>
    <t>FQN59_RS11520</t>
  </si>
  <si>
    <t>WP_229100376.1</t>
  </si>
  <si>
    <t>FQN59_RS11525</t>
  </si>
  <si>
    <t>WP_044545557.1</t>
  </si>
  <si>
    <t>FQN59_RS11530</t>
  </si>
  <si>
    <t>META domain-containing protein</t>
  </si>
  <si>
    <t>WP_005858961.1</t>
  </si>
  <si>
    <t>FQN59_RS11535</t>
  </si>
  <si>
    <t>WP_005858959.1</t>
  </si>
  <si>
    <t>FQN59_RS11540</t>
  </si>
  <si>
    <t>WP_211736946.1</t>
  </si>
  <si>
    <t>FQN59_RS11545</t>
  </si>
  <si>
    <t>exo-beta-N-acetylmuramidase NamZ family protein</t>
  </si>
  <si>
    <t>WP_122369033.1</t>
  </si>
  <si>
    <t>FQN59_RS11550</t>
  </si>
  <si>
    <t>WP_211736948.1</t>
  </si>
  <si>
    <t>FQN59_RS11555</t>
  </si>
  <si>
    <t>HDIG domain-containing metalloprotein</t>
  </si>
  <si>
    <t>WP_005867908.1</t>
  </si>
  <si>
    <t>FQN59_RS11560</t>
  </si>
  <si>
    <t>putative LPS assembly protein LptD</t>
  </si>
  <si>
    <t>WP_005867909.1</t>
  </si>
  <si>
    <t>FQN59_RS11565</t>
  </si>
  <si>
    <t>WP_005867913.1</t>
  </si>
  <si>
    <t>FQN59_RS11570</t>
  </si>
  <si>
    <t>aspartate--ammonia ligase</t>
  </si>
  <si>
    <t>asnA</t>
  </si>
  <si>
    <t>WP_022193225.1</t>
  </si>
  <si>
    <t>FQN59_RS11575</t>
  </si>
  <si>
    <t>FQN59_RS11580</t>
  </si>
  <si>
    <t>DoxX family protein</t>
  </si>
  <si>
    <t>WP_005867918.1</t>
  </si>
  <si>
    <t>FQN59_RS11585</t>
  </si>
  <si>
    <t>tRNA-Val</t>
  </si>
  <si>
    <t>FQN59_RS11590</t>
  </si>
  <si>
    <t>FQN59_RS11595</t>
  </si>
  <si>
    <t>FQN59_RS11600</t>
  </si>
  <si>
    <t>adenylosuccinate lyase</t>
  </si>
  <si>
    <t>purB</t>
  </si>
  <si>
    <t>WP_211736950.1</t>
  </si>
  <si>
    <t>FQN59_RS11605</t>
  </si>
  <si>
    <t>pseudouridine synthase</t>
  </si>
  <si>
    <t>WP_211736952.1</t>
  </si>
  <si>
    <t>FQN59_RS11610</t>
  </si>
  <si>
    <t>asparagine--tRNA ligase</t>
  </si>
  <si>
    <t>asnS</t>
  </si>
  <si>
    <t>WP_008772638.1</t>
  </si>
  <si>
    <t>FQN59_RS11615</t>
  </si>
  <si>
    <t>WP_005858930.1</t>
  </si>
  <si>
    <t>FQN59_RS11620</t>
  </si>
  <si>
    <t>WP_036618215.1</t>
  </si>
  <si>
    <t>FQN59_RS11625</t>
  </si>
  <si>
    <t>ExbD/TolR family protein</t>
  </si>
  <si>
    <t>WP_005858926.1</t>
  </si>
  <si>
    <t>FQN59_RS11630</t>
  </si>
  <si>
    <t>WP_005858924.1</t>
  </si>
  <si>
    <t>FQN59_RS11635</t>
  </si>
  <si>
    <t>WP_005858922.1</t>
  </si>
  <si>
    <t>FQN59_RS11640</t>
  </si>
  <si>
    <t>MotA/TolQ/ExbB proton channel family protein</t>
  </si>
  <si>
    <t>WP_211736954.1</t>
  </si>
  <si>
    <t>FQN59_RS11645</t>
  </si>
  <si>
    <t>tRNA-Ser</t>
  </si>
  <si>
    <t>FQN59_RS11650</t>
  </si>
  <si>
    <t>WP_008772635.1</t>
  </si>
  <si>
    <t>FQN59_RS11655</t>
  </si>
  <si>
    <t>WP_211736956.1</t>
  </si>
  <si>
    <t>FQN59_RS11660</t>
  </si>
  <si>
    <t>WP_211736958.1</t>
  </si>
  <si>
    <t>FQN59_RS11665</t>
  </si>
  <si>
    <t>type IX secretion system protein PorQ</t>
  </si>
  <si>
    <t>porQ</t>
  </si>
  <si>
    <t>WP_008772632.1</t>
  </si>
  <si>
    <t>FQN59_RS11670</t>
  </si>
  <si>
    <t>(d)CMP kinase</t>
  </si>
  <si>
    <t>cmk</t>
  </si>
  <si>
    <t>WP_008779352.1</t>
  </si>
  <si>
    <t>FQN59_RS11675</t>
  </si>
  <si>
    <t>4-hydroxy-3-methylbut-2-enyl diphosphate reductase</t>
  </si>
  <si>
    <t>WP_005867938.1</t>
  </si>
  <si>
    <t>FQN59_RS11680</t>
  </si>
  <si>
    <t>WP_211736960.1</t>
  </si>
  <si>
    <t>FQN59_RS11685</t>
  </si>
  <si>
    <t>WP_211736962.1</t>
  </si>
  <si>
    <t>FQN59_RS11690</t>
  </si>
  <si>
    <t>WP_211736964.1</t>
  </si>
  <si>
    <t>FQN59_RS11695</t>
  </si>
  <si>
    <t>methylmalonyl Co-A mutase-associated GTPase MeaB</t>
  </si>
  <si>
    <t>meaB</t>
  </si>
  <si>
    <t>WP_005867941.1</t>
  </si>
  <si>
    <t>FQN59_RS11700</t>
  </si>
  <si>
    <t>WP_005867942.1</t>
  </si>
  <si>
    <t>FQN59_RS11705</t>
  </si>
  <si>
    <t>WP_005858893.1</t>
  </si>
  <si>
    <t>FQN59_RS11710</t>
  </si>
  <si>
    <t>alpha-2-macroglobulin family protein</t>
  </si>
  <si>
    <t>WP_211736966.1</t>
  </si>
  <si>
    <t>FQN59_RS11715</t>
  </si>
  <si>
    <t>dihydrofolate reductase</t>
  </si>
  <si>
    <t>WP_057326591.1</t>
  </si>
  <si>
    <t>FQN59_RS11720</t>
  </si>
  <si>
    <t>thymidylate synthase</t>
  </si>
  <si>
    <t>WP_005858887.1</t>
  </si>
  <si>
    <t>FQN59_RS11725</t>
  </si>
  <si>
    <t>aldose epimerase family protein</t>
  </si>
  <si>
    <t>WP_156682695.1</t>
  </si>
  <si>
    <t>FQN59_RS11730</t>
  </si>
  <si>
    <t>WP_036618242.1</t>
  </si>
  <si>
    <t>FQN59_RS11735</t>
  </si>
  <si>
    <t>WP_211736968.1</t>
  </si>
  <si>
    <t>FQN59_RS11740</t>
  </si>
  <si>
    <t>S-adenosylmethionine:tRNA ribosyltransferase-isomerase</t>
  </si>
  <si>
    <t>WP_211736970.1</t>
  </si>
  <si>
    <t>FQN59_RS11745</t>
  </si>
  <si>
    <t>DUF2027 domain-containing protein</t>
  </si>
  <si>
    <t>WP_005868468.1</t>
  </si>
  <si>
    <t>FQN59_RS11750</t>
  </si>
  <si>
    <t>CYTH domain-containing protein</t>
  </si>
  <si>
    <t>WP_005858868.1</t>
  </si>
  <si>
    <t>FQN59_RS11755</t>
  </si>
  <si>
    <t>WP_211736972.1</t>
  </si>
  <si>
    <t>FQN59_RS11760</t>
  </si>
  <si>
    <t>WP_005858864.1</t>
  </si>
  <si>
    <t>FQN59_RS11765</t>
  </si>
  <si>
    <t>zeta toxin family protein</t>
  </si>
  <si>
    <t>WP_005858862.1</t>
  </si>
  <si>
    <t>FQN59_RS11770</t>
  </si>
  <si>
    <t>radical SAM family heme chaperone HemW</t>
  </si>
  <si>
    <t>hemW</t>
  </si>
  <si>
    <t>WP_211736974.1</t>
  </si>
  <si>
    <t>FQN59_RS11775</t>
  </si>
  <si>
    <t>WP_005858833.1</t>
  </si>
  <si>
    <t>FQN59_RS11780</t>
  </si>
  <si>
    <t>WP_005868472.1</t>
  </si>
  <si>
    <t>FQN59_RS11785</t>
  </si>
  <si>
    <t>glycosyltransferase family protein</t>
  </si>
  <si>
    <t>WP_005868473.1</t>
  </si>
  <si>
    <t>FQN59_RS11790</t>
  </si>
  <si>
    <t>WP_211736976.1</t>
  </si>
  <si>
    <t>FQN59_RS11795</t>
  </si>
  <si>
    <t>WP_005868477.1</t>
  </si>
  <si>
    <t>FQN59_RS11800</t>
  </si>
  <si>
    <t>TIM barrel protein</t>
  </si>
  <si>
    <t>WP_229100369.1</t>
  </si>
  <si>
    <t>FQN59_RS11805</t>
  </si>
  <si>
    <t>glutamine synthetase III</t>
  </si>
  <si>
    <t>WP_048928163.1</t>
  </si>
  <si>
    <t>FQN59_RS11810</t>
  </si>
  <si>
    <t>sodium-translocating pyrophosphatase</t>
  </si>
  <si>
    <t>WP_005868481.1</t>
  </si>
  <si>
    <t>FQN59_RS11815</t>
  </si>
  <si>
    <t>WP_005868483.1</t>
  </si>
  <si>
    <t>FQN59_RS11820</t>
  </si>
  <si>
    <t>alpha-amylase family glycosyl hydrolase</t>
  </si>
  <si>
    <t>WP_008777935.1</t>
  </si>
  <si>
    <t>FQN59_RS11825</t>
  </si>
  <si>
    <t>FQN59_RS11830</t>
  </si>
  <si>
    <t>DedA family protein</t>
  </si>
  <si>
    <t>WP_211736978.1</t>
  </si>
  <si>
    <t>FQN59_RS11835</t>
  </si>
  <si>
    <t>ribose-phosphate pyrophosphokinase</t>
  </si>
  <si>
    <t>WP_008772599.1</t>
  </si>
  <si>
    <t>FQN59_RS11840</t>
  </si>
  <si>
    <t>tRNA 2-thiouridine(34) synthase MnmA</t>
  </si>
  <si>
    <t>mnmA</t>
  </si>
  <si>
    <t>WP_005868490.1</t>
  </si>
  <si>
    <t>FQN59_RS11845</t>
  </si>
  <si>
    <t>dipeptidyl-peptidase 3 family protein</t>
  </si>
  <si>
    <t>WP_211736981.1</t>
  </si>
  <si>
    <t>FQN59_RS11850</t>
  </si>
  <si>
    <t>WP_121961439.1</t>
  </si>
  <si>
    <t>FQN59_RS11855</t>
  </si>
  <si>
    <t>Fur family transcriptional regulator</t>
  </si>
  <si>
    <t>WP_211736983.1</t>
  </si>
  <si>
    <t>FQN59_RS11860</t>
  </si>
  <si>
    <t>adenylosuccinate synthase</t>
  </si>
  <si>
    <t>WP_005858796.1</t>
  </si>
  <si>
    <t>FQN59_RS11865</t>
  </si>
  <si>
    <t>zinc metallopeptidase</t>
  </si>
  <si>
    <t>WP_005868492.1</t>
  </si>
  <si>
    <t>FQN59_RS11870</t>
  </si>
  <si>
    <t>histidine--tRNA ligase</t>
  </si>
  <si>
    <t>hisS</t>
  </si>
  <si>
    <t>WP_022193202.1</t>
  </si>
  <si>
    <t>FQN59_RS11875</t>
  </si>
  <si>
    <t>glycoside hydrolase family 30 protein</t>
  </si>
  <si>
    <t>WP_211736986.1</t>
  </si>
  <si>
    <t>FQN59_RS11880</t>
  </si>
  <si>
    <t>WP_005858788.1</t>
  </si>
  <si>
    <t>FQN59_RS11885</t>
  </si>
  <si>
    <t>chaperonin GroEL</t>
  </si>
  <si>
    <t>groL</t>
  </si>
  <si>
    <t>WP_005858786.1</t>
  </si>
  <si>
    <t>FQN59_RS11890</t>
  </si>
  <si>
    <t>FQN59_RS11895</t>
  </si>
  <si>
    <t>WP_121961437.1</t>
  </si>
  <si>
    <t>FQN59_RS11900</t>
  </si>
  <si>
    <t>WP_211736988.1</t>
  </si>
  <si>
    <t>FQN59_RS11905</t>
  </si>
  <si>
    <t>WP_005858783.1</t>
  </si>
  <si>
    <t>FQN59_RS11910</t>
  </si>
  <si>
    <t>nucleoside triphosphate pyrophosphohydrolase</t>
  </si>
  <si>
    <t>mazG</t>
  </si>
  <si>
    <t>WP_005858781.1</t>
  </si>
  <si>
    <t>FQN59_RS11915</t>
  </si>
  <si>
    <t>protein-disulfide reductase DsbD family protein</t>
  </si>
  <si>
    <t>WP_211736990.1</t>
  </si>
  <si>
    <t>FQN59_RS11920</t>
  </si>
  <si>
    <t>WP_121773313.1</t>
  </si>
  <si>
    <t>FQN59_RS11925</t>
  </si>
  <si>
    <t>valine--tRNA ligase</t>
  </si>
  <si>
    <t>WP_005868508.1</t>
  </si>
  <si>
    <t>FQN59_RS11930</t>
  </si>
  <si>
    <t>WP_249222445.1</t>
  </si>
  <si>
    <t>FQN59_RS11935</t>
  </si>
  <si>
    <t>WP_249222446.1</t>
  </si>
  <si>
    <t>FQN59_RS22590</t>
  </si>
  <si>
    <t>WP_008772587.1</t>
  </si>
  <si>
    <t>FQN59_RS11950</t>
  </si>
  <si>
    <t>DUF6340 family protein</t>
  </si>
  <si>
    <t>WP_005868521.1</t>
  </si>
  <si>
    <t>FQN59_RS11955</t>
  </si>
  <si>
    <t>WP_211736994.1</t>
  </si>
  <si>
    <t>FQN59_RS11960</t>
  </si>
  <si>
    <t>FQN59_RS11965</t>
  </si>
  <si>
    <t>WP_005868525.1</t>
  </si>
  <si>
    <t>FQN59_RS11970</t>
  </si>
  <si>
    <t>WP_229033086.1</t>
  </si>
  <si>
    <t>FQN59_RS22965</t>
  </si>
  <si>
    <t>WP_005868529.1</t>
  </si>
  <si>
    <t>FQN59_RS11980</t>
  </si>
  <si>
    <t>WP_350457271.1</t>
  </si>
  <si>
    <t>FQN59_RS22970</t>
  </si>
  <si>
    <t>WP_087880463.1</t>
  </si>
  <si>
    <t>FQN59_RS11990</t>
  </si>
  <si>
    <t>WP_087346030.1</t>
  </si>
  <si>
    <t>FQN59_RS11995</t>
  </si>
  <si>
    <t>FQN59_RS12000</t>
  </si>
  <si>
    <t>WP_122143977.1</t>
  </si>
  <si>
    <t>FQN59_RS12005</t>
  </si>
  <si>
    <t>WP_087346038.1</t>
  </si>
  <si>
    <t>FQN59_RS12010</t>
  </si>
  <si>
    <t>DUF2589 domain-containing protein</t>
  </si>
  <si>
    <t>WP_241149234.1</t>
  </si>
  <si>
    <t>FQN59_RS12015</t>
  </si>
  <si>
    <t>WP_211736996.1</t>
  </si>
  <si>
    <t>FQN59_RS12020</t>
  </si>
  <si>
    <t>FQN59_RS12025</t>
  </si>
  <si>
    <t>DUF4286 family protein</t>
  </si>
  <si>
    <t>WP_005868538.1</t>
  </si>
  <si>
    <t>FQN59_RS12030</t>
  </si>
  <si>
    <t>crossover junction endodeoxyribonuclease RuvC</t>
  </si>
  <si>
    <t>ruvC</t>
  </si>
  <si>
    <t>WP_211736998.1</t>
  </si>
  <si>
    <t>FQN59_RS12035</t>
  </si>
  <si>
    <t>NADP-specific glutamate dehydrogenase</t>
  </si>
  <si>
    <t>gdhA</t>
  </si>
  <si>
    <t>WP_005868539.1</t>
  </si>
  <si>
    <t>FQN59_RS12040</t>
  </si>
  <si>
    <t>PEP/pyruvate-binding domain-containing protein</t>
  </si>
  <si>
    <t>WP_041525632.1</t>
  </si>
  <si>
    <t>FQN59_RS12045</t>
  </si>
  <si>
    <t>WP_122143976.1</t>
  </si>
  <si>
    <t>FQN59_RS12050</t>
  </si>
  <si>
    <t>WP_122143975.1</t>
  </si>
  <si>
    <t>FQN59_RS12055</t>
  </si>
  <si>
    <t>RapZ C-terminal domain-containing protein</t>
  </si>
  <si>
    <t>WP_005868544.1</t>
  </si>
  <si>
    <t>FQN59_RS12060</t>
  </si>
  <si>
    <t>WP_005858752.1</t>
  </si>
  <si>
    <t>FQN59_RS12065</t>
  </si>
  <si>
    <t>WP_005858749.1</t>
  </si>
  <si>
    <t>FQN59_RS12070</t>
  </si>
  <si>
    <t>DUF2007 domain-containing protein</t>
  </si>
  <si>
    <t>WP_005858748.1</t>
  </si>
  <si>
    <t>FQN59_RS12075</t>
  </si>
  <si>
    <t>WP_008772578.1</t>
  </si>
  <si>
    <t>FQN59_RS12080</t>
  </si>
  <si>
    <t>WP_009017042.1</t>
  </si>
  <si>
    <t>FQN59_RS12085</t>
  </si>
  <si>
    <t>WP_211737000.1</t>
  </si>
  <si>
    <t>FQN59_RS12090</t>
  </si>
  <si>
    <t>WP_121773128.1</t>
  </si>
  <si>
    <t>FQN59_RS12095</t>
  </si>
  <si>
    <t>WP_022193190.1</t>
  </si>
  <si>
    <t>FQN59_RS12100</t>
  </si>
  <si>
    <t>DsbA family protein</t>
  </si>
  <si>
    <t>WP_005868556.1</t>
  </si>
  <si>
    <t>FQN59_RS12105</t>
  </si>
  <si>
    <t>D-Ala-D-Ala carboxypeptidase family metallohydrolase</t>
  </si>
  <si>
    <t>WP_005858741.1</t>
  </si>
  <si>
    <t>FQN59_RS12110</t>
  </si>
  <si>
    <t>WP_005868558.1</t>
  </si>
  <si>
    <t>FQN59_RS12115</t>
  </si>
  <si>
    <t>WP_122246334.1</t>
  </si>
  <si>
    <t>FQN59_RS12120</t>
  </si>
  <si>
    <t>WP_008779381.1</t>
  </si>
  <si>
    <t>FQN59_RS12125</t>
  </si>
  <si>
    <t>WP_005868570.1</t>
  </si>
  <si>
    <t>FQN59_RS12130</t>
  </si>
  <si>
    <t>WP_211737002.1</t>
  </si>
  <si>
    <t>FQN59_RS12135</t>
  </si>
  <si>
    <t>WP_334257881.1</t>
  </si>
  <si>
    <t>FQN59_RS22860</t>
  </si>
  <si>
    <t>cytidylyltransferase domain-containing protein</t>
  </si>
  <si>
    <t>WP_009017046.1</t>
  </si>
  <si>
    <t>FQN59_RS12140</t>
  </si>
  <si>
    <t>N-acetylneuraminate synthase family protein</t>
  </si>
  <si>
    <t>WP_122380453.1</t>
  </si>
  <si>
    <t>FQN59_RS12145</t>
  </si>
  <si>
    <t>WP_122380452.1</t>
  </si>
  <si>
    <t>FQN59_RS12150</t>
  </si>
  <si>
    <t>WP_211737005.1</t>
  </si>
  <si>
    <t>FQN59_RS12155</t>
  </si>
  <si>
    <t>WP_211737007.1</t>
  </si>
  <si>
    <t>FQN59_RS12160</t>
  </si>
  <si>
    <t>WP_057316752.1</t>
  </si>
  <si>
    <t>FQN59_RS12165</t>
  </si>
  <si>
    <t>WP_211737009.1</t>
  </si>
  <si>
    <t>FQN59_RS12170</t>
  </si>
  <si>
    <t>WP_009017053.1</t>
  </si>
  <si>
    <t>FQN59_RS12175</t>
  </si>
  <si>
    <t>phosphopantetheine-binding protein</t>
  </si>
  <si>
    <t>WP_009017054.1</t>
  </si>
  <si>
    <t>FQN59_RS12180</t>
  </si>
  <si>
    <t>WP_211737011.1</t>
  </si>
  <si>
    <t>FQN59_RS12185</t>
  </si>
  <si>
    <t>WP_009017056.1</t>
  </si>
  <si>
    <t>FQN59_RS12190</t>
  </si>
  <si>
    <t>PIG-L deacetylase family protein</t>
  </si>
  <si>
    <t>WP_009017057.1</t>
  </si>
  <si>
    <t>FQN59_RS12195</t>
  </si>
  <si>
    <t>WP_009017058.1</t>
  </si>
  <si>
    <t>FQN59_RS12200</t>
  </si>
  <si>
    <t>WP_009017059.1</t>
  </si>
  <si>
    <t>FQN59_RS12205</t>
  </si>
  <si>
    <t>WbuC family cupin fold metalloprotein</t>
  </si>
  <si>
    <t>WP_009017060.1</t>
  </si>
  <si>
    <t>FQN59_RS12210</t>
  </si>
  <si>
    <t>WP_255223108.1</t>
  </si>
  <si>
    <t>FQN59_RS22725</t>
  </si>
  <si>
    <t>WP_211737013.1</t>
  </si>
  <si>
    <t>FQN59_RS12215</t>
  </si>
  <si>
    <t>WP_211737015.1</t>
  </si>
  <si>
    <t>FQN59_RS12220</t>
  </si>
  <si>
    <t>WP_005868594.1</t>
  </si>
  <si>
    <t>FQN59_RS12225</t>
  </si>
  <si>
    <t>WP_005858717.1</t>
  </si>
  <si>
    <t>FQN59_RS12230</t>
  </si>
  <si>
    <t>WP_022193172.1</t>
  </si>
  <si>
    <t>FQN59_RS12235</t>
  </si>
  <si>
    <t>WP_005858713.1</t>
  </si>
  <si>
    <t>FQN59_RS12240</t>
  </si>
  <si>
    <t>WP_005858711.1</t>
  </si>
  <si>
    <t>FQN59_RS12245</t>
  </si>
  <si>
    <t>FQN59_RS12250</t>
  </si>
  <si>
    <t>WP_005858709.1</t>
  </si>
  <si>
    <t>FQN59_RS12255</t>
  </si>
  <si>
    <t>HAD-IA family hydrolase</t>
  </si>
  <si>
    <t>WP_249222447.1</t>
  </si>
  <si>
    <t>FQN59_RS12260</t>
  </si>
  <si>
    <t>FQN59_RS12265</t>
  </si>
  <si>
    <t>FQN59_RS12270</t>
  </si>
  <si>
    <t>FQN59_RS12275</t>
  </si>
  <si>
    <t>tRNA-Phe</t>
  </si>
  <si>
    <t>FQN59_RS12280</t>
  </si>
  <si>
    <t>WP_211737017.1</t>
  </si>
  <si>
    <t>FQN59_RS12285</t>
  </si>
  <si>
    <t>WP_229038421.1</t>
  </si>
  <si>
    <t>FQN59_RS12290</t>
  </si>
  <si>
    <t>WP_007838828.1</t>
  </si>
  <si>
    <t>FQN59_RS12295</t>
  </si>
  <si>
    <t>WP_211737019.1</t>
  </si>
  <si>
    <t>FQN59_RS12300</t>
  </si>
  <si>
    <t>WP_211737021.1</t>
  </si>
  <si>
    <t>FQN59_RS12305</t>
  </si>
  <si>
    <t>WP_249222448.1</t>
  </si>
  <si>
    <t>FQN59_RS12310</t>
  </si>
  <si>
    <t>WP_211737025.1</t>
  </si>
  <si>
    <t>FQN59_RS12315</t>
  </si>
  <si>
    <t>WP_211737027.1</t>
  </si>
  <si>
    <t>FQN59_RS12320</t>
  </si>
  <si>
    <t>DUF4120 family protein</t>
  </si>
  <si>
    <t>WP_211737029.1</t>
  </si>
  <si>
    <t>FQN59_RS12325</t>
  </si>
  <si>
    <t>WP_005802666.1</t>
  </si>
  <si>
    <t>FQN59_RS12335</t>
  </si>
  <si>
    <t>DUF4121 family protein</t>
  </si>
  <si>
    <t>WP_211737032.1</t>
  </si>
  <si>
    <t>FQN59_RS12340</t>
  </si>
  <si>
    <t>WP_007838813.1</t>
  </si>
  <si>
    <t>FQN59_RS12345</t>
  </si>
  <si>
    <t>WP_005858677.1</t>
  </si>
  <si>
    <t>FQN59_RS12350</t>
  </si>
  <si>
    <t>WP_211737034.1</t>
  </si>
  <si>
    <t>FQN59_RS12355</t>
  </si>
  <si>
    <t>WP_134771226.1</t>
  </si>
  <si>
    <t>FQN59_RS12360</t>
  </si>
  <si>
    <t>WP_134771343.1</t>
  </si>
  <si>
    <t>FQN59_RS12365</t>
  </si>
  <si>
    <t>WP_134771224.1</t>
  </si>
  <si>
    <t>FQN59_RS12370</t>
  </si>
  <si>
    <t>TIGR02594 family protein</t>
  </si>
  <si>
    <t>WP_204888307.1</t>
  </si>
  <si>
    <t>FQN59_RS12375</t>
  </si>
  <si>
    <t>type VI secretion system tube protein TssD</t>
  </si>
  <si>
    <t>tssD</t>
  </si>
  <si>
    <t>WP_227201949.1</t>
  </si>
  <si>
    <t>FQN59_RS12380</t>
  </si>
  <si>
    <t>WP_134771222.1</t>
  </si>
  <si>
    <t>FQN59_RS12385</t>
  </si>
  <si>
    <t>WP_005802648.1</t>
  </si>
  <si>
    <t>FQN59_RS12390</t>
  </si>
  <si>
    <t>WP_134771220.1</t>
  </si>
  <si>
    <t>FQN59_RS12395</t>
  </si>
  <si>
    <t>WP_029327294.1</t>
  </si>
  <si>
    <t>FQN59_RS12400</t>
  </si>
  <si>
    <t>WP_134771341.1</t>
  </si>
  <si>
    <t>FQN59_RS12405</t>
  </si>
  <si>
    <t>WP_134771219.1</t>
  </si>
  <si>
    <t>FQN59_RS12410</t>
  </si>
  <si>
    <t>WP_004288760.1</t>
  </si>
  <si>
    <t>FQN59_RS12415</t>
  </si>
  <si>
    <t>WP_005802642.1</t>
  </si>
  <si>
    <t>FQN59_RS12420</t>
  </si>
  <si>
    <t>WP_004288758.1</t>
  </si>
  <si>
    <t>FQN59_RS12425</t>
  </si>
  <si>
    <t>WP_036632189.1</t>
  </si>
  <si>
    <t>FQN59_RS12430</t>
  </si>
  <si>
    <t>WP_117893807.1</t>
  </si>
  <si>
    <t>FQN59_RS12435</t>
  </si>
  <si>
    <t>WP_211737036.1</t>
  </si>
  <si>
    <t>FQN59_RS12440</t>
  </si>
  <si>
    <t>WP_017142017.1</t>
  </si>
  <si>
    <t>FQN59_RS12445</t>
  </si>
  <si>
    <t>WP_036632171.1</t>
  </si>
  <si>
    <t>FQN59_RS12450</t>
  </si>
  <si>
    <t>AbiH family protein</t>
  </si>
  <si>
    <t>WP_211737038.1</t>
  </si>
  <si>
    <t>FQN59_RS12455</t>
  </si>
  <si>
    <t>DUF4122 domain-containing protein</t>
  </si>
  <si>
    <t>WP_005802631.1</t>
  </si>
  <si>
    <t>FQN59_RS12460</t>
  </si>
  <si>
    <t>WP_134771218.1</t>
  </si>
  <si>
    <t>FQN59_RS12465</t>
  </si>
  <si>
    <t>WP_005802628.1</t>
  </si>
  <si>
    <t>FQN59_RS12470</t>
  </si>
  <si>
    <t>WP_117589807.1</t>
  </si>
  <si>
    <t>FQN59_RS12475</t>
  </si>
  <si>
    <t>WP_211737040.1</t>
  </si>
  <si>
    <t>FQN59_RS12480</t>
  </si>
  <si>
    <t>WP_004288741.1</t>
  </si>
  <si>
    <t>FQN59_RS12485</t>
  </si>
  <si>
    <t>WP_117601207.1</t>
  </si>
  <si>
    <t>FQN59_RS12490</t>
  </si>
  <si>
    <t>translation initiation factor 2</t>
  </si>
  <si>
    <t>WP_227201881.1</t>
  </si>
  <si>
    <t>FQN59_RS12495</t>
  </si>
  <si>
    <t>WP_117601206.1</t>
  </si>
  <si>
    <t>FQN59_RS12500</t>
  </si>
  <si>
    <t>T6SS effector amidase Tae4 family protein</t>
  </si>
  <si>
    <t>WP_117589938.1</t>
  </si>
  <si>
    <t>FQN59_RS12505</t>
  </si>
  <si>
    <t>WP_146265087.1</t>
  </si>
  <si>
    <t>FQN59_RS12510</t>
  </si>
  <si>
    <t>type VI secretion system protein TssR domain-containing protein</t>
  </si>
  <si>
    <t>tssR</t>
  </si>
  <si>
    <t>WP_196069166.1</t>
  </si>
  <si>
    <t>FQN59_RS12515</t>
  </si>
  <si>
    <t>PKD domain-containing protein</t>
  </si>
  <si>
    <t>WP_004288733.1</t>
  </si>
  <si>
    <t>FQN59_RS12520</t>
  </si>
  <si>
    <t>type VI secretion system transmembrane protein TssO</t>
  </si>
  <si>
    <t>WP_004288732.1</t>
  </si>
  <si>
    <t>FQN59_RS12525</t>
  </si>
  <si>
    <t>type VI secretion system TssO</t>
  </si>
  <si>
    <t>WP_004288731.1</t>
  </si>
  <si>
    <t>FQN59_RS12530</t>
  </si>
  <si>
    <t>type VI secretion system baseplate subunit TssG</t>
  </si>
  <si>
    <t>WP_146265085.1</t>
  </si>
  <si>
    <t>FQN59_RS12535</t>
  </si>
  <si>
    <t>WP_211737042.1</t>
  </si>
  <si>
    <t>FQN59_RS12540</t>
  </si>
  <si>
    <t>TssN family type VI secretion system protein</t>
  </si>
  <si>
    <t>WP_146265083.1</t>
  </si>
  <si>
    <t>FQN59_RS12545</t>
  </si>
  <si>
    <t>type VI secretion system baseplate subunit TssF</t>
  </si>
  <si>
    <t>WP_146265082.1</t>
  </si>
  <si>
    <t>FQN59_RS12550</t>
  </si>
  <si>
    <t>WP_007832768.1</t>
  </si>
  <si>
    <t>FQN59_RS12555</t>
  </si>
  <si>
    <t>WP_185150550.1</t>
  </si>
  <si>
    <t>FQN59_RS12560</t>
  </si>
  <si>
    <t>WP_007832771.1</t>
  </si>
  <si>
    <t>FQN59_RS12565</t>
  </si>
  <si>
    <t>WP_007832772.1</t>
  </si>
  <si>
    <t>FQN59_RS12570</t>
  </si>
  <si>
    <t>WP_211737044.1</t>
  </si>
  <si>
    <t>FQN59_RS12575</t>
  </si>
  <si>
    <t>WP_007832775.1</t>
  </si>
  <si>
    <t>FQN59_RS12580</t>
  </si>
  <si>
    <t>WP_004288719.1</t>
  </si>
  <si>
    <t>FQN59_RS12585</t>
  </si>
  <si>
    <t>ATP-dependent Clp protease ATP-binding subunit</t>
  </si>
  <si>
    <t>WP_185150549.1</t>
  </si>
  <si>
    <t>FQN59_RS12590</t>
  </si>
  <si>
    <t>FQN59_RS12595</t>
  </si>
  <si>
    <t>WP_004288717.1</t>
  </si>
  <si>
    <t>FQN59_RS12600</t>
  </si>
  <si>
    <t>type VI secretion system Vgr family protein</t>
  </si>
  <si>
    <t>WP_146265079.1</t>
  </si>
  <si>
    <t>FQN59_RS12605</t>
  </si>
  <si>
    <t>WP_005858595.1</t>
  </si>
  <si>
    <t>FQN59_RS12610</t>
  </si>
  <si>
    <t>WP_005802596.1</t>
  </si>
  <si>
    <t>FQN59_RS12615</t>
  </si>
  <si>
    <t>DUF5458 family protein</t>
  </si>
  <si>
    <t>WP_004288713.1</t>
  </si>
  <si>
    <t>FQN59_RS12620</t>
  </si>
  <si>
    <t>DUF6531 domain-containing protein</t>
  </si>
  <si>
    <t>WP_211737046.1</t>
  </si>
  <si>
    <t>FQN59_RS12625</t>
  </si>
  <si>
    <t>Imm43 family immunity protein</t>
  </si>
  <si>
    <t>WP_146265077.1</t>
  </si>
  <si>
    <t>FQN59_RS12630</t>
  </si>
  <si>
    <t>WP_146265076.1</t>
  </si>
  <si>
    <t>FQN59_RS12635</t>
  </si>
  <si>
    <t>WP_146265075.1</t>
  </si>
  <si>
    <t>FQN59_RS12640</t>
  </si>
  <si>
    <t>DUF262 domain-containing protein</t>
  </si>
  <si>
    <t>WP_146265074.1</t>
  </si>
  <si>
    <t>FQN59_RS12645</t>
  </si>
  <si>
    <t>WP_211737049.1</t>
  </si>
  <si>
    <t>FQN59_RS12650</t>
  </si>
  <si>
    <t>WP_005858575.1</t>
  </si>
  <si>
    <t>FQN59_RS12655</t>
  </si>
  <si>
    <t>WP_034530215.1</t>
  </si>
  <si>
    <t>FQN59_RS12660</t>
  </si>
  <si>
    <t>WP_211737051.1</t>
  </si>
  <si>
    <t>FQN59_RS12665</t>
  </si>
  <si>
    <t>WP_146265071.1</t>
  </si>
  <si>
    <t>FQN59_RS12670</t>
  </si>
  <si>
    <t>WP_005858567.1</t>
  </si>
  <si>
    <t>FQN59_RS12675</t>
  </si>
  <si>
    <t>pseudohemocyanin</t>
  </si>
  <si>
    <t>WP_146265070.1</t>
  </si>
  <si>
    <t>FQN59_RS12680</t>
  </si>
  <si>
    <t>WP_005858563.1</t>
  </si>
  <si>
    <t>FQN59_RS12685</t>
  </si>
  <si>
    <t>StlD/DarB family beta-ketosynthase</t>
  </si>
  <si>
    <t>WP_008778018.1</t>
  </si>
  <si>
    <t>FQN59_RS12690</t>
  </si>
  <si>
    <t>FQN59_RS12695</t>
  </si>
  <si>
    <t>FQN59_RS12700</t>
  </si>
  <si>
    <t>FQN59_RS12705</t>
  </si>
  <si>
    <t>WP_146265096.1</t>
  </si>
  <si>
    <t>FQN59_RS12710</t>
  </si>
  <si>
    <t>WP_211737053.1</t>
  </si>
  <si>
    <t>FQN59_RS12715</t>
  </si>
  <si>
    <t>WP_211737055.1</t>
  </si>
  <si>
    <t>FQN59_RS12720</t>
  </si>
  <si>
    <t>WP_005802575.1</t>
  </si>
  <si>
    <t>FQN59_RS12725</t>
  </si>
  <si>
    <t>WP_004288697.1</t>
  </si>
  <si>
    <t>FQN59_RS12730</t>
  </si>
  <si>
    <t>DNA topoisomerase</t>
  </si>
  <si>
    <t>WP_044269192.1</t>
  </si>
  <si>
    <t>FQN59_RS12735</t>
  </si>
  <si>
    <t>WP_005858548.1</t>
  </si>
  <si>
    <t>FQN59_RS12740</t>
  </si>
  <si>
    <t>WP_005858546.1</t>
  </si>
  <si>
    <t>FQN59_RS12745</t>
  </si>
  <si>
    <t>PRTRC system protein E</t>
  </si>
  <si>
    <t>WP_036631737.1</t>
  </si>
  <si>
    <t>FQN59_RS12750</t>
  </si>
  <si>
    <t>PRTRC system protein C</t>
  </si>
  <si>
    <t>WP_211737058.1</t>
  </si>
  <si>
    <t>FQN59_RS12755</t>
  </si>
  <si>
    <t>WP_211477570.1</t>
  </si>
  <si>
    <t>FQN59_RS12760</t>
  </si>
  <si>
    <t>prokaryotic E2 ligase family D protein</t>
  </si>
  <si>
    <t>WP_008778645.1</t>
  </si>
  <si>
    <t>FQN59_RS12765</t>
  </si>
  <si>
    <t>PRTRC system ThiF family protein</t>
  </si>
  <si>
    <t>WP_211477571.1</t>
  </si>
  <si>
    <t>FQN59_RS12770</t>
  </si>
  <si>
    <t>NYN domain-containing protein</t>
  </si>
  <si>
    <t>WP_211737059.1</t>
  </si>
  <si>
    <t>FQN59_RS12775</t>
  </si>
  <si>
    <t>WP_211737061.1</t>
  </si>
  <si>
    <t>FQN59_RS12780</t>
  </si>
  <si>
    <t>WP_005864565.1</t>
  </si>
  <si>
    <t>FQN59_RS12785</t>
  </si>
  <si>
    <t>phosphoribosyltransferase</t>
  </si>
  <si>
    <t>WP_211737063.1</t>
  </si>
  <si>
    <t>FQN59_RS12790</t>
  </si>
  <si>
    <t>WP_211737065.1</t>
  </si>
  <si>
    <t>FQN59_RS12795</t>
  </si>
  <si>
    <t>WP_005942654.1</t>
  </si>
  <si>
    <t>FQN59_RS12800</t>
  </si>
  <si>
    <t>WP_211737067.1</t>
  </si>
  <si>
    <t>FQN59_RS12805</t>
  </si>
  <si>
    <t>WP_211737070.1</t>
  </si>
  <si>
    <t>FQN59_RS12810</t>
  </si>
  <si>
    <t>WP_211737072.1</t>
  </si>
  <si>
    <t>FQN59_RS12815</t>
  </si>
  <si>
    <t>WP_211737075.1</t>
  </si>
  <si>
    <t>FQN59_RS12820</t>
  </si>
  <si>
    <t>class I SAM-dependent DNA methyltransferase</t>
  </si>
  <si>
    <t>WP_211737077.1</t>
  </si>
  <si>
    <t>FQN59_RS12825</t>
  </si>
  <si>
    <t>ATP-grasp domain-containing protein</t>
  </si>
  <si>
    <t>WP_211737079.1</t>
  </si>
  <si>
    <t>FQN59_RS12830</t>
  </si>
  <si>
    <t>WP_211737081.1</t>
  </si>
  <si>
    <t>FQN59_RS12835</t>
  </si>
  <si>
    <t>FQN59_RS12840</t>
  </si>
  <si>
    <t>WP_211737083.1</t>
  </si>
  <si>
    <t>FQN59_RS12845</t>
  </si>
  <si>
    <t>WP_249222451.1</t>
  </si>
  <si>
    <t>FQN59_RS22600</t>
  </si>
  <si>
    <t>WP_211737085.1</t>
  </si>
  <si>
    <t>FQN59_RS12855</t>
  </si>
  <si>
    <t>WP_054350042.1</t>
  </si>
  <si>
    <t>FQN59_RS12860</t>
  </si>
  <si>
    <t>ISAs1 family transposase</t>
  </si>
  <si>
    <t>WP_249222452.1</t>
  </si>
  <si>
    <t>FQN59_RS12865</t>
  </si>
  <si>
    <t>WP_249222453.1</t>
  </si>
  <si>
    <t>FQN59_RS22605</t>
  </si>
  <si>
    <t>WP_211737087.1</t>
  </si>
  <si>
    <t>FQN59_RS12875</t>
  </si>
  <si>
    <t>WP_211737089.1</t>
  </si>
  <si>
    <t>FQN59_RS12880</t>
  </si>
  <si>
    <t>WP_211737091.1</t>
  </si>
  <si>
    <t>FQN59_RS12885</t>
  </si>
  <si>
    <t>WP_211737094.1</t>
  </si>
  <si>
    <t>FQN59_RS12890</t>
  </si>
  <si>
    <t>WP_008772561.1</t>
  </si>
  <si>
    <t>FQN59_RS12895</t>
  </si>
  <si>
    <t>WP_008772560.1</t>
  </si>
  <si>
    <t>FQN59_RS12900</t>
  </si>
  <si>
    <t>VapE domain-containing protein</t>
  </si>
  <si>
    <t>WP_211737096.1</t>
  </si>
  <si>
    <t>FQN59_RS12905</t>
  </si>
  <si>
    <t>WP_211737098.1</t>
  </si>
  <si>
    <t>FQN59_RS12910</t>
  </si>
  <si>
    <t>WP_042985792.1</t>
  </si>
  <si>
    <t>FQN59_RS12915</t>
  </si>
  <si>
    <t>WP_211737101.1</t>
  </si>
  <si>
    <t>FQN59_RS12920</t>
  </si>
  <si>
    <t>WP_211737103.1</t>
  </si>
  <si>
    <t>FQN59_RS12925</t>
  </si>
  <si>
    <t>WP_211737105.1</t>
  </si>
  <si>
    <t>FQN59_RS12930</t>
  </si>
  <si>
    <t>WP_211738998.1</t>
  </si>
  <si>
    <t>FQN59_RS12935</t>
  </si>
  <si>
    <t>WP_100738405.1</t>
  </si>
  <si>
    <t>FQN59_RS12940</t>
  </si>
  <si>
    <t>WP_249222454.1</t>
  </si>
  <si>
    <t>FQN59_RS22610</t>
  </si>
  <si>
    <t>type 1 glutamine amidotransferase domain-containing protein</t>
  </si>
  <si>
    <t>WP_249222455.1</t>
  </si>
  <si>
    <t>FQN59_RS12945</t>
  </si>
  <si>
    <t>WP_042985800.1</t>
  </si>
  <si>
    <t>FQN59_RS12950</t>
  </si>
  <si>
    <t>WP_016661727.1</t>
  </si>
  <si>
    <t>FQN59_RS12955</t>
  </si>
  <si>
    <t>AlbA family DNA-binding domain-containing protein</t>
  </si>
  <si>
    <t>WP_211737108.1</t>
  </si>
  <si>
    <t>FQN59_RS12960</t>
  </si>
  <si>
    <t>WP_211737110.1</t>
  </si>
  <si>
    <t>FQN59_RS12965</t>
  </si>
  <si>
    <t>WP_211737112.1</t>
  </si>
  <si>
    <t>FQN59_RS12970</t>
  </si>
  <si>
    <t>WP_005858424.1</t>
  </si>
  <si>
    <t>FQN59_RS12975</t>
  </si>
  <si>
    <t>WP_005858426.1</t>
  </si>
  <si>
    <t>FQN59_RS12980</t>
  </si>
  <si>
    <t>WP_005868660.1</t>
  </si>
  <si>
    <t>FQN59_RS12985</t>
  </si>
  <si>
    <t>WP_008772540.1</t>
  </si>
  <si>
    <t>FQN59_RS12990</t>
  </si>
  <si>
    <t>7-cyano-7-deazaguanine synthase QueC</t>
  </si>
  <si>
    <t>queC</t>
  </si>
  <si>
    <t>WP_005858432.1</t>
  </si>
  <si>
    <t>FQN59_RS12995</t>
  </si>
  <si>
    <t>preQ(1) synthase</t>
  </si>
  <si>
    <t>queF</t>
  </si>
  <si>
    <t>WP_005868655.1</t>
  </si>
  <si>
    <t>FQN59_RS13000</t>
  </si>
  <si>
    <t>WP_211737114.1</t>
  </si>
  <si>
    <t>FQN59_RS13005</t>
  </si>
  <si>
    <t>FQN59_RS13010</t>
  </si>
  <si>
    <t>FQN59_RS13015</t>
  </si>
  <si>
    <t>TIGR03915 family putative DNA repair protein</t>
  </si>
  <si>
    <t>WP_005868651.1</t>
  </si>
  <si>
    <t>FQN59_RS13020</t>
  </si>
  <si>
    <t>putative DNA modification/repair radical SAM protein</t>
  </si>
  <si>
    <t>WP_005868650.1</t>
  </si>
  <si>
    <t>FQN59_RS13025</t>
  </si>
  <si>
    <t>WP_249222456.1</t>
  </si>
  <si>
    <t>FQN59_RS22615</t>
  </si>
  <si>
    <t>WP_270620840.1</t>
  </si>
  <si>
    <t>FQN59_RS22620</t>
  </si>
  <si>
    <t>FQN59_RS13035</t>
  </si>
  <si>
    <t>WP_141806872.1</t>
  </si>
  <si>
    <t>FQN59_RS13040</t>
  </si>
  <si>
    <t>WP_057326901.1</t>
  </si>
  <si>
    <t>FQN59_RS13045</t>
  </si>
  <si>
    <t>WP_048928188.1</t>
  </si>
  <si>
    <t>FQN59_RS13050</t>
  </si>
  <si>
    <t>WP_005868646.1</t>
  </si>
  <si>
    <t>FQN59_RS13055</t>
  </si>
  <si>
    <t>WP_005868645.1</t>
  </si>
  <si>
    <t>FQN59_RS13060</t>
  </si>
  <si>
    <t>WP_229036767.1</t>
  </si>
  <si>
    <t>FQN59_RS13065</t>
  </si>
  <si>
    <t>WP_122380440.1</t>
  </si>
  <si>
    <t>FQN59_RS13070</t>
  </si>
  <si>
    <t>glycerophosphodiester phosphodiesterase family protein</t>
  </si>
  <si>
    <t>WP_005868641.1</t>
  </si>
  <si>
    <t>FQN59_RS13075</t>
  </si>
  <si>
    <t>glutamine synthetase family protein</t>
  </si>
  <si>
    <t>WP_044546068.1</t>
  </si>
  <si>
    <t>FQN59_RS13080</t>
  </si>
  <si>
    <t>FQN59_RS13085</t>
  </si>
  <si>
    <t>FQN59_RS13090</t>
  </si>
  <si>
    <t>glycoside hydrolase family 15 protein</t>
  </si>
  <si>
    <t>WP_048928189.1</t>
  </si>
  <si>
    <t>FQN59_RS13095</t>
  </si>
  <si>
    <t>bifunctional alpha,alpha-trehalose-phosphate synthase (UDP-forming)/trehalose-phosphatase</t>
  </si>
  <si>
    <t>WP_121961336.1</t>
  </si>
  <si>
    <t>FQN59_RS13100</t>
  </si>
  <si>
    <t>WP_036632619.1</t>
  </si>
  <si>
    <t>FQN59_RS13105</t>
  </si>
  <si>
    <t>WP_005858469.1</t>
  </si>
  <si>
    <t>FQN59_RS13110</t>
  </si>
  <si>
    <t>potassium-transporting ATPase subunit F</t>
  </si>
  <si>
    <t>WP_080504992.1</t>
  </si>
  <si>
    <t>FQN59_RS22975</t>
  </si>
  <si>
    <t>potassium-transporting ATPase subunit KdpA</t>
  </si>
  <si>
    <t>kdpA</t>
  </si>
  <si>
    <t>WP_005858471.1</t>
  </si>
  <si>
    <t>FQN59_RS13120</t>
  </si>
  <si>
    <t>potassium-transporting ATPase subunit KdpB</t>
  </si>
  <si>
    <t>kdpB</t>
  </si>
  <si>
    <t>WP_005858473.1</t>
  </si>
  <si>
    <t>FQN59_RS13125</t>
  </si>
  <si>
    <t>K(+)-transporting ATPase subunit C</t>
  </si>
  <si>
    <t>WP_122370205.1</t>
  </si>
  <si>
    <t>FQN59_RS13130</t>
  </si>
  <si>
    <t>WP_005868608.1</t>
  </si>
  <si>
    <t>FQN59_RS13135</t>
  </si>
  <si>
    <t>sensor protein KdpD</t>
  </si>
  <si>
    <t>WP_005868607.1</t>
  </si>
  <si>
    <t>FQN59_RS13140</t>
  </si>
  <si>
    <t>WP_005868605.1</t>
  </si>
  <si>
    <t>FQN59_RS13145</t>
  </si>
  <si>
    <t>WP_005858483.1</t>
  </si>
  <si>
    <t>FQN59_RS13150</t>
  </si>
  <si>
    <t>WP_034530618.1</t>
  </si>
  <si>
    <t>FQN59_RS22730</t>
  </si>
  <si>
    <t>WP_005868601.1</t>
  </si>
  <si>
    <t>FQN59_RS22735</t>
  </si>
  <si>
    <t>FQN59_RS22865</t>
  </si>
  <si>
    <t>WP_122297761.1</t>
  </si>
  <si>
    <t>FQN59_RS13165</t>
  </si>
  <si>
    <t>ketopantoate reductase family protein</t>
  </si>
  <si>
    <t>WP_211737116.1</t>
  </si>
  <si>
    <t>FQN59_RS13170</t>
  </si>
  <si>
    <t>WP_029257134.1</t>
  </si>
  <si>
    <t>FQN59_RS13175</t>
  </si>
  <si>
    <t>WP_211737118.1</t>
  </si>
  <si>
    <t>FQN59_RS13180</t>
  </si>
  <si>
    <t>WP_211737120.1</t>
  </si>
  <si>
    <t>FQN59_RS13185</t>
  </si>
  <si>
    <t>WP_211737122.1</t>
  </si>
  <si>
    <t>FQN59_RS13190</t>
  </si>
  <si>
    <t>WP_211737124.1</t>
  </si>
  <si>
    <t>FQN59_RS13195</t>
  </si>
  <si>
    <t>WP_211737126.1</t>
  </si>
  <si>
    <t>FQN59_RS13200</t>
  </si>
  <si>
    <t>FQN59_RS13205</t>
  </si>
  <si>
    <t>WP_211737128.1</t>
  </si>
  <si>
    <t>FQN59_RS13210</t>
  </si>
  <si>
    <t>WP_211737130.1</t>
  </si>
  <si>
    <t>FQN59_RS13215</t>
  </si>
  <si>
    <t>WP_044301351.1</t>
  </si>
  <si>
    <t>FQN59_RS13220</t>
  </si>
  <si>
    <t>WP_211737132.1</t>
  </si>
  <si>
    <t>FQN59_RS13225</t>
  </si>
  <si>
    <t>WP_118410405.1</t>
  </si>
  <si>
    <t>FQN59_RS13230</t>
  </si>
  <si>
    <t>WP_158533008.1</t>
  </si>
  <si>
    <t>FQN59_RS13235</t>
  </si>
  <si>
    <t>WP_211737134.1</t>
  </si>
  <si>
    <t>FQN59_RS13240</t>
  </si>
  <si>
    <t>WP_102409377.1</t>
  </si>
  <si>
    <t>FQN59_RS13245</t>
  </si>
  <si>
    <t>WP_196039741.1</t>
  </si>
  <si>
    <t>FQN59_RS13250</t>
  </si>
  <si>
    <t>WP_211737136.1</t>
  </si>
  <si>
    <t>FQN59_RS13255</t>
  </si>
  <si>
    <t>WP_211737138.1</t>
  </si>
  <si>
    <t>FQN59_RS13260</t>
  </si>
  <si>
    <t>WP_211737139.1</t>
  </si>
  <si>
    <t>FQN59_RS13265</t>
  </si>
  <si>
    <t>WP_211737141.1</t>
  </si>
  <si>
    <t>FQN59_RS13270</t>
  </si>
  <si>
    <t>WP_211737142.1</t>
  </si>
  <si>
    <t>FQN59_RS13275</t>
  </si>
  <si>
    <t>WP_211737144.1</t>
  </si>
  <si>
    <t>FQN59_RS13280</t>
  </si>
  <si>
    <t>WP_211737146.1</t>
  </si>
  <si>
    <t>FQN59_RS13285</t>
  </si>
  <si>
    <t>WP_211737148.1</t>
  </si>
  <si>
    <t>FQN59_RS13290</t>
  </si>
  <si>
    <t>WP_211737150.1</t>
  </si>
  <si>
    <t>FQN59_RS13295</t>
  </si>
  <si>
    <t>WP_211737152.1</t>
  </si>
  <si>
    <t>FQN59_RS13300</t>
  </si>
  <si>
    <t>WP_249222552.1</t>
  </si>
  <si>
    <t>FQN59_RS13305</t>
  </si>
  <si>
    <t>FQN59_RS13310</t>
  </si>
  <si>
    <t>DUF4852 domain-containing protein</t>
  </si>
  <si>
    <t>WP_211737154.1</t>
  </si>
  <si>
    <t>FQN59_RS13315</t>
  </si>
  <si>
    <t>thiamine-phosphate kinase</t>
  </si>
  <si>
    <t>thiL</t>
  </si>
  <si>
    <t>WP_005858417.1</t>
  </si>
  <si>
    <t>FQN59_RS13320</t>
  </si>
  <si>
    <t>tetraacyldisaccharide 4'-kinase</t>
  </si>
  <si>
    <t>lpxK</t>
  </si>
  <si>
    <t>WP_048928196.1</t>
  </si>
  <si>
    <t>FQN59_RS13325</t>
  </si>
  <si>
    <t>signal peptide peptidase SppA</t>
  </si>
  <si>
    <t>sppA</t>
  </si>
  <si>
    <t>WP_211738999.1</t>
  </si>
  <si>
    <t>FQN59_RS13330</t>
  </si>
  <si>
    <t>DUF4922 domain-containing protein</t>
  </si>
  <si>
    <t>WP_211737156.1</t>
  </si>
  <si>
    <t>FQN59_RS13335</t>
  </si>
  <si>
    <t>WP_211737157.1</t>
  </si>
  <si>
    <t>FQN59_RS13340</t>
  </si>
  <si>
    <t>xanthan lyase</t>
  </si>
  <si>
    <t>WP_211737158.1</t>
  </si>
  <si>
    <t>FQN59_RS13345</t>
  </si>
  <si>
    <t>FQN59_RS22870</t>
  </si>
  <si>
    <t>FQN59_RS13355</t>
  </si>
  <si>
    <t>FQN59_RS13360</t>
  </si>
  <si>
    <t>FQN59_RS13365</t>
  </si>
  <si>
    <t>FQN59_RS13370</t>
  </si>
  <si>
    <t>FQN59_RS13375</t>
  </si>
  <si>
    <t>alpha-ribazole phosphatase</t>
  </si>
  <si>
    <t>cobC</t>
  </si>
  <si>
    <t>WP_005855050.1</t>
  </si>
  <si>
    <t>FQN59_RS13380</t>
  </si>
  <si>
    <t>adenosylcobinamide-GDP ribazoletransferase</t>
  </si>
  <si>
    <t>WP_048928354.1</t>
  </si>
  <si>
    <t>FQN59_RS13385</t>
  </si>
  <si>
    <t>nicotinate-nucleotide--dimethylbenzimidazole phosphoribosyltransferase</t>
  </si>
  <si>
    <t>cobT</t>
  </si>
  <si>
    <t>WP_008774498.1</t>
  </si>
  <si>
    <t>FQN59_RS13390</t>
  </si>
  <si>
    <t>bifunctional adenosylcobinamide kinase/adenosylcobinamide-phosphate guanylyltransferase</t>
  </si>
  <si>
    <t>WP_008774497.1</t>
  </si>
  <si>
    <t>FQN59_RS13395</t>
  </si>
  <si>
    <t>S4 domain-containing protein</t>
  </si>
  <si>
    <t>WP_009276779.1</t>
  </si>
  <si>
    <t>FQN59_RS13400</t>
  </si>
  <si>
    <t>adenosylcobinamide-phosphate synthase CbiB</t>
  </si>
  <si>
    <t>cbiB</t>
  </si>
  <si>
    <t>WP_122382857.1</t>
  </si>
  <si>
    <t>FQN59_RS13405</t>
  </si>
  <si>
    <t>WP_211737159.1</t>
  </si>
  <si>
    <t>FQN59_RS13410</t>
  </si>
  <si>
    <t>WP_048928353.1</t>
  </si>
  <si>
    <t>FQN59_RS13415</t>
  </si>
  <si>
    <t>WP_211737160.1</t>
  </si>
  <si>
    <t>FQN59_RS13420</t>
  </si>
  <si>
    <t>WP_057319974.1</t>
  </si>
  <si>
    <t>FQN59_RS13425</t>
  </si>
  <si>
    <t>WP_211737161.1</t>
  </si>
  <si>
    <t>FQN59_RS13430</t>
  </si>
  <si>
    <t>30S ribosomal protein S6</t>
  </si>
  <si>
    <t>rpsF</t>
  </si>
  <si>
    <t>WP_005865478.1</t>
  </si>
  <si>
    <t>FQN59_RS13435</t>
  </si>
  <si>
    <t>30S ribosomal protein S18</t>
  </si>
  <si>
    <t>rpsR</t>
  </si>
  <si>
    <t>WP_005637107.1</t>
  </si>
  <si>
    <t>FQN59_RS13440</t>
  </si>
  <si>
    <t>50S ribosomal protein L9</t>
  </si>
  <si>
    <t>rplI</t>
  </si>
  <si>
    <t>WP_005855078.1</t>
  </si>
  <si>
    <t>FQN59_RS13445</t>
  </si>
  <si>
    <t>N-acetylmuramoyl-L-alanine amidase family protein</t>
  </si>
  <si>
    <t>WP_048928349.1</t>
  </si>
  <si>
    <t>FQN59_RS13450</t>
  </si>
  <si>
    <t>MlaD family protein</t>
  </si>
  <si>
    <t>WP_005855082.1</t>
  </si>
  <si>
    <t>FQN59_RS13455</t>
  </si>
  <si>
    <t>chromosomal replication initiator protein DnaA</t>
  </si>
  <si>
    <t>dnaA</t>
  </si>
  <si>
    <t>WP_008774487.1</t>
  </si>
  <si>
    <t>FQN59_RS13460</t>
  </si>
  <si>
    <t>adenosylcobalamin-dependent ribonucleoside-diphosphate reductase</t>
  </si>
  <si>
    <t>WP_005855085.1</t>
  </si>
  <si>
    <t>FQN59_RS13465</t>
  </si>
  <si>
    <t>4-alpha-glucanotransferase</t>
  </si>
  <si>
    <t>WP_211737162.1</t>
  </si>
  <si>
    <t>FQN59_RS13470</t>
  </si>
  <si>
    <t>bactofilin family protein</t>
  </si>
  <si>
    <t>WP_005855088.1</t>
  </si>
  <si>
    <t>FQN59_RS13475</t>
  </si>
  <si>
    <t>dihydroneopterin aldolase</t>
  </si>
  <si>
    <t>folB</t>
  </si>
  <si>
    <t>WP_005855090.1</t>
  </si>
  <si>
    <t>FQN59_RS13480</t>
  </si>
  <si>
    <t>monomeric [FeFe] hydrogenase</t>
  </si>
  <si>
    <t>WP_005855092.1</t>
  </si>
  <si>
    <t>FQN59_RS13485</t>
  </si>
  <si>
    <t>PNGase F N-terminal domain-containing protein</t>
  </si>
  <si>
    <t>WP_121961114.1</t>
  </si>
  <si>
    <t>FQN59_RS13490</t>
  </si>
  <si>
    <t>WP_005865493.1</t>
  </si>
  <si>
    <t>FQN59_RS13495</t>
  </si>
  <si>
    <t>FQN59_RS13500</t>
  </si>
  <si>
    <t>WP_211737163.1</t>
  </si>
  <si>
    <t>FQN59_RS13505</t>
  </si>
  <si>
    <t>WP_005865498.1</t>
  </si>
  <si>
    <t>FQN59_RS13510</t>
  </si>
  <si>
    <t>WP_005865503.1</t>
  </si>
  <si>
    <t>FQN59_RS13515</t>
  </si>
  <si>
    <t>WP_005865505.1</t>
  </si>
  <si>
    <t>FQN59_RS13520</t>
  </si>
  <si>
    <t>WP_005865508.1</t>
  </si>
  <si>
    <t>FQN59_RS13525</t>
  </si>
  <si>
    <t>WP_005865510.1</t>
  </si>
  <si>
    <t>FQN59_RS13530</t>
  </si>
  <si>
    <t>WP_005865512.1</t>
  </si>
  <si>
    <t>FQN59_RS13535</t>
  </si>
  <si>
    <t>WP_005865514.1</t>
  </si>
  <si>
    <t>FQN59_RS13540</t>
  </si>
  <si>
    <t>WP_009018605.1</t>
  </si>
  <si>
    <t>FQN59_RS13545</t>
  </si>
  <si>
    <t>WP_211737165.1</t>
  </si>
  <si>
    <t>FQN59_RS13550</t>
  </si>
  <si>
    <t>WP_005865520.1</t>
  </si>
  <si>
    <t>FQN59_RS13555</t>
  </si>
  <si>
    <t>WecB/TagA/CpsF family glycosyltransferase</t>
  </si>
  <si>
    <t>WP_005865522.1</t>
  </si>
  <si>
    <t>FQN59_RS13560</t>
  </si>
  <si>
    <t>WP_005865524.1</t>
  </si>
  <si>
    <t>FQN59_RS13565</t>
  </si>
  <si>
    <t>WP_009018606.1</t>
  </si>
  <si>
    <t>FQN59_RS13570</t>
  </si>
  <si>
    <t>WP_227157556.1</t>
  </si>
  <si>
    <t>FQN59_RS13575</t>
  </si>
  <si>
    <t>EpsG family protein</t>
  </si>
  <si>
    <t>WP_048928345.1</t>
  </si>
  <si>
    <t>FQN59_RS13580</t>
  </si>
  <si>
    <t>WP_005865532.1</t>
  </si>
  <si>
    <t>FQN59_RS13585</t>
  </si>
  <si>
    <t>WP_005865534.1</t>
  </si>
  <si>
    <t>FQN59_RS13590</t>
  </si>
  <si>
    <t>WP_227154285.1</t>
  </si>
  <si>
    <t>FQN59_RS13595</t>
  </si>
  <si>
    <t>WP_227154287.1</t>
  </si>
  <si>
    <t>FQN59_RS13600</t>
  </si>
  <si>
    <t>WP_122144782.1</t>
  </si>
  <si>
    <t>FQN59_RS13605</t>
  </si>
  <si>
    <t>WP_005865542.1</t>
  </si>
  <si>
    <t>FQN59_RS13610</t>
  </si>
  <si>
    <t>WP_227154289.1</t>
  </si>
  <si>
    <t>FQN59_RS13615</t>
  </si>
  <si>
    <t>UDP-glucose dehydrogenase family protein</t>
  </si>
  <si>
    <t>WP_048928343.1</t>
  </si>
  <si>
    <t>FQN59_RS13620</t>
  </si>
  <si>
    <t>WP_005865548.1</t>
  </si>
  <si>
    <t>FQN59_RS13625</t>
  </si>
  <si>
    <t>DapH/DapD/GlmU-related protein</t>
  </si>
  <si>
    <t>WP_009018610.1</t>
  </si>
  <si>
    <t>FQN59_RS13630</t>
  </si>
  <si>
    <t>WP_211737167.1</t>
  </si>
  <si>
    <t>FQN59_RS13635</t>
  </si>
  <si>
    <t>WP_008778095.1</t>
  </si>
  <si>
    <t>FQN59_RS13640</t>
  </si>
  <si>
    <t>WP_005865557.1</t>
  </si>
  <si>
    <t>FQN59_RS13645</t>
  </si>
  <si>
    <t>RloB family protein</t>
  </si>
  <si>
    <t>WP_005865560.1</t>
  </si>
  <si>
    <t>FQN59_RS13650</t>
  </si>
  <si>
    <t>WP_122382841.1</t>
  </si>
  <si>
    <t>FQN59_RS13655</t>
  </si>
  <si>
    <t>WP_036611728.1</t>
  </si>
  <si>
    <t>FQN59_RS13660</t>
  </si>
  <si>
    <t>tRNA (N(6)-L-threonylcarbamoyladenosine(37)-C(2))-methylthiotransferase MtaB</t>
  </si>
  <si>
    <t>mtaB</t>
  </si>
  <si>
    <t>WP_211737169.1</t>
  </si>
  <si>
    <t>FQN59_RS13665</t>
  </si>
  <si>
    <t>WP_005865567.1</t>
  </si>
  <si>
    <t>FQN59_RS13670</t>
  </si>
  <si>
    <t>WP_005865569.1</t>
  </si>
  <si>
    <t>FQN59_RS13675</t>
  </si>
  <si>
    <t>WP_005855185.1</t>
  </si>
  <si>
    <t>FQN59_RS13680</t>
  </si>
  <si>
    <t>PG1828 family lipoprotein</t>
  </si>
  <si>
    <t>WP_005855187.1</t>
  </si>
  <si>
    <t>FQN59_RS13685</t>
  </si>
  <si>
    <t>WP_005865572.1</t>
  </si>
  <si>
    <t>FQN59_RS13690</t>
  </si>
  <si>
    <t>WP_005865574.1</t>
  </si>
  <si>
    <t>FQN59_RS13695</t>
  </si>
  <si>
    <t>FQN59_RS13700</t>
  </si>
  <si>
    <t>WP_008774465.1</t>
  </si>
  <si>
    <t>FQN59_RS13705</t>
  </si>
  <si>
    <t>sialate O-acetylesterase</t>
  </si>
  <si>
    <t>WP_211737171.1</t>
  </si>
  <si>
    <t>FQN59_RS13710</t>
  </si>
  <si>
    <t>WP_057329236.1</t>
  </si>
  <si>
    <t>FQN59_RS13715</t>
  </si>
  <si>
    <t>WP_211737173.1</t>
  </si>
  <si>
    <t>FQN59_RS13720</t>
  </si>
  <si>
    <t>WP_008774461.1</t>
  </si>
  <si>
    <t>FQN59_RS13725</t>
  </si>
  <si>
    <t>glycoside hydrolase family 26 protein</t>
  </si>
  <si>
    <t>WP_057326805.1</t>
  </si>
  <si>
    <t>FQN59_RS13730</t>
  </si>
  <si>
    <t>WP_057326806.1</t>
  </si>
  <si>
    <t>FQN59_RS13735</t>
  </si>
  <si>
    <t>WP_057326807.1</t>
  </si>
  <si>
    <t>FQN59_RS13740</t>
  </si>
  <si>
    <t>WP_048928331.1</t>
  </si>
  <si>
    <t>FQN59_RS13745</t>
  </si>
  <si>
    <t>WP_048928330.1</t>
  </si>
  <si>
    <t>FQN59_RS13750</t>
  </si>
  <si>
    <t>DUF4369 domain-containing protein</t>
  </si>
  <si>
    <t>WP_048928329.1</t>
  </si>
  <si>
    <t>FQN59_RS13755</t>
  </si>
  <si>
    <t>aspartate aminotransferase family protein</t>
  </si>
  <si>
    <t>WP_146375898.1</t>
  </si>
  <si>
    <t>FQN59_RS13760</t>
  </si>
  <si>
    <t>N-acetyl-gamma-glutamyl-phosphate reductase</t>
  </si>
  <si>
    <t>argC</t>
  </si>
  <si>
    <t>WP_005855221.1</t>
  </si>
  <si>
    <t>FQN59_RS13765</t>
  </si>
  <si>
    <t>argininosuccinate synthase</t>
  </si>
  <si>
    <t>WP_005865601.1</t>
  </si>
  <si>
    <t>FQN59_RS13770</t>
  </si>
  <si>
    <t>WP_005865603.1</t>
  </si>
  <si>
    <t>FQN59_RS13775</t>
  </si>
  <si>
    <t>arginine repressor</t>
  </si>
  <si>
    <t>WP_005855227.1</t>
  </si>
  <si>
    <t>FQN59_RS13780</t>
  </si>
  <si>
    <t>WP_009276803.1</t>
  </si>
  <si>
    <t>FQN59_RS13785</t>
  </si>
  <si>
    <t>MutS family DNA mismatch repair protein</t>
  </si>
  <si>
    <t>WP_057326811.1</t>
  </si>
  <si>
    <t>FQN59_RS13790</t>
  </si>
  <si>
    <t>phospholipase A</t>
  </si>
  <si>
    <t>WP_005855233.1</t>
  </si>
  <si>
    <t>FQN59_RS13795</t>
  </si>
  <si>
    <t>WP_005855235.1</t>
  </si>
  <si>
    <t>FQN59_RS13800</t>
  </si>
  <si>
    <t>WP_005855237.1</t>
  </si>
  <si>
    <t>FQN59_RS13805</t>
  </si>
  <si>
    <t>WP_036611924.1</t>
  </si>
  <si>
    <t>FQN59_RS13810</t>
  </si>
  <si>
    <t>sodium:proton antiporter NhaD</t>
  </si>
  <si>
    <t>nhaD</t>
  </si>
  <si>
    <t>WP_121961111.1</t>
  </si>
  <si>
    <t>FQN59_RS13815</t>
  </si>
  <si>
    <t>ATPase</t>
  </si>
  <si>
    <t>WP_211737175.1</t>
  </si>
  <si>
    <t>FQN59_RS13820</t>
  </si>
  <si>
    <t>N-acetylmuramic acid 6-phosphate etherase</t>
  </si>
  <si>
    <t>murQ</t>
  </si>
  <si>
    <t>WP_005855245.1</t>
  </si>
  <si>
    <t>FQN59_RS13825</t>
  </si>
  <si>
    <t>MgtC/SapB family protein</t>
  </si>
  <si>
    <t>WP_005855247.1</t>
  </si>
  <si>
    <t>FQN59_RS13830</t>
  </si>
  <si>
    <t>WP_211737177.1</t>
  </si>
  <si>
    <t>FQN59_RS13835</t>
  </si>
  <si>
    <t>uracil-DNA glycosylase family protein</t>
  </si>
  <si>
    <t>WP_005855251.1</t>
  </si>
  <si>
    <t>FQN59_RS13840</t>
  </si>
  <si>
    <t>WP_211737180.1</t>
  </si>
  <si>
    <t>FQN59_RS13845</t>
  </si>
  <si>
    <t>WP_211737182.1</t>
  </si>
  <si>
    <t>FQN59_RS13850</t>
  </si>
  <si>
    <t>WP_005855257.1</t>
  </si>
  <si>
    <t>FQN59_RS13855</t>
  </si>
  <si>
    <t>WP_211737184.1</t>
  </si>
  <si>
    <t>FQN59_RS13860</t>
  </si>
  <si>
    <t>WP_008780999.1</t>
  </si>
  <si>
    <t>FQN59_RS13865</t>
  </si>
  <si>
    <t>alpha-galactosidase</t>
  </si>
  <si>
    <t>WP_211737186.1</t>
  </si>
  <si>
    <t>FQN59_RS13870</t>
  </si>
  <si>
    <t>WP_005855263.1</t>
  </si>
  <si>
    <t>FQN59_RS13875</t>
  </si>
  <si>
    <t>pirin family protein</t>
  </si>
  <si>
    <t>WP_008774439.1</t>
  </si>
  <si>
    <t>FQN59_RS13880</t>
  </si>
  <si>
    <t>M64 family metallopeptidase</t>
  </si>
  <si>
    <t>WP_211737188.1</t>
  </si>
  <si>
    <t>FQN59_RS13885</t>
  </si>
  <si>
    <t>WP_005865637.1</t>
  </si>
  <si>
    <t>FQN59_RS13890</t>
  </si>
  <si>
    <t>peroxiredoxin</t>
  </si>
  <si>
    <t>WP_008774437.1</t>
  </si>
  <si>
    <t>FQN59_RS13895</t>
  </si>
  <si>
    <t>PAS domain-containing sensor histidine kinase</t>
  </si>
  <si>
    <t>WP_008781004.1</t>
  </si>
  <si>
    <t>FQN59_RS13900</t>
  </si>
  <si>
    <t>quaternary amine ABC transporter ATP-binding protein</t>
  </si>
  <si>
    <t>WP_008781005.1</t>
  </si>
  <si>
    <t>FQN59_RS13905</t>
  </si>
  <si>
    <t>WP_005865644.1</t>
  </si>
  <si>
    <t>FQN59_RS13910</t>
  </si>
  <si>
    <t>glycine betaine ABC transporter substrate-binding protein</t>
  </si>
  <si>
    <t>WP_005855279.1</t>
  </si>
  <si>
    <t>FQN59_RS13915</t>
  </si>
  <si>
    <t>SGNH/GDSL hydrolase family protein</t>
  </si>
  <si>
    <t>WP_008781006.1</t>
  </si>
  <si>
    <t>FQN59_RS13920</t>
  </si>
  <si>
    <t>WP_121962499.1</t>
  </si>
  <si>
    <t>FQN59_RS13925</t>
  </si>
  <si>
    <t>WP_005855288.1</t>
  </si>
  <si>
    <t>FQN59_RS13930</t>
  </si>
  <si>
    <t>DUF4153 domain-containing protein</t>
  </si>
  <si>
    <t>WP_211737191.1</t>
  </si>
  <si>
    <t>FQN59_RS13935</t>
  </si>
  <si>
    <t>WP_034532374.1</t>
  </si>
  <si>
    <t>FQN59_RS13940</t>
  </si>
  <si>
    <t>L-rhamnose mutarotase</t>
  </si>
  <si>
    <t>WP_005865653.1</t>
  </si>
  <si>
    <t>FQN59_RS13945</t>
  </si>
  <si>
    <t>sugar MFS transporter</t>
  </si>
  <si>
    <t>WP_195301306.1</t>
  </si>
  <si>
    <t>FQN59_RS13950</t>
  </si>
  <si>
    <t>WP_146375915.1</t>
  </si>
  <si>
    <t>FQN59_RS13955</t>
  </si>
  <si>
    <t>MshD</t>
  </si>
  <si>
    <t>WP_196010176.1</t>
  </si>
  <si>
    <t>FQN59_RS13960</t>
  </si>
  <si>
    <t>WP_011965889.1</t>
  </si>
  <si>
    <t>FQN59_RS13965</t>
  </si>
  <si>
    <t>cytochrome c nitrite reductase small subunit</t>
  </si>
  <si>
    <t>nrfH</t>
  </si>
  <si>
    <t>WP_196010177.1</t>
  </si>
  <si>
    <t>FQN59_RS13970</t>
  </si>
  <si>
    <t>FQN59_RS13975</t>
  </si>
  <si>
    <t>WP_196005900.1</t>
  </si>
  <si>
    <t>FQN59_RS13980</t>
  </si>
  <si>
    <t>cytochrome c biogenesis protein ResB</t>
  </si>
  <si>
    <t>WP_211737193.1</t>
  </si>
  <si>
    <t>FQN59_RS13985</t>
  </si>
  <si>
    <t>WP_211737195.1</t>
  </si>
  <si>
    <t>FQN59_RS13990</t>
  </si>
  <si>
    <t>alginate export family protein</t>
  </si>
  <si>
    <t>WP_211737197.1</t>
  </si>
  <si>
    <t>FQN59_RS13995</t>
  </si>
  <si>
    <t>WP_005865675.1</t>
  </si>
  <si>
    <t>FQN59_RS14000</t>
  </si>
  <si>
    <t>WP_211737199.1</t>
  </si>
  <si>
    <t>FQN59_RS14005</t>
  </si>
  <si>
    <t>WP_122370090.1</t>
  </si>
  <si>
    <t>FQN59_RS14010</t>
  </si>
  <si>
    <t>WP_211737202.1</t>
  </si>
  <si>
    <t>FQN59_RS14015</t>
  </si>
  <si>
    <t>WP_005855327.1</t>
  </si>
  <si>
    <t>FQN59_RS14020</t>
  </si>
  <si>
    <t>large-conductance mechanosensitive channel protein MscL</t>
  </si>
  <si>
    <t>mscL</t>
  </si>
  <si>
    <t>WP_005855329.1</t>
  </si>
  <si>
    <t>FQN59_RS14025</t>
  </si>
  <si>
    <t>lipocalin family protein</t>
  </si>
  <si>
    <t>WP_005855331.1</t>
  </si>
  <si>
    <t>FQN59_RS14030</t>
  </si>
  <si>
    <t>WP_211737204.1</t>
  </si>
  <si>
    <t>FQN59_RS14035</t>
  </si>
  <si>
    <t>WP_211737206.1</t>
  </si>
  <si>
    <t>FQN59_RS14040</t>
  </si>
  <si>
    <t>WP_158533096.1</t>
  </si>
  <si>
    <t>FQN59_RS14045</t>
  </si>
  <si>
    <t>WP_158533095.1</t>
  </si>
  <si>
    <t>FQN59_RS14050</t>
  </si>
  <si>
    <t>WP_005859218.1</t>
  </si>
  <si>
    <t>FQN59_RS14055</t>
  </si>
  <si>
    <t>WP_158533093.1</t>
  </si>
  <si>
    <t>FQN59_RS14060</t>
  </si>
  <si>
    <t>amino acid adenylation domain-containing protein</t>
  </si>
  <si>
    <t>WP_227154296.1</t>
  </si>
  <si>
    <t>FQN59_RS14065</t>
  </si>
  <si>
    <t>WP_158533092.1</t>
  </si>
  <si>
    <t>FQN59_RS14070</t>
  </si>
  <si>
    <t>WP_008779271.1</t>
  </si>
  <si>
    <t>FQN59_RS14075</t>
  </si>
  <si>
    <t>WP_158533091.1</t>
  </si>
  <si>
    <t>FQN59_RS14080</t>
  </si>
  <si>
    <t>WP_005859204.1</t>
  </si>
  <si>
    <t>FQN59_RS14085</t>
  </si>
  <si>
    <t>WP_158533090.1</t>
  </si>
  <si>
    <t>FQN59_RS14090</t>
  </si>
  <si>
    <t>WP_211737209.1</t>
  </si>
  <si>
    <t>FQN59_RS14095</t>
  </si>
  <si>
    <t>WP_158533087.1</t>
  </si>
  <si>
    <t>FQN59_RS14100</t>
  </si>
  <si>
    <t>WP_192922605.1</t>
  </si>
  <si>
    <t>FQN59_RS14105</t>
  </si>
  <si>
    <t>WP_158533085.1</t>
  </si>
  <si>
    <t>FQN59_RS14110</t>
  </si>
  <si>
    <t>WP_211737211.1</t>
  </si>
  <si>
    <t>FQN59_RS14115</t>
  </si>
  <si>
    <t>FQN59_RS14120</t>
  </si>
  <si>
    <t>WP_211737213.1</t>
  </si>
  <si>
    <t>FQN59_RS14125</t>
  </si>
  <si>
    <t>WP_057325855.1</t>
  </si>
  <si>
    <t>FQN59_RS14130</t>
  </si>
  <si>
    <t>WP_192922604.1</t>
  </si>
  <si>
    <t>FQN59_RS14135</t>
  </si>
  <si>
    <t>WP_121773479.1</t>
  </si>
  <si>
    <t>FQN59_RS14140</t>
  </si>
  <si>
    <t>WP_192922603.1</t>
  </si>
  <si>
    <t>FQN59_RS14145</t>
  </si>
  <si>
    <t>HAD-IIIC family phosphatase</t>
  </si>
  <si>
    <t>WP_158533083.1</t>
  </si>
  <si>
    <t>FQN59_RS14150</t>
  </si>
  <si>
    <t>WP_009018662.1</t>
  </si>
  <si>
    <t>FQN59_RS14155</t>
  </si>
  <si>
    <t>WP_009018663.1</t>
  </si>
  <si>
    <t>FQN59_RS14160</t>
  </si>
  <si>
    <t>WP_158533082.1</t>
  </si>
  <si>
    <t>FQN59_RS14165</t>
  </si>
  <si>
    <t>WP_211737215.1</t>
  </si>
  <si>
    <t>FQN59_RS14170</t>
  </si>
  <si>
    <t>WP_158533080.1</t>
  </si>
  <si>
    <t>FQN59_RS14175</t>
  </si>
  <si>
    <t>WP_211737217.1</t>
  </si>
  <si>
    <t>FQN59_RS14180</t>
  </si>
  <si>
    <t>WP_008777799.1</t>
  </si>
  <si>
    <t>FQN59_RS14185</t>
  </si>
  <si>
    <t>WP_005865728.1</t>
  </si>
  <si>
    <t>FQN59_RS14190</t>
  </si>
  <si>
    <t>WP_008777801.1</t>
  </si>
  <si>
    <t>FQN59_RS14195</t>
  </si>
  <si>
    <t>WP_005865732.1</t>
  </si>
  <si>
    <t>FQN59_RS14200</t>
  </si>
  <si>
    <t>FQN59_RS14205</t>
  </si>
  <si>
    <t>FQN59_RS14210</t>
  </si>
  <si>
    <t>FQN59_RS14215</t>
  </si>
  <si>
    <t>FQN59_RS14220</t>
  </si>
  <si>
    <t>FQN59_RS14225</t>
  </si>
  <si>
    <t>WP_005861467.1</t>
  </si>
  <si>
    <t>FQN59_RS14230</t>
  </si>
  <si>
    <t>WP_036616817.1</t>
  </si>
  <si>
    <t>FQN59_RS14235</t>
  </si>
  <si>
    <t>WP_008774144.1</t>
  </si>
  <si>
    <t>FQN59_RS14240</t>
  </si>
  <si>
    <t>WP_005865742.1</t>
  </si>
  <si>
    <t>FQN59_RS14245</t>
  </si>
  <si>
    <t>WP_022192864.1</t>
  </si>
  <si>
    <t>FQN59_RS14250</t>
  </si>
  <si>
    <t>WP_211737219.1</t>
  </si>
  <si>
    <t>FQN59_RS14255</t>
  </si>
  <si>
    <t>DUF1080 domain-containing protein</t>
  </si>
  <si>
    <t>WP_048927998.1</t>
  </si>
  <si>
    <t>FQN59_RS14260</t>
  </si>
  <si>
    <t>WP_005865752.1</t>
  </si>
  <si>
    <t>FQN59_RS14265</t>
  </si>
  <si>
    <t>WP_005865754.1</t>
  </si>
  <si>
    <t>FQN59_RS14270</t>
  </si>
  <si>
    <t>WP_008774141.1</t>
  </si>
  <si>
    <t>FQN59_RS14275</t>
  </si>
  <si>
    <t>WP_022192868.1</t>
  </si>
  <si>
    <t>FQN59_RS14280</t>
  </si>
  <si>
    <t>NAD(P)H-dependent glycerol-3-phosphate dehydrogenase</t>
  </si>
  <si>
    <t>WP_005861487.1</t>
  </si>
  <si>
    <t>FQN59_RS14285</t>
  </si>
  <si>
    <t>lysine--tRNA ligase</t>
  </si>
  <si>
    <t>lysS</t>
  </si>
  <si>
    <t>WP_008778031.1</t>
  </si>
  <si>
    <t>FQN59_RS14290</t>
  </si>
  <si>
    <t>galactosyltransferase-related protein</t>
  </si>
  <si>
    <t>WP_022192870.1</t>
  </si>
  <si>
    <t>FQN59_RS14295</t>
  </si>
  <si>
    <t>WP_048928002.1</t>
  </si>
  <si>
    <t>FQN59_RS14300</t>
  </si>
  <si>
    <t>vitamin K epoxide reductase family protein</t>
  </si>
  <si>
    <t>WP_048928003.1</t>
  </si>
  <si>
    <t>FQN59_RS14305</t>
  </si>
  <si>
    <t>WP_232044490.1</t>
  </si>
  <si>
    <t>FQN59_RS14310</t>
  </si>
  <si>
    <t>WP_005865774.1</t>
  </si>
  <si>
    <t>FQN59_RS14315</t>
  </si>
  <si>
    <t>FQN59_RS14320</t>
  </si>
  <si>
    <t>FQN59_RS14325</t>
  </si>
  <si>
    <t>nicotinate (nicotinamide) nucleotide adenylyltransferase</t>
  </si>
  <si>
    <t>nadD</t>
  </si>
  <si>
    <t>WP_022192874.1</t>
  </si>
  <si>
    <t>FQN59_RS14330</t>
  </si>
  <si>
    <t>WP_022192875.1</t>
  </si>
  <si>
    <t>FQN59_RS14335</t>
  </si>
  <si>
    <t>guanylate kinase</t>
  </si>
  <si>
    <t>gmk</t>
  </si>
  <si>
    <t>WP_005861508.1</t>
  </si>
  <si>
    <t>FQN59_RS14340</t>
  </si>
  <si>
    <t>YicC/YloC family endoribonuclease</t>
  </si>
  <si>
    <t>WP_211737221.1</t>
  </si>
  <si>
    <t>FQN59_RS14345</t>
  </si>
  <si>
    <t>tRNA (adenosine(37)-N6)-threonylcarbamoyltransferase complex dimerization subunit type 1 TsaB</t>
  </si>
  <si>
    <t>tsaB</t>
  </si>
  <si>
    <t>WP_022192877.1</t>
  </si>
  <si>
    <t>FQN59_RS14350</t>
  </si>
  <si>
    <t>WP_005861514.1</t>
  </si>
  <si>
    <t>FQN59_RS14355</t>
  </si>
  <si>
    <t>WP_005861516.1</t>
  </si>
  <si>
    <t>FQN59_RS14360</t>
  </si>
  <si>
    <t>WP_005865787.1</t>
  </si>
  <si>
    <t>FQN59_RS14365</t>
  </si>
  <si>
    <t>OadG family transporter subunit</t>
  </si>
  <si>
    <t>WP_005865789.1</t>
  </si>
  <si>
    <t>FQN59_RS14370</t>
  </si>
  <si>
    <t>WP_005861522.1</t>
  </si>
  <si>
    <t>FQN59_RS14375</t>
  </si>
  <si>
    <t>methylmalonyl-CoA epimerase</t>
  </si>
  <si>
    <t>mce</t>
  </si>
  <si>
    <t>WP_005861524.1</t>
  </si>
  <si>
    <t>FQN59_RS14380</t>
  </si>
  <si>
    <t>WP_211737223.1</t>
  </si>
  <si>
    <t>FQN59_RS14385</t>
  </si>
  <si>
    <t>WP_005861528.1</t>
  </si>
  <si>
    <t>FQN59_RS14390</t>
  </si>
  <si>
    <t>Rossmann-like and DUF2520 domain-containing protein</t>
  </si>
  <si>
    <t>WP_122368718.1</t>
  </si>
  <si>
    <t>FQN59_RS14395</t>
  </si>
  <si>
    <t>KdsC family phosphatase</t>
  </si>
  <si>
    <t>WP_005865795.1</t>
  </si>
  <si>
    <t>FQN59_RS14400</t>
  </si>
  <si>
    <t>Maf-like protein</t>
  </si>
  <si>
    <t>WP_008774130.1</t>
  </si>
  <si>
    <t>FQN59_RS14405</t>
  </si>
  <si>
    <t>WP_005865798.1</t>
  </si>
  <si>
    <t>FQN59_RS14410</t>
  </si>
  <si>
    <t>WP_008778034.1</t>
  </si>
  <si>
    <t>FQN59_RS14415</t>
  </si>
  <si>
    <t>WP_211737224.1</t>
  </si>
  <si>
    <t>FQN59_RS14420</t>
  </si>
  <si>
    <t>manganese efflux pump MntP family protein</t>
  </si>
  <si>
    <t>WP_008774127.1</t>
  </si>
  <si>
    <t>FQN59_RS14425</t>
  </si>
  <si>
    <t>WP_005865806.1</t>
  </si>
  <si>
    <t>FQN59_RS14430</t>
  </si>
  <si>
    <t>WP_005865808.1</t>
  </si>
  <si>
    <t>FQN59_RS14435</t>
  </si>
  <si>
    <t>DUF4199 domain-containing protein</t>
  </si>
  <si>
    <t>WP_008774125.1</t>
  </si>
  <si>
    <t>FQN59_RS14440</t>
  </si>
  <si>
    <t>FQN59_RS14445</t>
  </si>
  <si>
    <t>DUF2776 domain-containing protein</t>
  </si>
  <si>
    <t>WP_057327072.1</t>
  </si>
  <si>
    <t>FQN59_RS14450</t>
  </si>
  <si>
    <t>type III pantothenate kinase</t>
  </si>
  <si>
    <t>WP_122368715.1</t>
  </si>
  <si>
    <t>FQN59_RS14455</t>
  </si>
  <si>
    <t>membrane protein</t>
  </si>
  <si>
    <t>WP_005865814.1</t>
  </si>
  <si>
    <t>FQN59_RS14460</t>
  </si>
  <si>
    <t>WP_005865816.1</t>
  </si>
  <si>
    <t>FQN59_RS14465</t>
  </si>
  <si>
    <t>LPS export ABC transporter periplasmic protein LptC</t>
  </si>
  <si>
    <t>lptC</t>
  </si>
  <si>
    <t>WP_146375663.1</t>
  </si>
  <si>
    <t>FQN59_RS14470</t>
  </si>
  <si>
    <t>hemolysin family protein</t>
  </si>
  <si>
    <t>WP_005865821.1</t>
  </si>
  <si>
    <t>FQN59_RS14475</t>
  </si>
  <si>
    <t>SurA N-terminal domain-containing protein</t>
  </si>
  <si>
    <t>WP_005861564.1</t>
  </si>
  <si>
    <t>FQN59_RS14480</t>
  </si>
  <si>
    <t>23S rRNA (adenine(2503)-C(2))-methyltransferase RlmN</t>
  </si>
  <si>
    <t>rlmN</t>
  </si>
  <si>
    <t>WP_057327073.1</t>
  </si>
  <si>
    <t>FQN59_RS14485</t>
  </si>
  <si>
    <t>WP_005865825.1</t>
  </si>
  <si>
    <t>FQN59_RS14490</t>
  </si>
  <si>
    <t>4-hydroxythreonine-4-phosphate dehydrogenase PdxA</t>
  </si>
  <si>
    <t>pdxA</t>
  </si>
  <si>
    <t>WP_005865827.1</t>
  </si>
  <si>
    <t>FQN59_RS14495</t>
  </si>
  <si>
    <t>adenylyltransferase/cytidyltransferase family protein</t>
  </si>
  <si>
    <t>WP_005861572.1</t>
  </si>
  <si>
    <t>FQN59_RS14500</t>
  </si>
  <si>
    <t>WP_005865829.1</t>
  </si>
  <si>
    <t>FQN59_RS14505</t>
  </si>
  <si>
    <t>WP_005861576.1</t>
  </si>
  <si>
    <t>FQN59_RS14510</t>
  </si>
  <si>
    <t>WP_005861578.1</t>
  </si>
  <si>
    <t>FQN59_RS14515</t>
  </si>
  <si>
    <t>sigma-54 interaction domain-containing protein</t>
  </si>
  <si>
    <t>WP_416339354.1</t>
  </si>
  <si>
    <t>FQN59_RS14520</t>
  </si>
  <si>
    <t>LptE family protein</t>
  </si>
  <si>
    <t>WP_005861582.1</t>
  </si>
  <si>
    <t>FQN59_RS14525</t>
  </si>
  <si>
    <t>WP_057329098.1</t>
  </si>
  <si>
    <t>FQN59_RS14530</t>
  </si>
  <si>
    <t>preprotein translocase subunit SecG</t>
  </si>
  <si>
    <t>secG</t>
  </si>
  <si>
    <t>WP_211737228.1</t>
  </si>
  <si>
    <t>FQN59_RS14535</t>
  </si>
  <si>
    <t>DUF4491 family protein</t>
  </si>
  <si>
    <t>WP_008774116.1</t>
  </si>
  <si>
    <t>FQN59_RS14540</t>
  </si>
  <si>
    <t>WP_005861590.1</t>
  </si>
  <si>
    <t>FQN59_RS14545</t>
  </si>
  <si>
    <t>WP_008774115.1</t>
  </si>
  <si>
    <t>FQN59_RS14550</t>
  </si>
  <si>
    <t>FQN59_RS14555</t>
  </si>
  <si>
    <t>FQN59_RS14560</t>
  </si>
  <si>
    <t>6,7-dimethyl-8-ribityllumazine synthase</t>
  </si>
  <si>
    <t>ribH</t>
  </si>
  <si>
    <t>WP_008774114.1</t>
  </si>
  <si>
    <t>FQN59_RS14565</t>
  </si>
  <si>
    <t>WP_009276541.1</t>
  </si>
  <si>
    <t>FQN59_RS14570</t>
  </si>
  <si>
    <t>DNA replication/repair protein RecF</t>
  </si>
  <si>
    <t>recF</t>
  </si>
  <si>
    <t>WP_005861599.1</t>
  </si>
  <si>
    <t>FQN59_RS14575</t>
  </si>
  <si>
    <t>DUF721 domain-containing protein</t>
  </si>
  <si>
    <t>WP_005865842.1</t>
  </si>
  <si>
    <t>FQN59_RS14580</t>
  </si>
  <si>
    <t>5-formyltetrahydrofolate cyclo-ligase</t>
  </si>
  <si>
    <t>WP_229033110.1</t>
  </si>
  <si>
    <t>FQN59_RS14585</t>
  </si>
  <si>
    <t>WP_005865846.1</t>
  </si>
  <si>
    <t>FQN59_RS14590</t>
  </si>
  <si>
    <t>deoxycytidylate deaminase</t>
  </si>
  <si>
    <t>WP_008778036.1</t>
  </si>
  <si>
    <t>FQN59_RS14595</t>
  </si>
  <si>
    <t>WP_008780785.1</t>
  </si>
  <si>
    <t>FQN59_RS14600</t>
  </si>
  <si>
    <t>glycogen debranching enzyme N-terminal domain-containing protein</t>
  </si>
  <si>
    <t>WP_211737230.1</t>
  </si>
  <si>
    <t>FQN59_RS14605</t>
  </si>
  <si>
    <t>WP_211737233.1</t>
  </si>
  <si>
    <t>FQN59_RS14610</t>
  </si>
  <si>
    <t>glycoside hydrolase family 57 protein</t>
  </si>
  <si>
    <t>WP_005861616.1</t>
  </si>
  <si>
    <t>FQN59_RS14615</t>
  </si>
  <si>
    <t>DUF4270 domain-containing protein</t>
  </si>
  <si>
    <t>WP_211737235.1</t>
  </si>
  <si>
    <t>FQN59_RS14620</t>
  </si>
  <si>
    <t>glycogen/starch synthase</t>
  </si>
  <si>
    <t>WP_005861620.1</t>
  </si>
  <si>
    <t>FQN59_RS14625</t>
  </si>
  <si>
    <t>pantoate--beta-alanine ligase</t>
  </si>
  <si>
    <t>panC</t>
  </si>
  <si>
    <t>WP_057319955.1</t>
  </si>
  <si>
    <t>FQN59_RS14630</t>
  </si>
  <si>
    <t>aspartate 1-decarboxylase</t>
  </si>
  <si>
    <t>panD</t>
  </si>
  <si>
    <t>WP_005861624.1</t>
  </si>
  <si>
    <t>FQN59_RS14635</t>
  </si>
  <si>
    <t>WP_057327083.1</t>
  </si>
  <si>
    <t>FQN59_RS14640</t>
  </si>
  <si>
    <t>WP_008774104.1</t>
  </si>
  <si>
    <t>FQN59_RS14645</t>
  </si>
  <si>
    <t>heavy metal translocating P-type ATPase</t>
  </si>
  <si>
    <t>WP_005865862.1</t>
  </si>
  <si>
    <t>FQN59_RS14650</t>
  </si>
  <si>
    <t>signal recognition particle protein</t>
  </si>
  <si>
    <t>ffh</t>
  </si>
  <si>
    <t>WP_005861632.1</t>
  </si>
  <si>
    <t>FQN59_RS14655</t>
  </si>
  <si>
    <t>bifunctional methylenetetrahydrofolate dehydrogenase/methenyltetrahydrofolate cyclohydrolase FolD</t>
  </si>
  <si>
    <t>folD</t>
  </si>
  <si>
    <t>WP_005865864.1</t>
  </si>
  <si>
    <t>FQN59_RS14660</t>
  </si>
  <si>
    <t>tRNA-His</t>
  </si>
  <si>
    <t>FQN59_RS14665</t>
  </si>
  <si>
    <t>FQN59_RS14670</t>
  </si>
  <si>
    <t>M28 family metallopeptidase</t>
  </si>
  <si>
    <t>WP_121961628.1</t>
  </si>
  <si>
    <t>FQN59_RS14675</t>
  </si>
  <si>
    <t>WP_057326366.1</t>
  </si>
  <si>
    <t>FQN59_RS14680</t>
  </si>
  <si>
    <t>WP_211737237.1</t>
  </si>
  <si>
    <t>FQN59_RS14685</t>
  </si>
  <si>
    <t>WP_005865870.1</t>
  </si>
  <si>
    <t>FQN59_RS14690</t>
  </si>
  <si>
    <t>WP_211737239.1</t>
  </si>
  <si>
    <t>FQN59_RS14695</t>
  </si>
  <si>
    <t>WP_008774097.1</t>
  </si>
  <si>
    <t>FQN59_RS14700</t>
  </si>
  <si>
    <t>EFR1 family ferrodoxin</t>
  </si>
  <si>
    <t>WP_008774096.1</t>
  </si>
  <si>
    <t>FQN59_RS14705</t>
  </si>
  <si>
    <t>WP_211737241.1</t>
  </si>
  <si>
    <t>FQN59_RS14710</t>
  </si>
  <si>
    <t>glycoside hydrolase family 2 TIM barrel-domain containing protein</t>
  </si>
  <si>
    <t>WP_211737243.1</t>
  </si>
  <si>
    <t>FQN59_RS14715</t>
  </si>
  <si>
    <t>DUF3332 domain-containing protein</t>
  </si>
  <si>
    <t>WP_211737246.1</t>
  </si>
  <si>
    <t>FQN59_RS14720</t>
  </si>
  <si>
    <t>WP_121961634.1</t>
  </si>
  <si>
    <t>FQN59_RS14725</t>
  </si>
  <si>
    <t>WP_048928022.1</t>
  </si>
  <si>
    <t>FQN59_RS14730</t>
  </si>
  <si>
    <t>WP_211737248.1</t>
  </si>
  <si>
    <t>FQN59_RS14735</t>
  </si>
  <si>
    <t>WP_057326374.1</t>
  </si>
  <si>
    <t>FQN59_RS14740</t>
  </si>
  <si>
    <t>WP_008774091.1</t>
  </si>
  <si>
    <t>FQN59_RS14745</t>
  </si>
  <si>
    <t>WP_195474193.1</t>
  </si>
  <si>
    <t>FQN59_RS14750</t>
  </si>
  <si>
    <t>WP_146375649.1</t>
  </si>
  <si>
    <t>FQN59_RS14755</t>
  </si>
  <si>
    <t>WP_195474195.1</t>
  </si>
  <si>
    <t>FQN59_RS14760</t>
  </si>
  <si>
    <t>WP_211737250.1</t>
  </si>
  <si>
    <t>FQN59_RS14765</t>
  </si>
  <si>
    <t>WP_270620464.1</t>
  </si>
  <si>
    <t>FQN59_RS22740</t>
  </si>
  <si>
    <t>WP_270620462.1</t>
  </si>
  <si>
    <t>FQN59_RS22745</t>
  </si>
  <si>
    <t>WP_211737252.1</t>
  </si>
  <si>
    <t>FQN59_RS14775</t>
  </si>
  <si>
    <t>WP_249222459.1</t>
  </si>
  <si>
    <t>FQN59_RS14780</t>
  </si>
  <si>
    <t>glycoside hydrolase family 38 C-terminal domain-containing protein</t>
  </si>
  <si>
    <t>WP_211737256.1</t>
  </si>
  <si>
    <t>FQN59_RS14785</t>
  </si>
  <si>
    <t>transporter</t>
  </si>
  <si>
    <t>WP_211737259.1</t>
  </si>
  <si>
    <t>FQN59_RS14790</t>
  </si>
  <si>
    <t>DUF2262 domain-containing protein</t>
  </si>
  <si>
    <t>WP_211737261.1</t>
  </si>
  <si>
    <t>FQN59_RS14795</t>
  </si>
  <si>
    <t>methylated-DNA--[protein]-cysteine S-methyltransferase</t>
  </si>
  <si>
    <t>WP_008780811.1</t>
  </si>
  <si>
    <t>FQN59_RS14800</t>
  </si>
  <si>
    <t>WP_005861772.1</t>
  </si>
  <si>
    <t>FQN59_RS14805</t>
  </si>
  <si>
    <t>DUF695 domain-containing protein</t>
  </si>
  <si>
    <t>WP_211737263.1</t>
  </si>
  <si>
    <t>FQN59_RS14810</t>
  </si>
  <si>
    <t>WP_211737265.1</t>
  </si>
  <si>
    <t>FQN59_RS14815</t>
  </si>
  <si>
    <t>WP_211737267.1</t>
  </si>
  <si>
    <t>FQN59_RS14820</t>
  </si>
  <si>
    <t>WP_211737270.1</t>
  </si>
  <si>
    <t>FQN59_RS14825</t>
  </si>
  <si>
    <t>threonine synthase</t>
  </si>
  <si>
    <t>thrC</t>
  </si>
  <si>
    <t>WP_211737272.1</t>
  </si>
  <si>
    <t>FQN59_RS14830</t>
  </si>
  <si>
    <t>cofactor-independent phosphoglycerate mutase</t>
  </si>
  <si>
    <t>WP_005861778.1</t>
  </si>
  <si>
    <t>FQN59_RS14835</t>
  </si>
  <si>
    <t>bifunctional aspartate kinase/homoserine dehydrogenase I</t>
  </si>
  <si>
    <t>thrA</t>
  </si>
  <si>
    <t>WP_005861780.1</t>
  </si>
  <si>
    <t>FQN59_RS14840</t>
  </si>
  <si>
    <t>WP_022192903.1</t>
  </si>
  <si>
    <t>FQN59_RS14845</t>
  </si>
  <si>
    <t>F0F1 ATP synthase subunit gamma</t>
  </si>
  <si>
    <t>WP_122380995.1</t>
  </si>
  <si>
    <t>FQN59_RS14850</t>
  </si>
  <si>
    <t>F0F1 ATP synthase subunit alpha</t>
  </si>
  <si>
    <t>atpA</t>
  </si>
  <si>
    <t>WP_005861786.1</t>
  </si>
  <si>
    <t>FQN59_RS14855</t>
  </si>
  <si>
    <t>F0F1 ATP synthase subunit delta</t>
  </si>
  <si>
    <t>WP_005865923.1</t>
  </si>
  <si>
    <t>FQN59_RS14860</t>
  </si>
  <si>
    <t>F0F1 ATP synthase subunit B</t>
  </si>
  <si>
    <t>atpF</t>
  </si>
  <si>
    <t>WP_005861790.1</t>
  </si>
  <si>
    <t>FQN59_RS14865</t>
  </si>
  <si>
    <t>ATP synthase F0 subunit C</t>
  </si>
  <si>
    <t>atpE</t>
  </si>
  <si>
    <t>WP_005861792.1</t>
  </si>
  <si>
    <t>FQN59_RS14870</t>
  </si>
  <si>
    <t>F0F1 ATP synthase subunit A</t>
  </si>
  <si>
    <t>atpB</t>
  </si>
  <si>
    <t>WP_008774074.1</t>
  </si>
  <si>
    <t>FQN59_RS14875</t>
  </si>
  <si>
    <t>WP_008774073.1</t>
  </si>
  <si>
    <t>FQN59_RS14880</t>
  </si>
  <si>
    <t>ATP synthase F1 subunit epsilon</t>
  </si>
  <si>
    <t>atpC</t>
  </si>
  <si>
    <t>WP_005861798.1</t>
  </si>
  <si>
    <t>FQN59_RS14885</t>
  </si>
  <si>
    <t>F0F1 ATP synthase subunit beta</t>
  </si>
  <si>
    <t>atpD</t>
  </si>
  <si>
    <t>WP_048928034.1</t>
  </si>
  <si>
    <t>FQN59_RS14890</t>
  </si>
  <si>
    <t>copper homeostasis protein CutC</t>
  </si>
  <si>
    <t>WP_211737274.1</t>
  </si>
  <si>
    <t>FQN59_RS14895</t>
  </si>
  <si>
    <t>WP_048928036.1</t>
  </si>
  <si>
    <t>FQN59_RS14900</t>
  </si>
  <si>
    <t>WP_211737276.1</t>
  </si>
  <si>
    <t>FQN59_RS14905</t>
  </si>
  <si>
    <t>WP_211737279.1</t>
  </si>
  <si>
    <t>FQN59_RS14910</t>
  </si>
  <si>
    <t>efflux transporter outer membrane subunit</t>
  </si>
  <si>
    <t>WP_005865938.1</t>
  </si>
  <si>
    <t>FQN59_RS14915</t>
  </si>
  <si>
    <t>DUF5916 domain-containing protein</t>
  </si>
  <si>
    <t>WP_122368689.1</t>
  </si>
  <si>
    <t>FQN59_RS14920</t>
  </si>
  <si>
    <t>WP_232299928.1</t>
  </si>
  <si>
    <t>FQN59_RS14925</t>
  </si>
  <si>
    <t>WP_005865951.1</t>
  </si>
  <si>
    <t>FQN59_RS14930</t>
  </si>
  <si>
    <t>WP_005865953.1</t>
  </si>
  <si>
    <t>FQN59_RS14935</t>
  </si>
  <si>
    <t>WP_005865954.1</t>
  </si>
  <si>
    <t>FQN59_RS14940</t>
  </si>
  <si>
    <t>excinuclease ABC subunit UvrB</t>
  </si>
  <si>
    <t>uvrB</t>
  </si>
  <si>
    <t>WP_211737281.1</t>
  </si>
  <si>
    <t>FQN59_RS14945</t>
  </si>
  <si>
    <t>N-acetylmuramoyl-L-alanine amidase-like domain-containing protein</t>
  </si>
  <si>
    <t>WP_211737283.1</t>
  </si>
  <si>
    <t>FQN59_RS14950</t>
  </si>
  <si>
    <t>DUF5686 family protein</t>
  </si>
  <si>
    <t>WP_211737285.1</t>
  </si>
  <si>
    <t>FQN59_RS14955</t>
  </si>
  <si>
    <t>WP_369799702.1</t>
  </si>
  <si>
    <t>FQN59_RS14960</t>
  </si>
  <si>
    <t>3-deoxy-8-phosphooctulonate synthase</t>
  </si>
  <si>
    <t>kdsA</t>
  </si>
  <si>
    <t>WP_044545592.1</t>
  </si>
  <si>
    <t>FQN59_RS14965</t>
  </si>
  <si>
    <t>WP_005861832.1</t>
  </si>
  <si>
    <t>FQN59_RS14970</t>
  </si>
  <si>
    <t>type I glyceraldehyde-3-phosphate dehydrogenase</t>
  </si>
  <si>
    <t>gap</t>
  </si>
  <si>
    <t>WP_005861834.1</t>
  </si>
  <si>
    <t>FQN59_RS14975</t>
  </si>
  <si>
    <t>WP_005865964.1</t>
  </si>
  <si>
    <t>FQN59_RS14980</t>
  </si>
  <si>
    <t>phage holin family protein</t>
  </si>
  <si>
    <t>WP_005861838.1</t>
  </si>
  <si>
    <t>FQN59_RS14985</t>
  </si>
  <si>
    <t>YtxH domain-containing protein</t>
  </si>
  <si>
    <t>WP_005861840.1</t>
  </si>
  <si>
    <t>FQN59_RS14990</t>
  </si>
  <si>
    <t>50S ribosomal protein L11 methyltransferase</t>
  </si>
  <si>
    <t>prmA</t>
  </si>
  <si>
    <t>WP_122114949.1</t>
  </si>
  <si>
    <t>FQN59_RS14995</t>
  </si>
  <si>
    <t>WP_022192914.1</t>
  </si>
  <si>
    <t>FQN59_RS15000</t>
  </si>
  <si>
    <t>WP_005861849.1</t>
  </si>
  <si>
    <t>FQN59_RS15005</t>
  </si>
  <si>
    <t>WP_005865971.1</t>
  </si>
  <si>
    <t>FQN59_RS15010</t>
  </si>
  <si>
    <t>WP_009276579.1</t>
  </si>
  <si>
    <t>FQN59_RS15015</t>
  </si>
  <si>
    <t>WP_211737287.1</t>
  </si>
  <si>
    <t>FQN59_RS15020</t>
  </si>
  <si>
    <t>WP_211737289.1</t>
  </si>
  <si>
    <t>FQN59_RS15025</t>
  </si>
  <si>
    <t>WP_044545355.1</t>
  </si>
  <si>
    <t>FQN59_RS15030</t>
  </si>
  <si>
    <t>WP_211737292.1</t>
  </si>
  <si>
    <t>FQN59_RS15035</t>
  </si>
  <si>
    <t>WP_211737294.1</t>
  </si>
  <si>
    <t>FQN59_RS15040</t>
  </si>
  <si>
    <t>WP_005861865.1</t>
  </si>
  <si>
    <t>FQN59_RS15045</t>
  </si>
  <si>
    <t>WP_191215918.1</t>
  </si>
  <si>
    <t>FQN59_RS15050</t>
  </si>
  <si>
    <t>WP_122368681.1</t>
  </si>
  <si>
    <t>FQN59_RS15055</t>
  </si>
  <si>
    <t>flippase</t>
  </si>
  <si>
    <t>WP_211737296.1</t>
  </si>
  <si>
    <t>FQN59_RS15060</t>
  </si>
  <si>
    <t>WP_008774042.1</t>
  </si>
  <si>
    <t>FQN59_RS15065</t>
  </si>
  <si>
    <t>WP_008774041.1</t>
  </si>
  <si>
    <t>FQN59_RS15070</t>
  </si>
  <si>
    <t>WP_008774040.1</t>
  </si>
  <si>
    <t>FQN59_RS15075</t>
  </si>
  <si>
    <t>WP_034532238.1</t>
  </si>
  <si>
    <t>FQN59_RS15080</t>
  </si>
  <si>
    <t>WP_008774038.1</t>
  </si>
  <si>
    <t>FQN59_RS15085</t>
  </si>
  <si>
    <t>WP_008774037.1</t>
  </si>
  <si>
    <t>FQN59_RS15090</t>
  </si>
  <si>
    <t>WP_211737298.1</t>
  </si>
  <si>
    <t>FQN59_RS15095</t>
  </si>
  <si>
    <t>WP_255202292.1</t>
  </si>
  <si>
    <t>FQN59_RS15100</t>
  </si>
  <si>
    <t>DUF1972 domain-containing protein</t>
  </si>
  <si>
    <t>WP_122368679.1</t>
  </si>
  <si>
    <t>FQN59_RS15105</t>
  </si>
  <si>
    <t>type II toxin-antitoxin system HipA family toxin</t>
  </si>
  <si>
    <t>WP_122368678.1</t>
  </si>
  <si>
    <t>FQN59_RS15110</t>
  </si>
  <si>
    <t>WP_122368677.1</t>
  </si>
  <si>
    <t>FQN59_RS15115</t>
  </si>
  <si>
    <t>WP_036617544.1</t>
  </si>
  <si>
    <t>FQN59_RS15120</t>
  </si>
  <si>
    <t>WP_036617507.1</t>
  </si>
  <si>
    <t>FQN59_RS15125</t>
  </si>
  <si>
    <t>50S ribosomal protein L21</t>
  </si>
  <si>
    <t>rplU</t>
  </si>
  <si>
    <t>WP_005861907.1</t>
  </si>
  <si>
    <t>FQN59_RS15130</t>
  </si>
  <si>
    <t>50S ribosomal protein L27</t>
  </si>
  <si>
    <t>rpmA</t>
  </si>
  <si>
    <t>WP_005861909.1</t>
  </si>
  <si>
    <t>FQN59_RS15135</t>
  </si>
  <si>
    <t>WP_121772754.1</t>
  </si>
  <si>
    <t>FQN59_RS15140</t>
  </si>
  <si>
    <t>peptidase T</t>
  </si>
  <si>
    <t>pepT</t>
  </si>
  <si>
    <t>WP_211737300.1</t>
  </si>
  <si>
    <t>FQN59_RS15145</t>
  </si>
  <si>
    <t>glycine cleavage system aminomethyltransferase GcvT</t>
  </si>
  <si>
    <t>gcvT</t>
  </si>
  <si>
    <t>WP_057326408.1</t>
  </si>
  <si>
    <t>FQN59_RS15150</t>
  </si>
  <si>
    <t>WP_005861917.1</t>
  </si>
  <si>
    <t>FQN59_RS15155</t>
  </si>
  <si>
    <t>WP_005861919.1</t>
  </si>
  <si>
    <t>FQN59_RS15160</t>
  </si>
  <si>
    <t>WP_122368676.1</t>
  </si>
  <si>
    <t>FQN59_RS15165</t>
  </si>
  <si>
    <t>condensin complex protein MksE</t>
  </si>
  <si>
    <t>WP_005866029.1</t>
  </si>
  <si>
    <t>FQN59_RS15170</t>
  </si>
  <si>
    <t>WP_211737302.1</t>
  </si>
  <si>
    <t>FQN59_RS15175</t>
  </si>
  <si>
    <t>NAD(+) synthase</t>
  </si>
  <si>
    <t>WP_122378842.1</t>
  </si>
  <si>
    <t>FQN59_RS15180</t>
  </si>
  <si>
    <t>WP_008774025.1</t>
  </si>
  <si>
    <t>FQN59_RS15185</t>
  </si>
  <si>
    <t>WP_005866038.1</t>
  </si>
  <si>
    <t>FQN59_RS15190</t>
  </si>
  <si>
    <t>WP_211737304.1</t>
  </si>
  <si>
    <t>FQN59_RS15195</t>
  </si>
  <si>
    <t>LL-diaminopimelate aminotransferase</t>
  </si>
  <si>
    <t>WP_005866042.1</t>
  </si>
  <si>
    <t>FQN59_RS15200</t>
  </si>
  <si>
    <t>diaminopimelate epimerase</t>
  </si>
  <si>
    <t>dapF</t>
  </si>
  <si>
    <t>WP_005866043.1</t>
  </si>
  <si>
    <t>FQN59_RS15205</t>
  </si>
  <si>
    <t>WP_005866045.1</t>
  </si>
  <si>
    <t>FQN59_RS15210</t>
  </si>
  <si>
    <t>asparagine synthase B</t>
  </si>
  <si>
    <t>asnB</t>
  </si>
  <si>
    <t>WP_211737306.1</t>
  </si>
  <si>
    <t>FQN59_RS15215</t>
  </si>
  <si>
    <t>glutamate synthase subunit beta</t>
  </si>
  <si>
    <t>WP_009276606.1</t>
  </si>
  <si>
    <t>FQN59_RS15220</t>
  </si>
  <si>
    <t>glutamate synthase large subunit</t>
  </si>
  <si>
    <t>gltB</t>
  </si>
  <si>
    <t>WP_211737308.1</t>
  </si>
  <si>
    <t>FQN59_RS15225</t>
  </si>
  <si>
    <t>DUF3843 family protein</t>
  </si>
  <si>
    <t>WP_158532940.1</t>
  </si>
  <si>
    <t>FQN59_RS15230</t>
  </si>
  <si>
    <t>WP_158532939.1</t>
  </si>
  <si>
    <t>FQN59_RS15235</t>
  </si>
  <si>
    <t>WP_005866058.1</t>
  </si>
  <si>
    <t>FQN59_RS15240</t>
  </si>
  <si>
    <t>toxin-antitoxin system YwqK family antitoxin</t>
  </si>
  <si>
    <t>WP_005866059.1</t>
  </si>
  <si>
    <t>FQN59_RS15245</t>
  </si>
  <si>
    <t>RNA-binding S4 domain-containing protein</t>
  </si>
  <si>
    <t>WP_005866061.1</t>
  </si>
  <si>
    <t>FQN59_RS15250</t>
  </si>
  <si>
    <t>aminoacyl-tRNA hydrolase</t>
  </si>
  <si>
    <t>pth</t>
  </si>
  <si>
    <t>WP_211737310.1</t>
  </si>
  <si>
    <t>FQN59_RS15255</t>
  </si>
  <si>
    <t>50S ribosomal protein L25/general stress protein Ctc</t>
  </si>
  <si>
    <t>WP_005861962.1</t>
  </si>
  <si>
    <t>FQN59_RS15260</t>
  </si>
  <si>
    <t>WP_048928071.1</t>
  </si>
  <si>
    <t>FQN59_RS15265</t>
  </si>
  <si>
    <t>NADH:flavin oxidoreductase</t>
  </si>
  <si>
    <t>WP_005861966.1</t>
  </si>
  <si>
    <t>FQN59_RS15270</t>
  </si>
  <si>
    <t>PG0541 family transporter-associated protein</t>
  </si>
  <si>
    <t>WP_008774011.1</t>
  </si>
  <si>
    <t>FQN59_RS15275</t>
  </si>
  <si>
    <t>WP_048928072.1</t>
  </si>
  <si>
    <t>FQN59_RS15280</t>
  </si>
  <si>
    <t>WP_008774010.1</t>
  </si>
  <si>
    <t>FQN59_RS15285</t>
  </si>
  <si>
    <t>WP_008778062.1</t>
  </si>
  <si>
    <t>FQN59_RS15290</t>
  </si>
  <si>
    <t>FQN59_RS15295</t>
  </si>
  <si>
    <t>WP_005866074.1</t>
  </si>
  <si>
    <t>FQN59_RS15300</t>
  </si>
  <si>
    <t>WP_005861981.1</t>
  </si>
  <si>
    <t>FQN59_RS15305</t>
  </si>
  <si>
    <t>HdeD family acid-resistance protein</t>
  </si>
  <si>
    <t>WP_005866076.1</t>
  </si>
  <si>
    <t>FQN59_RS15310</t>
  </si>
  <si>
    <t>WP_005861985.1</t>
  </si>
  <si>
    <t>FQN59_RS15315</t>
  </si>
  <si>
    <t>L,D-transpeptidase</t>
  </si>
  <si>
    <t>WP_005866078.1</t>
  </si>
  <si>
    <t>FQN59_RS15320</t>
  </si>
  <si>
    <t>murein L,D-transpeptidase catalytic domain family protein</t>
  </si>
  <si>
    <t>WP_005866080.1</t>
  </si>
  <si>
    <t>FQN59_RS15325</t>
  </si>
  <si>
    <t>FQN59_RS15330</t>
  </si>
  <si>
    <t>WP_005866082.1</t>
  </si>
  <si>
    <t>FQN59_RS15335</t>
  </si>
  <si>
    <t>WP_005861993.1</t>
  </si>
  <si>
    <t>FQN59_RS15340</t>
  </si>
  <si>
    <t>WP_211737312.1</t>
  </si>
  <si>
    <t>FQN59_RS15345</t>
  </si>
  <si>
    <t>WP_211737314.1</t>
  </si>
  <si>
    <t>FQN59_RS15350</t>
  </si>
  <si>
    <t>WP_196007239.1</t>
  </si>
  <si>
    <t>FQN59_RS15355</t>
  </si>
  <si>
    <t>linear amide C-N hydrolase</t>
  </si>
  <si>
    <t>WP_369799703.1</t>
  </si>
  <si>
    <t>FQN59_RS15360</t>
  </si>
  <si>
    <t>riboflavin synthase</t>
  </si>
  <si>
    <t>WP_005862004.1</t>
  </si>
  <si>
    <t>FQN59_RS15365</t>
  </si>
  <si>
    <t>DnaJ C-terminal domain-containing protein</t>
  </si>
  <si>
    <t>WP_008773998.1</t>
  </si>
  <si>
    <t>FQN59_RS15370</t>
  </si>
  <si>
    <t>chaperone modulator CbpM</t>
  </si>
  <si>
    <t>WP_036612315.1</t>
  </si>
  <si>
    <t>FQN59_RS15375</t>
  </si>
  <si>
    <t>FQN59_RS15380</t>
  </si>
  <si>
    <t>WP_008778066.1</t>
  </si>
  <si>
    <t>FQN59_RS15385</t>
  </si>
  <si>
    <t>YihY/virulence factor BrkB family protein</t>
  </si>
  <si>
    <t>WP_036612322.1</t>
  </si>
  <si>
    <t>FQN59_RS15390</t>
  </si>
  <si>
    <t>RNase P RNA component class A</t>
  </si>
  <si>
    <t>rnpB</t>
  </si>
  <si>
    <t>RNase_P_RNA</t>
  </si>
  <si>
    <t>FQN59_RS15395</t>
  </si>
  <si>
    <t>Do family serine endopeptidase</t>
  </si>
  <si>
    <t>WP_005866098.1</t>
  </si>
  <si>
    <t>FQN59_RS15400</t>
  </si>
  <si>
    <t>WP_005641668.1</t>
  </si>
  <si>
    <t>FQN59_RS15405</t>
  </si>
  <si>
    <t>glycoside hydrolase family 125 protein</t>
  </si>
  <si>
    <t>WP_211737317.1</t>
  </si>
  <si>
    <t>FQN59_RS15410</t>
  </si>
  <si>
    <t>WP_211737319.1</t>
  </si>
  <si>
    <t>FQN59_RS15415</t>
  </si>
  <si>
    <t>FQN59_RS15420</t>
  </si>
  <si>
    <t>FQN59_RS15425</t>
  </si>
  <si>
    <t>FQN59_RS15430</t>
  </si>
  <si>
    <t>FQN59_RS15435</t>
  </si>
  <si>
    <t>FQN59_RS15440</t>
  </si>
  <si>
    <t>WP_211737321.1</t>
  </si>
  <si>
    <t>FQN59_RS15445</t>
  </si>
  <si>
    <t>WP_008779458.1</t>
  </si>
  <si>
    <t>FQN59_RS15450</t>
  </si>
  <si>
    <t>WP_122144177.1</t>
  </si>
  <si>
    <t>FQN59_RS15455</t>
  </si>
  <si>
    <t>WP_232284059.1</t>
  </si>
  <si>
    <t>FQN59_RS15460</t>
  </si>
  <si>
    <t>WP_211737323.1</t>
  </si>
  <si>
    <t>FQN59_RS15465</t>
  </si>
  <si>
    <t>HYC_CC_PP family protein</t>
  </si>
  <si>
    <t>WP_041525575.1</t>
  </si>
  <si>
    <t>FQN59_RS15470</t>
  </si>
  <si>
    <t>WP_121962585.1</t>
  </si>
  <si>
    <t>FQN59_RS15475</t>
  </si>
  <si>
    <t>ClC family H(+)/Cl(-) exchange transporter</t>
  </si>
  <si>
    <t>WP_005866120.1</t>
  </si>
  <si>
    <t>FQN59_RS15480</t>
  </si>
  <si>
    <t>WP_008778107.1</t>
  </si>
  <si>
    <t>FQN59_RS15485</t>
  </si>
  <si>
    <t>WP_121962587.1</t>
  </si>
  <si>
    <t>FQN59_RS15490</t>
  </si>
  <si>
    <t>WP_122369338.1</t>
  </si>
  <si>
    <t>FQN59_RS15495</t>
  </si>
  <si>
    <t>methylenetetrahydrofolate reductase [NAD(P)H]</t>
  </si>
  <si>
    <t>metF</t>
  </si>
  <si>
    <t>WP_057318663.1</t>
  </si>
  <si>
    <t>FQN59_RS15500</t>
  </si>
  <si>
    <t>branched-chain amino acid aminotransferase</t>
  </si>
  <si>
    <t>WP_005858291.1</t>
  </si>
  <si>
    <t>FQN59_RS15505</t>
  </si>
  <si>
    <t>WP_008774157.1</t>
  </si>
  <si>
    <t>FQN59_RS15510</t>
  </si>
  <si>
    <t>pyruvate:ferredoxin (flavodoxin) oxidoreductase</t>
  </si>
  <si>
    <t>nifJ</t>
  </si>
  <si>
    <t>WP_211737325.1</t>
  </si>
  <si>
    <t>FQN59_RS15515</t>
  </si>
  <si>
    <t>WP_122369336.1</t>
  </si>
  <si>
    <t>FQN59_RS15520</t>
  </si>
  <si>
    <t>WP_211737327.1</t>
  </si>
  <si>
    <t>FQN59_RS15525</t>
  </si>
  <si>
    <t>Cof-type HAD-IIB family hydrolase</t>
  </si>
  <si>
    <t>WP_008778109.1</t>
  </si>
  <si>
    <t>FQN59_RS15530</t>
  </si>
  <si>
    <t>beta-class carbonic anhydrase</t>
  </si>
  <si>
    <t>WP_005858279.1</t>
  </si>
  <si>
    <t>FQN59_RS15535</t>
  </si>
  <si>
    <t>WP_005858277.1</t>
  </si>
  <si>
    <t>FQN59_RS15540</t>
  </si>
  <si>
    <t>WP_122144167.1</t>
  </si>
  <si>
    <t>FQN59_RS15545</t>
  </si>
  <si>
    <t>WP_005866145.1</t>
  </si>
  <si>
    <t>FQN59_RS15550</t>
  </si>
  <si>
    <t>WP_121962590.1</t>
  </si>
  <si>
    <t>FQN59_RS15555</t>
  </si>
  <si>
    <t>WP_044545809.1</t>
  </si>
  <si>
    <t>FQN59_RS15560</t>
  </si>
  <si>
    <t>WP_211737329.1</t>
  </si>
  <si>
    <t>FQN59_RS15565</t>
  </si>
  <si>
    <t>WP_211737331.1</t>
  </si>
  <si>
    <t>FQN59_RS15570</t>
  </si>
  <si>
    <t>DUF6599 family protein</t>
  </si>
  <si>
    <t>WP_005866156.1</t>
  </si>
  <si>
    <t>FQN59_RS15575</t>
  </si>
  <si>
    <t>WP_044545812.1</t>
  </si>
  <si>
    <t>FQN59_RS15580</t>
  </si>
  <si>
    <t>ACP S-malonyltransferase</t>
  </si>
  <si>
    <t>fabD</t>
  </si>
  <si>
    <t>WP_005866160.1</t>
  </si>
  <si>
    <t>FQN59_RS15585</t>
  </si>
  <si>
    <t>Sec-independent protein translocase subunit TatA/TatB</t>
  </si>
  <si>
    <t>WP_005858259.1</t>
  </si>
  <si>
    <t>FQN59_RS15590</t>
  </si>
  <si>
    <t>twin-arginine translocase subunit TatC</t>
  </si>
  <si>
    <t>tatC</t>
  </si>
  <si>
    <t>WP_005866162.1</t>
  </si>
  <si>
    <t>FQN59_RS15595</t>
  </si>
  <si>
    <t>WP_048928369.1</t>
  </si>
  <si>
    <t>FQN59_RS15600</t>
  </si>
  <si>
    <t>WP_005866166.1</t>
  </si>
  <si>
    <t>FQN59_RS15605</t>
  </si>
  <si>
    <t>WP_057325959.1</t>
  </si>
  <si>
    <t>FQN59_RS15610</t>
  </si>
  <si>
    <t>WP_416339356.1</t>
  </si>
  <si>
    <t>FQN59_RS15615</t>
  </si>
  <si>
    <t>WP_005858250.1</t>
  </si>
  <si>
    <t>FQN59_RS22750</t>
  </si>
  <si>
    <t>isoaspartyl peptidase/L-asparaginase family protein</t>
  </si>
  <si>
    <t>WP_211737335.1</t>
  </si>
  <si>
    <t>FQN59_RS15620</t>
  </si>
  <si>
    <t>DNA repair protein RadA</t>
  </si>
  <si>
    <t>radA</t>
  </si>
  <si>
    <t>WP_005858247.1</t>
  </si>
  <si>
    <t>FQN59_RS15625</t>
  </si>
  <si>
    <t>WP_008774174.1</t>
  </si>
  <si>
    <t>FQN59_RS15630</t>
  </si>
  <si>
    <t>WP_009274810.1</t>
  </si>
  <si>
    <t>FQN59_RS15635</t>
  </si>
  <si>
    <t>WP_005866180.1</t>
  </si>
  <si>
    <t>FQN59_RS15640</t>
  </si>
  <si>
    <t>WP_211737337.1</t>
  </si>
  <si>
    <t>FQN59_RS15645</t>
  </si>
  <si>
    <t>WP_008778112.1</t>
  </si>
  <si>
    <t>FQN59_RS15650</t>
  </si>
  <si>
    <t>WP_211739000.1</t>
  </si>
  <si>
    <t>FQN59_RS15655</t>
  </si>
  <si>
    <t>ThuA domain-containing protein</t>
  </si>
  <si>
    <t>WP_211737339.1</t>
  </si>
  <si>
    <t>FQN59_RS15660</t>
  </si>
  <si>
    <t>RecQ family ATP-dependent DNA helicase</t>
  </si>
  <si>
    <t>WP_211737341.1</t>
  </si>
  <si>
    <t>FQN59_RS15665</t>
  </si>
  <si>
    <t>single-stranded-DNA-specific exonuclease RecJ</t>
  </si>
  <si>
    <t>recJ</t>
  </si>
  <si>
    <t>WP_005866190.1</t>
  </si>
  <si>
    <t>FQN59_RS15670</t>
  </si>
  <si>
    <t>WP_008774182.1</t>
  </si>
  <si>
    <t>FQN59_RS15675</t>
  </si>
  <si>
    <t>WP_008774183.1</t>
  </si>
  <si>
    <t>FQN59_RS15680</t>
  </si>
  <si>
    <t>chloride channel protein</t>
  </si>
  <si>
    <t>WP_005858223.1</t>
  </si>
  <si>
    <t>FQN59_RS15685</t>
  </si>
  <si>
    <t>methionyl-tRNA formyltransferase</t>
  </si>
  <si>
    <t>fmt</t>
  </si>
  <si>
    <t>WP_005866196.1</t>
  </si>
  <si>
    <t>FQN59_RS15690</t>
  </si>
  <si>
    <t>YbaN family protein</t>
  </si>
  <si>
    <t>WP_005866200.1</t>
  </si>
  <si>
    <t>FQN59_RS15695</t>
  </si>
  <si>
    <t>catalase</t>
  </si>
  <si>
    <t>WP_005858216.1</t>
  </si>
  <si>
    <t>FQN59_RS15700</t>
  </si>
  <si>
    <t>WP_211737343.1</t>
  </si>
  <si>
    <t>FQN59_RS15705</t>
  </si>
  <si>
    <t>WP_211737345.1</t>
  </si>
  <si>
    <t>FQN59_RS15710</t>
  </si>
  <si>
    <t>WP_048928373.1</t>
  </si>
  <si>
    <t>FQN59_RS15715</t>
  </si>
  <si>
    <t>WP_005866210.1</t>
  </si>
  <si>
    <t>FQN59_RS15720</t>
  </si>
  <si>
    <t>DUF456 domain-containing protein</t>
  </si>
  <si>
    <t>WP_008779527.1</t>
  </si>
  <si>
    <t>FQN59_RS15725</t>
  </si>
  <si>
    <t>D-isomer specific 2-hydroxyacid dehydrogenase family protein</t>
  </si>
  <si>
    <t>WP_005866216.1</t>
  </si>
  <si>
    <t>FQN59_RS15730</t>
  </si>
  <si>
    <t>NADP-dependent malic enzyme</t>
  </si>
  <si>
    <t>WP_009017113.1</t>
  </si>
  <si>
    <t>FQN59_RS15735</t>
  </si>
  <si>
    <t>DNA-binding protein</t>
  </si>
  <si>
    <t>WP_196009270.1</t>
  </si>
  <si>
    <t>FQN59_RS15740</t>
  </si>
  <si>
    <t>WP_036610415.1</t>
  </si>
  <si>
    <t>FQN59_RS15745</t>
  </si>
  <si>
    <t>exonuclease SbcCD subunit D</t>
  </si>
  <si>
    <t>WP_211737347.1</t>
  </si>
  <si>
    <t>FQN59_RS15750</t>
  </si>
  <si>
    <t>WP_211737349.1</t>
  </si>
  <si>
    <t>FQN59_RS15755</t>
  </si>
  <si>
    <t>WP_005866231.1</t>
  </si>
  <si>
    <t>FQN59_RS15760</t>
  </si>
  <si>
    <t>WP_121962602.1</t>
  </si>
  <si>
    <t>FQN59_RS15765</t>
  </si>
  <si>
    <t>alpha amylase C-terminal domain-containing protein</t>
  </si>
  <si>
    <t>WP_158532877.1</t>
  </si>
  <si>
    <t>FQN59_RS15770</t>
  </si>
  <si>
    <t>type I phosphomannose isomerase catalytic subunit</t>
  </si>
  <si>
    <t>WP_005866237.1</t>
  </si>
  <si>
    <t>FQN59_RS15775</t>
  </si>
  <si>
    <t>DNA-3-methyladenine glycosylase I</t>
  </si>
  <si>
    <t>WP_036610691.1</t>
  </si>
  <si>
    <t>FQN59_RS15780</t>
  </si>
  <si>
    <t>WP_158532876.1</t>
  </si>
  <si>
    <t>FQN59_RS15785</t>
  </si>
  <si>
    <t>pyridoxamine kinase</t>
  </si>
  <si>
    <t>WP_005866243.1</t>
  </si>
  <si>
    <t>FQN59_RS15790</t>
  </si>
  <si>
    <t>hydroxylamine reductase</t>
  </si>
  <si>
    <t>hcp</t>
  </si>
  <si>
    <t>WP_122144143.1</t>
  </si>
  <si>
    <t>FQN59_RS15795</t>
  </si>
  <si>
    <t>WP_122297378.1</t>
  </si>
  <si>
    <t>FQN59_RS15800</t>
  </si>
  <si>
    <t>WP_034532310.1</t>
  </si>
  <si>
    <t>FQN59_RS15805</t>
  </si>
  <si>
    <t>WP_122297379.1</t>
  </si>
  <si>
    <t>FQN59_RS15810</t>
  </si>
  <si>
    <t>WP_122297380.1</t>
  </si>
  <si>
    <t>FQN59_RS15815</t>
  </si>
  <si>
    <t>WP_192922596.1</t>
  </si>
  <si>
    <t>FQN59_RS15820</t>
  </si>
  <si>
    <t>WP_008778117.1</t>
  </si>
  <si>
    <t>FQN59_RS15825</t>
  </si>
  <si>
    <t>WP_048927773.1</t>
  </si>
  <si>
    <t>FQN59_RS15830</t>
  </si>
  <si>
    <t>WP_009274915.1</t>
  </si>
  <si>
    <t>FQN59_RS15835</t>
  </si>
  <si>
    <t>WP_211737351.1</t>
  </si>
  <si>
    <t>FQN59_RS15840</t>
  </si>
  <si>
    <t>WP_005858170.1</t>
  </si>
  <si>
    <t>FQN59_RS15845</t>
  </si>
  <si>
    <t>FQN59_RS15850</t>
  </si>
  <si>
    <t>WP_211737353.1</t>
  </si>
  <si>
    <t>FQN59_RS15855</t>
  </si>
  <si>
    <t>WP_211737355.1</t>
  </si>
  <si>
    <t>FQN59_RS15860</t>
  </si>
  <si>
    <t>FQN59_RS15865</t>
  </si>
  <si>
    <t>WP_004294812.1</t>
  </si>
  <si>
    <t>FQN59_RS15870</t>
  </si>
  <si>
    <t>SecDF P1 head subdomain-containing protein</t>
  </si>
  <si>
    <t>WP_004308741.1</t>
  </si>
  <si>
    <t>FQN59_RS15875</t>
  </si>
  <si>
    <t>WP_004308742.1</t>
  </si>
  <si>
    <t>FQN59_RS15880</t>
  </si>
  <si>
    <t>WP_004294815.1</t>
  </si>
  <si>
    <t>FQN59_RS15885</t>
  </si>
  <si>
    <t>bifunctional DNA primase/helicase</t>
  </si>
  <si>
    <t>WP_005680387.1</t>
  </si>
  <si>
    <t>FQN59_RS15890</t>
  </si>
  <si>
    <t>WP_004308744.1</t>
  </si>
  <si>
    <t>FQN59_RS15895</t>
  </si>
  <si>
    <t>WP_004308745.1</t>
  </si>
  <si>
    <t>FQN59_RS15900</t>
  </si>
  <si>
    <t>WP_005680386.1</t>
  </si>
  <si>
    <t>FQN59_RS15905</t>
  </si>
  <si>
    <t>WP_004308747.1</t>
  </si>
  <si>
    <t>FQN59_RS15910</t>
  </si>
  <si>
    <t>WP_004308748.1</t>
  </si>
  <si>
    <t>FQN59_RS15915</t>
  </si>
  <si>
    <t>WP_004308749.1</t>
  </si>
  <si>
    <t>FQN59_RS15920</t>
  </si>
  <si>
    <t>WP_004308750.1</t>
  </si>
  <si>
    <t>FQN59_RS15925</t>
  </si>
  <si>
    <t>WP_149949048.1</t>
  </si>
  <si>
    <t>FQN59_RS15930</t>
  </si>
  <si>
    <t>WP_008648474.1</t>
  </si>
  <si>
    <t>FQN59_RS15935</t>
  </si>
  <si>
    <t>WP_149886796.1</t>
  </si>
  <si>
    <t>FQN59_RS15940</t>
  </si>
  <si>
    <t>WP_004308755.1</t>
  </si>
  <si>
    <t>FQN59_RS15945</t>
  </si>
  <si>
    <t>WP_149886795.1</t>
  </si>
  <si>
    <t>FQN59_RS15950</t>
  </si>
  <si>
    <t>WP_149949018.1</t>
  </si>
  <si>
    <t>FQN59_RS15955</t>
  </si>
  <si>
    <t>WP_004326111.1</t>
  </si>
  <si>
    <t>FQN59_RS15960</t>
  </si>
  <si>
    <t>WP_008648479.1</t>
  </si>
  <si>
    <t>FQN59_RS15965</t>
  </si>
  <si>
    <t>WP_007845741.1</t>
  </si>
  <si>
    <t>FQN59_RS15970</t>
  </si>
  <si>
    <t>WP_004308760.1</t>
  </si>
  <si>
    <t>FQN59_RS15975</t>
  </si>
  <si>
    <t>WP_130061744.1</t>
  </si>
  <si>
    <t>FQN59_RS15980</t>
  </si>
  <si>
    <t>WP_055170715.1</t>
  </si>
  <si>
    <t>FQN59_RS15985</t>
  </si>
  <si>
    <t>WP_149949017.1</t>
  </si>
  <si>
    <t>FQN59_RS15990</t>
  </si>
  <si>
    <t>WP_123617445.1</t>
  </si>
  <si>
    <t>FQN59_RS15995</t>
  </si>
  <si>
    <t>WP_011202370.1</t>
  </si>
  <si>
    <t>FQN59_RS16000</t>
  </si>
  <si>
    <t>WP_011202369.1</t>
  </si>
  <si>
    <t>FQN59_RS16005</t>
  </si>
  <si>
    <t>WP_123617443.1</t>
  </si>
  <si>
    <t>FQN59_RS16010</t>
  </si>
  <si>
    <t>DUF7258 domain-containing protein</t>
  </si>
  <si>
    <t>WP_123617442.1</t>
  </si>
  <si>
    <t>FQN59_RS16015</t>
  </si>
  <si>
    <t>WP_005924228.1</t>
  </si>
  <si>
    <t>FQN59_RS16020</t>
  </si>
  <si>
    <t>WP_004327304.1</t>
  </si>
  <si>
    <t>FQN59_RS16025</t>
  </si>
  <si>
    <t>WP_123617441.1</t>
  </si>
  <si>
    <t>FQN59_RS16030</t>
  </si>
  <si>
    <t>WP_008648492.1</t>
  </si>
  <si>
    <t>FQN59_RS16035</t>
  </si>
  <si>
    <t>FQN59_RS16040</t>
  </si>
  <si>
    <t>WP_005858169.1</t>
  </si>
  <si>
    <t>FQN59_RS16045</t>
  </si>
  <si>
    <t>CGGC domain-containing protein</t>
  </si>
  <si>
    <t>WP_005866270.1</t>
  </si>
  <si>
    <t>FQN59_RS16050</t>
  </si>
  <si>
    <t>30S ribosomal protein S16</t>
  </si>
  <si>
    <t>WP_005858168.1</t>
  </si>
  <si>
    <t>FQN59_RS16055</t>
  </si>
  <si>
    <t>WP_005858166.1</t>
  </si>
  <si>
    <t>FQN59_RS16060</t>
  </si>
  <si>
    <t>DUF3943 domain-containing protein</t>
  </si>
  <si>
    <t>WP_005858165.1</t>
  </si>
  <si>
    <t>FQN59_RS16065</t>
  </si>
  <si>
    <t>trimeric intracellular cation channel family protein</t>
  </si>
  <si>
    <t>WP_005858164.1</t>
  </si>
  <si>
    <t>FQN59_RS16070</t>
  </si>
  <si>
    <t>asparaginase</t>
  </si>
  <si>
    <t>WP_005858163.1</t>
  </si>
  <si>
    <t>FQN59_RS16075</t>
  </si>
  <si>
    <t>WP_005858162.1</t>
  </si>
  <si>
    <t>FQN59_RS16080</t>
  </si>
  <si>
    <t>FQN59_RS16085</t>
  </si>
  <si>
    <t>FQN59_RS16090</t>
  </si>
  <si>
    <t>FQN59_RS16095</t>
  </si>
  <si>
    <t>WP_044544614.1</t>
  </si>
  <si>
    <t>FQN59_RS16100</t>
  </si>
  <si>
    <t>WP_195283748.1</t>
  </si>
  <si>
    <t>FQN59_RS16105</t>
  </si>
  <si>
    <t>WP_005866279.1</t>
  </si>
  <si>
    <t>FQN59_RS16110</t>
  </si>
  <si>
    <t>WP_005866281.1</t>
  </si>
  <si>
    <t>FQN59_RS16115</t>
  </si>
  <si>
    <t>WP_008774229.1</t>
  </si>
  <si>
    <t>FQN59_RS16120</t>
  </si>
  <si>
    <t>WP_211737358.1</t>
  </si>
  <si>
    <t>FQN59_RS16125</t>
  </si>
  <si>
    <t>ribulose-phosphate 3-epimerase</t>
  </si>
  <si>
    <t>rpe</t>
  </si>
  <si>
    <t>WP_008774230.1</t>
  </si>
  <si>
    <t>FQN59_RS16130</t>
  </si>
  <si>
    <t>ComEC/Rec2 family competence protein</t>
  </si>
  <si>
    <t>WP_211737360.1</t>
  </si>
  <si>
    <t>FQN59_RS16135</t>
  </si>
  <si>
    <t>DHH family phosphoesterase</t>
  </si>
  <si>
    <t>WP_005866290.1</t>
  </si>
  <si>
    <t>FQN59_RS16140</t>
  </si>
  <si>
    <t>DUF4827 domain-containing protein</t>
  </si>
  <si>
    <t>WP_048927791.1</t>
  </si>
  <si>
    <t>FQN59_RS16145</t>
  </si>
  <si>
    <t>phosphoglucosamine mutase</t>
  </si>
  <si>
    <t>glmM</t>
  </si>
  <si>
    <t>WP_008774233.1</t>
  </si>
  <si>
    <t>FQN59_RS16150</t>
  </si>
  <si>
    <t>DUF6377 domain-containing protein</t>
  </si>
  <si>
    <t>WP_211737362.1</t>
  </si>
  <si>
    <t>FQN59_RS16155</t>
  </si>
  <si>
    <t>WP_249222460.1</t>
  </si>
  <si>
    <t>FQN59_RS16160</t>
  </si>
  <si>
    <t>WP_211737364.1</t>
  </si>
  <si>
    <t>FQN59_RS16165</t>
  </si>
  <si>
    <t>DNA topoisomerase 3</t>
  </si>
  <si>
    <t>WP_034527038.1</t>
  </si>
  <si>
    <t>FQN59_RS16170</t>
  </si>
  <si>
    <t>WP_211737366.1</t>
  </si>
  <si>
    <t>FQN59_RS16175</t>
  </si>
  <si>
    <t>DUF5107 domain-containing protein</t>
  </si>
  <si>
    <t>WP_211737368.1</t>
  </si>
  <si>
    <t>FQN59_RS16180</t>
  </si>
  <si>
    <t>WP_122297390.1</t>
  </si>
  <si>
    <t>FQN59_RS16185</t>
  </si>
  <si>
    <t>WP_044544964.1</t>
  </si>
  <si>
    <t>FQN59_RS16190</t>
  </si>
  <si>
    <t>WP_211737370.1</t>
  </si>
  <si>
    <t>FQN59_RS16195</t>
  </si>
  <si>
    <t>WP_211737373.1</t>
  </si>
  <si>
    <t>FQN59_RS16200</t>
  </si>
  <si>
    <t>WP_005866315.1</t>
  </si>
  <si>
    <t>FQN59_RS16205</t>
  </si>
  <si>
    <t>WP_005866317.1</t>
  </si>
  <si>
    <t>FQN59_RS16210</t>
  </si>
  <si>
    <t>WP_211737374.1</t>
  </si>
  <si>
    <t>FQN59_RS16215</t>
  </si>
  <si>
    <t>WP_249222462.1</t>
  </si>
  <si>
    <t>FQN59_RS16220</t>
  </si>
  <si>
    <t>WP_211737376.1</t>
  </si>
  <si>
    <t>FQN59_RS16225</t>
  </si>
  <si>
    <t>WP_211737377.1</t>
  </si>
  <si>
    <t>FQN59_RS16230</t>
  </si>
  <si>
    <t>WP_005866329.1</t>
  </si>
  <si>
    <t>FQN59_RS16235</t>
  </si>
  <si>
    <t>WP_211737378.1</t>
  </si>
  <si>
    <t>FQN59_RS16240</t>
  </si>
  <si>
    <t>WP_227805375.1</t>
  </si>
  <si>
    <t>FQN59_RS16245</t>
  </si>
  <si>
    <t>glycoside hydrolase family 76 protein</t>
  </si>
  <si>
    <t>WP_211737379.1</t>
  </si>
  <si>
    <t>FQN59_RS16250</t>
  </si>
  <si>
    <t>WP_122382824.1</t>
  </si>
  <si>
    <t>FQN59_RS16255</t>
  </si>
  <si>
    <t>WP_005858105.1</t>
  </si>
  <si>
    <t>FQN59_RS16260</t>
  </si>
  <si>
    <t>carboxylase</t>
  </si>
  <si>
    <t>WP_196009175.1</t>
  </si>
  <si>
    <t>FQN59_RS16265</t>
  </si>
  <si>
    <t>ribose 5-phosphate isomerase B</t>
  </si>
  <si>
    <t>rpiB</t>
  </si>
  <si>
    <t>WP_196009176.1</t>
  </si>
  <si>
    <t>FQN59_RS16270</t>
  </si>
  <si>
    <t>transketolase family protein</t>
  </si>
  <si>
    <t>WP_008779606.1</t>
  </si>
  <si>
    <t>FQN59_RS16275</t>
  </si>
  <si>
    <t>WP_036610602.1</t>
  </si>
  <si>
    <t>FQN59_RS16280</t>
  </si>
  <si>
    <t>galactokinase</t>
  </si>
  <si>
    <t>galK</t>
  </si>
  <si>
    <t>WP_122369297.1</t>
  </si>
  <si>
    <t>FQN59_RS16285</t>
  </si>
  <si>
    <t>WP_005866353.1</t>
  </si>
  <si>
    <t>FQN59_RS16290</t>
  </si>
  <si>
    <t>WP_211737380.1</t>
  </si>
  <si>
    <t>FQN59_RS16295</t>
  </si>
  <si>
    <t>WP_211737381.1</t>
  </si>
  <si>
    <t>FQN59_RS16300</t>
  </si>
  <si>
    <t>WP_154396500.1</t>
  </si>
  <si>
    <t>FQN59_RS16305</t>
  </si>
  <si>
    <t>WP_122115088.1</t>
  </si>
  <si>
    <t>FQN59_RS16310</t>
  </si>
  <si>
    <t>DJ-1/PfpI family protein</t>
  </si>
  <si>
    <t>WP_022191891.1</t>
  </si>
  <si>
    <t>FQN59_RS16315</t>
  </si>
  <si>
    <t>winged helix-turn-helix transcriptional regulator</t>
  </si>
  <si>
    <t>WP_005858079.1</t>
  </si>
  <si>
    <t>FQN59_RS16320</t>
  </si>
  <si>
    <t>ribokinase</t>
  </si>
  <si>
    <t>rbsK</t>
  </si>
  <si>
    <t>WP_211737382.1</t>
  </si>
  <si>
    <t>FQN59_RS16325</t>
  </si>
  <si>
    <t>ADP-ribosylglycohydrolase family protein</t>
  </si>
  <si>
    <t>WP_211737383.1</t>
  </si>
  <si>
    <t>FQN59_RS16330</t>
  </si>
  <si>
    <t>nucleoside hydrolase</t>
  </si>
  <si>
    <t>WP_195474048.1</t>
  </si>
  <si>
    <t>FQN59_RS16335</t>
  </si>
  <si>
    <t>GRP family sugar transporter</t>
  </si>
  <si>
    <t>WP_008774266.1</t>
  </si>
  <si>
    <t>FQN59_RS16340</t>
  </si>
  <si>
    <t>WP_005866375.1</t>
  </si>
  <si>
    <t>FQN59_RS16345</t>
  </si>
  <si>
    <t>GtrA family protein</t>
  </si>
  <si>
    <t>WP_005858065.1</t>
  </si>
  <si>
    <t>FQN59_RS16350</t>
  </si>
  <si>
    <t>WP_005866377.1</t>
  </si>
  <si>
    <t>FQN59_RS16355</t>
  </si>
  <si>
    <t>class II fumarate hydratase</t>
  </si>
  <si>
    <t>fumC</t>
  </si>
  <si>
    <t>WP_121962255.1</t>
  </si>
  <si>
    <t>FQN59_RS16360</t>
  </si>
  <si>
    <t>alpha-L-rhamnosidase</t>
  </si>
  <si>
    <t>WP_211737386.1</t>
  </si>
  <si>
    <t>FQN59_RS16365</t>
  </si>
  <si>
    <t>WP_211737388.1</t>
  </si>
  <si>
    <t>FQN59_RS16370</t>
  </si>
  <si>
    <t>polyamine ABC transporter ATP-binding protein</t>
  </si>
  <si>
    <t>potA</t>
  </si>
  <si>
    <t>WP_121956415.1</t>
  </si>
  <si>
    <t>FQN59_RS16375</t>
  </si>
  <si>
    <t>WP_428846730.1</t>
  </si>
  <si>
    <t>FQN59_RS16380</t>
  </si>
  <si>
    <t>WP_005858053.1</t>
  </si>
  <si>
    <t>FQN59_RS16385</t>
  </si>
  <si>
    <t>WP_036610722.1</t>
  </si>
  <si>
    <t>FQN59_RS16390</t>
  </si>
  <si>
    <t>WP_005858049.1</t>
  </si>
  <si>
    <t>FQN59_RS16395</t>
  </si>
  <si>
    <t>queuosine precursor transporter</t>
  </si>
  <si>
    <t>WP_005858047.1</t>
  </si>
  <si>
    <t>FQN59_RS16400</t>
  </si>
  <si>
    <t>DUF2490 domain-containing protein</t>
  </si>
  <si>
    <t>WP_008774273.1</t>
  </si>
  <si>
    <t>FQN59_RS16405</t>
  </si>
  <si>
    <t>hydroxypyruvate isomerase family protein</t>
  </si>
  <si>
    <t>WP_008774274.1</t>
  </si>
  <si>
    <t>FQN59_RS16410</t>
  </si>
  <si>
    <t>WP_005866389.1</t>
  </si>
  <si>
    <t>FQN59_RS22980</t>
  </si>
  <si>
    <t>WP_005858035.1</t>
  </si>
  <si>
    <t>FQN59_RS16420</t>
  </si>
  <si>
    <t>WP_211737392.1</t>
  </si>
  <si>
    <t>FQN59_RS16425</t>
  </si>
  <si>
    <t>WP_211737393.1</t>
  </si>
  <si>
    <t>FQN59_RS16430</t>
  </si>
  <si>
    <t>FQN59_RS16435</t>
  </si>
  <si>
    <t>WP_122369263.1</t>
  </si>
  <si>
    <t>FQN59_RS16440</t>
  </si>
  <si>
    <t>WP_122369262.1</t>
  </si>
  <si>
    <t>FQN59_RS16445</t>
  </si>
  <si>
    <t>sodium/glutamate symporter</t>
  </si>
  <si>
    <t>WP_005858025.1</t>
  </si>
  <si>
    <t>FQN59_RS16450</t>
  </si>
  <si>
    <t>WP_005866402.1</t>
  </si>
  <si>
    <t>FQN59_RS16455</t>
  </si>
  <si>
    <t>WP_211737394.1</t>
  </si>
  <si>
    <t>FQN59_RS16460</t>
  </si>
  <si>
    <t>class I mannose-6-phosphate isomerase</t>
  </si>
  <si>
    <t>WP_211737395.1</t>
  </si>
  <si>
    <t>FQN59_RS16465</t>
  </si>
  <si>
    <t>WP_022191913.1</t>
  </si>
  <si>
    <t>FQN59_RS16470</t>
  </si>
  <si>
    <t>WP_211737396.1</t>
  </si>
  <si>
    <t>FQN59_RS16475</t>
  </si>
  <si>
    <t>WP_005866412.1</t>
  </si>
  <si>
    <t>FQN59_RS16480</t>
  </si>
  <si>
    <t>WP_122380306.1</t>
  </si>
  <si>
    <t>FQN59_RS16485</t>
  </si>
  <si>
    <t>WP_022192405.1</t>
  </si>
  <si>
    <t>FQN59_RS16490</t>
  </si>
  <si>
    <t>WP_008779636.1</t>
  </si>
  <si>
    <t>FQN59_RS16495</t>
  </si>
  <si>
    <t>WP_005866422.1</t>
  </si>
  <si>
    <t>FQN59_RS16500</t>
  </si>
  <si>
    <t>WP_005866426.1</t>
  </si>
  <si>
    <t>FQN59_RS16505</t>
  </si>
  <si>
    <t>WP_211737397.1</t>
  </si>
  <si>
    <t>FQN59_RS16510</t>
  </si>
  <si>
    <t>RhuM protein</t>
  </si>
  <si>
    <t>WP_211737398.1</t>
  </si>
  <si>
    <t>FQN59_RS16515</t>
  </si>
  <si>
    <t>WP_211737400.1</t>
  </si>
  <si>
    <t>FQN59_RS16520</t>
  </si>
  <si>
    <t>WP_211737402.1</t>
  </si>
  <si>
    <t>FQN59_RS16525</t>
  </si>
  <si>
    <t>WP_211739003.1</t>
  </si>
  <si>
    <t>FQN59_RS16530</t>
  </si>
  <si>
    <t>WP_151881342.1</t>
  </si>
  <si>
    <t>FQN59_RS16535</t>
  </si>
  <si>
    <t>WP_211737404.1</t>
  </si>
  <si>
    <t>FQN59_RS16540</t>
  </si>
  <si>
    <t>WP_211737406.1</t>
  </si>
  <si>
    <t>FQN59_RS16545</t>
  </si>
  <si>
    <t>WP_211737408.1</t>
  </si>
  <si>
    <t>FQN59_RS16550</t>
  </si>
  <si>
    <t>WP_211737410.1</t>
  </si>
  <si>
    <t>FQN59_RS16555</t>
  </si>
  <si>
    <t>WP_211737412.1</t>
  </si>
  <si>
    <t>FQN59_RS16560</t>
  </si>
  <si>
    <t>phage head-tail adapter protein</t>
  </si>
  <si>
    <t>WP_211737414.1</t>
  </si>
  <si>
    <t>FQN59_RS16565</t>
  </si>
  <si>
    <t>class A beta-lactamase</t>
  </si>
  <si>
    <t>bla</t>
  </si>
  <si>
    <t>WP_211737416.1</t>
  </si>
  <si>
    <t>FQN59_RS16570</t>
  </si>
  <si>
    <t>zinc ribbon domain-containing protein</t>
  </si>
  <si>
    <t>WP_211737419.1</t>
  </si>
  <si>
    <t>FQN59_RS16575</t>
  </si>
  <si>
    <t>WP_211737421.1</t>
  </si>
  <si>
    <t>FQN59_RS16580</t>
  </si>
  <si>
    <t>WP_211737423.1</t>
  </si>
  <si>
    <t>FQN59_RS16585</t>
  </si>
  <si>
    <t>WP_211739005.1</t>
  </si>
  <si>
    <t>FQN59_RS16590</t>
  </si>
  <si>
    <t>M56 family metallopeptidase</t>
  </si>
  <si>
    <t>WP_211737425.1</t>
  </si>
  <si>
    <t>FQN59_RS16595</t>
  </si>
  <si>
    <t>WP_211737426.1</t>
  </si>
  <si>
    <t>FQN59_RS16600</t>
  </si>
  <si>
    <t>DUF3795 domain-containing protein</t>
  </si>
  <si>
    <t>WP_249222463.1</t>
  </si>
  <si>
    <t>FQN59_RS16605</t>
  </si>
  <si>
    <t>WP_211737428.1</t>
  </si>
  <si>
    <t>FQN59_RS16610</t>
  </si>
  <si>
    <t>WP_211737430.1</t>
  </si>
  <si>
    <t>FQN59_RS16615</t>
  </si>
  <si>
    <t>WP_211737432.1</t>
  </si>
  <si>
    <t>FQN59_RS16620</t>
  </si>
  <si>
    <t>WP_211737434.1</t>
  </si>
  <si>
    <t>FQN59_RS16625</t>
  </si>
  <si>
    <t>WP_211737436.1</t>
  </si>
  <si>
    <t>FQN59_RS16630</t>
  </si>
  <si>
    <t>WP_211737438.1</t>
  </si>
  <si>
    <t>FQN59_RS16635</t>
  </si>
  <si>
    <t>WP_211737440.1</t>
  </si>
  <si>
    <t>FQN59_RS16640</t>
  </si>
  <si>
    <t>WP_211737441.1</t>
  </si>
  <si>
    <t>FQN59_RS16645</t>
  </si>
  <si>
    <t>WP_211737443.1</t>
  </si>
  <si>
    <t>FQN59_RS16650</t>
  </si>
  <si>
    <t>WP_211737445.1</t>
  </si>
  <si>
    <t>FQN59_RS16655</t>
  </si>
  <si>
    <t>WP_211737447.1</t>
  </si>
  <si>
    <t>FQN59_RS16660</t>
  </si>
  <si>
    <t>WP_008653334.1</t>
  </si>
  <si>
    <t>FQN59_RS16665</t>
  </si>
  <si>
    <t>WP_211737449.1</t>
  </si>
  <si>
    <t>FQN59_RS16670</t>
  </si>
  <si>
    <t>conjugal transfer protein TraD</t>
  </si>
  <si>
    <t>WP_211737451.1</t>
  </si>
  <si>
    <t>FQN59_RS16675</t>
  </si>
  <si>
    <t>WP_007656423.1</t>
  </si>
  <si>
    <t>FQN59_RS16680</t>
  </si>
  <si>
    <t>FQN59_RS16685</t>
  </si>
  <si>
    <t>WP_211737453.1</t>
  </si>
  <si>
    <t>FQN59_RS16690</t>
  </si>
  <si>
    <t>WP_211737455.1</t>
  </si>
  <si>
    <t>FQN59_RS16695</t>
  </si>
  <si>
    <t>WP_005643923.1</t>
  </si>
  <si>
    <t>FQN59_RS16700</t>
  </si>
  <si>
    <t>WP_005643924.1</t>
  </si>
  <si>
    <t>FQN59_RS16705</t>
  </si>
  <si>
    <t>WP_004308925.1</t>
  </si>
  <si>
    <t>FQN59_RS16710</t>
  </si>
  <si>
    <t>WP_005643926.1</t>
  </si>
  <si>
    <t>FQN59_RS16715</t>
  </si>
  <si>
    <t>WP_211737457.1</t>
  </si>
  <si>
    <t>FQN59_RS16720</t>
  </si>
  <si>
    <t>WP_211737459.1</t>
  </si>
  <si>
    <t>FQN59_RS16725</t>
  </si>
  <si>
    <t>WP_005643932.1</t>
  </si>
  <si>
    <t>FQN59_RS16730</t>
  </si>
  <si>
    <t>WP_068690141.1</t>
  </si>
  <si>
    <t>FQN59_RS16735</t>
  </si>
  <si>
    <t>WP_005643936.1</t>
  </si>
  <si>
    <t>FQN59_RS16740</t>
  </si>
  <si>
    <t>WP_005827312.1</t>
  </si>
  <si>
    <t>FQN59_RS16745</t>
  </si>
  <si>
    <t>DUF7688 family protein</t>
  </si>
  <si>
    <t>WP_004310300.1</t>
  </si>
  <si>
    <t>FQN59_RS16750</t>
  </si>
  <si>
    <t>WP_004310301.1</t>
  </si>
  <si>
    <t>FQN59_RS16755</t>
  </si>
  <si>
    <t>WP_005643944.1</t>
  </si>
  <si>
    <t>FQN59_RS16760</t>
  </si>
  <si>
    <t>WP_005643946.1</t>
  </si>
  <si>
    <t>FQN59_RS16765</t>
  </si>
  <si>
    <t>WP_005827305.1</t>
  </si>
  <si>
    <t>FQN59_RS16770</t>
  </si>
  <si>
    <t>WP_004310303.1</t>
  </si>
  <si>
    <t>FQN59_RS16775</t>
  </si>
  <si>
    <t>WP_004310304.1</t>
  </si>
  <si>
    <t>FQN59_RS16780</t>
  </si>
  <si>
    <t>WP_005643956.1</t>
  </si>
  <si>
    <t>FQN59_RS16785</t>
  </si>
  <si>
    <t>WP_005643957.1</t>
  </si>
  <si>
    <t>FQN59_RS16790</t>
  </si>
  <si>
    <t>WP_004310306.1</t>
  </si>
  <si>
    <t>FQN59_RS16795</t>
  </si>
  <si>
    <t>WP_005827299.1</t>
  </si>
  <si>
    <t>FQN59_RS16800</t>
  </si>
  <si>
    <t>WP_005854857.1</t>
  </si>
  <si>
    <t>FQN59_RS16805</t>
  </si>
  <si>
    <t>WP_008773367.1</t>
  </si>
  <si>
    <t>FQN59_RS16810</t>
  </si>
  <si>
    <t>WP_005854860.1</t>
  </si>
  <si>
    <t>FQN59_RS16815</t>
  </si>
  <si>
    <t>sugar O-acetyltransferase</t>
  </si>
  <si>
    <t>WP_005854862.1</t>
  </si>
  <si>
    <t>FQN59_RS16820</t>
  </si>
  <si>
    <t>WP_211737461.1</t>
  </si>
  <si>
    <t>FQN59_RS16825</t>
  </si>
  <si>
    <t>pyruvate formate lyase family protein</t>
  </si>
  <si>
    <t>WP_211737463.1</t>
  </si>
  <si>
    <t>FQN59_RS16830</t>
  </si>
  <si>
    <t>N-acetylmannosamine-6-phosphate 2-epimerase</t>
  </si>
  <si>
    <t>WP_005854869.1</t>
  </si>
  <si>
    <t>FQN59_RS16835</t>
  </si>
  <si>
    <t>WP_005854871.1</t>
  </si>
  <si>
    <t>FQN59_RS16840</t>
  </si>
  <si>
    <t>DUF5606 domain-containing protein</t>
  </si>
  <si>
    <t>WP_005854873.1</t>
  </si>
  <si>
    <t>FQN59_RS16845</t>
  </si>
  <si>
    <t>dephospho-CoA kinase</t>
  </si>
  <si>
    <t>coaE</t>
  </si>
  <si>
    <t>WP_211737465.1</t>
  </si>
  <si>
    <t>FQN59_RS16850</t>
  </si>
  <si>
    <t>YbbR-like domain-containing protein</t>
  </si>
  <si>
    <t>WP_195392921.1</t>
  </si>
  <si>
    <t>FQN59_RS16855</t>
  </si>
  <si>
    <t>preprotein translocase subunit YajC</t>
  </si>
  <si>
    <t>yajC</t>
  </si>
  <si>
    <t>WP_005864940.1</t>
  </si>
  <si>
    <t>FQN59_RS16860</t>
  </si>
  <si>
    <t>transcription antitermination factor NusB</t>
  </si>
  <si>
    <t>nusB</t>
  </si>
  <si>
    <t>WP_005864942.1</t>
  </si>
  <si>
    <t>FQN59_RS16865</t>
  </si>
  <si>
    <t>DUF3276 family protein</t>
  </si>
  <si>
    <t>WP_005864945.1</t>
  </si>
  <si>
    <t>FQN59_RS16870</t>
  </si>
  <si>
    <t>WP_005854886.1</t>
  </si>
  <si>
    <t>FQN59_RS16875</t>
  </si>
  <si>
    <t>WP_008778155.1</t>
  </si>
  <si>
    <t>FQN59_RS16880</t>
  </si>
  <si>
    <t>phosphatidate cytidylyltransferase</t>
  </si>
  <si>
    <t>WP_048927667.1</t>
  </si>
  <si>
    <t>FQN59_RS16885</t>
  </si>
  <si>
    <t>ATP-dependent zinc metalloprotease FtsH</t>
  </si>
  <si>
    <t>ftsH</t>
  </si>
  <si>
    <t>WP_036612872.1</t>
  </si>
  <si>
    <t>FQN59_RS16890</t>
  </si>
  <si>
    <t>ribosome silencing factor</t>
  </si>
  <si>
    <t>rsfS</t>
  </si>
  <si>
    <t>WP_005854895.1</t>
  </si>
  <si>
    <t>FQN59_RS16895</t>
  </si>
  <si>
    <t>tRNA-Gln</t>
  </si>
  <si>
    <t>FQN59_RS16900</t>
  </si>
  <si>
    <t>FQN59_RS16905</t>
  </si>
  <si>
    <t>WP_211737467.1</t>
  </si>
  <si>
    <t>FQN59_RS16910</t>
  </si>
  <si>
    <t>WP_008780206.1</t>
  </si>
  <si>
    <t>FQN59_RS16915</t>
  </si>
  <si>
    <t>DNA primase</t>
  </si>
  <si>
    <t>dnaG</t>
  </si>
  <si>
    <t>WP_129984559.1</t>
  </si>
  <si>
    <t>FQN59_RS16920</t>
  </si>
  <si>
    <t>WP_122114779.1</t>
  </si>
  <si>
    <t>FQN59_RS16925</t>
  </si>
  <si>
    <t>WP_005864960.1</t>
  </si>
  <si>
    <t>FQN59_RS16930</t>
  </si>
  <si>
    <t>WP_227154518.1</t>
  </si>
  <si>
    <t>FQN59_RS16935</t>
  </si>
  <si>
    <t>WP_005864966.1</t>
  </si>
  <si>
    <t>FQN59_RS16945</t>
  </si>
  <si>
    <t>WP_211737469.1</t>
  </si>
  <si>
    <t>FQN59_RS16950</t>
  </si>
  <si>
    <t>WP_005864974.1</t>
  </si>
  <si>
    <t>FQN59_RS16955</t>
  </si>
  <si>
    <t>WP_005864976.1</t>
  </si>
  <si>
    <t>FQN59_RS16960</t>
  </si>
  <si>
    <t>WP_005864979.1</t>
  </si>
  <si>
    <t>FQN59_RS16965</t>
  </si>
  <si>
    <t>1-aminocyclopropane-1-carboxylate deaminase/D-cysteine desulfhydrase</t>
  </si>
  <si>
    <t>WP_227154456.1</t>
  </si>
  <si>
    <t>FQN59_RS16970</t>
  </si>
  <si>
    <t>WP_005864983.1</t>
  </si>
  <si>
    <t>FQN59_RS16975</t>
  </si>
  <si>
    <t>WP_233523164.1</t>
  </si>
  <si>
    <t>FQN59_RS16980</t>
  </si>
  <si>
    <t>WP_057326714.1</t>
  </si>
  <si>
    <t>FQN59_RS16985</t>
  </si>
  <si>
    <t>WP_005864990.1</t>
  </si>
  <si>
    <t>FQN59_RS16990</t>
  </si>
  <si>
    <t>WP_057326706.1</t>
  </si>
  <si>
    <t>FQN59_RS16995</t>
  </si>
  <si>
    <t>oligosaccharide flippase family protein</t>
  </si>
  <si>
    <t>WP_005864995.1</t>
  </si>
  <si>
    <t>FQN59_RS17000</t>
  </si>
  <si>
    <t>WP_121963142.1</t>
  </si>
  <si>
    <t>FQN59_RS17005</t>
  </si>
  <si>
    <t>WP_211737471.1</t>
  </si>
  <si>
    <t>FQN59_RS17010</t>
  </si>
  <si>
    <t>WP_121963143.1</t>
  </si>
  <si>
    <t>FQN59_RS17015</t>
  </si>
  <si>
    <t>AsmA-like C-terminal region-containing protein</t>
  </si>
  <si>
    <t>WP_170104851.1</t>
  </si>
  <si>
    <t>FQN59_RS17020</t>
  </si>
  <si>
    <t>dTDP-glucose 4,6-dehydratase</t>
  </si>
  <si>
    <t>rfbB</t>
  </si>
  <si>
    <t>WP_057317212.1</t>
  </si>
  <si>
    <t>FQN59_RS17025</t>
  </si>
  <si>
    <t>dTDP-4-dehydrorhamnose 3,5-epimerase</t>
  </si>
  <si>
    <t>rfbC</t>
  </si>
  <si>
    <t>WP_057327325.1</t>
  </si>
  <si>
    <t>FQN59_RS17030</t>
  </si>
  <si>
    <t>tRNA-Cys</t>
  </si>
  <si>
    <t>FQN59_RS17035</t>
  </si>
  <si>
    <t>FQN59_RS17040</t>
  </si>
  <si>
    <t>WP_009275884.1</t>
  </si>
  <si>
    <t>FQN59_RS17045</t>
  </si>
  <si>
    <t>SH3 beta-barrel fold-containing protein</t>
  </si>
  <si>
    <t>WP_009275885.1</t>
  </si>
  <si>
    <t>FQN59_RS17050</t>
  </si>
  <si>
    <t>WP_009275886.1</t>
  </si>
  <si>
    <t>FQN59_RS17055</t>
  </si>
  <si>
    <t>WP_008779333.1</t>
  </si>
  <si>
    <t>FQN59_RS17060</t>
  </si>
  <si>
    <t>protein adenylyltransferase Fic</t>
  </si>
  <si>
    <t>fic</t>
  </si>
  <si>
    <t>WP_009275887.1</t>
  </si>
  <si>
    <t>FQN59_RS17065</t>
  </si>
  <si>
    <t>WP_010183581.1</t>
  </si>
  <si>
    <t>FQN59_RS17070</t>
  </si>
  <si>
    <t>WP_009275889.1</t>
  </si>
  <si>
    <t>FQN59_RS17075</t>
  </si>
  <si>
    <t>WP_009275890.1</t>
  </si>
  <si>
    <t>FQN59_RS17080</t>
  </si>
  <si>
    <t>WP_009275891.1</t>
  </si>
  <si>
    <t>FQN59_RS17085</t>
  </si>
  <si>
    <t>WP_009275892.1</t>
  </si>
  <si>
    <t>FQN59_RS17090</t>
  </si>
  <si>
    <t>WP_010183576.1</t>
  </si>
  <si>
    <t>FQN59_RS17095</t>
  </si>
  <si>
    <t>WP_009275894.1</t>
  </si>
  <si>
    <t>FQN59_RS17100</t>
  </si>
  <si>
    <t>WP_009275895.1</t>
  </si>
  <si>
    <t>FQN59_RS17105</t>
  </si>
  <si>
    <t>WP_009275896.1</t>
  </si>
  <si>
    <t>FQN59_RS17110</t>
  </si>
  <si>
    <t>glutamine-hydrolyzing GMP synthase</t>
  </si>
  <si>
    <t>guaA</t>
  </si>
  <si>
    <t>WP_005854975.1</t>
  </si>
  <si>
    <t>FQN59_RS17115</t>
  </si>
  <si>
    <t>WP_008773324.1</t>
  </si>
  <si>
    <t>FQN59_RS17120</t>
  </si>
  <si>
    <t>WP_005854980.1</t>
  </si>
  <si>
    <t>FQN59_RS17125</t>
  </si>
  <si>
    <t>16S rRNA (uracil(1498)-N(3))-methyltransferase</t>
  </si>
  <si>
    <t>WP_005854983.1</t>
  </si>
  <si>
    <t>FQN59_RS17130</t>
  </si>
  <si>
    <t>NupC/NupG family nucleoside CNT transporter</t>
  </si>
  <si>
    <t>WP_057327342.1</t>
  </si>
  <si>
    <t>FQN59_RS17135</t>
  </si>
  <si>
    <t>bifunctional nuclease family protein</t>
  </si>
  <si>
    <t>WP_005854990.1</t>
  </si>
  <si>
    <t>FQN59_RS17140</t>
  </si>
  <si>
    <t>WP_233563941.1</t>
  </si>
  <si>
    <t>FQN59_RS22635</t>
  </si>
  <si>
    <t>WP_008773322.1</t>
  </si>
  <si>
    <t>FQN59_RS17150</t>
  </si>
  <si>
    <t>DUF5106 domain-containing protein</t>
  </si>
  <si>
    <t>WP_008780245.1</t>
  </si>
  <si>
    <t>FQN59_RS17155</t>
  </si>
  <si>
    <t>LysR family transcriptional regulator</t>
  </si>
  <si>
    <t>WP_211737473.1</t>
  </si>
  <si>
    <t>FQN59_RS17160</t>
  </si>
  <si>
    <t>YeiH family protein</t>
  </si>
  <si>
    <t>WP_022191709.1</t>
  </si>
  <si>
    <t>FQN59_RS17165</t>
  </si>
  <si>
    <t>transglycosylase domain-containing protein</t>
  </si>
  <si>
    <t>WP_211737475.1</t>
  </si>
  <si>
    <t>FQN59_RS17170</t>
  </si>
  <si>
    <t>glycerol-3-phosphate dehydrogenase/oxidase</t>
  </si>
  <si>
    <t>WP_048928651.1</t>
  </si>
  <si>
    <t>FQN59_RS17175</t>
  </si>
  <si>
    <t>glycerol kinase GlpK</t>
  </si>
  <si>
    <t>glpK</t>
  </si>
  <si>
    <t>WP_048928652.1</t>
  </si>
  <si>
    <t>FQN59_RS17180</t>
  </si>
  <si>
    <t>WP_005855011.1</t>
  </si>
  <si>
    <t>FQN59_RS17185</t>
  </si>
  <si>
    <t>hydrogenase maturation protease</t>
  </si>
  <si>
    <t>WP_196009473.1</t>
  </si>
  <si>
    <t>FQN59_RS17190</t>
  </si>
  <si>
    <t>Ni/Fe-hydrogenase, b-type cytochrome subunit</t>
  </si>
  <si>
    <t>cybH</t>
  </si>
  <si>
    <t>WP_005865039.1</t>
  </si>
  <si>
    <t>FQN59_RS17195</t>
  </si>
  <si>
    <t>nickel-dependent hydrogenase large subunit</t>
  </si>
  <si>
    <t>WP_048928653.1</t>
  </si>
  <si>
    <t>FQN59_RS17200</t>
  </si>
  <si>
    <t>hydrogenase small subunit</t>
  </si>
  <si>
    <t>WP_005865043.1</t>
  </si>
  <si>
    <t>FQN59_RS17205</t>
  </si>
  <si>
    <t>hydrogenase expression/formation protein HypE</t>
  </si>
  <si>
    <t>hypE</t>
  </si>
  <si>
    <t>WP_048928654.1</t>
  </si>
  <si>
    <t>FQN59_RS17210</t>
  </si>
  <si>
    <t>hydrogenase formation protein HypD</t>
  </si>
  <si>
    <t>WP_048928655.1</t>
  </si>
  <si>
    <t>FQN59_RS17215</t>
  </si>
  <si>
    <t>HypC/HybG/HupF family hydrogenase formation chaperone</t>
  </si>
  <si>
    <t>WP_005865048.1</t>
  </si>
  <si>
    <t>FQN59_RS17220</t>
  </si>
  <si>
    <t>carbamoyltransferase HypF</t>
  </si>
  <si>
    <t>hypF</t>
  </si>
  <si>
    <t>WP_122297677.1</t>
  </si>
  <si>
    <t>FQN59_RS17225</t>
  </si>
  <si>
    <t>hydrogenase maturation nickel metallochaperone HypA</t>
  </si>
  <si>
    <t>hypA</t>
  </si>
  <si>
    <t>WP_048928657.1</t>
  </si>
  <si>
    <t>FQN59_RS17230</t>
  </si>
  <si>
    <t>hydrogenase nickel incorporation protein HypB</t>
  </si>
  <si>
    <t>hypB</t>
  </si>
  <si>
    <t>WP_048928658.1</t>
  </si>
  <si>
    <t>FQN59_RS17235</t>
  </si>
  <si>
    <t>acetate--CoA ligase family protein</t>
  </si>
  <si>
    <t>WP_005855031.1</t>
  </si>
  <si>
    <t>FQN59_RS17240</t>
  </si>
  <si>
    <t>recombinase family protein</t>
  </si>
  <si>
    <t>WP_005855033.1</t>
  </si>
  <si>
    <t>FQN59_RS17245</t>
  </si>
  <si>
    <t>FQN59_RS17250</t>
  </si>
  <si>
    <t>endolytic transglycosylase MltG</t>
  </si>
  <si>
    <t>mltG</t>
  </si>
  <si>
    <t>WP_087346848.1</t>
  </si>
  <si>
    <t>FQN59_RS17255</t>
  </si>
  <si>
    <t>thiamine pyrophosphate-dependent enzyme</t>
  </si>
  <si>
    <t>WP_121962815.1</t>
  </si>
  <si>
    <t>FQN59_RS17260</t>
  </si>
  <si>
    <t>indolepyruvate oxidoreductase subunit beta</t>
  </si>
  <si>
    <t>WP_034531934.1</t>
  </si>
  <si>
    <t>FQN59_RS17265</t>
  </si>
  <si>
    <t>TlpA family protein disulfide reductase</t>
  </si>
  <si>
    <t>WP_029257199.1</t>
  </si>
  <si>
    <t>FQN59_RS17270</t>
  </si>
  <si>
    <t>WP_005865064.1</t>
  </si>
  <si>
    <t>FQN59_RS17275</t>
  </si>
  <si>
    <t>alpha-L-rhamnosidase N-terminal domain-containing protein</t>
  </si>
  <si>
    <t>WP_211737477.1</t>
  </si>
  <si>
    <t>FQN59_RS17280</t>
  </si>
  <si>
    <t>bifunctional metallophosphatase/5'-nucleotidase</t>
  </si>
  <si>
    <t>WP_211737479.1</t>
  </si>
  <si>
    <t>FQN59_RS17285</t>
  </si>
  <si>
    <t>FQN59_RS17290</t>
  </si>
  <si>
    <t>FQN59_RS17295</t>
  </si>
  <si>
    <t>FQN59_RS17300</t>
  </si>
  <si>
    <t>FQN59_RS17305</t>
  </si>
  <si>
    <t>FQN59_RS17310</t>
  </si>
  <si>
    <t>FQN59_RS17315</t>
  </si>
  <si>
    <t>WP_122379193.1</t>
  </si>
  <si>
    <t>FQN59_RS17320</t>
  </si>
  <si>
    <t>WP_211737481.1</t>
  </si>
  <si>
    <t>FQN59_RS17325</t>
  </si>
  <si>
    <t>WP_009276233.1</t>
  </si>
  <si>
    <t>FQN59_RS17330</t>
  </si>
  <si>
    <t>WP_009276234.1</t>
  </si>
  <si>
    <t>FQN59_RS17335</t>
  </si>
  <si>
    <t>WP_009276235.1</t>
  </si>
  <si>
    <t>FQN59_RS17340</t>
  </si>
  <si>
    <t>phage/plasmid replication domain-containing protein</t>
  </si>
  <si>
    <t>WP_211737484.1</t>
  </si>
  <si>
    <t>FQN59_RS17345</t>
  </si>
  <si>
    <t>FQN59_RS17350</t>
  </si>
  <si>
    <t>WP_011967093.1</t>
  </si>
  <si>
    <t>FQN59_RS17355</t>
  </si>
  <si>
    <t>WP_211737486.1</t>
  </si>
  <si>
    <t>FQN59_RS17360</t>
  </si>
  <si>
    <t>WP_211737488.1</t>
  </si>
  <si>
    <t>FQN59_RS17365</t>
  </si>
  <si>
    <t>WP_211737490.1</t>
  </si>
  <si>
    <t>FQN59_RS17370</t>
  </si>
  <si>
    <t>WP_211737492.1</t>
  </si>
  <si>
    <t>FQN59_RS17375</t>
  </si>
  <si>
    <t>radical SAM/SPASM domain-containing protein</t>
  </si>
  <si>
    <t>WP_211737494.1</t>
  </si>
  <si>
    <t>FQN59_RS17380</t>
  </si>
  <si>
    <t>WP_211737496.1</t>
  </si>
  <si>
    <t>FQN59_RS17385</t>
  </si>
  <si>
    <t>WP_211737498.1</t>
  </si>
  <si>
    <t>FQN59_RS17390</t>
  </si>
  <si>
    <t>transfer-messenger RNA</t>
  </si>
  <si>
    <t>ssrA</t>
  </si>
  <si>
    <t>other</t>
  </si>
  <si>
    <t>FQN59_RS17395</t>
  </si>
  <si>
    <t>WP_008771615.1</t>
  </si>
  <si>
    <t>FQN59_RS17400</t>
  </si>
  <si>
    <t>WP_005865121.1</t>
  </si>
  <si>
    <t>FQN59_RS17405</t>
  </si>
  <si>
    <t>TRAP transporter substrate-binding protein</t>
  </si>
  <si>
    <t>WP_005855377.1</t>
  </si>
  <si>
    <t>FQN59_RS17410</t>
  </si>
  <si>
    <t>TRAP transporter small permease</t>
  </si>
  <si>
    <t>WP_048927709.1</t>
  </si>
  <si>
    <t>FQN59_RS17415</t>
  </si>
  <si>
    <t>TRAP transporter large permease</t>
  </si>
  <si>
    <t>WP_008780864.1</t>
  </si>
  <si>
    <t>FQN59_RS17420</t>
  </si>
  <si>
    <t>mannonate dehydratase</t>
  </si>
  <si>
    <t>uxuA</t>
  </si>
  <si>
    <t>WP_005855384.1</t>
  </si>
  <si>
    <t>FQN59_RS17425</t>
  </si>
  <si>
    <t>WP_005855387.1</t>
  </si>
  <si>
    <t>FQN59_RS17430</t>
  </si>
  <si>
    <t>LacI family DNA-binding transcriptional regulator</t>
  </si>
  <si>
    <t>WP_122369684.1</t>
  </si>
  <si>
    <t>FQN59_RS17435</t>
  </si>
  <si>
    <t>WP_005865135.1</t>
  </si>
  <si>
    <t>FQN59_RS17440</t>
  </si>
  <si>
    <t>WP_008771622.1</t>
  </si>
  <si>
    <t>FQN59_RS17445</t>
  </si>
  <si>
    <t>WP_005865138.1</t>
  </si>
  <si>
    <t>FQN59_RS17450</t>
  </si>
  <si>
    <t>WP_005865140.1</t>
  </si>
  <si>
    <t>FQN59_RS17455</t>
  </si>
  <si>
    <t>WP_122369682.1</t>
  </si>
  <si>
    <t>FQN59_RS17460</t>
  </si>
  <si>
    <t>WP_122145681.1</t>
  </si>
  <si>
    <t>FQN59_RS17465</t>
  </si>
  <si>
    <t>mdh</t>
  </si>
  <si>
    <t>WP_005855409.1</t>
  </si>
  <si>
    <t>FQN59_RS17470</t>
  </si>
  <si>
    <t>WP_122369680.1</t>
  </si>
  <si>
    <t>FQN59_RS17475</t>
  </si>
  <si>
    <t>WP_057327088.1</t>
  </si>
  <si>
    <t>FQN59_RS17480</t>
  </si>
  <si>
    <t>WP_048927716.1</t>
  </si>
  <si>
    <t>FQN59_RS17485</t>
  </si>
  <si>
    <t>WP_170104864.1</t>
  </si>
  <si>
    <t>FQN59_RS17490</t>
  </si>
  <si>
    <t>class I SAM-dependent rRNA methyltransferase</t>
  </si>
  <si>
    <t>WP_057327090.1</t>
  </si>
  <si>
    <t>FQN59_RS17495</t>
  </si>
  <si>
    <t>WP_005855416.1</t>
  </si>
  <si>
    <t>FQN59_RS17500</t>
  </si>
  <si>
    <t>DUF5063 domain-containing protein</t>
  </si>
  <si>
    <t>WP_005865156.1</t>
  </si>
  <si>
    <t>FQN59_RS17505</t>
  </si>
  <si>
    <t>WP_009017539.1</t>
  </si>
  <si>
    <t>FQN59_RS17510</t>
  </si>
  <si>
    <t>WP_211737500.1</t>
  </si>
  <si>
    <t>FQN59_RS17515</t>
  </si>
  <si>
    <t>FtsK/SpoIIIE family DNA translocase</t>
  </si>
  <si>
    <t>WP_022193092.1</t>
  </si>
  <si>
    <t>FQN59_RS17520</t>
  </si>
  <si>
    <t>LolA family protein</t>
  </si>
  <si>
    <t>WP_121772995.1</t>
  </si>
  <si>
    <t>FQN59_RS17525</t>
  </si>
  <si>
    <t>thioredoxin-disulfide reductase</t>
  </si>
  <si>
    <t>trxB</t>
  </si>
  <si>
    <t>WP_211737503.1</t>
  </si>
  <si>
    <t>FQN59_RS17530</t>
  </si>
  <si>
    <t>WP_211737505.1</t>
  </si>
  <si>
    <t>FQN59_RS17535</t>
  </si>
  <si>
    <t>WP_211737507.1</t>
  </si>
  <si>
    <t>FQN59_RS17540</t>
  </si>
  <si>
    <t>WP_008771636.1</t>
  </si>
  <si>
    <t>FQN59_RS17545</t>
  </si>
  <si>
    <t>WP_122145676.1</t>
  </si>
  <si>
    <t>FQN59_RS17550</t>
  </si>
  <si>
    <t>cation transporter</t>
  </si>
  <si>
    <t>WP_211737509.1</t>
  </si>
  <si>
    <t>FQN59_RS17555</t>
  </si>
  <si>
    <t>WP_005865183.1</t>
  </si>
  <si>
    <t>FQN59_RS17560</t>
  </si>
  <si>
    <t>WP_211737511.1</t>
  </si>
  <si>
    <t>FQN59_RS17565</t>
  </si>
  <si>
    <t>WP_211737514.1</t>
  </si>
  <si>
    <t>FQN59_RS17570</t>
  </si>
  <si>
    <t>WP_211737515.1</t>
  </si>
  <si>
    <t>FQN59_RS17575</t>
  </si>
  <si>
    <t>WP_211737517.1</t>
  </si>
  <si>
    <t>FQN59_RS17580</t>
  </si>
  <si>
    <t>YIP1 family protein</t>
  </si>
  <si>
    <t>WP_005865193.1</t>
  </si>
  <si>
    <t>FQN59_RS17585</t>
  </si>
  <si>
    <t>SsrA-binding protein SmpB</t>
  </si>
  <si>
    <t>smpB</t>
  </si>
  <si>
    <t>WP_005855460.1</t>
  </si>
  <si>
    <t>FQN59_RS17590</t>
  </si>
  <si>
    <t>WP_005855462.1</t>
  </si>
  <si>
    <t>FQN59_RS17595</t>
  </si>
  <si>
    <t>methionine synthase</t>
  </si>
  <si>
    <t>metH</t>
  </si>
  <si>
    <t>WP_211737520.1</t>
  </si>
  <si>
    <t>FQN59_RS17600</t>
  </si>
  <si>
    <t>M81 family metallopeptidase</t>
  </si>
  <si>
    <t>WP_195392935.1</t>
  </si>
  <si>
    <t>FQN59_RS17605</t>
  </si>
  <si>
    <t>WP_211737522.1</t>
  </si>
  <si>
    <t>FQN59_RS17610</t>
  </si>
  <si>
    <t>WP_172618159.1</t>
  </si>
  <si>
    <t>FQN59_RS17615</t>
  </si>
  <si>
    <t>WP_048927729.1</t>
  </si>
  <si>
    <t>FQN59_RS17620</t>
  </si>
  <si>
    <t>transcription termination/antitermination NusG family protein</t>
  </si>
  <si>
    <t>WP_005865210.1</t>
  </si>
  <si>
    <t>FQN59_RS17625</t>
  </si>
  <si>
    <t>WP_048927730.1</t>
  </si>
  <si>
    <t>FQN59_RS17630</t>
  </si>
  <si>
    <t>WP_036613982.1</t>
  </si>
  <si>
    <t>FQN59_RS17635</t>
  </si>
  <si>
    <t>WP_008780890.1</t>
  </si>
  <si>
    <t>FQN59_RS17640</t>
  </si>
  <si>
    <t>WP_005855491.1</t>
  </si>
  <si>
    <t>FQN59_RS17645</t>
  </si>
  <si>
    <t>WP_211737524.1</t>
  </si>
  <si>
    <t>FQN59_RS17650</t>
  </si>
  <si>
    <t>WP_009276273.1</t>
  </si>
  <si>
    <t>FQN59_RS17655</t>
  </si>
  <si>
    <t>O-antigen polysaccharide polymerase Wzy family protein</t>
  </si>
  <si>
    <t>WP_211737526.1</t>
  </si>
  <si>
    <t>FQN59_RS17660</t>
  </si>
  <si>
    <t>WP_009276275.1</t>
  </si>
  <si>
    <t>FQN59_RS17665</t>
  </si>
  <si>
    <t>WP_009276276.1</t>
  </si>
  <si>
    <t>FQN59_RS17670</t>
  </si>
  <si>
    <t>WP_226766751.1</t>
  </si>
  <si>
    <t>FQN59_RS17675</t>
  </si>
  <si>
    <t>WP_009276278.1</t>
  </si>
  <si>
    <t>FQN59_RS17680</t>
  </si>
  <si>
    <t>WP_009276279.1</t>
  </si>
  <si>
    <t>FQN59_RS17685</t>
  </si>
  <si>
    <t>WP_211737528.1</t>
  </si>
  <si>
    <t>FQN59_RS17690</t>
  </si>
  <si>
    <t>DUF3810 domain-containing protein</t>
  </si>
  <si>
    <t>WP_211737530.1</t>
  </si>
  <si>
    <t>FQN59_RS17695</t>
  </si>
  <si>
    <t>WP_211737532.1</t>
  </si>
  <si>
    <t>FQN59_RS17700</t>
  </si>
  <si>
    <t>isoleucine--tRNA ligase</t>
  </si>
  <si>
    <t>ileS</t>
  </si>
  <si>
    <t>WP_211737534.1</t>
  </si>
  <si>
    <t>FQN59_RS17705</t>
  </si>
  <si>
    <t>TraR/DksA family transcriptional regulator</t>
  </si>
  <si>
    <t>WP_005855535.1</t>
  </si>
  <si>
    <t>FQN59_RS17710</t>
  </si>
  <si>
    <t>lipoprotein signal peptidase</t>
  </si>
  <si>
    <t>WP_005865261.1</t>
  </si>
  <si>
    <t>FQN59_RS17715</t>
  </si>
  <si>
    <t>DUF4296 domain-containing protein</t>
  </si>
  <si>
    <t>WP_008778515.1</t>
  </si>
  <si>
    <t>FQN59_RS17720</t>
  </si>
  <si>
    <t>TrmH family RNA methyltransferase</t>
  </si>
  <si>
    <t>WP_005855539.1</t>
  </si>
  <si>
    <t>FQN59_RS17725</t>
  </si>
  <si>
    <t>WP_005865267.1</t>
  </si>
  <si>
    <t>FQN59_RS17730</t>
  </si>
  <si>
    <t>FQN59_RS17735</t>
  </si>
  <si>
    <t>WP_008771664.1</t>
  </si>
  <si>
    <t>FQN59_RS17740</t>
  </si>
  <si>
    <t>YfcC family protein</t>
  </si>
  <si>
    <t>WP_211737536.1</t>
  </si>
  <si>
    <t>FQN59_RS17745</t>
  </si>
  <si>
    <t>DNA recombination protein RmuC</t>
  </si>
  <si>
    <t>WP_057319752.1</t>
  </si>
  <si>
    <t>FQN59_RS17750</t>
  </si>
  <si>
    <t>thiol peroxidase</t>
  </si>
  <si>
    <t>tpx</t>
  </si>
  <si>
    <t>WP_005865275.1</t>
  </si>
  <si>
    <t>FQN59_RS17755</t>
  </si>
  <si>
    <t>WP_005865277.1</t>
  </si>
  <si>
    <t>FQN59_RS17760</t>
  </si>
  <si>
    <t>WP_211737538.1</t>
  </si>
  <si>
    <t>FQN59_RS17765</t>
  </si>
  <si>
    <t>WP_036613417.1</t>
  </si>
  <si>
    <t>FQN59_RS17770</t>
  </si>
  <si>
    <t>WP_008771670.1</t>
  </si>
  <si>
    <t>FQN59_RS17775</t>
  </si>
  <si>
    <t>WP_211737541.1</t>
  </si>
  <si>
    <t>FQN59_RS17780</t>
  </si>
  <si>
    <t>acyl-CoA dehydrogenase family protein</t>
  </si>
  <si>
    <t>WP_048927739.1</t>
  </si>
  <si>
    <t>FQN59_RS17785</t>
  </si>
  <si>
    <t>electron transfer flavoprotein subunit alpha/FixB family protein</t>
  </si>
  <si>
    <t>WP_087346086.1</t>
  </si>
  <si>
    <t>FQN59_RS17790</t>
  </si>
  <si>
    <t>electron transfer flavoprotein subunit beta/FixA family protein</t>
  </si>
  <si>
    <t>WP_122378966.1</t>
  </si>
  <si>
    <t>FQN59_RS17795</t>
  </si>
  <si>
    <t>WP_211737542.1</t>
  </si>
  <si>
    <t>FQN59_RS17800</t>
  </si>
  <si>
    <t>WP_008778512.1</t>
  </si>
  <si>
    <t>FQN59_RS17805</t>
  </si>
  <si>
    <t>aminomethyl-transferring glycine dehydrogenase</t>
  </si>
  <si>
    <t>gcvP</t>
  </si>
  <si>
    <t>WP_057327316.1</t>
  </si>
  <si>
    <t>FQN59_RS17810</t>
  </si>
  <si>
    <t>WP_044545423.1</t>
  </si>
  <si>
    <t>FQN59_RS17815</t>
  </si>
  <si>
    <t>16S rRNA (guanine(527)-N(7))-methyltransferase RsmG</t>
  </si>
  <si>
    <t>rsmG</t>
  </si>
  <si>
    <t>WP_182318880.1</t>
  </si>
  <si>
    <t>FQN59_RS17820</t>
  </si>
  <si>
    <t>DUF3298 and DUF4163 domain-containing protein</t>
  </si>
  <si>
    <t>WP_005855566.1</t>
  </si>
  <si>
    <t>FQN59_RS17825</t>
  </si>
  <si>
    <t>WP_005865304.1</t>
  </si>
  <si>
    <t>FQN59_RS17830</t>
  </si>
  <si>
    <t>WP_227793693.1</t>
  </si>
  <si>
    <t>FQN59_RS22640</t>
  </si>
  <si>
    <t>WP_057327186.1</t>
  </si>
  <si>
    <t>FQN59_RS17840</t>
  </si>
  <si>
    <t>WP_009276293.1</t>
  </si>
  <si>
    <t>FQN59_RS17845</t>
  </si>
  <si>
    <t>DUF4290 domain-containing protein</t>
  </si>
  <si>
    <t>WP_005855584.1</t>
  </si>
  <si>
    <t>FQN59_RS17850</t>
  </si>
  <si>
    <t>UDP-N-acetylglucosamine 1-carboxyvinyltransferase</t>
  </si>
  <si>
    <t>murA</t>
  </si>
  <si>
    <t>WP_005855586.1</t>
  </si>
  <si>
    <t>FQN59_RS17855</t>
  </si>
  <si>
    <t>ribosome maturation factor RimM</t>
  </si>
  <si>
    <t>rimM</t>
  </si>
  <si>
    <t>WP_005865312.1</t>
  </si>
  <si>
    <t>FQN59_RS17860</t>
  </si>
  <si>
    <t>WP_122378967.1</t>
  </si>
  <si>
    <t>FQN59_RS17865</t>
  </si>
  <si>
    <t>1-deoxy-D-xylulose-5-phosphate reductoisomerase</t>
  </si>
  <si>
    <t>WP_158532482.1</t>
  </si>
  <si>
    <t>FQN59_RS17870</t>
  </si>
  <si>
    <t>RIP metalloprotease RseP</t>
  </si>
  <si>
    <t>rseP</t>
  </si>
  <si>
    <t>WP_158532481.1</t>
  </si>
  <si>
    <t>FQN59_RS17875</t>
  </si>
  <si>
    <t>WP_005855602.1</t>
  </si>
  <si>
    <t>FQN59_RS17880</t>
  </si>
  <si>
    <t>ald</t>
  </si>
  <si>
    <t>WP_005865321.1</t>
  </si>
  <si>
    <t>FQN59_RS17885</t>
  </si>
  <si>
    <t>preprotein translocase subunit SecA</t>
  </si>
  <si>
    <t>secA</t>
  </si>
  <si>
    <t>WP_005855607.1</t>
  </si>
  <si>
    <t>FQN59_RS17890</t>
  </si>
  <si>
    <t>alkaline phosphatase family protein</t>
  </si>
  <si>
    <t>WP_121773019.1</t>
  </si>
  <si>
    <t>FQN59_RS17895</t>
  </si>
  <si>
    <t>DUF4105 domain-containing protein</t>
  </si>
  <si>
    <t>WP_122144503.1</t>
  </si>
  <si>
    <t>FQN59_RS17900</t>
  </si>
  <si>
    <t>FQN59_RS17905</t>
  </si>
  <si>
    <t>acetylglutamate kinase</t>
  </si>
  <si>
    <t>argB</t>
  </si>
  <si>
    <t>WP_036651497.1</t>
  </si>
  <si>
    <t>FQN59_RS17910</t>
  </si>
  <si>
    <t>WP_008771694.1</t>
  </si>
  <si>
    <t>FQN59_RS17915</t>
  </si>
  <si>
    <t>WP_211737545.1</t>
  </si>
  <si>
    <t>FQN59_RS17920</t>
  </si>
  <si>
    <t>WP_057327194.1</t>
  </si>
  <si>
    <t>FQN59_RS17925</t>
  </si>
  <si>
    <t>ATP-binding cassette domain-containing protein</t>
  </si>
  <si>
    <t>WP_008778506.1</t>
  </si>
  <si>
    <t>FQN59_RS17930</t>
  </si>
  <si>
    <t>WP_211737547.1</t>
  </si>
  <si>
    <t>FQN59_RS17935</t>
  </si>
  <si>
    <t>WP_087346132.1</t>
  </si>
  <si>
    <t>FQN59_RS17940</t>
  </si>
  <si>
    <t>WP_008778503.1</t>
  </si>
  <si>
    <t>FQN59_RS17945</t>
  </si>
  <si>
    <t>WP_005865342.1</t>
  </si>
  <si>
    <t>FQN59_RS17950</t>
  </si>
  <si>
    <t>lipid-binding protein</t>
  </si>
  <si>
    <t>WP_008771702.1</t>
  </si>
  <si>
    <t>FQN59_RS17955</t>
  </si>
  <si>
    <t>WP_005865347.1</t>
  </si>
  <si>
    <t>FQN59_RS17960</t>
  </si>
  <si>
    <t>WP_211737549.1</t>
  </si>
  <si>
    <t>FQN59_RS17965</t>
  </si>
  <si>
    <t>WP_005865351.1</t>
  </si>
  <si>
    <t>FQN59_RS17970</t>
  </si>
  <si>
    <t>WP_211737551.1</t>
  </si>
  <si>
    <t>FQN59_RS17975</t>
  </si>
  <si>
    <t>WP_008778500.1</t>
  </si>
  <si>
    <t>FQN59_RS17980</t>
  </si>
  <si>
    <t>replication-associated recombination protein A</t>
  </si>
  <si>
    <t>WP_005865358.1</t>
  </si>
  <si>
    <t>FQN59_RS17985</t>
  </si>
  <si>
    <t>3-phosphoserine/phosphohydroxythreonine transaminase</t>
  </si>
  <si>
    <t>serC</t>
  </si>
  <si>
    <t>WP_005855647.1</t>
  </si>
  <si>
    <t>FQN59_RS17990</t>
  </si>
  <si>
    <t>NAD(P)-dependent oxidoreductase</t>
  </si>
  <si>
    <t>WP_005855649.1</t>
  </si>
  <si>
    <t>FQN59_RS17995</t>
  </si>
  <si>
    <t>DUF1015 domain-containing protein</t>
  </si>
  <si>
    <t>WP_005865361.1</t>
  </si>
  <si>
    <t>FQN59_RS18000</t>
  </si>
  <si>
    <t>WP_005865363.1</t>
  </si>
  <si>
    <t>FQN59_RS18005</t>
  </si>
  <si>
    <t>FQN59_RS18010</t>
  </si>
  <si>
    <t>UDP-glucose 4-epimerase GalE</t>
  </si>
  <si>
    <t>galE</t>
  </si>
  <si>
    <t>WP_005855657.1</t>
  </si>
  <si>
    <t>FQN59_RS18015</t>
  </si>
  <si>
    <t>electron transport complex subunit RsxA</t>
  </si>
  <si>
    <t>rsxA</t>
  </si>
  <si>
    <t>WP_005855659.1</t>
  </si>
  <si>
    <t>FQN59_RS18020</t>
  </si>
  <si>
    <t>RnfABCDGE type electron transport complex subunit E</t>
  </si>
  <si>
    <t>WP_005865370.1</t>
  </si>
  <si>
    <t>FQN59_RS18025</t>
  </si>
  <si>
    <t>RnfABCDGE type electron transport complex subunit G</t>
  </si>
  <si>
    <t>WP_008771710.1</t>
  </si>
  <si>
    <t>FQN59_RS18030</t>
  </si>
  <si>
    <t>RnfABCDGE type electron transport complex subunit D</t>
  </si>
  <si>
    <t>WP_005855664.1</t>
  </si>
  <si>
    <t>FQN59_RS18035</t>
  </si>
  <si>
    <t>electron transport complex subunit RsxC</t>
  </si>
  <si>
    <t>rsxC</t>
  </si>
  <si>
    <t>WP_172514326.1</t>
  </si>
  <si>
    <t>FQN59_RS18040</t>
  </si>
  <si>
    <t>Fe-S cluster domain-containing protein</t>
  </si>
  <si>
    <t>WP_172514325.1</t>
  </si>
  <si>
    <t>FQN59_RS18045</t>
  </si>
  <si>
    <t>SoxR reducing system RseC family protein</t>
  </si>
  <si>
    <t>WP_005865376.1</t>
  </si>
  <si>
    <t>FQN59_RS18050</t>
  </si>
  <si>
    <t>DUF3078 domain-containing protein</t>
  </si>
  <si>
    <t>WP_008778497.1</t>
  </si>
  <si>
    <t>FQN59_RS18055</t>
  </si>
  <si>
    <t>CTP synthase</t>
  </si>
  <si>
    <t>WP_005865380.1</t>
  </si>
  <si>
    <t>FQN59_RS18060</t>
  </si>
  <si>
    <t>membrane protein insertase YidC</t>
  </si>
  <si>
    <t>yidC</t>
  </si>
  <si>
    <t>WP_211737553.1</t>
  </si>
  <si>
    <t>FQN59_RS18065</t>
  </si>
  <si>
    <t>WP_122380662.1</t>
  </si>
  <si>
    <t>FQN59_RS18070</t>
  </si>
  <si>
    <t>3-deoxy-manno-octulosonate cytidylyltransferase</t>
  </si>
  <si>
    <t>kdsB</t>
  </si>
  <si>
    <t>WP_195320069.1</t>
  </si>
  <si>
    <t>FQN59_RS18075</t>
  </si>
  <si>
    <t>WP_121962410.1</t>
  </si>
  <si>
    <t>FQN59_RS18080</t>
  </si>
  <si>
    <t>WP_005855682.1</t>
  </si>
  <si>
    <t>FQN59_RS18085</t>
  </si>
  <si>
    <t>WP_211737556.1</t>
  </si>
  <si>
    <t>FQN59_RS18090</t>
  </si>
  <si>
    <t>FQN59_RS18095</t>
  </si>
  <si>
    <t>WP_005855686.1</t>
  </si>
  <si>
    <t>FQN59_RS18100</t>
  </si>
  <si>
    <t>WP_005855687.1</t>
  </si>
  <si>
    <t>FQN59_RS18105</t>
  </si>
  <si>
    <t>monofunctional biosynthetic peptidoglycan transglycosylase</t>
  </si>
  <si>
    <t>mtgA</t>
  </si>
  <si>
    <t>WP_008771719.1</t>
  </si>
  <si>
    <t>FQN59_RS18110</t>
  </si>
  <si>
    <t>lipoyl(octanoyl) transferase LipB</t>
  </si>
  <si>
    <t>lipB</t>
  </si>
  <si>
    <t>WP_087346747.1</t>
  </si>
  <si>
    <t>FQN59_RS18115</t>
  </si>
  <si>
    <t>tRNA-dihydrouridine synthase family protein</t>
  </si>
  <si>
    <t>WP_211737557.1</t>
  </si>
  <si>
    <t>FQN59_RS18120</t>
  </si>
  <si>
    <t>WP_211737559.1</t>
  </si>
  <si>
    <t>FQN59_RS18125</t>
  </si>
  <si>
    <t>tRNA (adenosine(37)-N6)-threonylcarbamoyltransferase complex transferase subunit TsaD</t>
  </si>
  <si>
    <t>tsaD</t>
  </si>
  <si>
    <t>WP_008780953.1</t>
  </si>
  <si>
    <t>FQN59_RS18130</t>
  </si>
  <si>
    <t>CinA family protein</t>
  </si>
  <si>
    <t>WP_081024263.1</t>
  </si>
  <si>
    <t>FQN59_RS18135</t>
  </si>
  <si>
    <t>WP_211737561.1</t>
  </si>
  <si>
    <t>FQN59_RS18140</t>
  </si>
  <si>
    <t>WP_211737563.1</t>
  </si>
  <si>
    <t>FQN59_RS18145</t>
  </si>
  <si>
    <t>WP_122246768.1</t>
  </si>
  <si>
    <t>FQN59_RS18150</t>
  </si>
  <si>
    <t>WP_122246769.1</t>
  </si>
  <si>
    <t>FQN59_RS18155</t>
  </si>
  <si>
    <t>NlpC/P60 family protein</t>
  </si>
  <si>
    <t>WP_005865414.1</t>
  </si>
  <si>
    <t>FQN59_RS18160</t>
  </si>
  <si>
    <t>serine--tRNA ligase</t>
  </si>
  <si>
    <t>serS</t>
  </si>
  <si>
    <t>WP_009276314.1</t>
  </si>
  <si>
    <t>FQN59_RS18165</t>
  </si>
  <si>
    <t>WP_057327154.1</t>
  </si>
  <si>
    <t>FQN59_RS18170</t>
  </si>
  <si>
    <t>WP_005855716.1</t>
  </si>
  <si>
    <t>FQN59_RS18175</t>
  </si>
  <si>
    <t>dihydroorotate dehydrogenase-like protein</t>
  </si>
  <si>
    <t>WP_005855718.1</t>
  </si>
  <si>
    <t>FQN59_RS18180</t>
  </si>
  <si>
    <t>YggS family pyridoxal phosphate-dependent enzyme</t>
  </si>
  <si>
    <t>WP_022193158.1</t>
  </si>
  <si>
    <t>FQN59_RS18185</t>
  </si>
  <si>
    <t>DUF4494 domain-containing protein</t>
  </si>
  <si>
    <t>WP_005855722.1</t>
  </si>
  <si>
    <t>FQN59_RS18190</t>
  </si>
  <si>
    <t>WP_211737565.1</t>
  </si>
  <si>
    <t>FQN59_RS18195</t>
  </si>
  <si>
    <t>WP_211737567.1</t>
  </si>
  <si>
    <t>FQN59_RS18200</t>
  </si>
  <si>
    <t>WP_428846731.1</t>
  </si>
  <si>
    <t>FQN59_RS18205</t>
  </si>
  <si>
    <t>WP_036650939.1</t>
  </si>
  <si>
    <t>FQN59_RS18210</t>
  </si>
  <si>
    <t>WP_008778242.1</t>
  </si>
  <si>
    <t>FQN59_RS18215</t>
  </si>
  <si>
    <t>FQN59_RS18220</t>
  </si>
  <si>
    <t>WP_005855743.1</t>
  </si>
  <si>
    <t>FQN59_RS18225</t>
  </si>
  <si>
    <t>WP_005855745.1</t>
  </si>
  <si>
    <t>FQN59_RS18230</t>
  </si>
  <si>
    <t>WP_044546484.1</t>
  </si>
  <si>
    <t>FQN59_RS18235</t>
  </si>
  <si>
    <t>WP_005855750.1</t>
  </si>
  <si>
    <t>FQN59_RS18240</t>
  </si>
  <si>
    <t>WP_005855752.1</t>
  </si>
  <si>
    <t>FQN59_RS18245</t>
  </si>
  <si>
    <t>WP_005855753.1</t>
  </si>
  <si>
    <t>FQN59_RS18250</t>
  </si>
  <si>
    <t>WP_005855755.1</t>
  </si>
  <si>
    <t>FQN59_RS18255</t>
  </si>
  <si>
    <t>sugar 3,4-ketoisomerase</t>
  </si>
  <si>
    <t>WP_211737569.1</t>
  </si>
  <si>
    <t>FQN59_RS18260</t>
  </si>
  <si>
    <t>WP_211737571.1</t>
  </si>
  <si>
    <t>FQN59_RS18265</t>
  </si>
  <si>
    <t>WP_121772588.1</t>
  </si>
  <si>
    <t>FQN59_RS18270</t>
  </si>
  <si>
    <t>formyltransferase family protein</t>
  </si>
  <si>
    <t>WP_196007258.1</t>
  </si>
  <si>
    <t>FQN59_RS18275</t>
  </si>
  <si>
    <t>WP_121772586.1</t>
  </si>
  <si>
    <t>FQN59_RS18280</t>
  </si>
  <si>
    <t>O-antigen translocase</t>
  </si>
  <si>
    <t>WP_211737574.1</t>
  </si>
  <si>
    <t>FQN59_RS18285</t>
  </si>
  <si>
    <t>WP_211737576.1</t>
  </si>
  <si>
    <t>FQN59_RS18290</t>
  </si>
  <si>
    <t>WP_211737577.1</t>
  </si>
  <si>
    <t>FQN59_RS18295</t>
  </si>
  <si>
    <t>WP_211737579.1</t>
  </si>
  <si>
    <t>FQN59_RS18300</t>
  </si>
  <si>
    <t>WP_121772581.1</t>
  </si>
  <si>
    <t>FQN59_RS18305</t>
  </si>
  <si>
    <t>WP_211737581.1</t>
  </si>
  <si>
    <t>FQN59_RS18310</t>
  </si>
  <si>
    <t>alginate lyase family protein</t>
  </si>
  <si>
    <t>WP_211737583.1</t>
  </si>
  <si>
    <t>FQN59_RS18315</t>
  </si>
  <si>
    <t>UDP-N-acetyl-D-mannosamine dehydrogenase</t>
  </si>
  <si>
    <t>wecC</t>
  </si>
  <si>
    <t>WP_211737585.1</t>
  </si>
  <si>
    <t>FQN59_RS18320</t>
  </si>
  <si>
    <t>WP_211737586.1</t>
  </si>
  <si>
    <t>FQN59_RS18325</t>
  </si>
  <si>
    <t>WP_146375442.1</t>
  </si>
  <si>
    <t>FQN59_RS18330</t>
  </si>
  <si>
    <t>nucleoside-diphosphate kinase</t>
  </si>
  <si>
    <t>ndk</t>
  </si>
  <si>
    <t>WP_005867972.1</t>
  </si>
  <si>
    <t>FQN59_RS18335</t>
  </si>
  <si>
    <t>master DNA invertase Mpi family serine-type recombinase</t>
  </si>
  <si>
    <t>WP_005867974.1</t>
  </si>
  <si>
    <t>FQN59_RS18340</t>
  </si>
  <si>
    <t>bifunctional fucokinase/fucose-1-phosphate guanylyltransferase</t>
  </si>
  <si>
    <t>WP_249222464.1</t>
  </si>
  <si>
    <t>FQN59_RS18345</t>
  </si>
  <si>
    <t>WP_211737590.1</t>
  </si>
  <si>
    <t>FQN59_RS18350</t>
  </si>
  <si>
    <t>DNA polymerase IV</t>
  </si>
  <si>
    <t>dinB</t>
  </si>
  <si>
    <t>WP_270620512.1</t>
  </si>
  <si>
    <t>FQN59_RS18355</t>
  </si>
  <si>
    <t>WP_211737594.1</t>
  </si>
  <si>
    <t>FQN59_RS18360</t>
  </si>
  <si>
    <t>WP_005855801.1</t>
  </si>
  <si>
    <t>FQN59_RS18365</t>
  </si>
  <si>
    <t>WP_122369175.1</t>
  </si>
  <si>
    <t>FQN59_RS18370</t>
  </si>
  <si>
    <t>WP_005867986.1</t>
  </si>
  <si>
    <t>FQN59_RS18375</t>
  </si>
  <si>
    <t>WP_005867987.1</t>
  </si>
  <si>
    <t>FQN59_RS18380</t>
  </si>
  <si>
    <t>WP_005867989.1</t>
  </si>
  <si>
    <t>FQN59_RS18385</t>
  </si>
  <si>
    <t>nucleotidyltransferase</t>
  </si>
  <si>
    <t>WP_036613659.1</t>
  </si>
  <si>
    <t>FQN59_RS18390</t>
  </si>
  <si>
    <t>alpha-N-arabinofuranosidase</t>
  </si>
  <si>
    <t>WP_005855809.1</t>
  </si>
  <si>
    <t>FQN59_RS18395</t>
  </si>
  <si>
    <t>M13 family metallopeptidase</t>
  </si>
  <si>
    <t>WP_048928262.1</t>
  </si>
  <si>
    <t>FQN59_RS18400</t>
  </si>
  <si>
    <t>alpha-galactosidase D</t>
  </si>
  <si>
    <t>WP_048928263.1</t>
  </si>
  <si>
    <t>FQN59_RS18405</t>
  </si>
  <si>
    <t>WP_008778253.1</t>
  </si>
  <si>
    <t>FQN59_RS18410</t>
  </si>
  <si>
    <t>WP_005855817.1</t>
  </si>
  <si>
    <t>FQN59_RS18415</t>
  </si>
  <si>
    <t>SusE domain-containing protein</t>
  </si>
  <si>
    <t>WP_211737596.1</t>
  </si>
  <si>
    <t>FQN59_RS18420</t>
  </si>
  <si>
    <t>WP_005867993.1</t>
  </si>
  <si>
    <t>FQN59_RS18425</t>
  </si>
  <si>
    <t>WP_211737598.1</t>
  </si>
  <si>
    <t>FQN59_RS18430</t>
  </si>
  <si>
    <t>WP_154396326.1</t>
  </si>
  <si>
    <t>FQN59_RS18435</t>
  </si>
  <si>
    <t>WP_211737599.1</t>
  </si>
  <si>
    <t>FQN59_RS18440</t>
  </si>
  <si>
    <t>WP_005855829.1</t>
  </si>
  <si>
    <t>FQN59_RS18445</t>
  </si>
  <si>
    <t>WP_005867997.1</t>
  </si>
  <si>
    <t>FQN59_RS18450</t>
  </si>
  <si>
    <t>1,4-dihydroxy-2-naphthoate polyprenyltransferase</t>
  </si>
  <si>
    <t>WP_122144621.1</t>
  </si>
  <si>
    <t>FQN59_RS18455</t>
  </si>
  <si>
    <t>WP_195283875.1</t>
  </si>
  <si>
    <t>FQN59_RS18460</t>
  </si>
  <si>
    <t>WP_083790429.1</t>
  </si>
  <si>
    <t>FQN59_RS18465</t>
  </si>
  <si>
    <t>DJ-1 family glyoxalase III</t>
  </si>
  <si>
    <t>WP_195283876.1</t>
  </si>
  <si>
    <t>FQN59_RS18470</t>
  </si>
  <si>
    <t>energy transducer TonB family protein</t>
  </si>
  <si>
    <t>WP_122297590.1</t>
  </si>
  <si>
    <t>FQN59_RS18475</t>
  </si>
  <si>
    <t>WP_005855860.1</t>
  </si>
  <si>
    <t>FQN59_RS18480</t>
  </si>
  <si>
    <t>WP_005855862.1</t>
  </si>
  <si>
    <t>FQN59_RS18485</t>
  </si>
  <si>
    <t>pyridoxine 5'-phosphate synthase</t>
  </si>
  <si>
    <t>WP_008771766.1</t>
  </si>
  <si>
    <t>FQN59_RS18490</t>
  </si>
  <si>
    <t>CBS domain-containing protein</t>
  </si>
  <si>
    <t>WP_008771767.1</t>
  </si>
  <si>
    <t>FQN59_RS18495</t>
  </si>
  <si>
    <t>NAD kinase</t>
  </si>
  <si>
    <t>WP_005855867.1</t>
  </si>
  <si>
    <t>FQN59_RS18500</t>
  </si>
  <si>
    <t>WP_211737601.1</t>
  </si>
  <si>
    <t>FQN59_RS18505</t>
  </si>
  <si>
    <t>WP_005868012.1</t>
  </si>
  <si>
    <t>FQN59_RS18510</t>
  </si>
  <si>
    <t>WP_005855873.1</t>
  </si>
  <si>
    <t>FQN59_RS18515</t>
  </si>
  <si>
    <t>WP_211737603.1</t>
  </si>
  <si>
    <t>FQN59_RS18520</t>
  </si>
  <si>
    <t>FHA domain-containing protein</t>
  </si>
  <si>
    <t>WP_005868017.1</t>
  </si>
  <si>
    <t>FQN59_RS18525</t>
  </si>
  <si>
    <t>WP_057318860.1</t>
  </si>
  <si>
    <t>FQN59_RS18530</t>
  </si>
  <si>
    <t>WP_005855881.1</t>
  </si>
  <si>
    <t>FQN59_RS18535</t>
  </si>
  <si>
    <t>WP_009276350.1</t>
  </si>
  <si>
    <t>FQN59_RS18540</t>
  </si>
  <si>
    <t>WP_022191786.1</t>
  </si>
  <si>
    <t>FQN59_RS18545</t>
  </si>
  <si>
    <t>WP_211737605.1</t>
  </si>
  <si>
    <t>FQN59_RS18550</t>
  </si>
  <si>
    <t>WP_211737607.1</t>
  </si>
  <si>
    <t>FQN59_RS18555</t>
  </si>
  <si>
    <t>tetratricopeptide repeat-containing S1 family peptidase</t>
  </si>
  <si>
    <t>WP_048928268.1</t>
  </si>
  <si>
    <t>FQN59_RS18560</t>
  </si>
  <si>
    <t>phosphatase</t>
  </si>
  <si>
    <t>WP_211737609.1</t>
  </si>
  <si>
    <t>FQN59_RS18565</t>
  </si>
  <si>
    <t>ribosomal protection-like ABC-F family protein</t>
  </si>
  <si>
    <t>abc-f</t>
  </si>
  <si>
    <t>WP_211737611.1</t>
  </si>
  <si>
    <t>FQN59_RS18570</t>
  </si>
  <si>
    <t>copper resistance protein NlpE</t>
  </si>
  <si>
    <t>WP_005868028.1</t>
  </si>
  <si>
    <t>FQN59_RS18575</t>
  </si>
  <si>
    <t>DUF4250 domain-containing protein</t>
  </si>
  <si>
    <t>WP_005855899.1</t>
  </si>
  <si>
    <t>FQN59_RS18580</t>
  </si>
  <si>
    <t>WP_211737613.1</t>
  </si>
  <si>
    <t>FQN59_RS18585</t>
  </si>
  <si>
    <t>GGGtGRT protein</t>
  </si>
  <si>
    <t>WP_005855903.1</t>
  </si>
  <si>
    <t>FQN59_RS18590</t>
  </si>
  <si>
    <t>WP_005855905.1</t>
  </si>
  <si>
    <t>FQN59_RS18595</t>
  </si>
  <si>
    <t>iron-sulfur cluster assembly scaffold protein</t>
  </si>
  <si>
    <t>WP_005855907.1</t>
  </si>
  <si>
    <t>FQN59_RS18600</t>
  </si>
  <si>
    <t>alkyl/aryl-sulfatase</t>
  </si>
  <si>
    <t>WP_211737615.1</t>
  </si>
  <si>
    <t>FQN59_RS18605</t>
  </si>
  <si>
    <t>OsmC family protein</t>
  </si>
  <si>
    <t>WP_005855911.1</t>
  </si>
  <si>
    <t>FQN59_RS18610</t>
  </si>
  <si>
    <t>WP_211737617.1</t>
  </si>
  <si>
    <t>FQN59_RS18615</t>
  </si>
  <si>
    <t>WP_211737619.1</t>
  </si>
  <si>
    <t>FQN59_RS18620</t>
  </si>
  <si>
    <t>peptidase M26</t>
  </si>
  <si>
    <t>WP_211737621.1</t>
  </si>
  <si>
    <t>FQN59_RS18625</t>
  </si>
  <si>
    <t>WP_005868045.1</t>
  </si>
  <si>
    <t>FQN59_RS18630</t>
  </si>
  <si>
    <t>diphosphate--fructose-6-phosphate 1-phosphotransferase</t>
  </si>
  <si>
    <t>WP_005855923.1</t>
  </si>
  <si>
    <t>FQN59_RS18635</t>
  </si>
  <si>
    <t>beta-galactosidase</t>
  </si>
  <si>
    <t>WP_416339357.1</t>
  </si>
  <si>
    <t>FQN59_RS18640</t>
  </si>
  <si>
    <t>FQN59_RS18645</t>
  </si>
  <si>
    <t>WP_057326660.1</t>
  </si>
  <si>
    <t>FQN59_RS18650</t>
  </si>
  <si>
    <t>WP_005868052.1</t>
  </si>
  <si>
    <t>FQN59_RS18655</t>
  </si>
  <si>
    <t>WP_005868054.1</t>
  </si>
  <si>
    <t>FQN59_RS18660</t>
  </si>
  <si>
    <t>WP_122297597.1</t>
  </si>
  <si>
    <t>FQN59_RS18665</t>
  </si>
  <si>
    <t>WP_005868058.1</t>
  </si>
  <si>
    <t>FQN59_RS18670</t>
  </si>
  <si>
    <t>WP_229105743.1</t>
  </si>
  <si>
    <t>FQN59_RS18675</t>
  </si>
  <si>
    <t>WP_005868062.1</t>
  </si>
  <si>
    <t>FQN59_RS18680</t>
  </si>
  <si>
    <t>WP_005868064.1</t>
  </si>
  <si>
    <t>FQN59_RS18685</t>
  </si>
  <si>
    <t>WP_005868065.1</t>
  </si>
  <si>
    <t>FQN59_RS18690</t>
  </si>
  <si>
    <t>DUF6922 domain-containing protein</t>
  </si>
  <si>
    <t>WP_005868066.1</t>
  </si>
  <si>
    <t>FQN59_RS18695</t>
  </si>
  <si>
    <t>WP_005868067.1</t>
  </si>
  <si>
    <t>FQN59_RS18700</t>
  </si>
  <si>
    <t>WP_048928277.1</t>
  </si>
  <si>
    <t>FQN59_RS18705</t>
  </si>
  <si>
    <t>WP_048928278.1</t>
  </si>
  <si>
    <t>FQN59_RS18710</t>
  </si>
  <si>
    <t>WP_211737625.1</t>
  </si>
  <si>
    <t>FQN59_RS18715</t>
  </si>
  <si>
    <t>WP_005868069.1</t>
  </si>
  <si>
    <t>FQN59_RS18720</t>
  </si>
  <si>
    <t>WP_122377527.1</t>
  </si>
  <si>
    <t>FQN59_RS18725</t>
  </si>
  <si>
    <t>WP_008780321.1</t>
  </si>
  <si>
    <t>FQN59_RS18730</t>
  </si>
  <si>
    <t>WP_211737627.1</t>
  </si>
  <si>
    <t>FQN59_RS18735</t>
  </si>
  <si>
    <t>WP_005868073.1</t>
  </si>
  <si>
    <t>FQN59_RS18740</t>
  </si>
  <si>
    <t>WP_008778261.1</t>
  </si>
  <si>
    <t>FQN59_RS18745</t>
  </si>
  <si>
    <t>threonine aldolase family protein</t>
  </si>
  <si>
    <t>WP_005868076.1</t>
  </si>
  <si>
    <t>FQN59_RS18750</t>
  </si>
  <si>
    <t>WP_211737629.1</t>
  </si>
  <si>
    <t>FQN59_RS18755</t>
  </si>
  <si>
    <t>nucleobase:cation symporter-2 family protein</t>
  </si>
  <si>
    <t>WP_195301143.1</t>
  </si>
  <si>
    <t>FQN59_RS18760</t>
  </si>
  <si>
    <t>xanthine phosphoribosyltransferase</t>
  </si>
  <si>
    <t>xpt</t>
  </si>
  <si>
    <t>WP_005855972.1</t>
  </si>
  <si>
    <t>FQN59_RS18765</t>
  </si>
  <si>
    <t>WP_005855973.1</t>
  </si>
  <si>
    <t>FQN59_RS18770</t>
  </si>
  <si>
    <t>ChbG/HpnK family deacetylase</t>
  </si>
  <si>
    <t>WP_158532790.1</t>
  </si>
  <si>
    <t>FQN59_RS18775</t>
  </si>
  <si>
    <t>FQN59_RS18780</t>
  </si>
  <si>
    <t>WP_005855975.1</t>
  </si>
  <si>
    <t>FQN59_RS18785</t>
  </si>
  <si>
    <t>WP_005868085.1</t>
  </si>
  <si>
    <t>FQN59_RS18790</t>
  </si>
  <si>
    <t>3-oxoacyl-[acyl-carrier-protein] reductase</t>
  </si>
  <si>
    <t>fabG</t>
  </si>
  <si>
    <t>WP_129984369.1</t>
  </si>
  <si>
    <t>FQN59_RS18795</t>
  </si>
  <si>
    <t>WP_122144639.1</t>
  </si>
  <si>
    <t>FQN59_RS18800</t>
  </si>
  <si>
    <t>WP_008778262.1</t>
  </si>
  <si>
    <t>FQN59_RS18805</t>
  </si>
  <si>
    <t>WP_121962361.1</t>
  </si>
  <si>
    <t>FQN59_RS18810</t>
  </si>
  <si>
    <t>WP_008778263.1</t>
  </si>
  <si>
    <t>FQN59_RS18815</t>
  </si>
  <si>
    <t>homoserine O-acetyltransferase MetA</t>
  </si>
  <si>
    <t>metA</t>
  </si>
  <si>
    <t>WP_005855991.1</t>
  </si>
  <si>
    <t>FQN59_RS18820</t>
  </si>
  <si>
    <t>WP_211737631.1</t>
  </si>
  <si>
    <t>FQN59_RS18825</t>
  </si>
  <si>
    <t>WP_005855996.1</t>
  </si>
  <si>
    <t>FQN59_RS18830</t>
  </si>
  <si>
    <t>WP_048928286.1</t>
  </si>
  <si>
    <t>FQN59_RS18835</t>
  </si>
  <si>
    <t>WP_057326649.1</t>
  </si>
  <si>
    <t>FQN59_RS18840</t>
  </si>
  <si>
    <t>WP_122267976.1</t>
  </si>
  <si>
    <t>FQN59_RS18845</t>
  </si>
  <si>
    <t>WP_211737633.1</t>
  </si>
  <si>
    <t>FQN59_RS18850</t>
  </si>
  <si>
    <t>WP_005856006.1</t>
  </si>
  <si>
    <t>FQN59_RS18855</t>
  </si>
  <si>
    <t>WP_005856008.1</t>
  </si>
  <si>
    <t>FQN59_RS18860</t>
  </si>
  <si>
    <t>WP_196009752.1</t>
  </si>
  <si>
    <t>FQN59_RS18865</t>
  </si>
  <si>
    <t>WP_008771817.1</t>
  </si>
  <si>
    <t>FQN59_RS18870</t>
  </si>
  <si>
    <t>NADH peroxidase</t>
  </si>
  <si>
    <t>WP_005856013.1</t>
  </si>
  <si>
    <t>FQN59_RS18875</t>
  </si>
  <si>
    <t>FQN59_RS18880</t>
  </si>
  <si>
    <t>WP_122267974.1</t>
  </si>
  <si>
    <t>FQN59_RS18885</t>
  </si>
  <si>
    <t>WP_211737635.1</t>
  </si>
  <si>
    <t>FQN59_RS18890</t>
  </si>
  <si>
    <t>translation elongation factor 4</t>
  </si>
  <si>
    <t>lepA</t>
  </si>
  <si>
    <t>WP_211737637.1</t>
  </si>
  <si>
    <t>FQN59_RS18895</t>
  </si>
  <si>
    <t>CvfB family protein</t>
  </si>
  <si>
    <t>WP_005856099.1</t>
  </si>
  <si>
    <t>FQN59_RS18900</t>
  </si>
  <si>
    <t>WP_009017831.1</t>
  </si>
  <si>
    <t>FQN59_RS18905</t>
  </si>
  <si>
    <t>WP_009017832.1</t>
  </si>
  <si>
    <t>FQN59_RS18910</t>
  </si>
  <si>
    <t>glycerophosphodiester phosphodiesterase</t>
  </si>
  <si>
    <t>WP_009017833.1</t>
  </si>
  <si>
    <t>FQN59_RS18915</t>
  </si>
  <si>
    <t>WP_009017834.1</t>
  </si>
  <si>
    <t>FQN59_RS18920</t>
  </si>
  <si>
    <t>LicD family protein</t>
  </si>
  <si>
    <t>WP_009017835.1</t>
  </si>
  <si>
    <t>FQN59_RS18925</t>
  </si>
  <si>
    <t>WP_039848713.1</t>
  </si>
  <si>
    <t>FQN59_RS18930</t>
  </si>
  <si>
    <t>WP_057318828.1</t>
  </si>
  <si>
    <t>FQN59_RS18935</t>
  </si>
  <si>
    <t>WP_211737640.1</t>
  </si>
  <si>
    <t>FQN59_RS18940</t>
  </si>
  <si>
    <t>WP_009017839.1</t>
  </si>
  <si>
    <t>FQN59_RS18945</t>
  </si>
  <si>
    <t>WP_057318827.1</t>
  </si>
  <si>
    <t>FQN59_RS18950</t>
  </si>
  <si>
    <t>glycosyl hydrolase family 28-related protein</t>
  </si>
  <si>
    <t>WP_009017841.1</t>
  </si>
  <si>
    <t>FQN59_RS18955</t>
  </si>
  <si>
    <t>WP_009017842.1</t>
  </si>
  <si>
    <t>FQN59_RS18960</t>
  </si>
  <si>
    <t>FeoB-associated Cys-rich membrane protein</t>
  </si>
  <si>
    <t>WP_086000743.1</t>
  </si>
  <si>
    <t>FQN59_RS22755</t>
  </si>
  <si>
    <t>ferrous iron transport protein B</t>
  </si>
  <si>
    <t>feoB</t>
  </si>
  <si>
    <t>WP_009017843.1</t>
  </si>
  <si>
    <t>FQN59_RS18970</t>
  </si>
  <si>
    <t>WP_008771835.1</t>
  </si>
  <si>
    <t>FQN59_RS18975</t>
  </si>
  <si>
    <t>WP_005856158.1</t>
  </si>
  <si>
    <t>FQN59_RS18980</t>
  </si>
  <si>
    <t>WP_005868136.1</t>
  </si>
  <si>
    <t>FQN59_RS18985</t>
  </si>
  <si>
    <t>WP_005868137.1</t>
  </si>
  <si>
    <t>FQN59_RS18990</t>
  </si>
  <si>
    <t>WP_122143719.1</t>
  </si>
  <si>
    <t>FQN59_RS18995</t>
  </si>
  <si>
    <t>WP_005868139.1</t>
  </si>
  <si>
    <t>FQN59_RS19000</t>
  </si>
  <si>
    <t>WP_172618154.1</t>
  </si>
  <si>
    <t>FQN59_RS19005</t>
  </si>
  <si>
    <t>WP_008771840.1</t>
  </si>
  <si>
    <t>FQN59_RS19010</t>
  </si>
  <si>
    <t>recombinase RecA</t>
  </si>
  <si>
    <t>recA</t>
  </si>
  <si>
    <t>WP_087343863.1</t>
  </si>
  <si>
    <t>FQN59_RS19015</t>
  </si>
  <si>
    <t>thioredoxin-dependent thiol peroxidase</t>
  </si>
  <si>
    <t>bcp</t>
  </si>
  <si>
    <t>WP_005868146.1</t>
  </si>
  <si>
    <t>FQN59_RS19020</t>
  </si>
  <si>
    <t>saccharopine dehydrogenase family protein</t>
  </si>
  <si>
    <t>WP_005856184.1</t>
  </si>
  <si>
    <t>FQN59_RS19025</t>
  </si>
  <si>
    <t>WP_008771843.1</t>
  </si>
  <si>
    <t>FQN59_RS19030</t>
  </si>
  <si>
    <t>WP_022192343.1</t>
  </si>
  <si>
    <t>FQN59_RS19035</t>
  </si>
  <si>
    <t>WP_009276759.1</t>
  </si>
  <si>
    <t>FQN59_RS19040</t>
  </si>
  <si>
    <t>WP_122143721.1</t>
  </si>
  <si>
    <t>FQN59_RS19045</t>
  </si>
  <si>
    <t>WP_005868157.1</t>
  </si>
  <si>
    <t>FQN59_RS19050</t>
  </si>
  <si>
    <t>WP_005868159.1</t>
  </si>
  <si>
    <t>FQN59_RS19055</t>
  </si>
  <si>
    <t>WP_122369079.1</t>
  </si>
  <si>
    <t>FQN59_RS19060</t>
  </si>
  <si>
    <t>B12-binding domain-containing radical SAM protein</t>
  </si>
  <si>
    <t>WP_211737642.1</t>
  </si>
  <si>
    <t>FQN59_RS19065</t>
  </si>
  <si>
    <t>ribosome biogenesis GTP-binding protein YihA/YsxC</t>
  </si>
  <si>
    <t>yihA</t>
  </si>
  <si>
    <t>WP_005868165.1</t>
  </si>
  <si>
    <t>FQN59_RS19070</t>
  </si>
  <si>
    <t>sodium:solute symporter</t>
  </si>
  <si>
    <t>WP_005868167.1</t>
  </si>
  <si>
    <t>FQN59_RS19075</t>
  </si>
  <si>
    <t>WP_211737645.1</t>
  </si>
  <si>
    <t>FQN59_RS19080</t>
  </si>
  <si>
    <t>WP_211737647.1</t>
  </si>
  <si>
    <t>FQN59_RS19085</t>
  </si>
  <si>
    <t>SpoIID/LytB domain-containing protein</t>
  </si>
  <si>
    <t>WP_211737649.1</t>
  </si>
  <si>
    <t>FQN59_RS19090</t>
  </si>
  <si>
    <t>OPT family oligopeptide transporter</t>
  </si>
  <si>
    <t>WP_048927444.1</t>
  </si>
  <si>
    <t>FQN59_RS19095</t>
  </si>
  <si>
    <t>recombination mediator RecR</t>
  </si>
  <si>
    <t>recR</t>
  </si>
  <si>
    <t>WP_005868175.1</t>
  </si>
  <si>
    <t>FQN59_RS19100</t>
  </si>
  <si>
    <t>WP_008771857.1</t>
  </si>
  <si>
    <t>FQN59_RS19105</t>
  </si>
  <si>
    <t>WP_122145117.1</t>
  </si>
  <si>
    <t>FQN59_RS19110</t>
  </si>
  <si>
    <t>YqgE/AlgH family protein</t>
  </si>
  <si>
    <t>WP_005856219.1</t>
  </si>
  <si>
    <t>FQN59_RS19115</t>
  </si>
  <si>
    <t>aminotransferase class I/II-fold pyridoxal phosphate-dependent enzyme</t>
  </si>
  <si>
    <t>WP_122145116.1</t>
  </si>
  <si>
    <t>FQN59_RS19120</t>
  </si>
  <si>
    <t>FQN59_RS19125</t>
  </si>
  <si>
    <t>WP_005856223.1</t>
  </si>
  <si>
    <t>FQN59_RS19130</t>
  </si>
  <si>
    <t>WP_211737651.1</t>
  </si>
  <si>
    <t>FQN59_RS19135</t>
  </si>
  <si>
    <t>WP_008778274.1</t>
  </si>
  <si>
    <t>FQN59_RS19140</t>
  </si>
  <si>
    <t>WP_008778275.1</t>
  </si>
  <si>
    <t>FQN59_RS19145</t>
  </si>
  <si>
    <t>WP_122383220.1</t>
  </si>
  <si>
    <t>FQN59_RS19150</t>
  </si>
  <si>
    <t>DUF7149 domain-containing protein</t>
  </si>
  <si>
    <t>WP_211737653.1</t>
  </si>
  <si>
    <t>FQN59_RS19155</t>
  </si>
  <si>
    <t>WP_122383218.1</t>
  </si>
  <si>
    <t>FQN59_RS19160</t>
  </si>
  <si>
    <t>WP_057318819.1</t>
  </si>
  <si>
    <t>FQN59_RS19165</t>
  </si>
  <si>
    <t>WP_211737655.1</t>
  </si>
  <si>
    <t>FQN59_RS19170</t>
  </si>
  <si>
    <t>WP_005868192.1</t>
  </si>
  <si>
    <t>FQN59_RS19175</t>
  </si>
  <si>
    <t>WP_048927434.1</t>
  </si>
  <si>
    <t>FQN59_RS19180</t>
  </si>
  <si>
    <t>WP_057327109.1</t>
  </si>
  <si>
    <t>FQN59_RS19185</t>
  </si>
  <si>
    <t>WP_011966449.1</t>
  </si>
  <si>
    <t>FQN59_RS19190</t>
  </si>
  <si>
    <t>WP_011966448.1</t>
  </si>
  <si>
    <t>FQN59_RS19195</t>
  </si>
  <si>
    <t>WP_011966447.1</t>
  </si>
  <si>
    <t>FQN59_RS19200</t>
  </si>
  <si>
    <t>WP_011966446.1</t>
  </si>
  <si>
    <t>FQN59_RS19205</t>
  </si>
  <si>
    <t>WP_011966445.1</t>
  </si>
  <si>
    <t>FQN59_RS19210</t>
  </si>
  <si>
    <t>WP_048927431.1</t>
  </si>
  <si>
    <t>FQN59_RS19215</t>
  </si>
  <si>
    <t>WP_127908268.1</t>
  </si>
  <si>
    <t>FQN59_RS19220</t>
  </si>
  <si>
    <t>WP_011966442.1</t>
  </si>
  <si>
    <t>FQN59_RS19225</t>
  </si>
  <si>
    <t>WP_227742544.1</t>
  </si>
  <si>
    <t>FQN59_RS19230</t>
  </si>
  <si>
    <t>WP_249222465.1</t>
  </si>
  <si>
    <t>FQN59_RS19235</t>
  </si>
  <si>
    <t>WP_011966439.1</t>
  </si>
  <si>
    <t>FQN59_RS19240</t>
  </si>
  <si>
    <t>WP_011966437.1</t>
  </si>
  <si>
    <t>FQN59_RS19245</t>
  </si>
  <si>
    <t>WP_005856296.1</t>
  </si>
  <si>
    <t>FQN59_RS19250</t>
  </si>
  <si>
    <t>aspartate--tRNA ligase</t>
  </si>
  <si>
    <t>aspS</t>
  </si>
  <si>
    <t>WP_005856298.1</t>
  </si>
  <si>
    <t>FQN59_RS19255</t>
  </si>
  <si>
    <t>Nif3-like dinuclear metal center hexameric protein</t>
  </si>
  <si>
    <t>WP_005868213.1</t>
  </si>
  <si>
    <t>FQN59_RS19260</t>
  </si>
  <si>
    <t>WP_005868214.1</t>
  </si>
  <si>
    <t>FQN59_RS19265</t>
  </si>
  <si>
    <t>tRNA lysidine(34) synthetase TilS</t>
  </si>
  <si>
    <t>tilS</t>
  </si>
  <si>
    <t>WP_211737658.1</t>
  </si>
  <si>
    <t>FQN59_RS19270</t>
  </si>
  <si>
    <t>transcription termination factor Rho</t>
  </si>
  <si>
    <t>rho</t>
  </si>
  <si>
    <t>WP_211737660.1</t>
  </si>
  <si>
    <t>FQN59_RS19275</t>
  </si>
  <si>
    <t>WP_057318809.1</t>
  </si>
  <si>
    <t>FQN59_RS19280</t>
  </si>
  <si>
    <t>WP_121962748.1</t>
  </si>
  <si>
    <t>FQN59_RS19285</t>
  </si>
  <si>
    <t>transporter substrate-binding domain-containing protein</t>
  </si>
  <si>
    <t>WP_008771887.1</t>
  </si>
  <si>
    <t>FQN59_RS19290</t>
  </si>
  <si>
    <t>putative porin</t>
  </si>
  <si>
    <t>WP_211737662.1</t>
  </si>
  <si>
    <t>FQN59_RS19295</t>
  </si>
  <si>
    <t>2-oxoacid:acceptor oxidoreductase family protein</t>
  </si>
  <si>
    <t>WP_005856316.1</t>
  </si>
  <si>
    <t>FQN59_RS19300</t>
  </si>
  <si>
    <t>WP_005856318.1</t>
  </si>
  <si>
    <t>FQN59_RS19305</t>
  </si>
  <si>
    <t>WP_005868224.1</t>
  </si>
  <si>
    <t>FQN59_RS19310</t>
  </si>
  <si>
    <t>3-methyl-2-oxobutanoate dehydrogenase subunit VorB</t>
  </si>
  <si>
    <t>WP_008780453.1</t>
  </si>
  <si>
    <t>FQN59_RS19315</t>
  </si>
  <si>
    <t>WP_005856324.1</t>
  </si>
  <si>
    <t>FQN59_RS19320</t>
  </si>
  <si>
    <t>WP_158533033.1</t>
  </si>
  <si>
    <t>FQN59_RS19325</t>
  </si>
  <si>
    <t>GAF domain-containing sensor histidine kinase</t>
  </si>
  <si>
    <t>WP_158533034.1</t>
  </si>
  <si>
    <t>FQN59_RS19330</t>
  </si>
  <si>
    <t>WP_158533035.1</t>
  </si>
  <si>
    <t>FQN59_RS19335</t>
  </si>
  <si>
    <t>WP_227223148.1</t>
  </si>
  <si>
    <t>FQN59_RS19340</t>
  </si>
  <si>
    <t>ABC transporter permease subunit</t>
  </si>
  <si>
    <t>WP_121962746.1</t>
  </si>
  <si>
    <t>FQN59_RS19345</t>
  </si>
  <si>
    <t>WP_121962745.1</t>
  </si>
  <si>
    <t>FQN59_RS19350</t>
  </si>
  <si>
    <t>DUF368 domain-containing protein</t>
  </si>
  <si>
    <t>WP_022192847.1</t>
  </si>
  <si>
    <t>FQN59_RS19355</t>
  </si>
  <si>
    <t>WP_122297327.1</t>
  </si>
  <si>
    <t>FQN59_RS19360</t>
  </si>
  <si>
    <t>glutamine--tRNA ligase/YqeY domain fusion protein</t>
  </si>
  <si>
    <t>WP_008778287.1</t>
  </si>
  <si>
    <t>FQN59_RS19365</t>
  </si>
  <si>
    <t>Nramp family divalent metal transporter</t>
  </si>
  <si>
    <t>WP_008780456.1</t>
  </si>
  <si>
    <t>FQN59_RS19370</t>
  </si>
  <si>
    <t>WP_005856335.1</t>
  </si>
  <si>
    <t>FQN59_RS19375</t>
  </si>
  <si>
    <t>WP_057327114.1</t>
  </si>
  <si>
    <t>FQN59_RS19380</t>
  </si>
  <si>
    <t>WP_008771902.1</t>
  </si>
  <si>
    <t>FQN59_RS19385</t>
  </si>
  <si>
    <t>WP_211737665.1</t>
  </si>
  <si>
    <t>FQN59_RS19390</t>
  </si>
  <si>
    <t>WP_010182830.1</t>
  </si>
  <si>
    <t>FQN59_RS19395</t>
  </si>
  <si>
    <t>WP_039848689.1</t>
  </si>
  <si>
    <t>FQN59_RS19400</t>
  </si>
  <si>
    <t>prephenate dehydrogenase</t>
  </si>
  <si>
    <t>WP_005868245.1</t>
  </si>
  <si>
    <t>FQN59_RS19405</t>
  </si>
  <si>
    <t>bifunctional 3-deoxy-7-phosphoheptulonate synthase/chorismate mutase type II</t>
  </si>
  <si>
    <t>WP_005868246.1</t>
  </si>
  <si>
    <t>FQN59_RS19410</t>
  </si>
  <si>
    <t>WP_008780461.1</t>
  </si>
  <si>
    <t>FQN59_RS19415</t>
  </si>
  <si>
    <t>prephenate dehydratase</t>
  </si>
  <si>
    <t>WP_008771907.1</t>
  </si>
  <si>
    <t>FQN59_RS19420</t>
  </si>
  <si>
    <t>WP_005868251.1</t>
  </si>
  <si>
    <t>FQN59_RS19425</t>
  </si>
  <si>
    <t>WP_005856375.1</t>
  </si>
  <si>
    <t>FQN59_RS19430</t>
  </si>
  <si>
    <t>lipocalin-like domain-containing protein</t>
  </si>
  <si>
    <t>WP_008771908.1</t>
  </si>
  <si>
    <t>FQN59_RS19435</t>
  </si>
  <si>
    <t>Cys-tRNA(Pro) deacylase</t>
  </si>
  <si>
    <t>ybaK</t>
  </si>
  <si>
    <t>WP_005856380.1</t>
  </si>
  <si>
    <t>FQN59_RS19440</t>
  </si>
  <si>
    <t>Tex family protein</t>
  </si>
  <si>
    <t>WP_122379098.1</t>
  </si>
  <si>
    <t>FQN59_RS19445</t>
  </si>
  <si>
    <t>WP_211737667.1</t>
  </si>
  <si>
    <t>FQN59_RS19450</t>
  </si>
  <si>
    <t>WP_170079647.1</t>
  </si>
  <si>
    <t>FQN59_RS19455</t>
  </si>
  <si>
    <t>WP_211737668.1</t>
  </si>
  <si>
    <t>FQN59_RS19460</t>
  </si>
  <si>
    <t>WP_211737670.1</t>
  </si>
  <si>
    <t>FQN59_RS19465</t>
  </si>
  <si>
    <t>symporter small accessory protein</t>
  </si>
  <si>
    <t>WP_333558132.1</t>
  </si>
  <si>
    <t>FQN59_RS22890</t>
  </si>
  <si>
    <t>WP_005856397.1</t>
  </si>
  <si>
    <t>FQN59_RS19470</t>
  </si>
  <si>
    <t>phenylacetate--CoA ligase family protein</t>
  </si>
  <si>
    <t>WP_005856399.1</t>
  </si>
  <si>
    <t>FQN59_RS19475</t>
  </si>
  <si>
    <t>WP_008780468.1</t>
  </si>
  <si>
    <t>FQN59_RS19480</t>
  </si>
  <si>
    <t>WP_034527480.1</t>
  </si>
  <si>
    <t>FQN59_RS19485</t>
  </si>
  <si>
    <t>WP_005856408.1</t>
  </si>
  <si>
    <t>FQN59_RS19490</t>
  </si>
  <si>
    <t>WP_008771916.1</t>
  </si>
  <si>
    <t>FQN59_RS19495</t>
  </si>
  <si>
    <t>cobyric acid synthase</t>
  </si>
  <si>
    <t>WP_121962738.1</t>
  </si>
  <si>
    <t>FQN59_RS19500</t>
  </si>
  <si>
    <t>FQN59_RS19505</t>
  </si>
  <si>
    <t>WP_211737672.1</t>
  </si>
  <si>
    <t>FQN59_RS19510</t>
  </si>
  <si>
    <t>WP_122115058.1</t>
  </si>
  <si>
    <t>FQN59_RS19515</t>
  </si>
  <si>
    <t>WP_005856415.1</t>
  </si>
  <si>
    <t>FQN59_RS19520</t>
  </si>
  <si>
    <t>WP_122369784.1</t>
  </si>
  <si>
    <t>FQN59_RS19525</t>
  </si>
  <si>
    <t>FQN59_RS22760</t>
  </si>
  <si>
    <t>WP_005868276.1</t>
  </si>
  <si>
    <t>FQN59_RS19535</t>
  </si>
  <si>
    <t>WP_211737673.1</t>
  </si>
  <si>
    <t>FQN59_RS19540</t>
  </si>
  <si>
    <t>WP_005868278.1</t>
  </si>
  <si>
    <t>FQN59_RS19545</t>
  </si>
  <si>
    <t>WP_005868281.1</t>
  </si>
  <si>
    <t>FQN59_RS19550</t>
  </si>
  <si>
    <t>WP_005868283.1</t>
  </si>
  <si>
    <t>FQN59_RS19555</t>
  </si>
  <si>
    <t>WP_005868285.1</t>
  </si>
  <si>
    <t>FQN59_RS19560</t>
  </si>
  <si>
    <t>WP_211737675.1</t>
  </si>
  <si>
    <t>FQN59_RS19565</t>
  </si>
  <si>
    <t>FQN59_RS19570</t>
  </si>
  <si>
    <t>WP_005868291.1</t>
  </si>
  <si>
    <t>FQN59_RS19575</t>
  </si>
  <si>
    <t>WP_005868292.1</t>
  </si>
  <si>
    <t>FQN59_RS19580</t>
  </si>
  <si>
    <t>L-serine ammonia-lyase</t>
  </si>
  <si>
    <t>WP_008771936.1</t>
  </si>
  <si>
    <t>FQN59_RS19585</t>
  </si>
  <si>
    <t>WP_005868294.1</t>
  </si>
  <si>
    <t>FQN59_RS19590</t>
  </si>
  <si>
    <t>WP_005856435.1</t>
  </si>
  <si>
    <t>FQN59_RS19595</t>
  </si>
  <si>
    <t>WP_005868296.1</t>
  </si>
  <si>
    <t>FQN59_RS19600</t>
  </si>
  <si>
    <t>WP_211737677.1</t>
  </si>
  <si>
    <t>FQN59_RS19605</t>
  </si>
  <si>
    <t>WP_249222466.1</t>
  </si>
  <si>
    <t>FQN59_RS19610</t>
  </si>
  <si>
    <t>WP_005868299.1</t>
  </si>
  <si>
    <t>FQN59_RS19615</t>
  </si>
  <si>
    <t>WP_211737680.1</t>
  </si>
  <si>
    <t>FQN59_RS19620</t>
  </si>
  <si>
    <t>WP_211737681.1</t>
  </si>
  <si>
    <t>FQN59_RS19625</t>
  </si>
  <si>
    <t>gluconate:H+ symporter</t>
  </si>
  <si>
    <t>WP_005856449.1</t>
  </si>
  <si>
    <t>FQN59_RS19630</t>
  </si>
  <si>
    <t>DUF4833 domain-containing protein</t>
  </si>
  <si>
    <t>WP_005856451.1</t>
  </si>
  <si>
    <t>FQN59_RS19635</t>
  </si>
  <si>
    <t>WP_005856453.1</t>
  </si>
  <si>
    <t>FQN59_RS19640</t>
  </si>
  <si>
    <t>D-TA family PLP-dependent enzyme</t>
  </si>
  <si>
    <t>WP_008780489.1</t>
  </si>
  <si>
    <t>FQN59_RS19645</t>
  </si>
  <si>
    <t>WP_005856457.1</t>
  </si>
  <si>
    <t>FQN59_RS19650</t>
  </si>
  <si>
    <t>WP_036614327.1</t>
  </si>
  <si>
    <t>FQN59_RS19655</t>
  </si>
  <si>
    <t>WP_211737683.1</t>
  </si>
  <si>
    <t>FQN59_RS19660</t>
  </si>
  <si>
    <t>WP_005856470.1</t>
  </si>
  <si>
    <t>FQN59_RS19665</t>
  </si>
  <si>
    <t>rhamnulokinase</t>
  </si>
  <si>
    <t>WP_048927389.1</t>
  </si>
  <si>
    <t>FQN59_RS19670</t>
  </si>
  <si>
    <t>L-rhamnose isomerase</t>
  </si>
  <si>
    <t>WP_008771952.1</t>
  </si>
  <si>
    <t>FQN59_RS19675</t>
  </si>
  <si>
    <t>L-rhamnose/proton symporter RhaT</t>
  </si>
  <si>
    <t>rhaT</t>
  </si>
  <si>
    <t>WP_085939812.1</t>
  </si>
  <si>
    <t>FQN59_RS19680</t>
  </si>
  <si>
    <t>rhamnulose-1-phosphate aldolase</t>
  </si>
  <si>
    <t>rhaD</t>
  </si>
  <si>
    <t>WP_122379718.1</t>
  </si>
  <si>
    <t>FQN59_RS19685</t>
  </si>
  <si>
    <t>alpha-L-rhamnosidase C-terminal domain-containing protein</t>
  </si>
  <si>
    <t>WP_211737684.1</t>
  </si>
  <si>
    <t>FQN59_RS19690</t>
  </si>
  <si>
    <t>WP_211737686.1</t>
  </si>
  <si>
    <t>FQN59_RS19695</t>
  </si>
  <si>
    <t>WP_211737688.1</t>
  </si>
  <si>
    <t>FQN59_RS19700</t>
  </si>
  <si>
    <t>WP_048927385.1</t>
  </si>
  <si>
    <t>FQN59_RS19705</t>
  </si>
  <si>
    <t>WP_211737691.1</t>
  </si>
  <si>
    <t>FQN59_RS19710</t>
  </si>
  <si>
    <t>WP_211737693.1</t>
  </si>
  <si>
    <t>FQN59_RS19715</t>
  </si>
  <si>
    <t>WP_122382946.1</t>
  </si>
  <si>
    <t>FQN59_RS19720</t>
  </si>
  <si>
    <t>DUF1848 domain-containing protein</t>
  </si>
  <si>
    <t>WP_211737695.1</t>
  </si>
  <si>
    <t>FQN59_RS19725</t>
  </si>
  <si>
    <t>ankyrin repeat domain-containing protein</t>
  </si>
  <si>
    <t>WP_211737698.1</t>
  </si>
  <si>
    <t>FQN59_RS19730</t>
  </si>
  <si>
    <t>DNA/RNA non-specific endonuclease</t>
  </si>
  <si>
    <t>WP_122379713.1</t>
  </si>
  <si>
    <t>FQN59_RS19735</t>
  </si>
  <si>
    <t>WP_008778321.1</t>
  </si>
  <si>
    <t>FQN59_RS19740</t>
  </si>
  <si>
    <t>WP_005868335.1</t>
  </si>
  <si>
    <t>FQN59_RS19745</t>
  </si>
  <si>
    <t>WP_005856505.1</t>
  </si>
  <si>
    <t>FQN59_RS19750</t>
  </si>
  <si>
    <t>nucleotide sugar dehydrogenase</t>
  </si>
  <si>
    <t>WP_008780508.1</t>
  </si>
  <si>
    <t>FQN59_RS19755</t>
  </si>
  <si>
    <t>STN and carboxypeptidase regulatory-like domain-containing protein</t>
  </si>
  <si>
    <t>WP_005856509.1</t>
  </si>
  <si>
    <t>FQN59_RS19760</t>
  </si>
  <si>
    <t>WP_005868343.1</t>
  </si>
  <si>
    <t>FQN59_RS19765</t>
  </si>
  <si>
    <t>WP_005856513.1</t>
  </si>
  <si>
    <t>FQN59_RS19770</t>
  </si>
  <si>
    <t>WP_005868347.1</t>
  </si>
  <si>
    <t>FQN59_RS19775</t>
  </si>
  <si>
    <t>hydrogen peroxide-inducible genes activator</t>
  </si>
  <si>
    <t>WP_005868349.1</t>
  </si>
  <si>
    <t>FQN59_RS19780</t>
  </si>
  <si>
    <t>polyprenol monophosphomannose synthase</t>
  </si>
  <si>
    <t>WP_005856519.1</t>
  </si>
  <si>
    <t>FQN59_RS19785</t>
  </si>
  <si>
    <t>dihydroorotase</t>
  </si>
  <si>
    <t>WP_022192408.1</t>
  </si>
  <si>
    <t>FQN59_RS19790</t>
  </si>
  <si>
    <t>7-carboxy-7-deazaguanine synthase QueE</t>
  </si>
  <si>
    <t>WP_005868354.1</t>
  </si>
  <si>
    <t>FQN59_RS19795</t>
  </si>
  <si>
    <t>6-pyruvoyl trahydropterin synthase family protein</t>
  </si>
  <si>
    <t>WP_005856525.1</t>
  </si>
  <si>
    <t>FQN59_RS19800</t>
  </si>
  <si>
    <t>WP_005856527.1</t>
  </si>
  <si>
    <t>FQN59_RS19805</t>
  </si>
  <si>
    <t>WP_211737701.1</t>
  </si>
  <si>
    <t>FQN59_RS19810</t>
  </si>
  <si>
    <t>WP_005868357.1</t>
  </si>
  <si>
    <t>FQN59_RS19815</t>
  </si>
  <si>
    <t>WP_005868358.1</t>
  </si>
  <si>
    <t>FQN59_RS19820</t>
  </si>
  <si>
    <t>WP_122369833.1</t>
  </si>
  <si>
    <t>FQN59_RS19825</t>
  </si>
  <si>
    <t>WP_211737703.1</t>
  </si>
  <si>
    <t>FQN59_RS19830</t>
  </si>
  <si>
    <t>WP_005856539.1</t>
  </si>
  <si>
    <t>FQN59_RS19835</t>
  </si>
  <si>
    <t>WP_005868367.1</t>
  </si>
  <si>
    <t>FQN59_RS19840</t>
  </si>
  <si>
    <t>WP_249222467.1</t>
  </si>
  <si>
    <t>FQN59_RS19845</t>
  </si>
  <si>
    <t>WP_211737705.1</t>
  </si>
  <si>
    <t>FQN59_RS19850</t>
  </si>
  <si>
    <t>WP_005868371.1</t>
  </si>
  <si>
    <t>FQN59_RS19855</t>
  </si>
  <si>
    <t>WP_005868373.1</t>
  </si>
  <si>
    <t>FQN59_RS19860</t>
  </si>
  <si>
    <t>glycosyltransferase family 1 protein</t>
  </si>
  <si>
    <t>WP_005868374.1</t>
  </si>
  <si>
    <t>FQN59_RS19865</t>
  </si>
  <si>
    <t>WP_005868375.1</t>
  </si>
  <si>
    <t>FQN59_RS19870</t>
  </si>
  <si>
    <t>WP_005868377.1</t>
  </si>
  <si>
    <t>FQN59_RS19875</t>
  </si>
  <si>
    <t>WP_005868379.1</t>
  </si>
  <si>
    <t>FQN59_RS19880</t>
  </si>
  <si>
    <t>WP_005868381.1</t>
  </si>
  <si>
    <t>FQN59_RS19885</t>
  </si>
  <si>
    <t>WP_005868383.1</t>
  </si>
  <si>
    <t>FQN59_RS19890</t>
  </si>
  <si>
    <t>WP_234079460.1</t>
  </si>
  <si>
    <t>FQN59_RS19895</t>
  </si>
  <si>
    <t>WP_211737707.1</t>
  </si>
  <si>
    <t>FQN59_RS19900</t>
  </si>
  <si>
    <t>WP_005868389.1</t>
  </si>
  <si>
    <t>FQN59_RS19905</t>
  </si>
  <si>
    <t>WP_057327210.1</t>
  </si>
  <si>
    <t>FQN59_RS19910</t>
  </si>
  <si>
    <t>WP_005856577.1</t>
  </si>
  <si>
    <t>FQN59_RS19915</t>
  </si>
  <si>
    <t>WP_211737709.1</t>
  </si>
  <si>
    <t>FQN59_RS19920</t>
  </si>
  <si>
    <t>carbon-nitrogen hydrolase family protein</t>
  </si>
  <si>
    <t>WP_005868392.1</t>
  </si>
  <si>
    <t>FQN59_RS19925</t>
  </si>
  <si>
    <t>WP_211737710.1</t>
  </si>
  <si>
    <t>FQN59_RS19930</t>
  </si>
  <si>
    <t>serine hydroxymethyltransferase</t>
  </si>
  <si>
    <t>glyA</t>
  </si>
  <si>
    <t>WP_005856586.1</t>
  </si>
  <si>
    <t>FQN59_RS19935</t>
  </si>
  <si>
    <t>WP_036651046.1</t>
  </si>
  <si>
    <t>FQN59_RS19940</t>
  </si>
  <si>
    <t>energy-dependent translational throttle protein EttA</t>
  </si>
  <si>
    <t>ettA</t>
  </si>
  <si>
    <t>WP_005856590.1</t>
  </si>
  <si>
    <t>FQN59_RS19945</t>
  </si>
  <si>
    <t>FQN59_RS19950</t>
  </si>
  <si>
    <t>WP_211737711.1</t>
  </si>
  <si>
    <t>FQN59_RS19955</t>
  </si>
  <si>
    <t>WP_211737712.1</t>
  </si>
  <si>
    <t>FQN59_RS19960</t>
  </si>
  <si>
    <t>WP_211737713.1</t>
  </si>
  <si>
    <t>FQN59_RS19965</t>
  </si>
  <si>
    <t>DUF6047 family protein</t>
  </si>
  <si>
    <t>WP_211737714.1</t>
  </si>
  <si>
    <t>FQN59_RS19970</t>
  </si>
  <si>
    <t>WP_211737715.1</t>
  </si>
  <si>
    <t>FQN59_RS19975</t>
  </si>
  <si>
    <t>WP_211737716.1</t>
  </si>
  <si>
    <t>FQN59_RS19980</t>
  </si>
  <si>
    <t>WP_249222470.1</t>
  </si>
  <si>
    <t>FQN59_RS22660</t>
  </si>
  <si>
    <t>WP_211737718.1</t>
  </si>
  <si>
    <t>FQN59_RS19990</t>
  </si>
  <si>
    <t>WP_211737720.1</t>
  </si>
  <si>
    <t>FQN59_RS19995</t>
  </si>
  <si>
    <t>WP_211737722.1</t>
  </si>
  <si>
    <t>FQN59_RS20000</t>
  </si>
  <si>
    <t>WP_211737724.1</t>
  </si>
  <si>
    <t>FQN59_RS20005</t>
  </si>
  <si>
    <t>WP_262887391.1</t>
  </si>
  <si>
    <t>FQN59_RS22765</t>
  </si>
  <si>
    <t>WP_249222555.1</t>
  </si>
  <si>
    <t>FQN59_RS20010</t>
  </si>
  <si>
    <t>WP_008777106.1</t>
  </si>
  <si>
    <t>FQN59_RS20015</t>
  </si>
  <si>
    <t>WP_211737729.1</t>
  </si>
  <si>
    <t>FQN59_RS20020</t>
  </si>
  <si>
    <t>WP_162832120.1</t>
  </si>
  <si>
    <t>FQN59_RS20025</t>
  </si>
  <si>
    <t>FQN59_RS20030</t>
  </si>
  <si>
    <t>FQN59_RS20040</t>
  </si>
  <si>
    <t>WP_211737731.1</t>
  </si>
  <si>
    <t>FQN59_RS20045</t>
  </si>
  <si>
    <t>WP_249222556.1</t>
  </si>
  <si>
    <t>FQN59_RS20050</t>
  </si>
  <si>
    <t>WP_211737735.1</t>
  </si>
  <si>
    <t>FQN59_RS20055</t>
  </si>
  <si>
    <t>WP_211737737.1</t>
  </si>
  <si>
    <t>FQN59_RS20060</t>
  </si>
  <si>
    <t>WP_211737739.1</t>
  </si>
  <si>
    <t>FQN59_RS20065</t>
  </si>
  <si>
    <t>ATP-binding response regulator</t>
  </si>
  <si>
    <t>WP_211737741.1</t>
  </si>
  <si>
    <t>FQN59_RS20070</t>
  </si>
  <si>
    <t>WP_211737743.1</t>
  </si>
  <si>
    <t>FQN59_RS20075</t>
  </si>
  <si>
    <t>WP_211737745.1</t>
  </si>
  <si>
    <t>FQN59_RS20080</t>
  </si>
  <si>
    <t>PLP-dependent transferase</t>
  </si>
  <si>
    <t>WP_032850123.1</t>
  </si>
  <si>
    <t>FQN59_RS20085</t>
  </si>
  <si>
    <t>WP_211737747.1</t>
  </si>
  <si>
    <t>FQN59_RS20090</t>
  </si>
  <si>
    <t>WP_211737749.1</t>
  </si>
  <si>
    <t>FQN59_RS20095</t>
  </si>
  <si>
    <t>WP_211737751.1</t>
  </si>
  <si>
    <t>FQN59_RS20100</t>
  </si>
  <si>
    <t>HesA/MoeB/ThiF family protein</t>
  </si>
  <si>
    <t>WP_211737752.1</t>
  </si>
  <si>
    <t>FQN59_RS20105</t>
  </si>
  <si>
    <t>DsrE/DsrF/DrsH-like family protein</t>
  </si>
  <si>
    <t>WP_211737754.1</t>
  </si>
  <si>
    <t>FQN59_RS20110</t>
  </si>
  <si>
    <t>sulfurtransferase TusA family protein</t>
  </si>
  <si>
    <t>WP_211737756.1</t>
  </si>
  <si>
    <t>FQN59_RS20115</t>
  </si>
  <si>
    <t>WP_211737758.1</t>
  </si>
  <si>
    <t>FQN59_RS20120</t>
  </si>
  <si>
    <t>FQN59_RS20125</t>
  </si>
  <si>
    <t>WP_211737760.1</t>
  </si>
  <si>
    <t>FQN59_RS20130</t>
  </si>
  <si>
    <t>WP_211737763.1</t>
  </si>
  <si>
    <t>FQN59_RS20135</t>
  </si>
  <si>
    <t>WP_211737765.1</t>
  </si>
  <si>
    <t>FQN59_RS20140</t>
  </si>
  <si>
    <t>WP_211737766.1</t>
  </si>
  <si>
    <t>FQN59_RS20145</t>
  </si>
  <si>
    <t>WP_211737768.1</t>
  </si>
  <si>
    <t>FQN59_RS20150</t>
  </si>
  <si>
    <t>WP_211737770.1</t>
  </si>
  <si>
    <t>FQN59_RS20155</t>
  </si>
  <si>
    <t>uroporphyrinogen decarboxylase family protein</t>
  </si>
  <si>
    <t>WP_211737773.1</t>
  </si>
  <si>
    <t>FQN59_RS20160</t>
  </si>
  <si>
    <t>WP_211737775.1</t>
  </si>
  <si>
    <t>FQN59_RS20165</t>
  </si>
  <si>
    <t>amidoligase family protein</t>
  </si>
  <si>
    <t>WP_211737777.1</t>
  </si>
  <si>
    <t>FQN59_RS20170</t>
  </si>
  <si>
    <t>WP_008760248.1</t>
  </si>
  <si>
    <t>FQN59_RS20175</t>
  </si>
  <si>
    <t>WP_211737779.1</t>
  </si>
  <si>
    <t>FQN59_RS20180</t>
  </si>
  <si>
    <t>WP_211737781.1</t>
  </si>
  <si>
    <t>FQN59_RS20185</t>
  </si>
  <si>
    <t>WP_211737782.1</t>
  </si>
  <si>
    <t>FQN59_RS20190</t>
  </si>
  <si>
    <t>WP_211739015.1</t>
  </si>
  <si>
    <t>FQN59_RS20195</t>
  </si>
  <si>
    <t>WP_008760251.1</t>
  </si>
  <si>
    <t>FQN59_RS20200</t>
  </si>
  <si>
    <t>FQN59_RS20210</t>
  </si>
  <si>
    <t>WP_008760252.1</t>
  </si>
  <si>
    <t>FQN59_RS20220</t>
  </si>
  <si>
    <t>WP_211737783.1</t>
  </si>
  <si>
    <t>FQN59_RS20225</t>
  </si>
  <si>
    <t>FQN59_RS20230</t>
  </si>
  <si>
    <t>WP_008760254.1</t>
  </si>
  <si>
    <t>FQN59_RS20235</t>
  </si>
  <si>
    <t>WP_032850130.1</t>
  </si>
  <si>
    <t>FQN59_RS20240</t>
  </si>
  <si>
    <t>WP_211739019.1</t>
  </si>
  <si>
    <t>FQN59_RS20245</t>
  </si>
  <si>
    <t>WP_211737784.1</t>
  </si>
  <si>
    <t>FQN59_RS20250</t>
  </si>
  <si>
    <t>WP_211737785.1</t>
  </si>
  <si>
    <t>FQN59_RS20255</t>
  </si>
  <si>
    <t>WP_211737786.1</t>
  </si>
  <si>
    <t>FQN59_RS20260</t>
  </si>
  <si>
    <t>TraQ conjugal transfer family protein</t>
  </si>
  <si>
    <t>WP_211737787.1</t>
  </si>
  <si>
    <t>FQN59_RS20265</t>
  </si>
  <si>
    <t>WP_249222472.1</t>
  </si>
  <si>
    <t>FQN59_RS22665</t>
  </si>
  <si>
    <t>phage antirepressor KilAC domain-containing protein</t>
  </si>
  <si>
    <t>WP_211737789.1</t>
  </si>
  <si>
    <t>FQN59_RS20275</t>
  </si>
  <si>
    <t>WP_249222558.1</t>
  </si>
  <si>
    <t>FQN59_RS20280</t>
  </si>
  <si>
    <t>WP_148365353.1</t>
  </si>
  <si>
    <t>FQN59_RS20285</t>
  </si>
  <si>
    <t>WP_005805156.1</t>
  </si>
  <si>
    <t>FQN59_RS20290</t>
  </si>
  <si>
    <t>WP_249222473.1</t>
  </si>
  <si>
    <t>FQN59_RS20295</t>
  </si>
  <si>
    <t>FQN59_RS20300</t>
  </si>
  <si>
    <t>Eco57I restriction-modification methylase domain-containing protein</t>
  </si>
  <si>
    <t>WP_211737790.1</t>
  </si>
  <si>
    <t>FQN59_RS20305</t>
  </si>
  <si>
    <t>WP_211737792.1</t>
  </si>
  <si>
    <t>FQN59_RS20310</t>
  </si>
  <si>
    <t>ATP-dependent endonuclease</t>
  </si>
  <si>
    <t>WP_211737794.1</t>
  </si>
  <si>
    <t>FQN59_RS20315</t>
  </si>
  <si>
    <t>WP_211737795.1</t>
  </si>
  <si>
    <t>FQN59_RS20320</t>
  </si>
  <si>
    <t>WP_249222474.1</t>
  </si>
  <si>
    <t>FQN59_RS20325</t>
  </si>
  <si>
    <t>WP_211737796.1</t>
  </si>
  <si>
    <t>FQN59_RS20330</t>
  </si>
  <si>
    <t>WP_211737797.1</t>
  </si>
  <si>
    <t>FQN59_RS20335</t>
  </si>
  <si>
    <t>FQN59_RS20340</t>
  </si>
  <si>
    <t>PLP-dependent aminotransferase family protein</t>
  </si>
  <si>
    <t>WP_008772066.1</t>
  </si>
  <si>
    <t>FQN59_RS20345</t>
  </si>
  <si>
    <t>WP_154395796.1</t>
  </si>
  <si>
    <t>FQN59_RS20350</t>
  </si>
  <si>
    <t>FQN59_RS22895</t>
  </si>
  <si>
    <t>hexokinase family protein</t>
  </si>
  <si>
    <t>WP_122379702.1</t>
  </si>
  <si>
    <t>FQN59_RS20360</t>
  </si>
  <si>
    <t>WP_005856636.1</t>
  </si>
  <si>
    <t>FQN59_RS20365</t>
  </si>
  <si>
    <t>WP_022192111.1</t>
  </si>
  <si>
    <t>FQN59_RS20370</t>
  </si>
  <si>
    <t>WP_008772069.1</t>
  </si>
  <si>
    <t>FQN59_RS20375</t>
  </si>
  <si>
    <t>WP_048927351.1</t>
  </si>
  <si>
    <t>FQN59_RS20380</t>
  </si>
  <si>
    <t>winged helix DNA-binding domain-containing protein</t>
  </si>
  <si>
    <t>WP_211737798.1</t>
  </si>
  <si>
    <t>FQN59_RS20385</t>
  </si>
  <si>
    <t>WP_005856646.1</t>
  </si>
  <si>
    <t>FQN59_RS20390</t>
  </si>
  <si>
    <t>magnesium/cobalt transporter CorA</t>
  </si>
  <si>
    <t>corA</t>
  </si>
  <si>
    <t>WP_008772072.1</t>
  </si>
  <si>
    <t>FQN59_RS20395</t>
  </si>
  <si>
    <t>endonuclease MutS2</t>
  </si>
  <si>
    <t>WP_008772073.1</t>
  </si>
  <si>
    <t>FQN59_RS20400</t>
  </si>
  <si>
    <t>DUF4136 domain-containing protein</t>
  </si>
  <si>
    <t>WP_122379080.1</t>
  </si>
  <si>
    <t>FQN59_RS20405</t>
  </si>
  <si>
    <t>nucleotide exchange factor GrpE</t>
  </si>
  <si>
    <t>WP_005862085.1</t>
  </si>
  <si>
    <t>FQN59_RS20410</t>
  </si>
  <si>
    <t>molecular chaperone DnaJ</t>
  </si>
  <si>
    <t>dnaJ</t>
  </si>
  <si>
    <t>WP_005856657.1</t>
  </si>
  <si>
    <t>FQN59_RS20415</t>
  </si>
  <si>
    <t>WP_008780537.1</t>
  </si>
  <si>
    <t>FQN59_RS20420</t>
  </si>
  <si>
    <t>histidinol-phosphatase</t>
  </si>
  <si>
    <t>WP_129984406.1</t>
  </si>
  <si>
    <t>FQN59_RS20425</t>
  </si>
  <si>
    <t>glycine C-acetyltransferase</t>
  </si>
  <si>
    <t>kbl</t>
  </si>
  <si>
    <t>WP_005856664.1</t>
  </si>
  <si>
    <t>FQN59_RS20430</t>
  </si>
  <si>
    <t>WP_005862091.1</t>
  </si>
  <si>
    <t>FQN59_RS20435</t>
  </si>
  <si>
    <t>tRNA (guanosine(37)-N1)-methyltransferase TrmD</t>
  </si>
  <si>
    <t>trmD</t>
  </si>
  <si>
    <t>WP_008772076.1</t>
  </si>
  <si>
    <t>FQN59_RS20440</t>
  </si>
  <si>
    <t>phenylalanine--tRNA ligase subunit beta</t>
  </si>
  <si>
    <t>pheT</t>
  </si>
  <si>
    <t>WP_211737799.1</t>
  </si>
  <si>
    <t>FQN59_RS20445</t>
  </si>
  <si>
    <t>YebC/PmpR family DNA-binding transcriptional regulator</t>
  </si>
  <si>
    <t>WP_005856672.1</t>
  </si>
  <si>
    <t>FQN59_RS20450</t>
  </si>
  <si>
    <t>WP_005856675.1</t>
  </si>
  <si>
    <t>FQN59_RS20455</t>
  </si>
  <si>
    <t>DUF4621 domain-containing protein</t>
  </si>
  <si>
    <t>WP_022192116.1</t>
  </si>
  <si>
    <t>FQN59_RS20460</t>
  </si>
  <si>
    <t>DUF5723 family protein</t>
  </si>
  <si>
    <t>WP_005862097.1</t>
  </si>
  <si>
    <t>FQN59_RS20465</t>
  </si>
  <si>
    <t>WP_005862099.1</t>
  </si>
  <si>
    <t>FQN59_RS20470</t>
  </si>
  <si>
    <t>WP_048927350.1</t>
  </si>
  <si>
    <t>FQN59_RS20475</t>
  </si>
  <si>
    <t>WP_211737801.1</t>
  </si>
  <si>
    <t>FQN59_RS20480</t>
  </si>
  <si>
    <t>peroxide stress protein YaaA</t>
  </si>
  <si>
    <t>yaaA</t>
  </si>
  <si>
    <t>WP_211737802.1</t>
  </si>
  <si>
    <t>FQN59_RS20485</t>
  </si>
  <si>
    <t>WP_008772083.1</t>
  </si>
  <si>
    <t>FQN59_RS20490</t>
  </si>
  <si>
    <t>ATP-dependent chaperone ClpB</t>
  </si>
  <si>
    <t>clpB</t>
  </si>
  <si>
    <t>WP_211737803.1</t>
  </si>
  <si>
    <t>FQN59_RS20495</t>
  </si>
  <si>
    <t>WP_249222475.1</t>
  </si>
  <si>
    <t>FQN59_RS20500</t>
  </si>
  <si>
    <t>WP_005856696.1</t>
  </si>
  <si>
    <t>FQN59_RS20505</t>
  </si>
  <si>
    <t>WP_005856698.1</t>
  </si>
  <si>
    <t>FQN59_RS20510</t>
  </si>
  <si>
    <t>WP_008772087.1</t>
  </si>
  <si>
    <t>FQN59_RS20515</t>
  </si>
  <si>
    <t>WP_005862113.1</t>
  </si>
  <si>
    <t>FQN59_RS20520</t>
  </si>
  <si>
    <t>WP_005862115.1</t>
  </si>
  <si>
    <t>FQN59_RS20525</t>
  </si>
  <si>
    <t>WP_005862117.1</t>
  </si>
  <si>
    <t>FQN59_RS20530</t>
  </si>
  <si>
    <t>WP_087342825.1</t>
  </si>
  <si>
    <t>FQN59_RS20535</t>
  </si>
  <si>
    <t>WP_008778335.1</t>
  </si>
  <si>
    <t>FQN59_RS20540</t>
  </si>
  <si>
    <t>WP_122143787.1</t>
  </si>
  <si>
    <t>FQN59_RS20545</t>
  </si>
  <si>
    <t>WP_022192123.1</t>
  </si>
  <si>
    <t>FQN59_RS20550</t>
  </si>
  <si>
    <t>WP_022192124.1</t>
  </si>
  <si>
    <t>FQN59_RS20555</t>
  </si>
  <si>
    <t>WP_005856718.1</t>
  </si>
  <si>
    <t>FQN59_RS20560</t>
  </si>
  <si>
    <t>WP_122145750.1</t>
  </si>
  <si>
    <t>FQN59_RS20565</t>
  </si>
  <si>
    <t>xylan 1,4-beta-xylosidase</t>
  </si>
  <si>
    <t>xyl3A</t>
  </si>
  <si>
    <t>WP_211737805.1</t>
  </si>
  <si>
    <t>FQN59_RS20570</t>
  </si>
  <si>
    <t>DUF5032 domain-containing protein</t>
  </si>
  <si>
    <t>WP_005862134.1</t>
  </si>
  <si>
    <t>FQN59_RS20575</t>
  </si>
  <si>
    <t>WP_005856726.1</t>
  </si>
  <si>
    <t>FQN59_RS20580</t>
  </si>
  <si>
    <t>FQN59_RS20585</t>
  </si>
  <si>
    <t>FQN59_RS20590</t>
  </si>
  <si>
    <t>superoxide dismutase</t>
  </si>
  <si>
    <t>WP_005862137.1</t>
  </si>
  <si>
    <t>FQN59_RS20595</t>
  </si>
  <si>
    <t>pyruvoyl-dependent arginine decarboxylase</t>
  </si>
  <si>
    <t>WP_005856730.1</t>
  </si>
  <si>
    <t>FQN59_RS20600</t>
  </si>
  <si>
    <t>WP_005856732.1</t>
  </si>
  <si>
    <t>FQN59_RS20605</t>
  </si>
  <si>
    <t>deoxyribonuclease IV</t>
  </si>
  <si>
    <t>nfo</t>
  </si>
  <si>
    <t>WP_005862141.1</t>
  </si>
  <si>
    <t>FQN59_RS20610</t>
  </si>
  <si>
    <t>WP_005856736.1</t>
  </si>
  <si>
    <t>FQN59_RS20615</t>
  </si>
  <si>
    <t>WP_005862143.1</t>
  </si>
  <si>
    <t>FQN59_RS20620</t>
  </si>
  <si>
    <t>WP_008772096.1</t>
  </si>
  <si>
    <t>FQN59_RS20625</t>
  </si>
  <si>
    <t>WP_005862146.1</t>
  </si>
  <si>
    <t>FQN59_RS20630</t>
  </si>
  <si>
    <t>WP_005856744.1</t>
  </si>
  <si>
    <t>FQN59_RS20635</t>
  </si>
  <si>
    <t>WP_005856746.1</t>
  </si>
  <si>
    <t>FQN59_RS20640</t>
  </si>
  <si>
    <t>WP_005856748.1</t>
  </si>
  <si>
    <t>FQN59_RS20645</t>
  </si>
  <si>
    <t>outer membrane protein assembly factor BamD</t>
  </si>
  <si>
    <t>WP_005856750.1</t>
  </si>
  <si>
    <t>FQN59_RS20650</t>
  </si>
  <si>
    <t>DNA-directed RNA polymerase subunit omega</t>
  </si>
  <si>
    <t>WP_005856752.1</t>
  </si>
  <si>
    <t>FQN59_RS20655</t>
  </si>
  <si>
    <t>DUF4293 domain-containing protein</t>
  </si>
  <si>
    <t>WP_005862150.1</t>
  </si>
  <si>
    <t>FQN59_RS20660</t>
  </si>
  <si>
    <t>sulfatase</t>
  </si>
  <si>
    <t>WP_211737806.1</t>
  </si>
  <si>
    <t>FQN59_RS20665</t>
  </si>
  <si>
    <t>L-glyceraldehyde 3-phosphate reductase</t>
  </si>
  <si>
    <t>mgrA</t>
  </si>
  <si>
    <t>WP_008772101.1</t>
  </si>
  <si>
    <t>FQN59_RS20670</t>
  </si>
  <si>
    <t>PD-(D/E)XK nuclease family protein</t>
  </si>
  <si>
    <t>WP_211737807.1</t>
  </si>
  <si>
    <t>FQN59_RS20675</t>
  </si>
  <si>
    <t>GAF domain-containing protein</t>
  </si>
  <si>
    <t>WP_057326282.1</t>
  </si>
  <si>
    <t>FQN59_RS20680</t>
  </si>
  <si>
    <t>WP_195400715.1</t>
  </si>
  <si>
    <t>FQN59_RS20685</t>
  </si>
  <si>
    <t>agmatine deiminase family protein</t>
  </si>
  <si>
    <t>WP_196041245.1</t>
  </si>
  <si>
    <t>FQN59_RS20690</t>
  </si>
  <si>
    <t>carbon-nitrogen hydrolase</t>
  </si>
  <si>
    <t>WP_009017486.1</t>
  </si>
  <si>
    <t>FQN59_RS20695</t>
  </si>
  <si>
    <t>aminodeoxychorismate synthase component I</t>
  </si>
  <si>
    <t>WP_211737809.1</t>
  </si>
  <si>
    <t>FQN59_RS20700</t>
  </si>
  <si>
    <t>aminotransferase class IV family protein</t>
  </si>
  <si>
    <t>WP_211737811.1</t>
  </si>
  <si>
    <t>FQN59_RS20705</t>
  </si>
  <si>
    <t>WP_211737814.1</t>
  </si>
  <si>
    <t>FQN59_RS20710</t>
  </si>
  <si>
    <t>WP_211737816.1</t>
  </si>
  <si>
    <t>FQN59_RS20715</t>
  </si>
  <si>
    <t>NAD-dependent dihydropyrimidine dehydrogenase subunit PreA</t>
  </si>
  <si>
    <t>preA</t>
  </si>
  <si>
    <t>WP_005862176.1</t>
  </si>
  <si>
    <t>FQN59_RS20720</t>
  </si>
  <si>
    <t>WP_211737818.1</t>
  </si>
  <si>
    <t>FQN59_RS20725</t>
  </si>
  <si>
    <t>WP_005862180.1</t>
  </si>
  <si>
    <t>FQN59_RS20730</t>
  </si>
  <si>
    <t>WP_005862182.1</t>
  </si>
  <si>
    <t>FQN59_RS20735</t>
  </si>
  <si>
    <t>WP_195320139.1</t>
  </si>
  <si>
    <t>FQN59_RS20740</t>
  </si>
  <si>
    <t>WP_211737820.1</t>
  </si>
  <si>
    <t>FQN59_RS20745</t>
  </si>
  <si>
    <t>DUF6850 family outer membrane beta-barrel protein</t>
  </si>
  <si>
    <t>WP_005862189.1</t>
  </si>
  <si>
    <t>FQN59_RS20750</t>
  </si>
  <si>
    <t>DUF4876 domain-containing protein</t>
  </si>
  <si>
    <t>WP_005862191.1</t>
  </si>
  <si>
    <t>FQN59_RS20755</t>
  </si>
  <si>
    <t>WP_211737822.1</t>
  </si>
  <si>
    <t>FQN59_RS20760</t>
  </si>
  <si>
    <t>WP_008772118.1</t>
  </si>
  <si>
    <t>FQN59_RS20765</t>
  </si>
  <si>
    <t>WP_008772119.1</t>
  </si>
  <si>
    <t>FQN59_RS20770</t>
  </si>
  <si>
    <t>WP_057326312.1</t>
  </si>
  <si>
    <t>FQN59_RS20775</t>
  </si>
  <si>
    <t>WP_211737824.1</t>
  </si>
  <si>
    <t>FQN59_RS20780</t>
  </si>
  <si>
    <t>WP_044545791.1</t>
  </si>
  <si>
    <t>FQN59_RS20785</t>
  </si>
  <si>
    <t>WP_008778341.1</t>
  </si>
  <si>
    <t>FQN59_RS20790</t>
  </si>
  <si>
    <t>WP_211737826.1</t>
  </si>
  <si>
    <t>FQN59_RS20795</t>
  </si>
  <si>
    <t>WP_005862206.1</t>
  </si>
  <si>
    <t>FQN59_RS20800</t>
  </si>
  <si>
    <t>WP_211737828.1</t>
  </si>
  <si>
    <t>FQN59_RS20805</t>
  </si>
  <si>
    <t>WP_022192157.1</t>
  </si>
  <si>
    <t>FQN59_RS20810</t>
  </si>
  <si>
    <t>uracil phosphoribosyltransferase</t>
  </si>
  <si>
    <t>upp</t>
  </si>
  <si>
    <t>WP_005862213.1</t>
  </si>
  <si>
    <t>FQN59_RS20815</t>
  </si>
  <si>
    <t>WP_005856836.1</t>
  </si>
  <si>
    <t>FQN59_RS20820</t>
  </si>
  <si>
    <t>WP_022192159.1</t>
  </si>
  <si>
    <t>FQN59_RS20825</t>
  </si>
  <si>
    <t>UDP-N-acetylmuramate dehydrogenase</t>
  </si>
  <si>
    <t>murB</t>
  </si>
  <si>
    <t>WP_022192160.1</t>
  </si>
  <si>
    <t>FQN59_RS20830</t>
  </si>
  <si>
    <t>WP_005862219.1</t>
  </si>
  <si>
    <t>FQN59_RS20835</t>
  </si>
  <si>
    <t>SLBB domain-containing protein</t>
  </si>
  <si>
    <t>WP_121961913.1</t>
  </si>
  <si>
    <t>FQN59_RS20840</t>
  </si>
  <si>
    <t>Wzz/FepE/Etk N-terminal domain-containing protein</t>
  </si>
  <si>
    <t>WP_048927321.1</t>
  </si>
  <si>
    <t>FQN59_RS20845</t>
  </si>
  <si>
    <t>WP_229040535.1</t>
  </si>
  <si>
    <t>FQN59_RS20850</t>
  </si>
  <si>
    <t>endonuclease III</t>
  </si>
  <si>
    <t>nth</t>
  </si>
  <si>
    <t>WP_048927319.1</t>
  </si>
  <si>
    <t>FQN59_RS20855</t>
  </si>
  <si>
    <t>beta-N-acetylglucosaminidase domain-containing protein</t>
  </si>
  <si>
    <t>WP_122143801.1</t>
  </si>
  <si>
    <t>FQN59_RS20860</t>
  </si>
  <si>
    <t>DUF3858 domain-containing protein</t>
  </si>
  <si>
    <t>WP_211737830.1</t>
  </si>
  <si>
    <t>FQN59_RS20865</t>
  </si>
  <si>
    <t>DUF3857 domain-containing transglutaminase family protein</t>
  </si>
  <si>
    <t>WP_211737832.1</t>
  </si>
  <si>
    <t>FQN59_RS20870</t>
  </si>
  <si>
    <t>WP_005862237.1</t>
  </si>
  <si>
    <t>FQN59_RS20875</t>
  </si>
  <si>
    <t>o-succinylbenzoate synthase</t>
  </si>
  <si>
    <t>WP_211737834.1</t>
  </si>
  <si>
    <t>FQN59_RS20880</t>
  </si>
  <si>
    <t>1,4-dihydroxy-2-naphthoyl-CoA synthase</t>
  </si>
  <si>
    <t>menB</t>
  </si>
  <si>
    <t>WP_048927313.1</t>
  </si>
  <si>
    <t>FQN59_RS20885</t>
  </si>
  <si>
    <t>2-succinyl-5-enolpyruvyl-6-hydroxy-3-cyclohexene-1-carboxylic-acid synthase</t>
  </si>
  <si>
    <t>menD</t>
  </si>
  <si>
    <t>WP_022192642.1</t>
  </si>
  <si>
    <t>FQN59_RS20890</t>
  </si>
  <si>
    <t>isochorismate synthase</t>
  </si>
  <si>
    <t>WP_211737836.1</t>
  </si>
  <si>
    <t>FQN59_RS20895</t>
  </si>
  <si>
    <t>WP_005862246.1</t>
  </si>
  <si>
    <t>FQN59_RS20900</t>
  </si>
  <si>
    <t>WP_211737838.1</t>
  </si>
  <si>
    <t>FQN59_RS20905</t>
  </si>
  <si>
    <t>AAA domain-containing protein</t>
  </si>
  <si>
    <t>WP_211737840.1</t>
  </si>
  <si>
    <t>FQN59_RS20910</t>
  </si>
  <si>
    <t>Hpt domain-containing protein</t>
  </si>
  <si>
    <t>WP_005856873.1</t>
  </si>
  <si>
    <t>FQN59_RS20915</t>
  </si>
  <si>
    <t>serine dehydratase subunit alpha family protein</t>
  </si>
  <si>
    <t>WP_005862252.1</t>
  </si>
  <si>
    <t>FQN59_RS20920</t>
  </si>
  <si>
    <t>cation diffusion facilitator family transporter</t>
  </si>
  <si>
    <t>WP_009017469.1</t>
  </si>
  <si>
    <t>FQN59_RS20925</t>
  </si>
  <si>
    <t>guanine deaminase</t>
  </si>
  <si>
    <t>guaD</t>
  </si>
  <si>
    <t>WP_211737843.1</t>
  </si>
  <si>
    <t>FQN59_RS20930</t>
  </si>
  <si>
    <t>WP_122143805.1</t>
  </si>
  <si>
    <t>FQN59_RS20935</t>
  </si>
  <si>
    <t>DUF5103 domain-containing protein</t>
  </si>
  <si>
    <t>WP_005856883.1</t>
  </si>
  <si>
    <t>FQN59_RS20940</t>
  </si>
  <si>
    <t>Na(+)-translocating NADH-quinone reductase subunit A</t>
  </si>
  <si>
    <t>WP_008772142.1</t>
  </si>
  <si>
    <t>FQN59_RS20945</t>
  </si>
  <si>
    <t>NADH:ubiquinone reductase (Na(+)-transporting) subunit B</t>
  </si>
  <si>
    <t>WP_005862260.1</t>
  </si>
  <si>
    <t>FQN59_RS20950</t>
  </si>
  <si>
    <t>NADH:ubiquinone reductase (Na(+)-transporting) subunit C</t>
  </si>
  <si>
    <t>nqrC</t>
  </si>
  <si>
    <t>WP_005856889.1</t>
  </si>
  <si>
    <t>FQN59_RS20955</t>
  </si>
  <si>
    <t>NADH:ubiquinone reductase (Na(+)-transporting) subunit D</t>
  </si>
  <si>
    <t>WP_005856891.1</t>
  </si>
  <si>
    <t>FQN59_RS20960</t>
  </si>
  <si>
    <t>NADH:ubiquinone reductase (Na(+)-transporting) subunit E</t>
  </si>
  <si>
    <t>nqrE</t>
  </si>
  <si>
    <t>WP_005856893.1</t>
  </si>
  <si>
    <t>FQN59_RS20965</t>
  </si>
  <si>
    <t>NADH:ubiquinone reductase (Na(+)-transporting) subunit F</t>
  </si>
  <si>
    <t>nqrF</t>
  </si>
  <si>
    <t>WP_010182986.1</t>
  </si>
  <si>
    <t>FQN59_RS20970</t>
  </si>
  <si>
    <t>FQN59_RS20975</t>
  </si>
  <si>
    <t>FQN59_RS20980</t>
  </si>
  <si>
    <t>WP_010182987.1</t>
  </si>
  <si>
    <t>FQN59_RS20985</t>
  </si>
  <si>
    <t>WP_005862263.1</t>
  </si>
  <si>
    <t>FQN59_RS20990</t>
  </si>
  <si>
    <t>type I restriction enzyme HsdR N-terminal domain-containing protein</t>
  </si>
  <si>
    <t>WP_057318762.1</t>
  </si>
  <si>
    <t>FQN59_RS20995</t>
  </si>
  <si>
    <t>AMP nucleosidase</t>
  </si>
  <si>
    <t>WP_044546993.1</t>
  </si>
  <si>
    <t>FQN59_RS21000</t>
  </si>
  <si>
    <t>DNA polymerase III subunit delta</t>
  </si>
  <si>
    <t>holA</t>
  </si>
  <si>
    <t>WP_005856906.1</t>
  </si>
  <si>
    <t>FQN59_RS21005</t>
  </si>
  <si>
    <t>WP_005856911.1</t>
  </si>
  <si>
    <t>FQN59_RS21010</t>
  </si>
  <si>
    <t>dihydroorotate dehydrogenase electron transfer subunit</t>
  </si>
  <si>
    <t>WP_005856914.1</t>
  </si>
  <si>
    <t>FQN59_RS21015</t>
  </si>
  <si>
    <t>dihydroorotate dehydrogenase</t>
  </si>
  <si>
    <t>WP_005862273.1</t>
  </si>
  <si>
    <t>FQN59_RS21020</t>
  </si>
  <si>
    <t>exodeoxyribonuclease III</t>
  </si>
  <si>
    <t>WP_036628709.1</t>
  </si>
  <si>
    <t>FQN59_RS21025</t>
  </si>
  <si>
    <t>WP_005856919.1</t>
  </si>
  <si>
    <t>FQN59_RS21030</t>
  </si>
  <si>
    <t>C-GCAxxG-C-C family protein</t>
  </si>
  <si>
    <t>WP_005862279.1</t>
  </si>
  <si>
    <t>FQN59_RS21035</t>
  </si>
  <si>
    <t>WP_005862281.1</t>
  </si>
  <si>
    <t>FQN59_RS21040</t>
  </si>
  <si>
    <t>phosphoserine phosphatase SerB</t>
  </si>
  <si>
    <t>serB</t>
  </si>
  <si>
    <t>WP_005856925.1</t>
  </si>
  <si>
    <t>FQN59_RS21045</t>
  </si>
  <si>
    <t>WP_005862283.1</t>
  </si>
  <si>
    <t>FQN59_RS21050</t>
  </si>
  <si>
    <t>WP_211737845.1</t>
  </si>
  <si>
    <t>FQN59_RS21055</t>
  </si>
  <si>
    <t>WP_146375509.1</t>
  </si>
  <si>
    <t>FQN59_RS21060</t>
  </si>
  <si>
    <t>GntR family transcriptional regulator</t>
  </si>
  <si>
    <t>WP_048927301.1</t>
  </si>
  <si>
    <t>FQN59_RS21065</t>
  </si>
  <si>
    <t>WP_005856935.1</t>
  </si>
  <si>
    <t>FQN59_RS21070</t>
  </si>
  <si>
    <t>WP_009017461.1</t>
  </si>
  <si>
    <t>FQN59_RS21075</t>
  </si>
  <si>
    <t>WP_005856939.1</t>
  </si>
  <si>
    <t>FQN59_RS21080</t>
  </si>
  <si>
    <t>WP_034531256.1</t>
  </si>
  <si>
    <t>FQN59_RS21085</t>
  </si>
  <si>
    <t>WP_005856943.1</t>
  </si>
  <si>
    <t>FQN59_RS21090</t>
  </si>
  <si>
    <t>WP_005856945.1</t>
  </si>
  <si>
    <t>FQN59_RS21095</t>
  </si>
  <si>
    <t>WP_005856948.1</t>
  </si>
  <si>
    <t>FQN59_RS21100</t>
  </si>
  <si>
    <t>[Fe-Fe] hydrogenase large subunit C-terminal domain-containing protein</t>
  </si>
  <si>
    <t>WP_009017459.1</t>
  </si>
  <si>
    <t>FQN59_RS21105</t>
  </si>
  <si>
    <t>DRTGG domain-containing protein</t>
  </si>
  <si>
    <t>WP_022192654.1</t>
  </si>
  <si>
    <t>FQN59_RS21110</t>
  </si>
  <si>
    <t>WP_048927298.1</t>
  </si>
  <si>
    <t>FQN59_RS21115</t>
  </si>
  <si>
    <t>WP_005862300.1</t>
  </si>
  <si>
    <t>FQN59_RS21120</t>
  </si>
  <si>
    <t>WP_009017452.1</t>
  </si>
  <si>
    <t>FQN59_RS21125</t>
  </si>
  <si>
    <t>DNA gyrase subunit A</t>
  </si>
  <si>
    <t>gyrA</t>
  </si>
  <si>
    <t>WP_008779885.1</t>
  </si>
  <si>
    <t>FQN59_RS21130</t>
  </si>
  <si>
    <t>WP_005862303.1</t>
  </si>
  <si>
    <t>FQN59_RS21135</t>
  </si>
  <si>
    <t>FQN59_RS21140</t>
  </si>
  <si>
    <t>FQN59_RS21145</t>
  </si>
  <si>
    <t>FQN59_RS21150</t>
  </si>
  <si>
    <t>purine nucleoside phosphorylase I, inosine and guanosine-specific</t>
  </si>
  <si>
    <t>WP_087342695.1</t>
  </si>
  <si>
    <t>FQN59_RS21155</t>
  </si>
  <si>
    <t>WP_122379668.1</t>
  </si>
  <si>
    <t>FQN59_RS21160</t>
  </si>
  <si>
    <t>WP_087342689.1</t>
  </si>
  <si>
    <t>FQN59_RS21165</t>
  </si>
  <si>
    <t>WP_195400738.1</t>
  </si>
  <si>
    <t>FQN59_RS21170</t>
  </si>
  <si>
    <t>WP_048927295.1</t>
  </si>
  <si>
    <t>FQN59_RS21175</t>
  </si>
  <si>
    <t>amino acid permease</t>
  </si>
  <si>
    <t>WP_005862312.1</t>
  </si>
  <si>
    <t>FQN59_RS21180</t>
  </si>
  <si>
    <t>WP_005856979.1</t>
  </si>
  <si>
    <t>FQN59_RS21185</t>
  </si>
  <si>
    <t>WP_005856980.1</t>
  </si>
  <si>
    <t>FQN59_RS21190</t>
  </si>
  <si>
    <t>citrate/2-methylcitrate synthase</t>
  </si>
  <si>
    <t>WP_008772165.1</t>
  </si>
  <si>
    <t>FQN59_RS21195</t>
  </si>
  <si>
    <t>NADP-dependent isocitrate dehydrogenase</t>
  </si>
  <si>
    <t>icd</t>
  </si>
  <si>
    <t>WP_211737848.1</t>
  </si>
  <si>
    <t>FQN59_RS21200</t>
  </si>
  <si>
    <t>aconitate hydratase</t>
  </si>
  <si>
    <t>WP_211737850.1</t>
  </si>
  <si>
    <t>FQN59_RS21205</t>
  </si>
  <si>
    <t>bifunctional aspartate transaminase/aspartate 4-decarboxylase</t>
  </si>
  <si>
    <t>WP_005862319.1</t>
  </si>
  <si>
    <t>FQN59_RS21210</t>
  </si>
  <si>
    <t>aspartate-alanine antiporter</t>
  </si>
  <si>
    <t>aspT</t>
  </si>
  <si>
    <t>WP_036610880.1</t>
  </si>
  <si>
    <t>FQN59_RS21215</t>
  </si>
  <si>
    <t>WP_005862321.1</t>
  </si>
  <si>
    <t>FQN59_RS21220</t>
  </si>
  <si>
    <t>WP_008779872.1</t>
  </si>
  <si>
    <t>FQN59_RS21225</t>
  </si>
  <si>
    <t>PepSY domain-containing protein</t>
  </si>
  <si>
    <t>WP_211737852.1</t>
  </si>
  <si>
    <t>FQN59_RS21230</t>
  </si>
  <si>
    <t>precorrin-3B C(17)-methyltransferase</t>
  </si>
  <si>
    <t>cobJ</t>
  </si>
  <si>
    <t>WP_005862324.1</t>
  </si>
  <si>
    <t>FQN59_RS21235</t>
  </si>
  <si>
    <t>bifunctional cobalt-precorrin-7 (C(5))-methyltransferase/cobalt-precorrin-6B (C(15))-methyltransferase</t>
  </si>
  <si>
    <t>WP_057317050.1</t>
  </si>
  <si>
    <t>FQN59_RS21240</t>
  </si>
  <si>
    <t>precorrin-4 C(11)-methyltransferase</t>
  </si>
  <si>
    <t>cobM</t>
  </si>
  <si>
    <t>WP_211737854.1</t>
  </si>
  <si>
    <t>FQN59_RS21245</t>
  </si>
  <si>
    <t>cobalt-precorrin-5B (C(1))-methyltransferase CbiD</t>
  </si>
  <si>
    <t>cbiD</t>
  </si>
  <si>
    <t>WP_211737857.1</t>
  </si>
  <si>
    <t>FQN59_RS21250</t>
  </si>
  <si>
    <t>WP_122246462.1</t>
  </si>
  <si>
    <t>FQN59_RS21255</t>
  </si>
  <si>
    <t>bifunctional hydroxymethylpyrimidine kinase/phosphomethylpyrimidine kinase</t>
  </si>
  <si>
    <t>thiD</t>
  </si>
  <si>
    <t>WP_121961923.1</t>
  </si>
  <si>
    <t>FQN59_RS21260</t>
  </si>
  <si>
    <t>thiamine phosphate synthase</t>
  </si>
  <si>
    <t>WP_211737859.1</t>
  </si>
  <si>
    <t>FQN59_RS21265</t>
  </si>
  <si>
    <t>WP_211737861.1</t>
  </si>
  <si>
    <t>FQN59_RS21270</t>
  </si>
  <si>
    <t>phosphomethylpyrimidine synthase ThiC</t>
  </si>
  <si>
    <t>thiC</t>
  </si>
  <si>
    <t>WP_130882170.1</t>
  </si>
  <si>
    <t>FQN59_RS21275</t>
  </si>
  <si>
    <t>WP_005862333.1</t>
  </si>
  <si>
    <t>FQN59_RS21280</t>
  </si>
  <si>
    <t>2-hydroxyacid dehydrogenase</t>
  </si>
  <si>
    <t>WP_005862334.1</t>
  </si>
  <si>
    <t>FQN59_RS21285</t>
  </si>
  <si>
    <t>biosynthetic peptidoglycan transglycosylase</t>
  </si>
  <si>
    <t>WP_211737863.1</t>
  </si>
  <si>
    <t>FQN59_RS21290</t>
  </si>
  <si>
    <t>WP_122143827.1</t>
  </si>
  <si>
    <t>FQN59_RS21295</t>
  </si>
  <si>
    <t>WP_005857016.1</t>
  </si>
  <si>
    <t>FQN59_RS21300</t>
  </si>
  <si>
    <t>WP_211737865.1</t>
  </si>
  <si>
    <t>FQN59_RS21305</t>
  </si>
  <si>
    <t>WP_005862342.1</t>
  </si>
  <si>
    <t>FQN59_RS21310</t>
  </si>
  <si>
    <t>WP_005862344.1</t>
  </si>
  <si>
    <t>FQN59_RS21315</t>
  </si>
  <si>
    <t>UDP-glucuronic acid decarboxylase family protein</t>
  </si>
  <si>
    <t>WP_005862346.1</t>
  </si>
  <si>
    <t>FQN59_RS21320</t>
  </si>
  <si>
    <t>septal ring lytic transglycosylase RlpA family protein</t>
  </si>
  <si>
    <t>WP_005857026.1</t>
  </si>
  <si>
    <t>FQN59_RS21325</t>
  </si>
  <si>
    <t>cytochrome c peroxidase</t>
  </si>
  <si>
    <t>WP_009017426.1</t>
  </si>
  <si>
    <t>FQN59_RS21330</t>
  </si>
  <si>
    <t>LemA family protein</t>
  </si>
  <si>
    <t>WP_005857030.1</t>
  </si>
  <si>
    <t>FQN59_RS21335</t>
  </si>
  <si>
    <t>TPM domain-containing protein</t>
  </si>
  <si>
    <t>WP_005862349.1</t>
  </si>
  <si>
    <t>FQN59_RS21340</t>
  </si>
  <si>
    <t>complex I 24 kDa subunit family protein</t>
  </si>
  <si>
    <t>WP_005857033.1</t>
  </si>
  <si>
    <t>FQN59_RS21345</t>
  </si>
  <si>
    <t>NADH-dependent [FeFe] hydrogenase, group A6</t>
  </si>
  <si>
    <t>WP_005862352.1</t>
  </si>
  <si>
    <t>FQN59_RS21350</t>
  </si>
  <si>
    <t>NADH-ubiquinone oxidoreductase-F iron-sulfur binding region domain-containing protein</t>
  </si>
  <si>
    <t>WP_044546036.1</t>
  </si>
  <si>
    <t>FQN59_RS21355</t>
  </si>
  <si>
    <t>(2Fe-2S) ferredoxin domain-containing protein</t>
  </si>
  <si>
    <t>WP_044546039.1</t>
  </si>
  <si>
    <t>FQN59_RS21360</t>
  </si>
  <si>
    <t>WP_005857041.1</t>
  </si>
  <si>
    <t>FQN59_RS21365</t>
  </si>
  <si>
    <t>WP_057318744.1</t>
  </si>
  <si>
    <t>FQN59_RS21370</t>
  </si>
  <si>
    <t>WP_008772192.1</t>
  </si>
  <si>
    <t>FQN59_RS21375</t>
  </si>
  <si>
    <t>serine/threonine-protein kinase</t>
  </si>
  <si>
    <t>WP_211737867.1</t>
  </si>
  <si>
    <t>FQN59_RS21380</t>
  </si>
  <si>
    <t>WP_005862361.1</t>
  </si>
  <si>
    <t>FQN59_RS21385</t>
  </si>
  <si>
    <t>WP_057318741.1</t>
  </si>
  <si>
    <t>FQN59_RS21390</t>
  </si>
  <si>
    <t>WP_005857054.1</t>
  </si>
  <si>
    <t>FQN59_RS21395</t>
  </si>
  <si>
    <t>WP_005857056.1</t>
  </si>
  <si>
    <t>FQN59_RS21400</t>
  </si>
  <si>
    <t>WP_005857058.1</t>
  </si>
  <si>
    <t>FQN59_RS21405</t>
  </si>
  <si>
    <t>WP_005862364.1</t>
  </si>
  <si>
    <t>FQN59_RS21410</t>
  </si>
  <si>
    <t>pyruvate, phosphate dikinase</t>
  </si>
  <si>
    <t>ppdK</t>
  </si>
  <si>
    <t>WP_008772196.1</t>
  </si>
  <si>
    <t>FQN59_RS21415</t>
  </si>
  <si>
    <t>23S rRNA (uracil(1939)-C(5))-methyltransferase RlmD</t>
  </si>
  <si>
    <t>rlmD</t>
  </si>
  <si>
    <t>WP_122378602.1</t>
  </si>
  <si>
    <t>FQN59_RS21420</t>
  </si>
  <si>
    <t>transglycosylase SLT domain-containing protein</t>
  </si>
  <si>
    <t>WP_048927278.1</t>
  </si>
  <si>
    <t>FQN59_RS21425</t>
  </si>
  <si>
    <t>WP_048927277.1</t>
  </si>
  <si>
    <t>FQN59_RS21430</t>
  </si>
  <si>
    <t>YecH family metal-binding protein</t>
  </si>
  <si>
    <t>WP_048927276.1</t>
  </si>
  <si>
    <t>FQN59_RS21435</t>
  </si>
  <si>
    <t>WP_227154340.1</t>
  </si>
  <si>
    <t>FQN59_RS21440</t>
  </si>
  <si>
    <t>WP_350453580.1</t>
  </si>
  <si>
    <t>FQN59_RS22985</t>
  </si>
  <si>
    <t>DUF1622 domain-containing protein</t>
  </si>
  <si>
    <t>WP_005857075.1</t>
  </si>
  <si>
    <t>FQN59_RS21445</t>
  </si>
  <si>
    <t>WP_005862373.1</t>
  </si>
  <si>
    <t>FQN59_RS21450</t>
  </si>
  <si>
    <t>DUF2975 domain-containing protein</t>
  </si>
  <si>
    <t>WP_346345293.1</t>
  </si>
  <si>
    <t>FQN59_RS22675</t>
  </si>
  <si>
    <t>WP_211737869.1</t>
  </si>
  <si>
    <t>FQN59_RS21460</t>
  </si>
  <si>
    <t>WP_005862537.1</t>
  </si>
  <si>
    <t>FQN59_RS21465</t>
  </si>
  <si>
    <t>WP_249222478.1</t>
  </si>
  <si>
    <t>FQN59_RS21470</t>
  </si>
  <si>
    <t>BF2992 family fimbrillin-A clan protein</t>
  </si>
  <si>
    <t>WP_230328002.1</t>
  </si>
  <si>
    <t>FQN59_RS21475</t>
  </si>
  <si>
    <t>WP_227806139.1</t>
  </si>
  <si>
    <t>FQN59_RS21480</t>
  </si>
  <si>
    <t>WP_233572795.1</t>
  </si>
  <si>
    <t>FQN59_RS21485</t>
  </si>
  <si>
    <t>WP_249222479.1</t>
  </si>
  <si>
    <t>FQN59_RS21490</t>
  </si>
  <si>
    <t>WP_249222480.1</t>
  </si>
  <si>
    <t>FQN59_RS21495</t>
  </si>
  <si>
    <t>WP_211737873.1</t>
  </si>
  <si>
    <t>FQN59_RS21500</t>
  </si>
  <si>
    <t>WP_211737875.1</t>
  </si>
  <si>
    <t>FQN59_RS21505</t>
  </si>
  <si>
    <t>WP_048927270.1</t>
  </si>
  <si>
    <t>FQN59_RS21510</t>
  </si>
  <si>
    <t>WP_211737877.1</t>
  </si>
  <si>
    <t>FQN59_RS21515</t>
  </si>
  <si>
    <t>WP_122369347.1</t>
  </si>
  <si>
    <t>FQN59_RS21520</t>
  </si>
  <si>
    <t>WP_048927267.1</t>
  </si>
  <si>
    <t>FQN59_RS21525</t>
  </si>
  <si>
    <t>WP_370449960.1</t>
  </si>
  <si>
    <t>FQN59_RS21530</t>
  </si>
  <si>
    <t>WP_211737880.1</t>
  </si>
  <si>
    <t>FQN59_RS21535</t>
  </si>
  <si>
    <t>WP_249222481.1</t>
  </si>
  <si>
    <t>FQN59_RS21540</t>
  </si>
  <si>
    <t>FISUMP domain-containing protein</t>
  </si>
  <si>
    <t>WP_249222482.1</t>
  </si>
  <si>
    <t>FQN59_RS21545</t>
  </si>
  <si>
    <t>WP_211737883.1</t>
  </si>
  <si>
    <t>FQN59_RS21550</t>
  </si>
  <si>
    <t>WP_249222483.1</t>
  </si>
  <si>
    <t>FQN59_RS21555</t>
  </si>
  <si>
    <t>WP_008779842.1</t>
  </si>
  <si>
    <t>FQN59_RS21560</t>
  </si>
  <si>
    <t>WP_008772222.1</t>
  </si>
  <si>
    <t>FQN59_RS21565</t>
  </si>
  <si>
    <t>WP_211737885.1</t>
  </si>
  <si>
    <t>FQN59_RS21570</t>
  </si>
  <si>
    <t>precorrin-2 C(20)-methyltransferase</t>
  </si>
  <si>
    <t>WP_044546061.1</t>
  </si>
  <si>
    <t>FQN59_RS21575</t>
  </si>
  <si>
    <t>WP_048927265.1</t>
  </si>
  <si>
    <t>FQN59_RS21580</t>
  </si>
  <si>
    <t>formate--tetrahydrofolate ligase</t>
  </si>
  <si>
    <t>WP_005862573.1</t>
  </si>
  <si>
    <t>FQN59_RS21585</t>
  </si>
  <si>
    <t>proline--tRNA ligase</t>
  </si>
  <si>
    <t>proS</t>
  </si>
  <si>
    <t>WP_211737887.1</t>
  </si>
  <si>
    <t>FQN59_RS21590</t>
  </si>
  <si>
    <t>WP_048927263.1</t>
  </si>
  <si>
    <t>FQN59_RS21595</t>
  </si>
  <si>
    <t>WP_195602979.1</t>
  </si>
  <si>
    <t>FQN59_RS21600</t>
  </si>
  <si>
    <t>FQN59_RS21605</t>
  </si>
  <si>
    <t>HsmA family protein</t>
  </si>
  <si>
    <t>WP_048927261.1</t>
  </si>
  <si>
    <t>FQN59_RS21610</t>
  </si>
  <si>
    <t>WP_036615868.1</t>
  </si>
  <si>
    <t>FQN59_RS21615</t>
  </si>
  <si>
    <t>WP_211737889.1</t>
  </si>
  <si>
    <t>FQN59_RS21620</t>
  </si>
  <si>
    <t>WP_211737891.1</t>
  </si>
  <si>
    <t>FQN59_RS21625</t>
  </si>
  <si>
    <t>DUF3737 family protein</t>
  </si>
  <si>
    <t>WP_005862587.1</t>
  </si>
  <si>
    <t>FQN59_RS21630</t>
  </si>
  <si>
    <t>WP_087344547.1</t>
  </si>
  <si>
    <t>FQN59_RS21635</t>
  </si>
  <si>
    <t>WP_036615856.1</t>
  </si>
  <si>
    <t>FQN59_RS21640</t>
  </si>
  <si>
    <t>WP_211737893.1</t>
  </si>
  <si>
    <t>FQN59_RS21645</t>
  </si>
  <si>
    <t>glutaminase domain-containing protein</t>
  </si>
  <si>
    <t>WP_211737896.1</t>
  </si>
  <si>
    <t>FQN59_RS21650</t>
  </si>
  <si>
    <t>WP_057326552.1</t>
  </si>
  <si>
    <t>FQN59_RS21655</t>
  </si>
  <si>
    <t>WP_122144684.1</t>
  </si>
  <si>
    <t>FQN59_RS21660</t>
  </si>
  <si>
    <t>WP_005862599.1</t>
  </si>
  <si>
    <t>FQN59_RS21665</t>
  </si>
  <si>
    <t>WP_195283869.1</t>
  </si>
  <si>
    <t>FQN59_RS21670</t>
  </si>
  <si>
    <t>WP_211737898.1</t>
  </si>
  <si>
    <t>FQN59_RS21675</t>
  </si>
  <si>
    <t>WP_122144690.1</t>
  </si>
  <si>
    <t>FQN59_RS21680</t>
  </si>
  <si>
    <t>cysteine synthase A</t>
  </si>
  <si>
    <t>cysK</t>
  </si>
  <si>
    <t>WP_211737900.1</t>
  </si>
  <si>
    <t>FQN59_RS21685</t>
  </si>
  <si>
    <t>bifunctional histidinol-phosphatase/imidazoleglycerol-phosphate dehydratase HisB</t>
  </si>
  <si>
    <t>hisB</t>
  </si>
  <si>
    <t>WP_211737902.1</t>
  </si>
  <si>
    <t>FQN59_RS21690</t>
  </si>
  <si>
    <t>histidinol-phosphate transaminase</t>
  </si>
  <si>
    <t>hisC</t>
  </si>
  <si>
    <t>WP_211737904.1</t>
  </si>
  <si>
    <t>FQN59_RS21695</t>
  </si>
  <si>
    <t>histidinol dehydrogenase</t>
  </si>
  <si>
    <t>hisD</t>
  </si>
  <si>
    <t>WP_211737906.1</t>
  </si>
  <si>
    <t>FQN59_RS21700</t>
  </si>
  <si>
    <t>ATP phosphoribosyltransferase</t>
  </si>
  <si>
    <t>hisG</t>
  </si>
  <si>
    <t>WP_170105240.1</t>
  </si>
  <si>
    <t>FQN59_RS21705</t>
  </si>
  <si>
    <t>WP_005857198.1</t>
  </si>
  <si>
    <t>FQN59_RS21710</t>
  </si>
  <si>
    <t>WP_005862616.1</t>
  </si>
  <si>
    <t>FQN59_RS21715</t>
  </si>
  <si>
    <t>M1 family aminopeptidase</t>
  </si>
  <si>
    <t>WP_005862618.1</t>
  </si>
  <si>
    <t>FQN59_RS21720</t>
  </si>
  <si>
    <t>DUF4268 domain-containing protein</t>
  </si>
  <si>
    <t>WP_005857205.1</t>
  </si>
  <si>
    <t>FQN59_RS21725</t>
  </si>
  <si>
    <t>WP_211737908.1</t>
  </si>
  <si>
    <t>FQN59_RS21730</t>
  </si>
  <si>
    <t>WP_008772244.1</t>
  </si>
  <si>
    <t>FQN59_RS21735</t>
  </si>
  <si>
    <t>WP_196007507.1</t>
  </si>
  <si>
    <t>FQN59_RS21740</t>
  </si>
  <si>
    <t>WP_008772246.1</t>
  </si>
  <si>
    <t>FQN59_RS21745</t>
  </si>
  <si>
    <t>WP_034531272.1</t>
  </si>
  <si>
    <t>FQN59_RS21750</t>
  </si>
  <si>
    <t>SEL1-like repeat protein</t>
  </si>
  <si>
    <t>WP_087344500.1</t>
  </si>
  <si>
    <t>FQN59_RS21755</t>
  </si>
  <si>
    <t>M48 metallopeptidase family protein</t>
  </si>
  <si>
    <t>WP_211737910.1</t>
  </si>
  <si>
    <t>FQN59_RS21760</t>
  </si>
  <si>
    <t>WG repeat-containing protein</t>
  </si>
  <si>
    <t>WP_211737913.1</t>
  </si>
  <si>
    <t>FQN59_RS21765</t>
  </si>
  <si>
    <t>WP_211737915.1</t>
  </si>
  <si>
    <t>FQN59_RS21770</t>
  </si>
  <si>
    <t>WP_211737917.1</t>
  </si>
  <si>
    <t>FQN59_RS21775</t>
  </si>
  <si>
    <t>WP_087344484.1</t>
  </si>
  <si>
    <t>FQN59_RS21780</t>
  </si>
  <si>
    <t>WP_087344481.1</t>
  </si>
  <si>
    <t>FQN59_RS21785</t>
  </si>
  <si>
    <t>HNH endonuclease</t>
  </si>
  <si>
    <t>WP_087344480.1</t>
  </si>
  <si>
    <t>FQN59_RS21790</t>
  </si>
  <si>
    <t>WP_087344477.1</t>
  </si>
  <si>
    <t>FQN59_RS21795</t>
  </si>
  <si>
    <t>Hsp70 family protein</t>
  </si>
  <si>
    <t>WP_211737919.1</t>
  </si>
  <si>
    <t>FQN59_RS21800</t>
  </si>
  <si>
    <t>WP_211737921.1</t>
  </si>
  <si>
    <t>FQN59_RS21805</t>
  </si>
  <si>
    <t>FQN59_RS21810</t>
  </si>
  <si>
    <t>glycine zipper family protein</t>
  </si>
  <si>
    <t>WP_211737923.1</t>
  </si>
  <si>
    <t>FQN59_RS21815</t>
  </si>
  <si>
    <t>WP_087344467.1</t>
  </si>
  <si>
    <t>FQN59_RS21820</t>
  </si>
  <si>
    <t>WP_211737925.1</t>
  </si>
  <si>
    <t>FQN59_RS21825</t>
  </si>
  <si>
    <t>phospholipase D-like domain-containing protein</t>
  </si>
  <si>
    <t>WP_008772255.1</t>
  </si>
  <si>
    <t>FQN59_RS21830</t>
  </si>
  <si>
    <t>type II toxin-antitoxin system HigB family toxin</t>
  </si>
  <si>
    <t>WP_008772256.1</t>
  </si>
  <si>
    <t>FQN59_RS21835</t>
  </si>
  <si>
    <t>WP_034531284.1</t>
  </si>
  <si>
    <t>FQN59_RS21840</t>
  </si>
  <si>
    <t>FQN59_RS21845</t>
  </si>
  <si>
    <t>WP_008772259.1</t>
  </si>
  <si>
    <t>FQN59_RS21850</t>
  </si>
  <si>
    <t>WP_428846734.1</t>
  </si>
  <si>
    <t>FQN59_RS22990</t>
  </si>
  <si>
    <t>DUF1016 N-terminal domain-containing protein</t>
  </si>
  <si>
    <t>WP_428846735.1</t>
  </si>
  <si>
    <t>FQN59_RS22995</t>
  </si>
  <si>
    <t>WP_008772261.1</t>
  </si>
  <si>
    <t>FQN59_RS21860</t>
  </si>
  <si>
    <t>WP_232285137.1</t>
  </si>
  <si>
    <t>FQN59_RS22680</t>
  </si>
  <si>
    <t>WP_211737927.1</t>
  </si>
  <si>
    <t>FQN59_RS21870</t>
  </si>
  <si>
    <t>WP_008772265.1</t>
  </si>
  <si>
    <t>FQN59_RS21875</t>
  </si>
  <si>
    <t>WP_036615810.1</t>
  </si>
  <si>
    <t>FQN59_RS21880</t>
  </si>
  <si>
    <t>WP_008772267.1</t>
  </si>
  <si>
    <t>FQN59_RS21885</t>
  </si>
  <si>
    <t>WP_005862629.1</t>
  </si>
  <si>
    <t>FQN59_RS21890</t>
  </si>
  <si>
    <t>universal stress protein</t>
  </si>
  <si>
    <t>WP_005862634.1</t>
  </si>
  <si>
    <t>FQN59_RS21895</t>
  </si>
  <si>
    <t>WP_005857225.1</t>
  </si>
  <si>
    <t>FQN59_RS21900</t>
  </si>
  <si>
    <t>WP_057326541.1</t>
  </si>
  <si>
    <t>FQN59_RS21905</t>
  </si>
  <si>
    <t>WP_005862639.1</t>
  </si>
  <si>
    <t>FQN59_RS21910</t>
  </si>
  <si>
    <t>BatD family protein</t>
  </si>
  <si>
    <t>WP_005862640.1</t>
  </si>
  <si>
    <t>FQN59_RS21915</t>
  </si>
  <si>
    <t>WP_005862642.1</t>
  </si>
  <si>
    <t>FQN59_RS21920</t>
  </si>
  <si>
    <t>VWA domain-containing protein</t>
  </si>
  <si>
    <t>WP_005857235.1</t>
  </si>
  <si>
    <t>FQN59_RS21925</t>
  </si>
  <si>
    <t>vWA domain-containing protein</t>
  </si>
  <si>
    <t>WP_005862644.1</t>
  </si>
  <si>
    <t>FQN59_RS21930</t>
  </si>
  <si>
    <t>WP_005862646.1</t>
  </si>
  <si>
    <t>FQN59_RS21935</t>
  </si>
  <si>
    <t>DUF58 domain-containing protein</t>
  </si>
  <si>
    <t>WP_005857241.1</t>
  </si>
  <si>
    <t>FQN59_RS21940</t>
  </si>
  <si>
    <t>WP_005857243.1</t>
  </si>
  <si>
    <t>FQN59_RS21945</t>
  </si>
  <si>
    <t>WP_005862649.1</t>
  </si>
  <si>
    <t>FQN59_RS21950</t>
  </si>
  <si>
    <t>WP_008778384.1</t>
  </si>
  <si>
    <t>FQN59_RS21955</t>
  </si>
  <si>
    <t>30S ribosomal protein S12 methylthiotransferase RimO</t>
  </si>
  <si>
    <t>rimO</t>
  </si>
  <si>
    <t>WP_005862651.1</t>
  </si>
  <si>
    <t>FQN59_RS21960</t>
  </si>
  <si>
    <t>signal recognition particle-docking protein FtsY</t>
  </si>
  <si>
    <t>ftsY</t>
  </si>
  <si>
    <t>WP_005857252.1</t>
  </si>
  <si>
    <t>FQN59_RS21965</t>
  </si>
  <si>
    <t>WP_005862653.1</t>
  </si>
  <si>
    <t>FQN59_RS21970</t>
  </si>
  <si>
    <t>WP_005857256.1</t>
  </si>
  <si>
    <t>FQN59_RS21975</t>
  </si>
  <si>
    <t>carboxynorspermidine decarboxylase</t>
  </si>
  <si>
    <t>nspC</t>
  </si>
  <si>
    <t>WP_005862655.1</t>
  </si>
  <si>
    <t>FQN59_RS21980</t>
  </si>
  <si>
    <t>WP_005862657.1</t>
  </si>
  <si>
    <t>FQN59_RS21985</t>
  </si>
  <si>
    <t>WP_005862659.1</t>
  </si>
  <si>
    <t>FQN59_RS21990</t>
  </si>
  <si>
    <t>WP_005862663.1</t>
  </si>
  <si>
    <t>FQN59_RS21995</t>
  </si>
  <si>
    <t>WP_048927239.1</t>
  </si>
  <si>
    <t>FQN59_RS22000</t>
  </si>
  <si>
    <t>WP_005862667.1</t>
  </si>
  <si>
    <t>FQN59_RS22005</t>
  </si>
  <si>
    <t>WP_211737929.1</t>
  </si>
  <si>
    <t>FQN59_RS22010</t>
  </si>
  <si>
    <t>WP_048927237.1</t>
  </si>
  <si>
    <t>FQN59_RS22015</t>
  </si>
  <si>
    <t>WP_121961027.1</t>
  </si>
  <si>
    <t>FQN59_RS22020</t>
  </si>
  <si>
    <t>penicillin-binding protein 1C</t>
  </si>
  <si>
    <t>pbpC</t>
  </si>
  <si>
    <t>WP_122382278.1</t>
  </si>
  <si>
    <t>FQN59_RS22025</t>
  </si>
  <si>
    <t>alpha-amylase</t>
  </si>
  <si>
    <t>WP_122297250.1</t>
  </si>
  <si>
    <t>FQN59_RS22030</t>
  </si>
  <si>
    <t>WP_057327524.1</t>
  </si>
  <si>
    <t>FQN59_RS22035</t>
  </si>
  <si>
    <t>GlsB/YeaQ/YmgE family stress response membrane protein</t>
  </si>
  <si>
    <t>WP_005857281.1</t>
  </si>
  <si>
    <t>FQN59_RS22040</t>
  </si>
  <si>
    <t>Na+/H+ antiporter NhaA</t>
  </si>
  <si>
    <t>nhaA</t>
  </si>
  <si>
    <t>WP_005857282.1</t>
  </si>
  <si>
    <t>FQN59_RS22045</t>
  </si>
  <si>
    <t>WP_005862684.1</t>
  </si>
  <si>
    <t>FQN59_RS22050</t>
  </si>
  <si>
    <t>IMPACT family protein</t>
  </si>
  <si>
    <t>WP_005862686.1</t>
  </si>
  <si>
    <t>FQN59_RS22055</t>
  </si>
  <si>
    <t>WP_005857287.1</t>
  </si>
  <si>
    <t>FQN59_RS22060</t>
  </si>
  <si>
    <t>WP_005862688.1</t>
  </si>
  <si>
    <t>FQN59_RS22065</t>
  </si>
  <si>
    <t>WP_211737931.1</t>
  </si>
  <si>
    <t>FQN59_RS22070</t>
  </si>
  <si>
    <t>putative glutamine/gamma-aminobutyrate antiporter GadC</t>
  </si>
  <si>
    <t>gadC</t>
  </si>
  <si>
    <t>WP_005857294.1</t>
  </si>
  <si>
    <t>FQN59_RS22075</t>
  </si>
  <si>
    <t>WP_005857296.1</t>
  </si>
  <si>
    <t>FQN59_RS22080</t>
  </si>
  <si>
    <t>DUF4435 domain-containing protein</t>
  </si>
  <si>
    <t>WP_022192595.1</t>
  </si>
  <si>
    <t>FQN59_RS22085</t>
  </si>
  <si>
    <t>ArnT family glycosyltransferase</t>
  </si>
  <si>
    <t>WP_057326526.1</t>
  </si>
  <si>
    <t>FQN59_RS22090</t>
  </si>
  <si>
    <t>anaerobic sulfatase-maturation protein</t>
  </si>
  <si>
    <t>WP_211737933.1</t>
  </si>
  <si>
    <t>FQN59_RS22095</t>
  </si>
  <si>
    <t>TldD/PmbA family protein</t>
  </si>
  <si>
    <t>WP_008772291.1</t>
  </si>
  <si>
    <t>FQN59_RS22100</t>
  </si>
  <si>
    <t>WP_005862700.1</t>
  </si>
  <si>
    <t>FQN59_RS22105</t>
  </si>
  <si>
    <t>PAQR family membrane homeostasis protein TrhA</t>
  </si>
  <si>
    <t>trhA</t>
  </si>
  <si>
    <t>WP_009275107.1</t>
  </si>
  <si>
    <t>FQN59_RS22110</t>
  </si>
  <si>
    <t>heavy-metal-associated domain-containing protein</t>
  </si>
  <si>
    <t>WP_005857310.1</t>
  </si>
  <si>
    <t>FQN59_RS22115</t>
  </si>
  <si>
    <t>WP_211737935.1</t>
  </si>
  <si>
    <t>FQN59_RS22120</t>
  </si>
  <si>
    <t>YhcH/YjgK/YiaL family protein</t>
  </si>
  <si>
    <t>WP_005857314.1</t>
  </si>
  <si>
    <t>FQN59_RS22125</t>
  </si>
  <si>
    <t>WP_005857316.1</t>
  </si>
  <si>
    <t>FQN59_RS22130</t>
  </si>
  <si>
    <t>M24 family metallopeptidase</t>
  </si>
  <si>
    <t>WP_057318726.1</t>
  </si>
  <si>
    <t>FQN59_RS22135</t>
  </si>
  <si>
    <t>WP_122144662.1</t>
  </si>
  <si>
    <t>FQN59_RS22140</t>
  </si>
  <si>
    <t>aspartate carbamoyltransferase</t>
  </si>
  <si>
    <t>pyrB</t>
  </si>
  <si>
    <t>WP_005857322.1</t>
  </si>
  <si>
    <t>FQN59_RS22145</t>
  </si>
  <si>
    <t>aspartate carbamoyltransferase regulatory subunit</t>
  </si>
  <si>
    <t>pyrI</t>
  </si>
  <si>
    <t>WP_005857324.1</t>
  </si>
  <si>
    <t>FQN59_RS22150</t>
  </si>
  <si>
    <t>WP_005862715.1</t>
  </si>
  <si>
    <t>FQN59_RS22155</t>
  </si>
  <si>
    <t>WP_005857327.1</t>
  </si>
  <si>
    <t>FQN59_RS22160</t>
  </si>
  <si>
    <t>WP_122145096.1</t>
  </si>
  <si>
    <t>FQN59_RS22165</t>
  </si>
  <si>
    <t>phenylalanine--tRNA ligase subunit alpha</t>
  </si>
  <si>
    <t>pheS</t>
  </si>
  <si>
    <t>WP_005857329.1</t>
  </si>
  <si>
    <t>FQN59_RS22170</t>
  </si>
  <si>
    <t>fluoride efflux transporter CrcB</t>
  </si>
  <si>
    <t>crcB</t>
  </si>
  <si>
    <t>WP_008779782.1</t>
  </si>
  <si>
    <t>FQN59_RS22175</t>
  </si>
  <si>
    <t>WP_196008680.1</t>
  </si>
  <si>
    <t>FQN59_RS22180</t>
  </si>
  <si>
    <t>WP_211737938.1</t>
  </si>
  <si>
    <t>FQN59_RS22185</t>
  </si>
  <si>
    <t>WP_005857332.1</t>
  </si>
  <si>
    <t>FQN59_RS22190</t>
  </si>
  <si>
    <t>WP_008778387.1</t>
  </si>
  <si>
    <t>FQN59_RS22195</t>
  </si>
  <si>
    <t>WP_211737940.1</t>
  </si>
  <si>
    <t>FQN59_RS22200</t>
  </si>
  <si>
    <t>WP_211737942.1</t>
  </si>
  <si>
    <t>FQN59_RS22205</t>
  </si>
  <si>
    <t>WP_157304443.1</t>
  </si>
  <si>
    <t>FQN59_RS22210</t>
  </si>
  <si>
    <t>WP_211737944.1</t>
  </si>
  <si>
    <t>FQN59_RS22215</t>
  </si>
  <si>
    <t>oligosaccharide repeat unit polymerase</t>
  </si>
  <si>
    <t>wzy</t>
  </si>
  <si>
    <t>WP_211737946.1</t>
  </si>
  <si>
    <t>FQN59_RS22220</t>
  </si>
  <si>
    <t>glycosyltransferase family 8 protein</t>
  </si>
  <si>
    <t>WP_051635696.1</t>
  </si>
  <si>
    <t>FQN59_RS22225</t>
  </si>
  <si>
    <t>WP_195319919.1</t>
  </si>
  <si>
    <t>FQN59_RS22230</t>
  </si>
  <si>
    <t>WP_036614956.1</t>
  </si>
  <si>
    <t>FQN59_RS22235</t>
  </si>
  <si>
    <t>WP_036614952.1</t>
  </si>
  <si>
    <t>FQN59_RS22240</t>
  </si>
  <si>
    <t>WP_211737948.1</t>
  </si>
  <si>
    <t>FQN59_RS22245</t>
  </si>
  <si>
    <t>WP_036614948.1</t>
  </si>
  <si>
    <t>FQN59_RS22250</t>
  </si>
  <si>
    <t>WP_195319917.1</t>
  </si>
  <si>
    <t>FQN59_RS22255</t>
  </si>
  <si>
    <t>WP_249222484.1</t>
  </si>
  <si>
    <t>FQN59_RS22685</t>
  </si>
  <si>
    <t>WP_249222485.1</t>
  </si>
  <si>
    <t>FQN59_RS22690</t>
  </si>
  <si>
    <t>WP_211737950.1</t>
  </si>
  <si>
    <t>FQN59_RS22265</t>
  </si>
  <si>
    <t>WP_211737952.1</t>
  </si>
  <si>
    <t>FQN59_RS22270</t>
  </si>
  <si>
    <t>WP_057318724.1</t>
  </si>
  <si>
    <t>FQN59_RS22275</t>
  </si>
  <si>
    <t>WP_005857347.1</t>
  </si>
  <si>
    <t>FQN59_RS22280</t>
  </si>
  <si>
    <t>FQN59_RS22285</t>
  </si>
  <si>
    <t>FQN59_RS22290</t>
  </si>
  <si>
    <t>WP_249222486.1</t>
  </si>
  <si>
    <t>FQN59_RS22295</t>
  </si>
  <si>
    <t>DUF6169 family protein</t>
  </si>
  <si>
    <t>WP_005862747.1</t>
  </si>
  <si>
    <t>FQN59_RS22300</t>
  </si>
  <si>
    <t>WP_005862749.1</t>
  </si>
  <si>
    <t>FQN59_RS22305</t>
  </si>
  <si>
    <t>FQN59_RS22310</t>
  </si>
  <si>
    <t>WP_211737955.1</t>
  </si>
  <si>
    <t>FQN59_RS22315</t>
  </si>
  <si>
    <t>FQN59_RS22320</t>
  </si>
  <si>
    <t>WP_057319464.1</t>
  </si>
  <si>
    <t>FQN59_RS22325</t>
  </si>
  <si>
    <t>DUF4934 domain-containing protein</t>
  </si>
  <si>
    <t>WP_249222487.1</t>
  </si>
  <si>
    <t>FQN59_RS22695</t>
  </si>
  <si>
    <t>FQN59_RS22335</t>
  </si>
  <si>
    <t>WP_211737959.1</t>
  </si>
  <si>
    <t>FQN59_RS22340</t>
  </si>
  <si>
    <t>WP_211737961.1</t>
  </si>
  <si>
    <t>FQN59_RS22345</t>
  </si>
  <si>
    <t>WP_211737964.1</t>
  </si>
  <si>
    <t>FQN59_RS22350</t>
  </si>
  <si>
    <t>WP_211737966.1</t>
  </si>
  <si>
    <t>FQN59_RS22355</t>
  </si>
  <si>
    <t>DUF6088 family protein</t>
  </si>
  <si>
    <t>WP_211737968.1</t>
  </si>
  <si>
    <t>FQN59_RS22360</t>
  </si>
  <si>
    <t>WP_211737970.1</t>
  </si>
  <si>
    <t>FQN59_RS22365</t>
  </si>
  <si>
    <t>WP_211737972.1</t>
  </si>
  <si>
    <t>FQN59_RS22370</t>
  </si>
  <si>
    <t>WP_211737974.1</t>
  </si>
  <si>
    <t>FQN59_RS22375</t>
  </si>
  <si>
    <t>WP_032597386.1</t>
  </si>
  <si>
    <t>FQN59_RS22380</t>
  </si>
  <si>
    <t>WP_211737976.1</t>
  </si>
  <si>
    <t>FQN59_RS22385</t>
  </si>
  <si>
    <t>WP_249222489.1</t>
  </si>
  <si>
    <t>FQN59_RS22700</t>
  </si>
  <si>
    <t>WP_249222490.1</t>
  </si>
  <si>
    <t>FQN59_RS22705</t>
  </si>
  <si>
    <t>plasmid mobilization protein</t>
  </si>
  <si>
    <t>WP_211737980.1</t>
  </si>
  <si>
    <t>FQN59_RS22395</t>
  </si>
  <si>
    <t>relaxase</t>
  </si>
  <si>
    <t>WP_211737982.1</t>
  </si>
  <si>
    <t>FQN59_RS22400</t>
  </si>
  <si>
    <t>WP_211737984.1</t>
  </si>
  <si>
    <t>FQN59_RS22405</t>
  </si>
  <si>
    <t>WP_211737986.1</t>
  </si>
  <si>
    <t>FQN59_RS22410</t>
  </si>
  <si>
    <t>Parabacteroides distasonis</t>
  </si>
  <si>
    <t>5.3 Mb</t>
  </si>
  <si>
    <t xml:space="preserve">	2</t>
  </si>
  <si>
    <t>Complete Genome</t>
  </si>
  <si>
    <t>CP042285.1</t>
  </si>
  <si>
    <t xml:space="preserve">C00860 * C00003 * C00001 </t>
  </si>
  <si>
    <t>C00003 * C00039 * C02128</t>
  </si>
  <si>
    <t xml:space="preserve"> C00020 + C00455 + C00039</t>
  </si>
  <si>
    <t xml:space="preserve"> C00020 * C00455 * C00039</t>
  </si>
  <si>
    <t>C00002 * C00133</t>
  </si>
  <si>
    <t>C00002 + C00133</t>
  </si>
  <si>
    <t>C00002 + C03479 + C00080</t>
  </si>
  <si>
    <t xml:space="preserve">C00440 + C00003 </t>
  </si>
  <si>
    <t xml:space="preserve">C00440 * C00003 </t>
  </si>
  <si>
    <t xml:space="preserve"> C05684 + C00005 + C00080</t>
  </si>
  <si>
    <t>C16519 + C00011 + C16519 + C00011</t>
  </si>
  <si>
    <t xml:space="preserve"> C01222 * C00001</t>
  </si>
  <si>
    <t xml:space="preserve"> C01222 + C00001</t>
  </si>
  <si>
    <t>C00002 * C03479 * C00080</t>
  </si>
  <si>
    <t xml:space="preserve">C00019 * C01977 </t>
  </si>
  <si>
    <t xml:space="preserve">C22441 * C00002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</si>
</sst>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12121"/>
      <name val="Helvetica Neue"/>
      <family val="2"/>
    </font>
    <font>
      <sz val="11"/>
      <color rgb="FF323A45"/>
      <name val="Helvetica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3399"/>
      <name val="Consolas"/>
      <family val="2"/>
    </font>
    <font>
      <sz val="11"/>
      <color rgb="FF000000"/>
      <name val="Consolas"/>
      <family val="2"/>
    </font>
    <font>
      <sz val="11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3399"/>
      <name val="Aptos Display"/>
      <family val="2"/>
      <scheme val="major"/>
    </font>
    <font>
      <sz val="12"/>
      <color rgb="FF003399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Display"/>
      <family val="2"/>
    </font>
    <font>
      <sz val="11"/>
      <color rgb="FF003399"/>
      <name val="Aptos Display"/>
      <family val="2"/>
    </font>
    <font>
      <sz val="11"/>
      <color rgb="FF000000"/>
      <name val="Aptos Narrow"/>
      <family val="2"/>
      <scheme val="minor"/>
    </font>
    <font>
      <sz val="11"/>
      <color rgb="FF003399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</font>
    <font>
      <sz val="12"/>
      <color rgb="FF003399"/>
      <name val="Aptos Display"/>
      <family val="2"/>
      <scheme val="major"/>
    </font>
    <font>
      <u/>
      <sz val="12"/>
      <color theme="10"/>
      <name val="Aptos Display"/>
      <family val="2"/>
      <scheme val="major"/>
    </font>
    <font>
      <u/>
      <sz val="12"/>
      <color theme="1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1F1F1"/>
      </top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19" fillId="0" borderId="0" xfId="42"/>
    <xf numFmtId="0" fontId="19" fillId="0" borderId="0" xfId="42" applyAlignment="1">
      <alignment horizontal="left"/>
    </xf>
    <xf numFmtId="0" fontId="20" fillId="0" borderId="0" xfId="0" applyFont="1"/>
    <xf numFmtId="0" fontId="21" fillId="0" borderId="10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1" fillId="0" borderId="0" xfId="0" applyFont="1" applyAlignment="1">
      <alignment vertical="top"/>
    </xf>
    <xf numFmtId="0" fontId="21" fillId="0" borderId="10" xfId="0" applyFont="1" applyBorder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/>
    </xf>
    <xf numFmtId="0" fontId="24" fillId="0" borderId="0" xfId="0" applyFont="1"/>
    <xf numFmtId="0" fontId="25" fillId="0" borderId="0" xfId="42" applyFont="1"/>
    <xf numFmtId="0" fontId="26" fillId="0" borderId="0" xfId="0" applyFont="1"/>
    <xf numFmtId="0" fontId="28" fillId="0" borderId="0" xfId="0" applyFont="1"/>
    <xf numFmtId="0" fontId="29" fillId="0" borderId="0" xfId="42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24" fillId="0" borderId="0" xfId="0" applyFont="1" applyAlignment="1">
      <alignment wrapText="1"/>
    </xf>
    <xf numFmtId="0" fontId="37" fillId="0" borderId="0" xfId="0" applyFont="1"/>
    <xf numFmtId="0" fontId="38" fillId="0" borderId="0" xfId="0" applyFont="1"/>
    <xf numFmtId="0" fontId="28" fillId="0" borderId="0" xfId="42" applyFont="1"/>
    <xf numFmtId="0" fontId="19" fillId="0" borderId="0" xfId="42" applyFill="1"/>
    <xf numFmtId="0" fontId="40" fillId="0" borderId="0" xfId="0" applyFont="1"/>
    <xf numFmtId="0" fontId="0" fillId="33" borderId="0" xfId="0" applyFill="1"/>
    <xf numFmtId="0" fontId="19" fillId="33" borderId="0" xfId="42" applyFill="1"/>
    <xf numFmtId="0" fontId="24" fillId="33" borderId="0" xfId="0" applyFont="1" applyFill="1"/>
    <xf numFmtId="0" fontId="28" fillId="33" borderId="0" xfId="0" applyFont="1" applyFill="1"/>
    <xf numFmtId="0" fontId="41" fillId="0" borderId="0" xfId="0" applyFont="1"/>
    <xf numFmtId="0" fontId="42" fillId="0" borderId="0" xfId="0" applyFont="1" applyAlignment="1">
      <alignment wrapText="1"/>
    </xf>
    <xf numFmtId="0" fontId="34" fillId="34" borderId="0" xfId="0" applyFont="1" applyFill="1"/>
    <xf numFmtId="0" fontId="43" fillId="0" borderId="0" xfId="0" applyFont="1"/>
    <xf numFmtId="0" fontId="42" fillId="35" borderId="0" xfId="0" applyFont="1" applyFill="1" applyAlignment="1">
      <alignment wrapText="1"/>
    </xf>
    <xf numFmtId="0" fontId="42" fillId="36" borderId="0" xfId="0" applyFont="1" applyFill="1" applyAlignment="1">
      <alignment wrapText="1"/>
    </xf>
    <xf numFmtId="0" fontId="42" fillId="37" borderId="0" xfId="0" applyFont="1" applyFill="1" applyAlignment="1">
      <alignment wrapText="1"/>
    </xf>
    <xf numFmtId="0" fontId="42" fillId="38" borderId="0" xfId="0" applyFont="1" applyFill="1" applyAlignment="1">
      <alignment wrapText="1"/>
    </xf>
    <xf numFmtId="0" fontId="42" fillId="39" borderId="0" xfId="0" applyFont="1" applyFill="1" applyAlignment="1">
      <alignment wrapText="1"/>
    </xf>
    <xf numFmtId="0" fontId="42" fillId="40" borderId="0" xfId="0" applyFont="1" applyFill="1" applyAlignment="1">
      <alignment wrapText="1"/>
    </xf>
    <xf numFmtId="0" fontId="42" fillId="41" borderId="0" xfId="0" applyFont="1" applyFill="1" applyAlignment="1">
      <alignment wrapText="1"/>
    </xf>
    <xf numFmtId="0" fontId="42" fillId="42" borderId="0" xfId="0" applyFont="1" applyFill="1" applyAlignment="1">
      <alignment wrapText="1"/>
    </xf>
    <xf numFmtId="0" fontId="42" fillId="0" borderId="0" xfId="0" applyFont="1"/>
    <xf numFmtId="0" fontId="42" fillId="40" borderId="0" xfId="0" applyFont="1" applyFill="1"/>
    <xf numFmtId="0" fontId="42" fillId="43" borderId="0" xfId="0" applyFont="1" applyFill="1"/>
    <xf numFmtId="0" fontId="17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42" applyFont="1"/>
    <xf numFmtId="0" fontId="41" fillId="0" borderId="0" xfId="0" applyFont="1" applyAlignment="1">
      <alignment wrapText="1"/>
    </xf>
    <xf numFmtId="0" fontId="48" fillId="0" borderId="0" xfId="42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/>
    </xf>
    <xf numFmtId="0" fontId="19" fillId="0" borderId="0" xfId="42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43" borderId="0" xfId="0" applyFill="1"/>
    <xf numFmtId="0" fontId="0" fillId="40" borderId="0" xfId="0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datasets/genome/GCF_018279895.1/" TargetMode="External"/><Relationship Id="rId2" Type="http://schemas.openxmlformats.org/officeDocument/2006/relationships/hyperlink" Target="https://www.ncbi.nlm.nih.gov/nuccore/NZ_CP042285.1/" TargetMode="External"/><Relationship Id="rId1" Type="http://schemas.openxmlformats.org/officeDocument/2006/relationships/hyperlink" Target="https://www.ncbi.nlm.nih.gov/nuccore/NZ_CP042285.1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zyme.expasy.org/EC/2.1.1.182" TargetMode="External"/><Relationship Id="rId671" Type="http://schemas.openxmlformats.org/officeDocument/2006/relationships/hyperlink" Target="https://enzyme.expasy.org/EC/3.2.1.21" TargetMode="External"/><Relationship Id="rId769" Type="http://schemas.openxmlformats.org/officeDocument/2006/relationships/hyperlink" Target="https://enzyme.expasy.org/EC/2.7.7.7" TargetMode="External"/><Relationship Id="rId976" Type="http://schemas.openxmlformats.org/officeDocument/2006/relationships/hyperlink" Target="https://www.kegg.jp/entry/R00847" TargetMode="External"/><Relationship Id="rId21" Type="http://schemas.openxmlformats.org/officeDocument/2006/relationships/hyperlink" Target="https://enzyme.expasy.org/EC/1.7.2.2" TargetMode="External"/><Relationship Id="rId324" Type="http://schemas.openxmlformats.org/officeDocument/2006/relationships/hyperlink" Target="https://enzyme.expasy.org/EC/3.6.5.n1" TargetMode="External"/><Relationship Id="rId531" Type="http://schemas.openxmlformats.org/officeDocument/2006/relationships/hyperlink" Target="https://enzyme.expasy.org/EC/1.2.1.88" TargetMode="External"/><Relationship Id="rId629" Type="http://schemas.openxmlformats.org/officeDocument/2006/relationships/hyperlink" Target="https://enzyme.expasy.org/EC/2.3.1.179" TargetMode="External"/><Relationship Id="rId170" Type="http://schemas.openxmlformats.org/officeDocument/2006/relationships/hyperlink" Target="https://enzyme.expasy.org/EC/2.7.7.3" TargetMode="External"/><Relationship Id="rId836" Type="http://schemas.openxmlformats.org/officeDocument/2006/relationships/hyperlink" Target="https://www.kegg.jp/entry/R00260" TargetMode="External"/><Relationship Id="rId1021" Type="http://schemas.openxmlformats.org/officeDocument/2006/relationships/hyperlink" Target="https://enzyme.expasy.org/EC/2.7.4.6" TargetMode="External"/><Relationship Id="rId1119" Type="http://schemas.openxmlformats.org/officeDocument/2006/relationships/hyperlink" Target="https://www.kegg.jp/entry/R00897/R03601/R04859/R07274" TargetMode="External"/><Relationship Id="rId268" Type="http://schemas.openxmlformats.org/officeDocument/2006/relationships/hyperlink" Target="https://enzyme.expasy.org/EC/1.4.1.13" TargetMode="External"/><Relationship Id="rId475" Type="http://schemas.openxmlformats.org/officeDocument/2006/relationships/hyperlink" Target="https://www.kegg.jp/entry/R01016" TargetMode="External"/><Relationship Id="rId682" Type="http://schemas.openxmlformats.org/officeDocument/2006/relationships/hyperlink" Target="https://enzyme.expasy.org/EC/3.2.1.21" TargetMode="External"/><Relationship Id="rId903" Type="http://schemas.openxmlformats.org/officeDocument/2006/relationships/hyperlink" Target="https://www.kegg.jp/entry/R02740/R00771/R02739/R03321/R13199" TargetMode="External"/><Relationship Id="rId32" Type="http://schemas.openxmlformats.org/officeDocument/2006/relationships/hyperlink" Target="https://enzyme.expasy.org/EC/2.3.1.245" TargetMode="External"/><Relationship Id="rId128" Type="http://schemas.openxmlformats.org/officeDocument/2006/relationships/hyperlink" Target="https://enzyme.expasy.org/EC/3.6.4.12" TargetMode="External"/><Relationship Id="rId335" Type="http://schemas.openxmlformats.org/officeDocument/2006/relationships/hyperlink" Target="https://enzyme.expasy.org/EC/2.5.1.17" TargetMode="External"/><Relationship Id="rId542" Type="http://schemas.openxmlformats.org/officeDocument/2006/relationships/hyperlink" Target="https://enzyme.expasy.org/EC/2.7.7.6" TargetMode="External"/><Relationship Id="rId987" Type="http://schemas.openxmlformats.org/officeDocument/2006/relationships/hyperlink" Target="https://www.kegg.jp/entry/R02016/R00900/R03596/R09372" TargetMode="External"/><Relationship Id="rId181" Type="http://schemas.openxmlformats.org/officeDocument/2006/relationships/hyperlink" Target="https://enzyme.expasy.org/EC/3.4.21.89" TargetMode="External"/><Relationship Id="rId402" Type="http://schemas.openxmlformats.org/officeDocument/2006/relationships/hyperlink" Target="https://www.kegg.jp/dbget-bin/www_bget?ec:2.7.10.2" TargetMode="External"/><Relationship Id="rId847" Type="http://schemas.openxmlformats.org/officeDocument/2006/relationships/hyperlink" Target="https://www.kegg.jp/entry/R01532/R00087/R00426/R00515/R00662/R11323/R00103/R00160/R00287/R03004/R03036" TargetMode="External"/><Relationship Id="rId1032" Type="http://schemas.openxmlformats.org/officeDocument/2006/relationships/hyperlink" Target="https://www.kegg.jp/entry/R05838" TargetMode="External"/><Relationship Id="rId279" Type="http://schemas.openxmlformats.org/officeDocument/2006/relationships/hyperlink" Target="https://enzyme.expasy.org/EC/5.1.3.1" TargetMode="External"/><Relationship Id="rId486" Type="http://schemas.openxmlformats.org/officeDocument/2006/relationships/hyperlink" Target="https://enzyme.expasy.org/EC/2.2.1.6" TargetMode="External"/><Relationship Id="rId693" Type="http://schemas.openxmlformats.org/officeDocument/2006/relationships/hyperlink" Target="https://enzyme.expasy.org/EC/3.2.1.21" TargetMode="External"/><Relationship Id="rId707" Type="http://schemas.openxmlformats.org/officeDocument/2006/relationships/hyperlink" Target="https://enzyme.expasy.org/EC/3.2.1.21" TargetMode="External"/><Relationship Id="rId914" Type="http://schemas.openxmlformats.org/officeDocument/2006/relationships/hyperlink" Target="https://enzyme.expasy.org/EC/5.1.99.1" TargetMode="External"/><Relationship Id="rId43" Type="http://schemas.openxmlformats.org/officeDocument/2006/relationships/hyperlink" Target="https://enzyme.expasy.org/EC/2.1.2.3" TargetMode="External"/><Relationship Id="rId139" Type="http://schemas.openxmlformats.org/officeDocument/2006/relationships/hyperlink" Target="https://enzyme.expasy.org/EC/3.4.21.89" TargetMode="External"/><Relationship Id="rId346" Type="http://schemas.openxmlformats.org/officeDocument/2006/relationships/hyperlink" Target="https://enzyme.expasy.org/EC/5.4.4.2" TargetMode="External"/><Relationship Id="rId553" Type="http://schemas.openxmlformats.org/officeDocument/2006/relationships/hyperlink" Target="https://enzyme.expasy.org/EC/4.2.1.11" TargetMode="External"/><Relationship Id="rId760" Type="http://schemas.openxmlformats.org/officeDocument/2006/relationships/hyperlink" Target="https://www.kegg.jp/entry/R00379/R00375/R00376/R00377/R00378/R11029" TargetMode="External"/><Relationship Id="rId998" Type="http://schemas.openxmlformats.org/officeDocument/2006/relationships/hyperlink" Target="https://enzyme.expasy.org/EC/2.6.1.52" TargetMode="External"/><Relationship Id="rId192" Type="http://schemas.openxmlformats.org/officeDocument/2006/relationships/hyperlink" Target="https://enzyme.expasy.org/EC/3.1.26.4" TargetMode="External"/><Relationship Id="rId206" Type="http://schemas.openxmlformats.org/officeDocument/2006/relationships/hyperlink" Target="https://enzyme.expasy.org/EC/3.5.4.26" TargetMode="External"/><Relationship Id="rId413" Type="http://schemas.openxmlformats.org/officeDocument/2006/relationships/hyperlink" Target="https://enzyme.expasy.org/EC/5.4.2.11" TargetMode="External"/><Relationship Id="rId858" Type="http://schemas.openxmlformats.org/officeDocument/2006/relationships/hyperlink" Target="https://enzyme.expasy.org/EC/3.6.1.9" TargetMode="External"/><Relationship Id="rId1043" Type="http://schemas.openxmlformats.org/officeDocument/2006/relationships/hyperlink" Target="https://enzyme.expasy.org/EC/1.1.1.100" TargetMode="External"/><Relationship Id="rId497" Type="http://schemas.openxmlformats.org/officeDocument/2006/relationships/hyperlink" Target="https://enzyme.expasy.org/EC/2.2.1.6" TargetMode="External"/><Relationship Id="rId620" Type="http://schemas.openxmlformats.org/officeDocument/2006/relationships/hyperlink" Target="https://enzyme.expasy.org/EC/2.7.7.8" TargetMode="External"/><Relationship Id="rId718" Type="http://schemas.openxmlformats.org/officeDocument/2006/relationships/hyperlink" Target="https://enzyme.expasy.org/EC/5.3.1.12" TargetMode="External"/><Relationship Id="rId925" Type="http://schemas.openxmlformats.org/officeDocument/2006/relationships/hyperlink" Target="https://enzyme.expasy.org/EC/2.1.2.10" TargetMode="External"/><Relationship Id="rId357" Type="http://schemas.openxmlformats.org/officeDocument/2006/relationships/hyperlink" Target="https://enzyme.expasy.org/EC/2.1.1.133" TargetMode="External"/><Relationship Id="rId1110" Type="http://schemas.openxmlformats.org/officeDocument/2006/relationships/hyperlink" Target="https://www.kegg.jp/entry/R05181" TargetMode="External"/><Relationship Id="rId54" Type="http://schemas.openxmlformats.org/officeDocument/2006/relationships/hyperlink" Target="https://enzyme.expasy.org/EC/5.3.1.16" TargetMode="External"/><Relationship Id="rId217" Type="http://schemas.openxmlformats.org/officeDocument/2006/relationships/hyperlink" Target="https://enzyme.expasy.org/EC/3.6.1.1" TargetMode="External"/><Relationship Id="rId564" Type="http://schemas.openxmlformats.org/officeDocument/2006/relationships/hyperlink" Target="https://www.kegg.jp/entry/R03503" TargetMode="External"/><Relationship Id="rId771" Type="http://schemas.openxmlformats.org/officeDocument/2006/relationships/hyperlink" Target="https://enzyme.expasy.org/EC/2.7.7.7" TargetMode="External"/><Relationship Id="rId869" Type="http://schemas.openxmlformats.org/officeDocument/2006/relationships/hyperlink" Target="https://www.kegg.jp/entry/R00248/R00145/R00146" TargetMode="External"/><Relationship Id="rId424" Type="http://schemas.openxmlformats.org/officeDocument/2006/relationships/hyperlink" Target="https://enzyme.expasy.org/EC/6.3.5.5" TargetMode="External"/><Relationship Id="rId631" Type="http://schemas.openxmlformats.org/officeDocument/2006/relationships/hyperlink" Target="https://enzyme.expasy.org/EC/2.3.1.179" TargetMode="External"/><Relationship Id="rId729" Type="http://schemas.openxmlformats.org/officeDocument/2006/relationships/hyperlink" Target="https://enzyme.expasy.org/EC/6.3.5.5" TargetMode="External"/><Relationship Id="rId1054" Type="http://schemas.openxmlformats.org/officeDocument/2006/relationships/hyperlink" Target="https://enzyme.expasy.org/EC/1.1.1.100" TargetMode="External"/><Relationship Id="rId270" Type="http://schemas.openxmlformats.org/officeDocument/2006/relationships/hyperlink" Target="https://enzyme.expasy.org/EC/2.5.1.9" TargetMode="External"/><Relationship Id="rId936" Type="http://schemas.openxmlformats.org/officeDocument/2006/relationships/hyperlink" Target="https://enzyme.expasy.org/EC/2.6.1.42" TargetMode="External"/><Relationship Id="rId1121" Type="http://schemas.openxmlformats.org/officeDocument/2006/relationships/hyperlink" Target="https://www.kegg.jp/entry/R00897/R03601/R04859/R07274" TargetMode="External"/><Relationship Id="rId65" Type="http://schemas.openxmlformats.org/officeDocument/2006/relationships/hyperlink" Target="https://enzyme.expasy.org/EC/2.3.3.13" TargetMode="External"/><Relationship Id="rId130" Type="http://schemas.openxmlformats.org/officeDocument/2006/relationships/hyperlink" Target="https://enzyme.expasy.org/EC/3.1.11.6" TargetMode="External"/><Relationship Id="rId368" Type="http://schemas.openxmlformats.org/officeDocument/2006/relationships/hyperlink" Target="https://enzyme.expasy.org/EC/4.2.1.19" TargetMode="External"/><Relationship Id="rId575" Type="http://schemas.openxmlformats.org/officeDocument/2006/relationships/hyperlink" Target="https://www.kegg.jp/entry/R05662/R06173/R05032/R06172/R06174" TargetMode="External"/><Relationship Id="rId782" Type="http://schemas.openxmlformats.org/officeDocument/2006/relationships/hyperlink" Target="https://enzyme.expasy.org/EC/2.7.1.11" TargetMode="External"/><Relationship Id="rId228" Type="http://schemas.openxmlformats.org/officeDocument/2006/relationships/hyperlink" Target="https://enzyme.expasy.org/EC/2.7.4.16" TargetMode="External"/><Relationship Id="rId435" Type="http://schemas.openxmlformats.org/officeDocument/2006/relationships/hyperlink" Target="https://enzyme.expasy.org/EC/5.1.3.14" TargetMode="External"/><Relationship Id="rId642" Type="http://schemas.openxmlformats.org/officeDocument/2006/relationships/hyperlink" Target="https://enzyme.expasy.org/EC/2.7.7.7" TargetMode="External"/><Relationship Id="rId1065" Type="http://schemas.openxmlformats.org/officeDocument/2006/relationships/hyperlink" Target="https://enzyme.expasy.org/EC/4.3.1.17" TargetMode="External"/><Relationship Id="rId281" Type="http://schemas.openxmlformats.org/officeDocument/2006/relationships/hyperlink" Target="https://enzyme.expasy.org/EC/5.3.1.6" TargetMode="External"/><Relationship Id="rId502" Type="http://schemas.openxmlformats.org/officeDocument/2006/relationships/hyperlink" Target="https://www.kegg.jp/entry/R00006/R00226/R00014/R03050/R04672/R04673/R08648" TargetMode="External"/><Relationship Id="rId947" Type="http://schemas.openxmlformats.org/officeDocument/2006/relationships/hyperlink" Target="https://enzyme.expasy.org/EC/2.1.1.37" TargetMode="External"/><Relationship Id="rId1132" Type="http://schemas.openxmlformats.org/officeDocument/2006/relationships/hyperlink" Target="https://www.kegg.jp/entry/R09081/R09082" TargetMode="External"/><Relationship Id="rId76" Type="http://schemas.openxmlformats.org/officeDocument/2006/relationships/hyperlink" Target="https://enzyme.expasy.org/EC/2.3.1.129" TargetMode="External"/><Relationship Id="rId141" Type="http://schemas.openxmlformats.org/officeDocument/2006/relationships/hyperlink" Target="https://enzyme.expasy.org/EC/3.11.1.1" TargetMode="External"/><Relationship Id="rId379" Type="http://schemas.openxmlformats.org/officeDocument/2006/relationships/hyperlink" Target="https://www.genome.jp/entry/C00052" TargetMode="External"/><Relationship Id="rId586" Type="http://schemas.openxmlformats.org/officeDocument/2006/relationships/hyperlink" Target="https://www.kegg.jp/entry/R04562/R01074/R05145" TargetMode="External"/><Relationship Id="rId793" Type="http://schemas.openxmlformats.org/officeDocument/2006/relationships/hyperlink" Target="https://www.kegg.jp/entry/R04779/R00756/R00767/R00769/R00770/R01843/R03236/R03237/R03238/R03239" TargetMode="External"/><Relationship Id="rId807" Type="http://schemas.openxmlformats.org/officeDocument/2006/relationships/hyperlink" Target="https://www.kegg.jp/entry/R04779/R00756/R00767/R00769/R00770/R01843/R03236/R03237/R03238/R03239" TargetMode="External"/><Relationship Id="rId7" Type="http://schemas.openxmlformats.org/officeDocument/2006/relationships/hyperlink" Target="https://enzyme.expasy.org/EC/4.3.3.7" TargetMode="External"/><Relationship Id="rId239" Type="http://schemas.openxmlformats.org/officeDocument/2006/relationships/hyperlink" Target="https://enzyme.expasy.org/EC/1.7.2.2" TargetMode="External"/><Relationship Id="rId446" Type="http://schemas.openxmlformats.org/officeDocument/2006/relationships/hyperlink" Target="https://www.kegg.jp/entry/R00420/R00414/R02707" TargetMode="External"/><Relationship Id="rId653" Type="http://schemas.openxmlformats.org/officeDocument/2006/relationships/hyperlink" Target="https://enzyme.expasy.org/EC/1.8.1.4" TargetMode="External"/><Relationship Id="rId1076" Type="http://schemas.openxmlformats.org/officeDocument/2006/relationships/hyperlink" Target="https://www.kegg.jp/entry/R02263/R01785" TargetMode="External"/><Relationship Id="rId292" Type="http://schemas.openxmlformats.org/officeDocument/2006/relationships/hyperlink" Target="https://enzyme.expasy.org/EC/3.2.1.21" TargetMode="External"/><Relationship Id="rId306" Type="http://schemas.openxmlformats.org/officeDocument/2006/relationships/hyperlink" Target="https://enzyme.expasy.org/EC/2.6.1.52" TargetMode="External"/><Relationship Id="rId860" Type="http://schemas.openxmlformats.org/officeDocument/2006/relationships/hyperlink" Target="https://enzyme.expasy.org/EC/3.6.1.9" TargetMode="External"/><Relationship Id="rId958" Type="http://schemas.openxmlformats.org/officeDocument/2006/relationships/hyperlink" Target="https://www.kegg.jp/entry/R01051/R02750" TargetMode="External"/><Relationship Id="rId1143" Type="http://schemas.openxmlformats.org/officeDocument/2006/relationships/hyperlink" Target="https://www.genome.jp/entry/C18094" TargetMode="External"/><Relationship Id="rId87" Type="http://schemas.openxmlformats.org/officeDocument/2006/relationships/hyperlink" Target="https://enzyme.expasy.org/EC/2.7.7.6" TargetMode="External"/><Relationship Id="rId513" Type="http://schemas.openxmlformats.org/officeDocument/2006/relationships/hyperlink" Target="https://enzyme.expasy.org/EC/2.7.7.7" TargetMode="External"/><Relationship Id="rId597" Type="http://schemas.openxmlformats.org/officeDocument/2006/relationships/hyperlink" Target="https://www.kegg.jp/entry/R01243/R03980/R04856/R06280" TargetMode="External"/><Relationship Id="rId720" Type="http://schemas.openxmlformats.org/officeDocument/2006/relationships/hyperlink" Target="https://enzyme.expasy.org/EC/2.5.1.15" TargetMode="External"/><Relationship Id="rId818" Type="http://schemas.openxmlformats.org/officeDocument/2006/relationships/hyperlink" Target="../../magaasmac/Downloads/v" TargetMode="External"/><Relationship Id="rId152" Type="http://schemas.openxmlformats.org/officeDocument/2006/relationships/hyperlink" Target="https://enzyme.expasy.org/EC/6.1.1.1" TargetMode="External"/><Relationship Id="rId457" Type="http://schemas.openxmlformats.org/officeDocument/2006/relationships/hyperlink" Target="https://www.kegg.jp/entry/C00868" TargetMode="External"/><Relationship Id="rId1003" Type="http://schemas.openxmlformats.org/officeDocument/2006/relationships/hyperlink" Target="https://enzyme.expasy.org/EC/5.1.3.2" TargetMode="External"/><Relationship Id="rId1087" Type="http://schemas.openxmlformats.org/officeDocument/2006/relationships/hyperlink" Target="https://www.kegg.jp/entry/R04150/R07263" TargetMode="External"/><Relationship Id="rId664" Type="http://schemas.openxmlformats.org/officeDocument/2006/relationships/hyperlink" Target="https://enzyme.expasy.org/EC/3.2.1.21" TargetMode="External"/><Relationship Id="rId871" Type="http://schemas.openxmlformats.org/officeDocument/2006/relationships/hyperlink" Target="https://www.kegg.jp/entry/R00248/R00145/R00146" TargetMode="External"/><Relationship Id="rId969" Type="http://schemas.openxmlformats.org/officeDocument/2006/relationships/hyperlink" Target="https://www.kegg.jp/entry/R00256/R01230/R01231/R08244" TargetMode="External"/><Relationship Id="rId14" Type="http://schemas.openxmlformats.org/officeDocument/2006/relationships/hyperlink" Target="https://enzyme.expasy.org/EC/2.4.2.29" TargetMode="External"/><Relationship Id="rId317" Type="http://schemas.openxmlformats.org/officeDocument/2006/relationships/hyperlink" Target="https://enzyme.expasy.org/EC/2.5.1.74" TargetMode="External"/><Relationship Id="rId524" Type="http://schemas.openxmlformats.org/officeDocument/2006/relationships/hyperlink" Target="https://enzyme.expasy.org/EC/2.8.1.8" TargetMode="External"/><Relationship Id="rId731" Type="http://schemas.openxmlformats.org/officeDocument/2006/relationships/hyperlink" Target="https://enzyme.expasy.org/EC/6.3.5.5" TargetMode="External"/><Relationship Id="rId98" Type="http://schemas.openxmlformats.org/officeDocument/2006/relationships/hyperlink" Target="https://enzyme.expasy.org/EC/3.6.4.12" TargetMode="External"/><Relationship Id="rId163" Type="http://schemas.openxmlformats.org/officeDocument/2006/relationships/hyperlink" Target="https://enzyme.expasy.org/EC/5.3.1.12" TargetMode="External"/><Relationship Id="rId370" Type="http://schemas.openxmlformats.org/officeDocument/2006/relationships/hyperlink" Target="https://enzyme.expasy.org/EC/1.1.1.23" TargetMode="External"/><Relationship Id="rId829" Type="http://schemas.openxmlformats.org/officeDocument/2006/relationships/hyperlink" Target="https://enzyme.expasy.org/EC/1.4.1.13" TargetMode="External"/><Relationship Id="rId1014" Type="http://schemas.openxmlformats.org/officeDocument/2006/relationships/hyperlink" Target="https://enzyme.expasy.org/EC/2.7.4.6" TargetMode="External"/><Relationship Id="rId230" Type="http://schemas.openxmlformats.org/officeDocument/2006/relationships/hyperlink" Target="https://enzyme.expasy.org/EC/2.4.2.21" TargetMode="External"/><Relationship Id="rId468" Type="http://schemas.openxmlformats.org/officeDocument/2006/relationships/hyperlink" Target="https://www.kegg.jp/entry/R01652/R04426/R10052/R00994" TargetMode="External"/><Relationship Id="rId675" Type="http://schemas.openxmlformats.org/officeDocument/2006/relationships/hyperlink" Target="https://enzyme.expasy.org/EC/3.2.1.21" TargetMode="External"/><Relationship Id="rId882" Type="http://schemas.openxmlformats.org/officeDocument/2006/relationships/hyperlink" Target="https://enzyme.expasy.org/EC/1.17.4.1" TargetMode="External"/><Relationship Id="rId1098" Type="http://schemas.openxmlformats.org/officeDocument/2006/relationships/hyperlink" Target="https://www.kegg.jp/entry/R01324/R01325/R01900" TargetMode="External"/><Relationship Id="rId25" Type="http://schemas.openxmlformats.org/officeDocument/2006/relationships/hyperlink" Target="https://enzyme.expasy.org/EC/3.5.1.88" TargetMode="External"/><Relationship Id="rId328" Type="http://schemas.openxmlformats.org/officeDocument/2006/relationships/hyperlink" Target="https://enzyme.expasy.org/EC/6.3.4.19" TargetMode="External"/><Relationship Id="rId535" Type="http://schemas.openxmlformats.org/officeDocument/2006/relationships/hyperlink" Target="https://enzyme.expasy.org/EC/1.2.1.88" TargetMode="External"/><Relationship Id="rId742" Type="http://schemas.openxmlformats.org/officeDocument/2006/relationships/hyperlink" Target="https://enzyme.expasy.org/EC/2.7.1.40" TargetMode="External"/><Relationship Id="rId174" Type="http://schemas.openxmlformats.org/officeDocument/2006/relationships/hyperlink" Target="https://enzyme.expasy.org/EC/2.7.4.22" TargetMode="External"/><Relationship Id="rId381" Type="http://schemas.openxmlformats.org/officeDocument/2006/relationships/hyperlink" Target="https://enzyme.expasy.org/EC/5.4.99.9" TargetMode="External"/><Relationship Id="rId602" Type="http://schemas.openxmlformats.org/officeDocument/2006/relationships/hyperlink" Target="https://www.kegg.jp/entry/C00631" TargetMode="External"/><Relationship Id="rId1025" Type="http://schemas.openxmlformats.org/officeDocument/2006/relationships/hyperlink" Target="https://enzyme.expasy.org/EC/2.7.4.6" TargetMode="External"/><Relationship Id="rId241" Type="http://schemas.openxmlformats.org/officeDocument/2006/relationships/hyperlink" Target="https://enzyme.expasy.org/EC/5.3.1.9" TargetMode="External"/><Relationship Id="rId479" Type="http://schemas.openxmlformats.org/officeDocument/2006/relationships/hyperlink" Target="https://enzyme.expasy.org/EC/4.2.1.33" TargetMode="External"/><Relationship Id="rId686" Type="http://schemas.openxmlformats.org/officeDocument/2006/relationships/hyperlink" Target="https://enzyme.expasy.org/EC/3.2.1.21" TargetMode="External"/><Relationship Id="rId893" Type="http://schemas.openxmlformats.org/officeDocument/2006/relationships/hyperlink" Target="https://www.kegg.jp/entry/R04294/R02017/R02018/R02019/R02024/R08363/R08364/R11893" TargetMode="External"/><Relationship Id="rId907" Type="http://schemas.openxmlformats.org/officeDocument/2006/relationships/hyperlink" Target="https://www.kegg.jp/entry/C01172" TargetMode="External"/><Relationship Id="rId36" Type="http://schemas.openxmlformats.org/officeDocument/2006/relationships/hyperlink" Target="https://enzyme.expasy.org/EC/4.2.1.20" TargetMode="External"/><Relationship Id="rId339" Type="http://schemas.openxmlformats.org/officeDocument/2006/relationships/hyperlink" Target="https://enzyme.expasy.org/EC/2.6.1.85" TargetMode="External"/><Relationship Id="rId546" Type="http://schemas.openxmlformats.org/officeDocument/2006/relationships/hyperlink" Target="https://www.kegg.jp/entry/C04188" TargetMode="External"/><Relationship Id="rId753" Type="http://schemas.openxmlformats.org/officeDocument/2006/relationships/hyperlink" Target="https://enzyme.expasy.org/EC/1.17.4.2" TargetMode="External"/><Relationship Id="rId101" Type="http://schemas.openxmlformats.org/officeDocument/2006/relationships/hyperlink" Target="https://enzyme.expasy.org/EC/2.7.6.3" TargetMode="External"/><Relationship Id="rId185" Type="http://schemas.openxmlformats.org/officeDocument/2006/relationships/hyperlink" Target="https://enzyme.expasy.org/EC/3.5.4.25" TargetMode="External"/><Relationship Id="rId406" Type="http://schemas.openxmlformats.org/officeDocument/2006/relationships/hyperlink" Target="https://www.kegg.jp/entry/R00529/R04929" TargetMode="External"/><Relationship Id="rId960" Type="http://schemas.openxmlformats.org/officeDocument/2006/relationships/hyperlink" Target="https://www.kegg.jp/entry/R00130" TargetMode="External"/><Relationship Id="rId1036" Type="http://schemas.openxmlformats.org/officeDocument/2006/relationships/hyperlink" Target="https://www.kegg.jp/entry/R00764/R02073" TargetMode="External"/><Relationship Id="rId392" Type="http://schemas.openxmlformats.org/officeDocument/2006/relationships/hyperlink" Target="https://enzyme.expasy.org/EC/5.4.99.9" TargetMode="External"/><Relationship Id="rId613" Type="http://schemas.openxmlformats.org/officeDocument/2006/relationships/hyperlink" Target="https://enzyme.expasy.org/EC/3.5.4.16" TargetMode="External"/><Relationship Id="rId697" Type="http://schemas.openxmlformats.org/officeDocument/2006/relationships/hyperlink" Target="https://enzyme.expasy.org/EC/3.2.1.21" TargetMode="External"/><Relationship Id="rId820" Type="http://schemas.openxmlformats.org/officeDocument/2006/relationships/hyperlink" Target="../../magaasmac/Downloads/v" TargetMode="External"/><Relationship Id="rId918" Type="http://schemas.openxmlformats.org/officeDocument/2006/relationships/hyperlink" Target="https://enzyme.expasy.org/EC/1.1.1.262" TargetMode="External"/><Relationship Id="rId252" Type="http://schemas.openxmlformats.org/officeDocument/2006/relationships/hyperlink" Target="https://enzyme.expasy.org/EC/3.5.1.25" TargetMode="External"/><Relationship Id="rId1103" Type="http://schemas.openxmlformats.org/officeDocument/2006/relationships/hyperlink" Target="https://enzyme.expasy.org/EC/2.6.1.1" TargetMode="External"/><Relationship Id="rId47" Type="http://schemas.openxmlformats.org/officeDocument/2006/relationships/hyperlink" Target="https://enzyme.expasy.org/EC/2.8.1.6" TargetMode="External"/><Relationship Id="rId112" Type="http://schemas.openxmlformats.org/officeDocument/2006/relationships/hyperlink" Target="https://enzyme.expasy.org/EC/4.2.3.4" TargetMode="External"/><Relationship Id="rId557" Type="http://schemas.openxmlformats.org/officeDocument/2006/relationships/hyperlink" Target="https://enzyme.expasy.org/EC/2.7.7.6" TargetMode="External"/><Relationship Id="rId764" Type="http://schemas.openxmlformats.org/officeDocument/2006/relationships/hyperlink" Target="https://enzyme.expasy.org/EC/2.7.7.7" TargetMode="External"/><Relationship Id="rId971" Type="http://schemas.openxmlformats.org/officeDocument/2006/relationships/hyperlink" Target="https://www.kegg.jp/entry/R00256/R01230/R01231/R08244" TargetMode="External"/><Relationship Id="rId196" Type="http://schemas.openxmlformats.org/officeDocument/2006/relationships/hyperlink" Target="https://enzyme.expasy.org/EC/6.1.1.19" TargetMode="External"/><Relationship Id="rId417" Type="http://schemas.openxmlformats.org/officeDocument/2006/relationships/hyperlink" Target="https://enzyme.expasy.org/EC/6.3.5.5" TargetMode="External"/><Relationship Id="rId624" Type="http://schemas.openxmlformats.org/officeDocument/2006/relationships/hyperlink" Target="https://www.kegg.jp/entry/R02412" TargetMode="External"/><Relationship Id="rId831" Type="http://schemas.openxmlformats.org/officeDocument/2006/relationships/hyperlink" Target="https://enzyme.expasy.org/EC/1.4.1.13" TargetMode="External"/><Relationship Id="rId1047" Type="http://schemas.openxmlformats.org/officeDocument/2006/relationships/hyperlink" Target="https://www.kegg.jp/dbget-bin/www_bget?ec:1.1.1.100" TargetMode="External"/><Relationship Id="rId263" Type="http://schemas.openxmlformats.org/officeDocument/2006/relationships/hyperlink" Target="https://enzyme.expasy.org/EC/2.1.2.10" TargetMode="External"/><Relationship Id="rId470" Type="http://schemas.openxmlformats.org/officeDocument/2006/relationships/hyperlink" Target="https://www.kegg.jp/entry/R01652/R04426/R10052/R00994" TargetMode="External"/><Relationship Id="rId929" Type="http://schemas.openxmlformats.org/officeDocument/2006/relationships/hyperlink" Target="https://enzyme.expasy.org/EC/6.3.5.4" TargetMode="External"/><Relationship Id="rId1114" Type="http://schemas.openxmlformats.org/officeDocument/2006/relationships/hyperlink" Target="https://www.kegg.jp/entry/R03661" TargetMode="External"/><Relationship Id="rId58" Type="http://schemas.openxmlformats.org/officeDocument/2006/relationships/hyperlink" Target="https://enzyme.expasy.org/EC/2.7.2.4" TargetMode="External"/><Relationship Id="rId123" Type="http://schemas.openxmlformats.org/officeDocument/2006/relationships/hyperlink" Target="https://enzyme.expasy.org/EC/3.5.3.1" TargetMode="External"/><Relationship Id="rId330" Type="http://schemas.openxmlformats.org/officeDocument/2006/relationships/hyperlink" Target="https://enzyme.expasy.org/EC/5.3.1.14" TargetMode="External"/><Relationship Id="rId568" Type="http://schemas.openxmlformats.org/officeDocument/2006/relationships/hyperlink" Target="https://enzyme.expasy.org/EC/2.4.1.227" TargetMode="External"/><Relationship Id="rId775" Type="http://schemas.openxmlformats.org/officeDocument/2006/relationships/hyperlink" Target="https://enzyme.expasy.org/EC/2.7.7.7" TargetMode="External"/><Relationship Id="rId982" Type="http://schemas.openxmlformats.org/officeDocument/2006/relationships/hyperlink" Target="https://www.kegg.jp/entry/R00342/R07136" TargetMode="External"/><Relationship Id="rId428" Type="http://schemas.openxmlformats.org/officeDocument/2006/relationships/hyperlink" Target="https://www.kegg.jp/entry/R00888" TargetMode="External"/><Relationship Id="rId635" Type="http://schemas.openxmlformats.org/officeDocument/2006/relationships/hyperlink" Target="https://enzyme.expasy.org/EC/2.3.1.179" TargetMode="External"/><Relationship Id="rId842" Type="http://schemas.openxmlformats.org/officeDocument/2006/relationships/hyperlink" Target="https://www.kegg.jp/entry/R02101" TargetMode="External"/><Relationship Id="rId1058" Type="http://schemas.openxmlformats.org/officeDocument/2006/relationships/hyperlink" Target="https://www.kegg.jp/entry/R01777" TargetMode="External"/><Relationship Id="rId274" Type="http://schemas.openxmlformats.org/officeDocument/2006/relationships/hyperlink" Target="https://enzyme.expasy.org/EC/2.1.2.9" TargetMode="External"/><Relationship Id="rId481" Type="http://schemas.openxmlformats.org/officeDocument/2006/relationships/hyperlink" Target="https://www.kegg.jp/entry/R00006/R00226/R00014/R03050/R04672/R04673/R08648" TargetMode="External"/><Relationship Id="rId702" Type="http://schemas.openxmlformats.org/officeDocument/2006/relationships/hyperlink" Target="https://enzyme.expasy.org/EC/3.2.1.21" TargetMode="External"/><Relationship Id="rId1125" Type="http://schemas.openxmlformats.org/officeDocument/2006/relationships/hyperlink" Target="https://enzyme.expasy.org/EC/2.6.1.9" TargetMode="External"/><Relationship Id="rId69" Type="http://schemas.openxmlformats.org/officeDocument/2006/relationships/hyperlink" Target="https://enzyme.expasy.org/EC/4.2.1.9" TargetMode="External"/><Relationship Id="rId134" Type="http://schemas.openxmlformats.org/officeDocument/2006/relationships/hyperlink" Target="https://enzyme.expasy.org/EC/4.1.1.49" TargetMode="External"/><Relationship Id="rId579" Type="http://schemas.openxmlformats.org/officeDocument/2006/relationships/hyperlink" Target="https://www.kegg.jp/entry/R05629/R05630" TargetMode="External"/><Relationship Id="rId786" Type="http://schemas.openxmlformats.org/officeDocument/2006/relationships/hyperlink" Target="https://enzyme.expasy.org/EC/2.7.1.11" TargetMode="External"/><Relationship Id="rId993" Type="http://schemas.openxmlformats.org/officeDocument/2006/relationships/hyperlink" Target="https://www.kegg.jp/entry/R05688" TargetMode="External"/><Relationship Id="rId341" Type="http://schemas.openxmlformats.org/officeDocument/2006/relationships/hyperlink" Target="https://enzyme.expasy.org/EC/3.6.4.12" TargetMode="External"/><Relationship Id="rId439" Type="http://schemas.openxmlformats.org/officeDocument/2006/relationships/hyperlink" Target="https://www.kegg.jp/entry/R00420/R00414/R02707" TargetMode="External"/><Relationship Id="rId646" Type="http://schemas.openxmlformats.org/officeDocument/2006/relationships/hyperlink" Target="https://www.kegg.jp/entry/R00380/R04858" TargetMode="External"/><Relationship Id="rId1069" Type="http://schemas.openxmlformats.org/officeDocument/2006/relationships/hyperlink" Target="https://enzyme.expasy.org/EC/4.3.1.17" TargetMode="External"/><Relationship Id="rId201" Type="http://schemas.openxmlformats.org/officeDocument/2006/relationships/hyperlink" Target="https://enzyme.expasy.org/EC/2.1.1.33" TargetMode="External"/><Relationship Id="rId285" Type="http://schemas.openxmlformats.org/officeDocument/2006/relationships/hyperlink" Target="https://enzyme.expasy.org/EC/2.7.1.24" TargetMode="External"/><Relationship Id="rId506" Type="http://schemas.openxmlformats.org/officeDocument/2006/relationships/hyperlink" Target="https://www.kegg.jp/entry/R00006/R00226/R00014/R03050/R04672/R04673/R08648" TargetMode="External"/><Relationship Id="rId853" Type="http://schemas.openxmlformats.org/officeDocument/2006/relationships/hyperlink" Target="https://www.kegg.jp/entry/R01532/R00087/R00426/R00515/R00662/R11323/R00103/R00160/R00287/R03004/R03036" TargetMode="External"/><Relationship Id="rId1136" Type="http://schemas.openxmlformats.org/officeDocument/2006/relationships/hyperlink" Target="https://enzyme.expasy.org/EC/3.2.1.1" TargetMode="External"/><Relationship Id="rId492" Type="http://schemas.openxmlformats.org/officeDocument/2006/relationships/hyperlink" Target="https://enzyme.expasy.org/EC/2.2.1.6" TargetMode="External"/><Relationship Id="rId713" Type="http://schemas.openxmlformats.org/officeDocument/2006/relationships/hyperlink" Target="https://www.kegg.jp/entry/R02059" TargetMode="External"/><Relationship Id="rId797" Type="http://schemas.openxmlformats.org/officeDocument/2006/relationships/hyperlink" Target="https://www.kegg.jp/entry/R04779/R00756/R00767/R00769/R00770/R01843/R03236/R03237/R03238/R03239" TargetMode="External"/><Relationship Id="rId920" Type="http://schemas.openxmlformats.org/officeDocument/2006/relationships/hyperlink" Target="https://enzyme.expasy.org/EC/6.3.2.13" TargetMode="External"/><Relationship Id="rId145" Type="http://schemas.openxmlformats.org/officeDocument/2006/relationships/hyperlink" Target="https://enzyme.expasy.org/EC/4.1.2.4" TargetMode="External"/><Relationship Id="rId352" Type="http://schemas.openxmlformats.org/officeDocument/2006/relationships/hyperlink" Target="https://enzyme.expasy.org/EC/3.1.3.3" TargetMode="External"/><Relationship Id="rId212" Type="http://schemas.openxmlformats.org/officeDocument/2006/relationships/hyperlink" Target="https://enzyme.expasy.org/EC/2.7.4.25" TargetMode="External"/><Relationship Id="rId657" Type="http://schemas.openxmlformats.org/officeDocument/2006/relationships/hyperlink" Target="https://enzyme.expasy.org/EC/3.2.1.21" TargetMode="External"/><Relationship Id="rId864" Type="http://schemas.openxmlformats.org/officeDocument/2006/relationships/hyperlink" Target="https://enzyme.expasy.org/EC/3.6.1.9" TargetMode="External"/><Relationship Id="rId296" Type="http://schemas.openxmlformats.org/officeDocument/2006/relationships/hyperlink" Target="https://enzyme.expasy.org/EC/1.8.1.9" TargetMode="External"/><Relationship Id="rId517" Type="http://schemas.openxmlformats.org/officeDocument/2006/relationships/hyperlink" Target="https://www.kegg.jp/entry/C01103" TargetMode="External"/><Relationship Id="rId724" Type="http://schemas.openxmlformats.org/officeDocument/2006/relationships/hyperlink" Target="https://www.kegg.jp/entry/R00158" TargetMode="External"/><Relationship Id="rId931" Type="http://schemas.openxmlformats.org/officeDocument/2006/relationships/hyperlink" Target="https://www.kegg.jp/entry/R04238" TargetMode="External"/><Relationship Id="rId60" Type="http://schemas.openxmlformats.org/officeDocument/2006/relationships/hyperlink" Target="https://enzyme.expasy.org/EC/2.1.1.63" TargetMode="External"/><Relationship Id="rId156" Type="http://schemas.openxmlformats.org/officeDocument/2006/relationships/hyperlink" Target="https://enzyme.expasy.org/EC/6.3.4.13" TargetMode="External"/><Relationship Id="rId363" Type="http://schemas.openxmlformats.org/officeDocument/2006/relationships/hyperlink" Target="https://enzyme.expasy.org/EC/2.1.1.190" TargetMode="External"/><Relationship Id="rId570" Type="http://schemas.openxmlformats.org/officeDocument/2006/relationships/hyperlink" Target="https://enzyme.expasy.org/EC/2.4.1.227" TargetMode="External"/><Relationship Id="rId1007" Type="http://schemas.openxmlformats.org/officeDocument/2006/relationships/hyperlink" Target="https://www.kegg.jp/entry/R00256/R00571/R00573" TargetMode="External"/><Relationship Id="rId223" Type="http://schemas.openxmlformats.org/officeDocument/2006/relationships/hyperlink" Target="https://enzyme.expasy.org/EC/1.4.1.4" TargetMode="External"/><Relationship Id="rId430" Type="http://schemas.openxmlformats.org/officeDocument/2006/relationships/hyperlink" Target="https://enzyme.expasy.org/EC/5.1.3.14" TargetMode="External"/><Relationship Id="rId668" Type="http://schemas.openxmlformats.org/officeDocument/2006/relationships/hyperlink" Target="https://enzyme.expasy.org/EC/3.2.1.21" TargetMode="External"/><Relationship Id="rId875" Type="http://schemas.openxmlformats.org/officeDocument/2006/relationships/hyperlink" Target="https://enzyme.expasy.org/EC/1.4.1.4" TargetMode="External"/><Relationship Id="rId1060" Type="http://schemas.openxmlformats.org/officeDocument/2006/relationships/hyperlink" Target="https://enzyme.expasy.org/EC/4.1.2.13" TargetMode="External"/><Relationship Id="rId18" Type="http://schemas.openxmlformats.org/officeDocument/2006/relationships/hyperlink" Target="https://enzyme.expasy.org/EC/6.3.2.5https:/enzyme.expasy.org/EC/6.3.2.5" TargetMode="External"/><Relationship Id="rId528" Type="http://schemas.openxmlformats.org/officeDocument/2006/relationships/hyperlink" Target="https://enzyme.expasy.org/EC/1.5.1.2" TargetMode="External"/><Relationship Id="rId735" Type="http://schemas.openxmlformats.org/officeDocument/2006/relationships/hyperlink" Target="https://enzyme.expasy.org/EC/6.3.5.5" TargetMode="External"/><Relationship Id="rId942" Type="http://schemas.openxmlformats.org/officeDocument/2006/relationships/hyperlink" Target="https://enzyme.expasy.org/EC/2.7.1.35" TargetMode="External"/><Relationship Id="rId167" Type="http://schemas.openxmlformats.org/officeDocument/2006/relationships/hyperlink" Target="https://enzyme.expasy.org/EC/4.2.1.10" TargetMode="External"/><Relationship Id="rId374" Type="http://schemas.openxmlformats.org/officeDocument/2006/relationships/hyperlink" Target="https://enzyme.expasy.org/EC/3.2.1.1" TargetMode="External"/><Relationship Id="rId581" Type="http://schemas.openxmlformats.org/officeDocument/2006/relationships/hyperlink" Target="https://www.kegg.jp/entry/R02777" TargetMode="External"/><Relationship Id="rId1018" Type="http://schemas.openxmlformats.org/officeDocument/2006/relationships/hyperlink" Target="https://enzyme.expasy.org/EC/2.7.4.6" TargetMode="External"/><Relationship Id="rId71" Type="http://schemas.openxmlformats.org/officeDocument/2006/relationships/hyperlink" Target="https://enzyme.expasy.org/EC/2.4.2.19" TargetMode="External"/><Relationship Id="rId234" Type="http://schemas.openxmlformats.org/officeDocument/2006/relationships/hyperlink" Target="https://enzyme.expasy.org/EC/4.2.1.47" TargetMode="External"/><Relationship Id="rId679" Type="http://schemas.openxmlformats.org/officeDocument/2006/relationships/hyperlink" Target="https://enzyme.expasy.org/EC/3.2.1.21" TargetMode="External"/><Relationship Id="rId802" Type="http://schemas.openxmlformats.org/officeDocument/2006/relationships/hyperlink" Target="https://www.kegg.jp/entry/R04779/R00756/R00767/R00769/R00770/R01843/R03236/R03237/R03238/R03239" TargetMode="External"/><Relationship Id="rId886" Type="http://schemas.openxmlformats.org/officeDocument/2006/relationships/hyperlink" Target="https://enzyme.expasy.org/EC/1.17.4.1" TargetMode="External"/><Relationship Id="rId2" Type="http://schemas.openxmlformats.org/officeDocument/2006/relationships/hyperlink" Target="https://enzyme.expasy.org/EC/5.4.99.9" TargetMode="External"/><Relationship Id="rId29" Type="http://schemas.openxmlformats.org/officeDocument/2006/relationships/hyperlink" Target="https://enzyme.expasy.org/EC/3.1.1.31" TargetMode="External"/><Relationship Id="rId441" Type="http://schemas.openxmlformats.org/officeDocument/2006/relationships/hyperlink" Target="https://enzyme.expasy.org/EC/5.1.3.14" TargetMode="External"/><Relationship Id="rId539" Type="http://schemas.openxmlformats.org/officeDocument/2006/relationships/hyperlink" Target="https://enzyme.expasy.org/EC/2.7.7.6" TargetMode="External"/><Relationship Id="rId746" Type="http://schemas.openxmlformats.org/officeDocument/2006/relationships/hyperlink" Target="https://enzyme.expasy.org/EC/2.5.1.17" TargetMode="External"/><Relationship Id="rId1071" Type="http://schemas.openxmlformats.org/officeDocument/2006/relationships/hyperlink" Target="https://enzyme.expasy.org/EC/4.3.1.17" TargetMode="External"/><Relationship Id="rId178" Type="http://schemas.openxmlformats.org/officeDocument/2006/relationships/hyperlink" Target="https://enzyme.expasy.org/EC/1.11.1.24" TargetMode="External"/><Relationship Id="rId301" Type="http://schemas.openxmlformats.org/officeDocument/2006/relationships/hyperlink" Target="https://enzyme.expasy.org/EC/1.4.4.2" TargetMode="External"/><Relationship Id="rId953" Type="http://schemas.openxmlformats.org/officeDocument/2006/relationships/hyperlink" Target="https://www.kegg.jp/entry/R01529" TargetMode="External"/><Relationship Id="rId1029" Type="http://schemas.openxmlformats.org/officeDocument/2006/relationships/hyperlink" Target="https://www.kegg.jp/entry/R00331/R00124/R00139/R00156/R00330/R00570/R00722/R01137/R01857/R02093/R02326/R02331/R03530/R12853/R11894/R11895" TargetMode="External"/><Relationship Id="rId82" Type="http://schemas.openxmlformats.org/officeDocument/2006/relationships/hyperlink" Target="https://enzyme.expasy.org/EC/1.5.1.2" TargetMode="External"/><Relationship Id="rId385" Type="http://schemas.openxmlformats.org/officeDocument/2006/relationships/hyperlink" Target="https://enzyme.expasy.org/EC/4.1.1.15" TargetMode="External"/><Relationship Id="rId592" Type="http://schemas.openxmlformats.org/officeDocument/2006/relationships/hyperlink" Target="https://www.genome.jp/entry/R10716" TargetMode="External"/><Relationship Id="rId606" Type="http://schemas.openxmlformats.org/officeDocument/2006/relationships/hyperlink" Target="https://enzyme.expasy.org/EC/2.6.1.13" TargetMode="External"/><Relationship Id="rId813" Type="http://schemas.openxmlformats.org/officeDocument/2006/relationships/hyperlink" Target="https://enzyme.expasy.org/EC/2.7.1.11" TargetMode="External"/><Relationship Id="rId245" Type="http://schemas.openxmlformats.org/officeDocument/2006/relationships/hyperlink" Target="https://enzyme.expasy.org/EC/2.7.4.8" TargetMode="External"/><Relationship Id="rId452" Type="http://schemas.openxmlformats.org/officeDocument/2006/relationships/hyperlink" Target="https://enzyme.expasy.org/EC/2.4.2.8" TargetMode="External"/><Relationship Id="rId897" Type="http://schemas.openxmlformats.org/officeDocument/2006/relationships/hyperlink" Target="https://www.kegg.jp/entry/R02740/R00771/R02739/R03321/R13199" TargetMode="External"/><Relationship Id="rId1082" Type="http://schemas.openxmlformats.org/officeDocument/2006/relationships/hyperlink" Target="https://enzyme.expasy.org/EC/1.3.1.1" TargetMode="External"/><Relationship Id="rId105" Type="http://schemas.openxmlformats.org/officeDocument/2006/relationships/hyperlink" Target="https://enzyme.expasy.org/EC/2.4.1.227" TargetMode="External"/><Relationship Id="rId312" Type="http://schemas.openxmlformats.org/officeDocument/2006/relationships/hyperlink" Target="https://enzyme.expasy.org/EC/6.1.1.11" TargetMode="External"/><Relationship Id="rId757" Type="http://schemas.openxmlformats.org/officeDocument/2006/relationships/hyperlink" Target="https://enzyme.expasy.org/EC/2.7.7.7" TargetMode="External"/><Relationship Id="rId964" Type="http://schemas.openxmlformats.org/officeDocument/2006/relationships/hyperlink" Target="https://enzyme.expasy.org/EC/6.3.5.2" TargetMode="External"/><Relationship Id="rId93" Type="http://schemas.openxmlformats.org/officeDocument/2006/relationships/hyperlink" Target="https://enzyme.expasy.org/EC/5.4.99.2" TargetMode="External"/><Relationship Id="rId189" Type="http://schemas.openxmlformats.org/officeDocument/2006/relationships/hyperlink" Target="https://enzyme.expasy.org/EC/5.4.2.11" TargetMode="External"/><Relationship Id="rId396" Type="http://schemas.openxmlformats.org/officeDocument/2006/relationships/hyperlink" Target="https://www.genome.jp/entry/C00935" TargetMode="External"/><Relationship Id="rId617" Type="http://schemas.openxmlformats.org/officeDocument/2006/relationships/hyperlink" Target="https://www.kegg.jp/entry/C00111" TargetMode="External"/><Relationship Id="rId824" Type="http://schemas.openxmlformats.org/officeDocument/2006/relationships/hyperlink" Target="https://www.kegg.jp/entry/R02288" TargetMode="External"/><Relationship Id="rId256" Type="http://schemas.openxmlformats.org/officeDocument/2006/relationships/hyperlink" Target="https://enzyme.expasy.org/EC/5.4.2.12" TargetMode="External"/><Relationship Id="rId463" Type="http://schemas.openxmlformats.org/officeDocument/2006/relationships/hyperlink" Target="https://www.kegg.jp/entry/R00996/R11098/R11101/R00220/R06131" TargetMode="External"/><Relationship Id="rId670" Type="http://schemas.openxmlformats.org/officeDocument/2006/relationships/hyperlink" Target="https://enzyme.expasy.org/EC/3.2.1.21" TargetMode="External"/><Relationship Id="rId1093" Type="http://schemas.openxmlformats.org/officeDocument/2006/relationships/hyperlink" Target="https://www.kegg.jp/entry/R01869" TargetMode="External"/><Relationship Id="rId1107" Type="http://schemas.openxmlformats.org/officeDocument/2006/relationships/hyperlink" Target="https://enzyme.expasy.org/EC/2.6.1.1" TargetMode="External"/><Relationship Id="rId116" Type="http://schemas.openxmlformats.org/officeDocument/2006/relationships/hyperlink" Target="https://enzyme.expasy.org/EC/4.6.1.12" TargetMode="External"/><Relationship Id="rId323" Type="http://schemas.openxmlformats.org/officeDocument/2006/relationships/hyperlink" Target="https://enzyme.expasy.org/EC/4.1.2.13" TargetMode="External"/><Relationship Id="rId530" Type="http://schemas.openxmlformats.org/officeDocument/2006/relationships/hyperlink" Target="https://enzyme.expasy.org/EC/1.2.1.88" TargetMode="External"/><Relationship Id="rId768" Type="http://schemas.openxmlformats.org/officeDocument/2006/relationships/hyperlink" Target="https://enzyme.expasy.org/EC/2.7.7.7" TargetMode="External"/><Relationship Id="rId975" Type="http://schemas.openxmlformats.org/officeDocument/2006/relationships/hyperlink" Target="https://www.kegg.jp/entry/R00256/R01230/R01231/R08244" TargetMode="External"/><Relationship Id="rId20" Type="http://schemas.openxmlformats.org/officeDocument/2006/relationships/hyperlink" Target="https://enzyme.expasy.org/EC/1.8.1.4" TargetMode="External"/><Relationship Id="rId628" Type="http://schemas.openxmlformats.org/officeDocument/2006/relationships/hyperlink" Target="https://enzyme.expasy.org/EC/2.3.1.179" TargetMode="External"/><Relationship Id="rId835" Type="http://schemas.openxmlformats.org/officeDocument/2006/relationships/hyperlink" Target="https://www.kegg.jp/entry/R03459" TargetMode="External"/><Relationship Id="rId267" Type="http://schemas.openxmlformats.org/officeDocument/2006/relationships/hyperlink" Target="https://enzyme.expasy.org/EC/6.3.5.4" TargetMode="External"/><Relationship Id="rId474" Type="http://schemas.openxmlformats.org/officeDocument/2006/relationships/hyperlink" Target="https://www.kegg.jp/entry/R01652/R04426/R10052/R00994" TargetMode="External"/><Relationship Id="rId1020" Type="http://schemas.openxmlformats.org/officeDocument/2006/relationships/hyperlink" Target="https://enzyme.expasy.org/EC/2.7.4.6" TargetMode="External"/><Relationship Id="rId1118" Type="http://schemas.openxmlformats.org/officeDocument/2006/relationships/hyperlink" Target="https://enzyme.expasy.org/EC/2.5.1.47" TargetMode="External"/><Relationship Id="rId127" Type="http://schemas.openxmlformats.org/officeDocument/2006/relationships/hyperlink" Target="https://enzyme.expasy.org/EC/5.3.1.1" TargetMode="External"/><Relationship Id="rId681" Type="http://schemas.openxmlformats.org/officeDocument/2006/relationships/hyperlink" Target="https://enzyme.expasy.org/EC/3.2.1.21" TargetMode="External"/><Relationship Id="rId779" Type="http://schemas.openxmlformats.org/officeDocument/2006/relationships/hyperlink" Target="https://www.kegg.jp/entry/R04779/R00756/R00767/R00769/R00770/R01843/R03236/R03237/R03238/R03239" TargetMode="External"/><Relationship Id="rId902" Type="http://schemas.openxmlformats.org/officeDocument/2006/relationships/hyperlink" Target="https://enzyme.expasy.org/EC/5.3.1.9" TargetMode="External"/><Relationship Id="rId986" Type="http://schemas.openxmlformats.org/officeDocument/2006/relationships/hyperlink" Target="https://www.kegg.jp/entry/R02016/R00900/R03596/R09372" TargetMode="External"/><Relationship Id="rId31" Type="http://schemas.openxmlformats.org/officeDocument/2006/relationships/hyperlink" Target="https://enzyme.expasy.org/EC/5.4.2.11" TargetMode="External"/><Relationship Id="rId334" Type="http://schemas.openxmlformats.org/officeDocument/2006/relationships/hyperlink" Target="https://enzyme.expasy.org/EC/2.8.1.6" TargetMode="External"/><Relationship Id="rId541" Type="http://schemas.openxmlformats.org/officeDocument/2006/relationships/hyperlink" Target="https://enzyme.expasy.org/EC/2.7.7.6" TargetMode="External"/><Relationship Id="rId639" Type="http://schemas.openxmlformats.org/officeDocument/2006/relationships/hyperlink" Target="https://www.kegg.jp/entry/R01244" TargetMode="External"/><Relationship Id="rId4" Type="http://schemas.openxmlformats.org/officeDocument/2006/relationships/hyperlink" Target="https://enzyme.expasy.org/EC/4.1.1.15" TargetMode="External"/><Relationship Id="rId180" Type="http://schemas.openxmlformats.org/officeDocument/2006/relationships/hyperlink" Target="https://enzyme.expasy.org/EC/6.3.4.14" TargetMode="External"/><Relationship Id="rId236" Type="http://schemas.openxmlformats.org/officeDocument/2006/relationships/hyperlink" Target="https://enzyme.expasy.org/EC/6.3.4.14" TargetMode="External"/><Relationship Id="rId278" Type="http://schemas.openxmlformats.org/officeDocument/2006/relationships/hyperlink" Target="https://enzyme.expasy.org/EC/3.5.1.1" TargetMode="External"/><Relationship Id="rId401" Type="http://schemas.openxmlformats.org/officeDocument/2006/relationships/hyperlink" Target="https://www.kegg.jp/dbget-bin/www_bget?ec:2.7.10.2" TargetMode="External"/><Relationship Id="rId443" Type="http://schemas.openxmlformats.org/officeDocument/2006/relationships/hyperlink" Target="https://www.kegg.jp/entry/R00420/R00414/R02707" TargetMode="External"/><Relationship Id="rId650" Type="http://schemas.openxmlformats.org/officeDocument/2006/relationships/hyperlink" Target="https://www.kegg.jp/entry/R00481/R00357" TargetMode="External"/><Relationship Id="rId846" Type="http://schemas.openxmlformats.org/officeDocument/2006/relationships/hyperlink" Target="https://www.kegg.jp/entry/R03655" TargetMode="External"/><Relationship Id="rId888" Type="http://schemas.openxmlformats.org/officeDocument/2006/relationships/hyperlink" Target="https://enzyme.expasy.org/EC/1.17.4.1" TargetMode="External"/><Relationship Id="rId1031" Type="http://schemas.openxmlformats.org/officeDocument/2006/relationships/hyperlink" Target="https://www.kegg.jp/entry/R10757" TargetMode="External"/><Relationship Id="rId1073" Type="http://schemas.openxmlformats.org/officeDocument/2006/relationships/hyperlink" Target="https://www.kegg.jp/entry/R02437" TargetMode="External"/><Relationship Id="rId1129" Type="http://schemas.openxmlformats.org/officeDocument/2006/relationships/hyperlink" Target="https://www.kegg.jp/entry/R01071" TargetMode="External"/><Relationship Id="rId303" Type="http://schemas.openxmlformats.org/officeDocument/2006/relationships/hyperlink" Target="https://enzyme.expasy.org/EC/1.1.1.267" TargetMode="External"/><Relationship Id="rId485" Type="http://schemas.openxmlformats.org/officeDocument/2006/relationships/hyperlink" Target="https://www.kegg.jp/entry/R00006/R00226/R00014/R03050/R04672/R04673/R08648" TargetMode="External"/><Relationship Id="rId692" Type="http://schemas.openxmlformats.org/officeDocument/2006/relationships/hyperlink" Target="https://enzyme.expasy.org/EC/3.2.1.21" TargetMode="External"/><Relationship Id="rId706" Type="http://schemas.openxmlformats.org/officeDocument/2006/relationships/hyperlink" Target="https://enzyme.expasy.org/EC/3.2.1.21" TargetMode="External"/><Relationship Id="rId748" Type="http://schemas.openxmlformats.org/officeDocument/2006/relationships/hyperlink" Target="https://enzyme.expasy.org/EC/2.5.1.17" TargetMode="External"/><Relationship Id="rId913" Type="http://schemas.openxmlformats.org/officeDocument/2006/relationships/hyperlink" Target="https://enzyme.expasy.org/EC/2.7.4.8" TargetMode="External"/><Relationship Id="rId955" Type="http://schemas.openxmlformats.org/officeDocument/2006/relationships/hyperlink" Target="https://www.kegg.jp/entry/R01092" TargetMode="External"/><Relationship Id="rId1140" Type="http://schemas.openxmlformats.org/officeDocument/2006/relationships/hyperlink" Target="https://www.kegg.jp/entry/R05633" TargetMode="External"/><Relationship Id="rId42" Type="http://schemas.openxmlformats.org/officeDocument/2006/relationships/hyperlink" Target="https://enzyme.expasy.org/EC/3.4.16.4" TargetMode="External"/><Relationship Id="rId84" Type="http://schemas.openxmlformats.org/officeDocument/2006/relationships/hyperlink" Target="https://enzyme.expasy.org/EC/2.7.2.11" TargetMode="External"/><Relationship Id="rId138" Type="http://schemas.openxmlformats.org/officeDocument/2006/relationships/hyperlink" Target="https://enzyme.expasy.org/EC/1.17.1.8" TargetMode="External"/><Relationship Id="rId345" Type="http://schemas.openxmlformats.org/officeDocument/2006/relationships/hyperlink" Target="https://enzyme.expasy.org/EC/2.2.1.9" TargetMode="External"/><Relationship Id="rId387" Type="http://schemas.openxmlformats.org/officeDocument/2006/relationships/hyperlink" Target="https://www.kegg.jp/entry/C00025" TargetMode="External"/><Relationship Id="rId510" Type="http://schemas.openxmlformats.org/officeDocument/2006/relationships/hyperlink" Target="https://enzyme.expasy.org/EC/2.7.7.7" TargetMode="External"/><Relationship Id="rId552" Type="http://schemas.openxmlformats.org/officeDocument/2006/relationships/hyperlink" Target="https://www.kegg.jp/entry/R03018/R02971/R04391" TargetMode="External"/><Relationship Id="rId594" Type="http://schemas.openxmlformats.org/officeDocument/2006/relationships/hyperlink" Target="https://enzyme.expasy.org/EC/3.1.6.1" TargetMode="External"/><Relationship Id="rId608" Type="http://schemas.openxmlformats.org/officeDocument/2006/relationships/hyperlink" Target="https://www.kegg.jp/entry/R00424/R00428/R04639/R05046/R05048" TargetMode="External"/><Relationship Id="rId815" Type="http://schemas.openxmlformats.org/officeDocument/2006/relationships/hyperlink" Target="https://enzyme.expasy.org/EC/2.7.1.11" TargetMode="External"/><Relationship Id="rId997" Type="http://schemas.openxmlformats.org/officeDocument/2006/relationships/hyperlink" Target="https://www.kegg.jp/entry/R02649" TargetMode="External"/><Relationship Id="rId191" Type="http://schemas.openxmlformats.org/officeDocument/2006/relationships/hyperlink" Target="https://enzyme.expasy.org/EC/2.7.6.2" TargetMode="External"/><Relationship Id="rId205" Type="http://schemas.openxmlformats.org/officeDocument/2006/relationships/hyperlink" Target="https://enzyme.expasy.org/EC/1.1.1.193" TargetMode="External"/><Relationship Id="rId247" Type="http://schemas.openxmlformats.org/officeDocument/2006/relationships/hyperlink" Target="https://enzyme.expasy.org/EC/1.1.1.262" TargetMode="External"/><Relationship Id="rId412" Type="http://schemas.openxmlformats.org/officeDocument/2006/relationships/hyperlink" Target="https://www.kegg.jp/entry/C00345" TargetMode="External"/><Relationship Id="rId857" Type="http://schemas.openxmlformats.org/officeDocument/2006/relationships/hyperlink" Target="https://www.kegg.jp/entry/R01532/R00087/R00426/R00515/R00662/R11323/R00103/R00160/R00287/R03004/R03036" TargetMode="External"/><Relationship Id="rId899" Type="http://schemas.openxmlformats.org/officeDocument/2006/relationships/hyperlink" Target="https://www.kegg.jp/entry/R02740/R00771/R02739/R03321/R13199" TargetMode="External"/><Relationship Id="rId1000" Type="http://schemas.openxmlformats.org/officeDocument/2006/relationships/hyperlink" Target="https://www.kegg.jp/entry/R00291/R00418/R02984" TargetMode="External"/><Relationship Id="rId1042" Type="http://schemas.openxmlformats.org/officeDocument/2006/relationships/hyperlink" Target="https://enzyme.expasy.org/EC/1.1.1.100" TargetMode="External"/><Relationship Id="rId1084" Type="http://schemas.openxmlformats.org/officeDocument/2006/relationships/hyperlink" Target="https://www.kegg.jp/entry/R00966" TargetMode="External"/><Relationship Id="rId107" Type="http://schemas.openxmlformats.org/officeDocument/2006/relationships/hyperlink" Target="https://enzyme.expasy.org/EC/2.7.8.13" TargetMode="External"/><Relationship Id="rId289" Type="http://schemas.openxmlformats.org/officeDocument/2006/relationships/hyperlink" Target="https://enzyme.expasy.org/EC/6.3.5.2" TargetMode="External"/><Relationship Id="rId454" Type="http://schemas.openxmlformats.org/officeDocument/2006/relationships/hyperlink" Target="https://enzyme.expasy.org/EC/2.4.2.8" TargetMode="External"/><Relationship Id="rId496" Type="http://schemas.openxmlformats.org/officeDocument/2006/relationships/hyperlink" Target="https://enzyme.expasy.org/EC/2.2.1.6" TargetMode="External"/><Relationship Id="rId661" Type="http://schemas.openxmlformats.org/officeDocument/2006/relationships/hyperlink" Target="https://enzyme.expasy.org/EC/3.2.1.21" TargetMode="External"/><Relationship Id="rId717" Type="http://schemas.openxmlformats.org/officeDocument/2006/relationships/hyperlink" Target="https://www.kegg.jp/entry/C00905" TargetMode="External"/><Relationship Id="rId759" Type="http://schemas.openxmlformats.org/officeDocument/2006/relationships/hyperlink" Target="https://www.kegg.jp/entry/R00379/R00375/R00376/R00377/R00378/R11029" TargetMode="External"/><Relationship Id="rId924" Type="http://schemas.openxmlformats.org/officeDocument/2006/relationships/hyperlink" Target="https://enzyme.expasy.org/EC/1.1.1.3" TargetMode="External"/><Relationship Id="rId966" Type="http://schemas.openxmlformats.org/officeDocument/2006/relationships/hyperlink" Target="https://www.kegg.jp/entry/R00256/R01230/R01231/R08244" TargetMode="External"/><Relationship Id="rId11" Type="http://schemas.openxmlformats.org/officeDocument/2006/relationships/hyperlink" Target="https://enzyme.expasy.org/EC/2.7.1.25" TargetMode="External"/><Relationship Id="rId53" Type="http://schemas.openxmlformats.org/officeDocument/2006/relationships/hyperlink" Target="https://enzyme.expasy.org/EC/6.3.2.6" TargetMode="External"/><Relationship Id="rId149" Type="http://schemas.openxmlformats.org/officeDocument/2006/relationships/hyperlink" Target="https://enzyme.expasy.org/EC/1.4.3.16" TargetMode="External"/><Relationship Id="rId314" Type="http://schemas.openxmlformats.org/officeDocument/2006/relationships/hyperlink" Target="https://enzyme.expasy.org/EC/5.1.3.14" TargetMode="External"/><Relationship Id="rId356" Type="http://schemas.openxmlformats.org/officeDocument/2006/relationships/hyperlink" Target="https://enzyme.expasy.org/EC/2.1.1.131" TargetMode="External"/><Relationship Id="rId398" Type="http://schemas.openxmlformats.org/officeDocument/2006/relationships/hyperlink" Target="https://enzyme.expasy.org/EC/2.1.2.11" TargetMode="External"/><Relationship Id="rId521" Type="http://schemas.openxmlformats.org/officeDocument/2006/relationships/hyperlink" Target="https://www.kegg.jp/entry/R12920/R04567" TargetMode="External"/><Relationship Id="rId563" Type="http://schemas.openxmlformats.org/officeDocument/2006/relationships/hyperlink" Target="https://enzyme.expasy.org/EC/2.5.1.6" TargetMode="External"/><Relationship Id="rId619" Type="http://schemas.openxmlformats.org/officeDocument/2006/relationships/hyperlink" Target="https://enzyme.expasy.org/EC/2.7.7.8" TargetMode="External"/><Relationship Id="rId770" Type="http://schemas.openxmlformats.org/officeDocument/2006/relationships/hyperlink" Target="https://enzyme.expasy.org/EC/2.7.7.7" TargetMode="External"/><Relationship Id="rId95" Type="http://schemas.openxmlformats.org/officeDocument/2006/relationships/hyperlink" Target="https://enzyme.expasy.org/EC/2.7.7.6" TargetMode="External"/><Relationship Id="rId160" Type="http://schemas.openxmlformats.org/officeDocument/2006/relationships/hyperlink" Target="https://enzyme.expasy.org/EC/4.1.1.21" TargetMode="External"/><Relationship Id="rId216" Type="http://schemas.openxmlformats.org/officeDocument/2006/relationships/hyperlink" Target="https://enzyme.expasy.org/EC/2.1.1.45" TargetMode="External"/><Relationship Id="rId423" Type="http://schemas.openxmlformats.org/officeDocument/2006/relationships/hyperlink" Target="https://enzyme.expasy.org/EC/6.3.5.5" TargetMode="External"/><Relationship Id="rId826" Type="http://schemas.openxmlformats.org/officeDocument/2006/relationships/hyperlink" Target="https://enzyme.expasy.org/EC/4.3.1.3" TargetMode="External"/><Relationship Id="rId868" Type="http://schemas.openxmlformats.org/officeDocument/2006/relationships/hyperlink" Target="https://www.kegg.jp/entry/R03665" TargetMode="External"/><Relationship Id="rId1011" Type="http://schemas.openxmlformats.org/officeDocument/2006/relationships/hyperlink" Target="https://www.kegg.jp/entry/R03317" TargetMode="External"/><Relationship Id="rId1053" Type="http://schemas.openxmlformats.org/officeDocument/2006/relationships/hyperlink" Target="https://www.kegg.jp/dbget-bin/www_bget?ec:1.1.1.100" TargetMode="External"/><Relationship Id="rId1109" Type="http://schemas.openxmlformats.org/officeDocument/2006/relationships/hyperlink" Target="https://enzyme.expasy.org/EC/2.1.1.131" TargetMode="External"/><Relationship Id="rId258" Type="http://schemas.openxmlformats.org/officeDocument/2006/relationships/hyperlink" Target="https://enzyme.expasy.org/EC/2.7.2.4" TargetMode="External"/><Relationship Id="rId465" Type="http://schemas.openxmlformats.org/officeDocument/2006/relationships/hyperlink" Target="https://www.kegg.jp/entry/C05167" TargetMode="External"/><Relationship Id="rId630" Type="http://schemas.openxmlformats.org/officeDocument/2006/relationships/hyperlink" Target="https://enzyme.expasy.org/EC/2.3.1.179" TargetMode="External"/><Relationship Id="rId672" Type="http://schemas.openxmlformats.org/officeDocument/2006/relationships/hyperlink" Target="https://www.kegg.jp/entry/C00031" TargetMode="External"/><Relationship Id="rId728" Type="http://schemas.openxmlformats.org/officeDocument/2006/relationships/hyperlink" Target="https://www.kegg.jp/dbget-bin/www_bget?ec:6.3.5.5" TargetMode="External"/><Relationship Id="rId935" Type="http://schemas.openxmlformats.org/officeDocument/2006/relationships/hyperlink" Target="https://www.kegg.jp/entry/R01090/R01214/R02199/R10991" TargetMode="External"/><Relationship Id="rId1095" Type="http://schemas.openxmlformats.org/officeDocument/2006/relationships/hyperlink" Target="https://www.kegg.jp/entry/R00582/R02853" TargetMode="External"/><Relationship Id="rId22" Type="http://schemas.openxmlformats.org/officeDocument/2006/relationships/hyperlink" Target="https://enzyme.expasy.org/EC/3.2.1.41" TargetMode="External"/><Relationship Id="rId64" Type="http://schemas.openxmlformats.org/officeDocument/2006/relationships/hyperlink" Target="https://enzyme.expasy.org/EC/4.2.1.33" TargetMode="External"/><Relationship Id="rId118" Type="http://schemas.openxmlformats.org/officeDocument/2006/relationships/hyperlink" Target="https://enzyme.expasy.org/EC/3.1.6.1" TargetMode="External"/><Relationship Id="rId325" Type="http://schemas.openxmlformats.org/officeDocument/2006/relationships/hyperlink" Target="https://enzyme.expasy.org/EC/5.1.3.14" TargetMode="External"/><Relationship Id="rId367" Type="http://schemas.openxmlformats.org/officeDocument/2006/relationships/hyperlink" Target="https://enzyme.expasy.org/EC/3.1.3.15" TargetMode="External"/><Relationship Id="rId532" Type="http://schemas.openxmlformats.org/officeDocument/2006/relationships/hyperlink" Target="https://enzyme.expasy.org/EC/1.2.1.88" TargetMode="External"/><Relationship Id="rId574" Type="http://schemas.openxmlformats.org/officeDocument/2006/relationships/hyperlink" Target="https://enzyme.expasy.org/EC/2.4.1.227" TargetMode="External"/><Relationship Id="rId977" Type="http://schemas.openxmlformats.org/officeDocument/2006/relationships/hyperlink" Target="https://www.kegg.jp/entry/R05606" TargetMode="External"/><Relationship Id="rId1120" Type="http://schemas.openxmlformats.org/officeDocument/2006/relationships/hyperlink" Target="https://enzyme.expasy.org/EC/2.5.1.47" TargetMode="External"/><Relationship Id="rId171" Type="http://schemas.openxmlformats.org/officeDocument/2006/relationships/hyperlink" Target="https://enzyme.expasy.org/EC/3.4.16.4" TargetMode="External"/><Relationship Id="rId227" Type="http://schemas.openxmlformats.org/officeDocument/2006/relationships/hyperlink" Target="https://enzyme.expasy.org/EC/2.7.2.4" TargetMode="External"/><Relationship Id="rId781" Type="http://schemas.openxmlformats.org/officeDocument/2006/relationships/hyperlink" Target="https://www.kegg.jp/entry/R04779/R00756/R00767/R00769/R00770/R01843/R03236/R03237/R03238/R03239" TargetMode="External"/><Relationship Id="rId837" Type="http://schemas.openxmlformats.org/officeDocument/2006/relationships/hyperlink" Target="https://enzyme.expasy.org/EC/4.3.2.2" TargetMode="External"/><Relationship Id="rId879" Type="http://schemas.openxmlformats.org/officeDocument/2006/relationships/hyperlink" Target="https://www.kegg.jp/entry/R04657" TargetMode="External"/><Relationship Id="rId1022" Type="http://schemas.openxmlformats.org/officeDocument/2006/relationships/hyperlink" Target="https://enzyme.expasy.org/EC/2.7.4.6" TargetMode="External"/><Relationship Id="rId269" Type="http://schemas.openxmlformats.org/officeDocument/2006/relationships/hyperlink" Target="https://enzyme.expasy.org/EC/3.1.1.29" TargetMode="External"/><Relationship Id="rId434" Type="http://schemas.openxmlformats.org/officeDocument/2006/relationships/hyperlink" Target="https://www.kegg.jp/entry/C01170" TargetMode="External"/><Relationship Id="rId476" Type="http://schemas.openxmlformats.org/officeDocument/2006/relationships/hyperlink" Target="https://www.kegg.jp/entry/C00111" TargetMode="External"/><Relationship Id="rId641" Type="http://schemas.openxmlformats.org/officeDocument/2006/relationships/hyperlink" Target="https://enzyme.expasy.org/EC/2.7.7.7" TargetMode="External"/><Relationship Id="rId683" Type="http://schemas.openxmlformats.org/officeDocument/2006/relationships/hyperlink" Target="https://enzyme.expasy.org/EC/3.2.1.21" TargetMode="External"/><Relationship Id="rId739" Type="http://schemas.openxmlformats.org/officeDocument/2006/relationships/hyperlink" Target="https://enzyme.expasy.org/EC/2.7.1.40" TargetMode="External"/><Relationship Id="rId890" Type="http://schemas.openxmlformats.org/officeDocument/2006/relationships/hyperlink" Target="https://enzyme.expasy.org/EC/1.17.4.1" TargetMode="External"/><Relationship Id="rId904" Type="http://schemas.openxmlformats.org/officeDocument/2006/relationships/hyperlink" Target="https://enzyme.expasy.org/EC/5.3.1.9" TargetMode="External"/><Relationship Id="rId1064" Type="http://schemas.openxmlformats.org/officeDocument/2006/relationships/hyperlink" Target="https://www.kegg.jp/entry/R00220/R00590/R11099/R11100/R06131" TargetMode="External"/><Relationship Id="rId33" Type="http://schemas.openxmlformats.org/officeDocument/2006/relationships/hyperlink" Target="https://enzyme.expasy.org/EC/4.2.1.20" TargetMode="External"/><Relationship Id="rId129" Type="http://schemas.openxmlformats.org/officeDocument/2006/relationships/hyperlink" Target="https://enzyme.expasy.org/EC/2.7.7.60" TargetMode="External"/><Relationship Id="rId280" Type="http://schemas.openxmlformats.org/officeDocument/2006/relationships/hyperlink" Target="https://enzyme.expasy.org/EC/5.4.2.10" TargetMode="External"/><Relationship Id="rId336" Type="http://schemas.openxmlformats.org/officeDocument/2006/relationships/hyperlink" Target="https://enzyme.expasy.org/EC/2.3.1.29" TargetMode="External"/><Relationship Id="rId501" Type="http://schemas.openxmlformats.org/officeDocument/2006/relationships/hyperlink" Target="https://www.kegg.jp/entry/R00006/R00226/R00014/R03050/R04672/R04673/R08648" TargetMode="External"/><Relationship Id="rId543" Type="http://schemas.openxmlformats.org/officeDocument/2006/relationships/hyperlink" Target="https://enzyme.expasy.org/EC/2.7.7.6" TargetMode="External"/><Relationship Id="rId946" Type="http://schemas.openxmlformats.org/officeDocument/2006/relationships/hyperlink" Target="https://www.kegg.jp/entry/R00284/R00143" TargetMode="External"/><Relationship Id="rId988" Type="http://schemas.openxmlformats.org/officeDocument/2006/relationships/hyperlink" Target="https://www.kegg.jp/entry/R02016/R00900/R03596/R09372" TargetMode="External"/><Relationship Id="rId1131" Type="http://schemas.openxmlformats.org/officeDocument/2006/relationships/hyperlink" Target="https://enzyme.expasy.org/EC/4.1.1.96" TargetMode="External"/><Relationship Id="rId75" Type="http://schemas.openxmlformats.org/officeDocument/2006/relationships/hyperlink" Target="https://enzyme.expasy.org/EC/2.3.1.191" TargetMode="External"/><Relationship Id="rId140" Type="http://schemas.openxmlformats.org/officeDocument/2006/relationships/hyperlink" Target="https://enzyme.expasy.org/EC/2.6.1.37" TargetMode="External"/><Relationship Id="rId182" Type="http://schemas.openxmlformats.org/officeDocument/2006/relationships/hyperlink" Target="https://enzyme.expasy.org/EC/6.1.1.2" TargetMode="External"/><Relationship Id="rId378" Type="http://schemas.openxmlformats.org/officeDocument/2006/relationships/hyperlink" Target="https://enzyme.expasy.org/EC/2.1.1.228" TargetMode="External"/><Relationship Id="rId403" Type="http://schemas.openxmlformats.org/officeDocument/2006/relationships/hyperlink" Target="https://www.kegg.jp/dbget-bin/www_bget?ec:2.7.10.2" TargetMode="External"/><Relationship Id="rId585" Type="http://schemas.openxmlformats.org/officeDocument/2006/relationships/hyperlink" Target="https://enzyme.expasy.org/EC/6.3.4.15" TargetMode="External"/><Relationship Id="rId750" Type="http://schemas.openxmlformats.org/officeDocument/2006/relationships/hyperlink" Target="https://enzyme.expasy.org/EC/1.17.4.2" TargetMode="External"/><Relationship Id="rId792" Type="http://schemas.openxmlformats.org/officeDocument/2006/relationships/hyperlink" Target="https://enzyme.expasy.org/EC/2.7.1.11" TargetMode="External"/><Relationship Id="rId806" Type="http://schemas.openxmlformats.org/officeDocument/2006/relationships/hyperlink" Target="https://www.kegg.jp/entry/R04779/R00756/R00767/R00769/R00770/R01843/R03236/R03237/R03238/R03239" TargetMode="External"/><Relationship Id="rId848" Type="http://schemas.openxmlformats.org/officeDocument/2006/relationships/hyperlink" Target="https://enzyme.expasy.org/EC/3.6.1.9" TargetMode="External"/><Relationship Id="rId1033" Type="http://schemas.openxmlformats.org/officeDocument/2006/relationships/hyperlink" Target="https://www.kegg.jp/entry/R00104" TargetMode="External"/><Relationship Id="rId6" Type="http://schemas.openxmlformats.org/officeDocument/2006/relationships/hyperlink" Target="https://enzyme.expasy.org/EC/2.1.2.11" TargetMode="External"/><Relationship Id="rId238" Type="http://schemas.openxmlformats.org/officeDocument/2006/relationships/hyperlink" Target="https://enzyme.expasy.org/EC/1.1.1.205" TargetMode="External"/><Relationship Id="rId445" Type="http://schemas.openxmlformats.org/officeDocument/2006/relationships/hyperlink" Target="https://www.kegg.jp/entry/R00420/R00414/R02707" TargetMode="External"/><Relationship Id="rId487" Type="http://schemas.openxmlformats.org/officeDocument/2006/relationships/hyperlink" Target="https://www.kegg.jp/entry/R00006/R00226/R00014/R03050/R04672/R04673/R08648" TargetMode="External"/><Relationship Id="rId610" Type="http://schemas.openxmlformats.org/officeDocument/2006/relationships/hyperlink" Target="https://www.kegg.jp/entry/R00424/R00428/R04639/R05046/R05048" TargetMode="External"/><Relationship Id="rId652" Type="http://schemas.openxmlformats.org/officeDocument/2006/relationships/hyperlink" Target="https://enzyme.expasy.org/EC/1.8.1.4" TargetMode="External"/><Relationship Id="rId694" Type="http://schemas.openxmlformats.org/officeDocument/2006/relationships/hyperlink" Target="https://enzyme.expasy.org/EC/3.2.1.21" TargetMode="External"/><Relationship Id="rId708" Type="http://schemas.openxmlformats.org/officeDocument/2006/relationships/hyperlink" Target="https://www.kegg.jp/entry/C00031" TargetMode="External"/><Relationship Id="rId915" Type="http://schemas.openxmlformats.org/officeDocument/2006/relationships/hyperlink" Target="https://www.kegg.jp/entry/R02765/R09979" TargetMode="External"/><Relationship Id="rId1075" Type="http://schemas.openxmlformats.org/officeDocument/2006/relationships/hyperlink" Target="https://www.kegg.jp/entry/R02263/R01785" TargetMode="External"/><Relationship Id="rId291" Type="http://schemas.openxmlformats.org/officeDocument/2006/relationships/hyperlink" Target="https://enzyme.expasy.org/EC/2.7.1.30" TargetMode="External"/><Relationship Id="rId305" Type="http://schemas.openxmlformats.org/officeDocument/2006/relationships/hyperlink" Target="https://enzyme.expasy.org/EC/2.7.2.8" TargetMode="External"/><Relationship Id="rId347" Type="http://schemas.openxmlformats.org/officeDocument/2006/relationships/hyperlink" Target="https://enzyme.expasy.org/EC/3.5.4.3" TargetMode="External"/><Relationship Id="rId512" Type="http://schemas.openxmlformats.org/officeDocument/2006/relationships/hyperlink" Target="https://enzyme.expasy.org/EC/2.7.7.7" TargetMode="External"/><Relationship Id="rId957" Type="http://schemas.openxmlformats.org/officeDocument/2006/relationships/hyperlink" Target="https://www.kegg.jp/entry/R01051/R02750" TargetMode="External"/><Relationship Id="rId999" Type="http://schemas.openxmlformats.org/officeDocument/2006/relationships/hyperlink" Target="https://www.kegg.jp/entry/R04173/R05085" TargetMode="External"/><Relationship Id="rId1100" Type="http://schemas.openxmlformats.org/officeDocument/2006/relationships/hyperlink" Target="https://www.kegg.jp/entry/R01324/R01325/R01900" TargetMode="External"/><Relationship Id="rId1142" Type="http://schemas.openxmlformats.org/officeDocument/2006/relationships/hyperlink" Target="https://www.genome.jp/entry/C03733" TargetMode="External"/><Relationship Id="rId44" Type="http://schemas.openxmlformats.org/officeDocument/2006/relationships/hyperlink" Target="https://enzyme.expasy.org/EC/3.5.4.10" TargetMode="External"/><Relationship Id="rId86" Type="http://schemas.openxmlformats.org/officeDocument/2006/relationships/hyperlink" Target="https://enzyme.expasy.org/EC/2.1.3.9" TargetMode="External"/><Relationship Id="rId151" Type="http://schemas.openxmlformats.org/officeDocument/2006/relationships/hyperlink" Target="https://enzyme.expasy.org/EC/3.1.26.5" TargetMode="External"/><Relationship Id="rId389" Type="http://schemas.openxmlformats.org/officeDocument/2006/relationships/hyperlink" Target="https://www.kegg.jp/entry/R00513/R00964/R00517/R00968/R08232" TargetMode="External"/><Relationship Id="rId554" Type="http://schemas.openxmlformats.org/officeDocument/2006/relationships/hyperlink" Target="https://enzyme.expasy.org/EC/2.7.7.6" TargetMode="External"/><Relationship Id="rId596" Type="http://schemas.openxmlformats.org/officeDocument/2006/relationships/hyperlink" Target="https://enzyme.expasy.org/EC/3.1.6.1" TargetMode="External"/><Relationship Id="rId761" Type="http://schemas.openxmlformats.org/officeDocument/2006/relationships/hyperlink" Target="https://enzyme.expasy.org/EC/2.7.7.7" TargetMode="External"/><Relationship Id="rId817" Type="http://schemas.openxmlformats.org/officeDocument/2006/relationships/hyperlink" Target="https://enzyme.expasy.org/EC/5.4.2.11" TargetMode="External"/><Relationship Id="rId859" Type="http://schemas.openxmlformats.org/officeDocument/2006/relationships/hyperlink" Target="https://www.kegg.jp/entry/R01532/R00087/R00426/R00515/R00662/R11323/R00103/R00160/R00287/R03004/R03036" TargetMode="External"/><Relationship Id="rId1002" Type="http://schemas.openxmlformats.org/officeDocument/2006/relationships/hyperlink" Target="https://www.kegg.jp/entry/R00291/R00418/R02984" TargetMode="External"/><Relationship Id="rId193" Type="http://schemas.openxmlformats.org/officeDocument/2006/relationships/hyperlink" Target="https://enzyme.expasy.org/EC/1.4.1.16" TargetMode="External"/><Relationship Id="rId207" Type="http://schemas.openxmlformats.org/officeDocument/2006/relationships/hyperlink" Target="https://enzyme.expasy.org/EC/5.1.1.3" TargetMode="External"/><Relationship Id="rId249" Type="http://schemas.openxmlformats.org/officeDocument/2006/relationships/hyperlink" Target="https://enzyme.expasy.org/EC/6.3.3.2" TargetMode="External"/><Relationship Id="rId414" Type="http://schemas.openxmlformats.org/officeDocument/2006/relationships/hyperlink" Target="https://enzyme.expasy.org/EC/4.2.1.20" TargetMode="External"/><Relationship Id="rId456" Type="http://schemas.openxmlformats.org/officeDocument/2006/relationships/hyperlink" Target="https://enzyme.expasy.org/EC/6.3.3.3" TargetMode="External"/><Relationship Id="rId498" Type="http://schemas.openxmlformats.org/officeDocument/2006/relationships/hyperlink" Target="https://enzyme.expasy.org/EC/2.2.1.6" TargetMode="External"/><Relationship Id="rId621" Type="http://schemas.openxmlformats.org/officeDocument/2006/relationships/hyperlink" Target="https://enzyme.expasy.org/EC/2.7.7.8" TargetMode="External"/><Relationship Id="rId663" Type="http://schemas.openxmlformats.org/officeDocument/2006/relationships/hyperlink" Target="https://enzyme.expasy.org/EC/3.2.1.21" TargetMode="External"/><Relationship Id="rId870" Type="http://schemas.openxmlformats.org/officeDocument/2006/relationships/hyperlink" Target="https://enzyme.expasy.org/EC/1.4.1.4" TargetMode="External"/><Relationship Id="rId1044" Type="http://schemas.openxmlformats.org/officeDocument/2006/relationships/hyperlink" Target="https://enzyme.expasy.org/EC/1.1.1.100" TargetMode="External"/><Relationship Id="rId1086" Type="http://schemas.openxmlformats.org/officeDocument/2006/relationships/hyperlink" Target="https://enzyme.expasy.org/EC/4.1.3.36" TargetMode="External"/><Relationship Id="rId13" Type="http://schemas.openxmlformats.org/officeDocument/2006/relationships/hyperlink" Target="https://enzyme.expasy.org/EC/5.3.1.5" TargetMode="External"/><Relationship Id="rId109" Type="http://schemas.openxmlformats.org/officeDocument/2006/relationships/hyperlink" Target="https://enzyme.expasy.org/EC/2.1.1.198" TargetMode="External"/><Relationship Id="rId260" Type="http://schemas.openxmlformats.org/officeDocument/2006/relationships/hyperlink" Target="https://enzyme.expasy.org/EC/2.5.1.75" TargetMode="External"/><Relationship Id="rId316" Type="http://schemas.openxmlformats.org/officeDocument/2006/relationships/hyperlink" Target="https://enzyme.expasy.org/EC/2.7.7.7" TargetMode="External"/><Relationship Id="rId523" Type="http://schemas.openxmlformats.org/officeDocument/2006/relationships/hyperlink" Target="https://enzyme.expasy.org/EC/5.3.1.6" TargetMode="External"/><Relationship Id="rId719" Type="http://schemas.openxmlformats.org/officeDocument/2006/relationships/hyperlink" Target="https://www.kegg.jp/entry/R01482/R01983" TargetMode="External"/><Relationship Id="rId926" Type="http://schemas.openxmlformats.org/officeDocument/2006/relationships/hyperlink" Target="https://www.kegg.jp/entry/R00189" TargetMode="External"/><Relationship Id="rId968" Type="http://schemas.openxmlformats.org/officeDocument/2006/relationships/hyperlink" Target="https://www.kegg.jp/entry/R00256/R01230/R01231/R08244" TargetMode="External"/><Relationship Id="rId1111" Type="http://schemas.openxmlformats.org/officeDocument/2006/relationships/hyperlink" Target="https://www.kegg.jp/entry/R03471" TargetMode="External"/><Relationship Id="rId55" Type="http://schemas.openxmlformats.org/officeDocument/2006/relationships/hyperlink" Target="https://enzyme.expasy.org/EC/4.1.3.-" TargetMode="External"/><Relationship Id="rId97" Type="http://schemas.openxmlformats.org/officeDocument/2006/relationships/hyperlink" Target="https://enzyme.expasy.org/EC/1.1.1.205" TargetMode="External"/><Relationship Id="rId120" Type="http://schemas.openxmlformats.org/officeDocument/2006/relationships/hyperlink" Target="https://enzyme.expasy.org/EC/3.1.26.11" TargetMode="External"/><Relationship Id="rId358" Type="http://schemas.openxmlformats.org/officeDocument/2006/relationships/hyperlink" Target="https://enzyme.expasy.org/EC/2.7.1.49" TargetMode="External"/><Relationship Id="rId565" Type="http://schemas.openxmlformats.org/officeDocument/2006/relationships/hyperlink" Target="https://www.kegg.jp/entry/R10220" TargetMode="External"/><Relationship Id="rId730" Type="http://schemas.openxmlformats.org/officeDocument/2006/relationships/hyperlink" Target="https://www.kegg.jp/dbget-bin/www_bget?ec:6.3.5.5" TargetMode="External"/><Relationship Id="rId772" Type="http://schemas.openxmlformats.org/officeDocument/2006/relationships/hyperlink" Target="https://enzyme.expasy.org/EC/2.7.7.7" TargetMode="External"/><Relationship Id="rId828" Type="http://schemas.openxmlformats.org/officeDocument/2006/relationships/hyperlink" Target="https://www.kegg.jp/entry/R00600" TargetMode="External"/><Relationship Id="rId1013" Type="http://schemas.openxmlformats.org/officeDocument/2006/relationships/hyperlink" Target="https://enzyme.expasy.org/EC/2.7.4.6" TargetMode="External"/><Relationship Id="rId162" Type="http://schemas.openxmlformats.org/officeDocument/2006/relationships/hyperlink" Target="https://enzyme.expasy.org/EC/3.6.1.23" TargetMode="External"/><Relationship Id="rId218" Type="http://schemas.openxmlformats.org/officeDocument/2006/relationships/hyperlink" Target="https://enzyme.expasy.org/EC/2.8.1.13" TargetMode="External"/><Relationship Id="rId425" Type="http://schemas.openxmlformats.org/officeDocument/2006/relationships/hyperlink" Target="https://enzyme.expasy.org/EC/6.3.5.5" TargetMode="External"/><Relationship Id="rId467" Type="http://schemas.openxmlformats.org/officeDocument/2006/relationships/hyperlink" Target="https://enzyme.expasy.org/EC/1.1.1.85" TargetMode="External"/><Relationship Id="rId632" Type="http://schemas.openxmlformats.org/officeDocument/2006/relationships/hyperlink" Target="https://enzyme.expasy.org/EC/2.3.1.179" TargetMode="External"/><Relationship Id="rId1055" Type="http://schemas.openxmlformats.org/officeDocument/2006/relationships/hyperlink" Target="https://www.kegg.jp/dbget-bin/www_bget?ec:1.1.1.100" TargetMode="External"/><Relationship Id="rId1097" Type="http://schemas.openxmlformats.org/officeDocument/2006/relationships/hyperlink" Target="https://enzyme.expasy.org/EC/4.2.1.3" TargetMode="External"/><Relationship Id="rId271" Type="http://schemas.openxmlformats.org/officeDocument/2006/relationships/hyperlink" Target="https://enzyme.expasy.org/EC/1.5.1.20" TargetMode="External"/><Relationship Id="rId674" Type="http://schemas.openxmlformats.org/officeDocument/2006/relationships/hyperlink" Target="https://enzyme.expasy.org/EC/3.2.1.21" TargetMode="External"/><Relationship Id="rId881" Type="http://schemas.openxmlformats.org/officeDocument/2006/relationships/hyperlink" Target="https://www.kegg.jp/entry/R04294/R02017/R02018/R02019/R02024/R08363/R08364/R11893" TargetMode="External"/><Relationship Id="rId937" Type="http://schemas.openxmlformats.org/officeDocument/2006/relationships/hyperlink" Target="https://www.kegg.jp/entry/R01090/R01214/R02199/R10991" TargetMode="External"/><Relationship Id="rId979" Type="http://schemas.openxmlformats.org/officeDocument/2006/relationships/hyperlink" Target="https://www.kegg.jp/entry/R12920/R04567" TargetMode="External"/><Relationship Id="rId1122" Type="http://schemas.openxmlformats.org/officeDocument/2006/relationships/hyperlink" Target="https://www.kegg.jp/entry/R03013" TargetMode="External"/><Relationship Id="rId24" Type="http://schemas.openxmlformats.org/officeDocument/2006/relationships/hyperlink" Target="https://enzyme.expasy.org/EC/6.1.1.3" TargetMode="External"/><Relationship Id="rId66" Type="http://schemas.openxmlformats.org/officeDocument/2006/relationships/hyperlink" Target="https://enzyme.expasy.org/EC/1.1.1.-" TargetMode="External"/><Relationship Id="rId131" Type="http://schemas.openxmlformats.org/officeDocument/2006/relationships/hyperlink" Target="https://enzyme.expasy.org/EC/2.7.7.8" TargetMode="External"/><Relationship Id="rId327" Type="http://schemas.openxmlformats.org/officeDocument/2006/relationships/hyperlink" Target="https://enzyme.expasy.org/EC/6.1.1.12" TargetMode="External"/><Relationship Id="rId369" Type="http://schemas.openxmlformats.org/officeDocument/2006/relationships/hyperlink" Target="https://enzyme.expasy.org/EC/2.6.1.9" TargetMode="External"/><Relationship Id="rId534" Type="http://schemas.openxmlformats.org/officeDocument/2006/relationships/hyperlink" Target="https://enzyme.expasy.org/EC/1.2.1.88" TargetMode="External"/><Relationship Id="rId576" Type="http://schemas.openxmlformats.org/officeDocument/2006/relationships/hyperlink" Target="https://www.kegg.jp/entry/R02783" TargetMode="External"/><Relationship Id="rId741" Type="http://schemas.openxmlformats.org/officeDocument/2006/relationships/hyperlink" Target="https://enzyme.expasy.org/EC/2.7.1.40" TargetMode="External"/><Relationship Id="rId783" Type="http://schemas.openxmlformats.org/officeDocument/2006/relationships/hyperlink" Target="https://www.kegg.jp/entry/R04779/R00756/R00767/R00769/R00770/R01843/R03236/R03237/R03238/R03239" TargetMode="External"/><Relationship Id="rId839" Type="http://schemas.openxmlformats.org/officeDocument/2006/relationships/hyperlink" Target="https://www.kegg.jp/entry/R03648" TargetMode="External"/><Relationship Id="rId990" Type="http://schemas.openxmlformats.org/officeDocument/2006/relationships/hyperlink" Target="https://enzyme.expasy.org/EC/2.1.1.13" TargetMode="External"/><Relationship Id="rId173" Type="http://schemas.openxmlformats.org/officeDocument/2006/relationships/hyperlink" Target="https://enzyme.expasy.org/EC/2.3.1.8" TargetMode="External"/><Relationship Id="rId229" Type="http://schemas.openxmlformats.org/officeDocument/2006/relationships/hyperlink" Target="https://enzyme.expasy.org/EC/2.7.1.130" TargetMode="External"/><Relationship Id="rId380" Type="http://schemas.openxmlformats.org/officeDocument/2006/relationships/hyperlink" Target="https://www.genome.jp/entry/C03733" TargetMode="External"/><Relationship Id="rId436" Type="http://schemas.openxmlformats.org/officeDocument/2006/relationships/hyperlink" Target="https://enzyme.expasy.org/EC/5.1.3.14" TargetMode="External"/><Relationship Id="rId601" Type="http://schemas.openxmlformats.org/officeDocument/2006/relationships/hyperlink" Target="https://www.kegg.jp/entry/R01518" TargetMode="External"/><Relationship Id="rId643" Type="http://schemas.openxmlformats.org/officeDocument/2006/relationships/hyperlink" Target="https://enzyme.expasy.org/EC/2.7.7.7" TargetMode="External"/><Relationship Id="rId1024" Type="http://schemas.openxmlformats.org/officeDocument/2006/relationships/hyperlink" Target="https://enzyme.expasy.org/EC/2.7.4.6" TargetMode="External"/><Relationship Id="rId1066" Type="http://schemas.openxmlformats.org/officeDocument/2006/relationships/hyperlink" Target="https://www.kegg.jp/entry/R00220/R00590/R11099/R11100/R06131" TargetMode="External"/><Relationship Id="rId240" Type="http://schemas.openxmlformats.org/officeDocument/2006/relationships/hyperlink" Target="https://enzyme.expasy.org/EC/1.7.2.2" TargetMode="External"/><Relationship Id="rId478" Type="http://schemas.openxmlformats.org/officeDocument/2006/relationships/hyperlink" Target="https://enzyme.expasy.org/EC/4.2.1.33" TargetMode="External"/><Relationship Id="rId685" Type="http://schemas.openxmlformats.org/officeDocument/2006/relationships/hyperlink" Target="https://enzyme.expasy.org/EC/3.2.1.21" TargetMode="External"/><Relationship Id="rId850" Type="http://schemas.openxmlformats.org/officeDocument/2006/relationships/hyperlink" Target="https://enzyme.expasy.org/EC/3.6.1.9" TargetMode="External"/><Relationship Id="rId892" Type="http://schemas.openxmlformats.org/officeDocument/2006/relationships/hyperlink" Target="https://enzyme.expasy.org/EC/1.17.4.1" TargetMode="External"/><Relationship Id="rId906" Type="http://schemas.openxmlformats.org/officeDocument/2006/relationships/hyperlink" Target="https://www.kegg.jp/entry/C01172" TargetMode="External"/><Relationship Id="rId948" Type="http://schemas.openxmlformats.org/officeDocument/2006/relationships/hyperlink" Target="https://www.kegg.jp/entry/R00380/R04858" TargetMode="External"/><Relationship Id="rId1133" Type="http://schemas.openxmlformats.org/officeDocument/2006/relationships/hyperlink" Target="https://www.kegg.jp/entry/R09081/R09082" TargetMode="External"/><Relationship Id="rId35" Type="http://schemas.openxmlformats.org/officeDocument/2006/relationships/hyperlink" Target="https://enzyme.expasy.org/EC/4.1.1.48" TargetMode="External"/><Relationship Id="rId77" Type="http://schemas.openxmlformats.org/officeDocument/2006/relationships/hyperlink" Target="https://enzyme.expasy.org/EC/2.5.1.75" TargetMode="External"/><Relationship Id="rId100" Type="http://schemas.openxmlformats.org/officeDocument/2006/relationships/hyperlink" Target="https://enzyme.expasy.org/EC/2.5.1.6" TargetMode="External"/><Relationship Id="rId282" Type="http://schemas.openxmlformats.org/officeDocument/2006/relationships/hyperlink" Target="https://enzyme.expasy.org/EC/2.7.1.6" TargetMode="External"/><Relationship Id="rId338" Type="http://schemas.openxmlformats.org/officeDocument/2006/relationships/hyperlink" Target="https://enzyme.expasy.org/EC/1.1.1.-" TargetMode="External"/><Relationship Id="rId503" Type="http://schemas.openxmlformats.org/officeDocument/2006/relationships/hyperlink" Target="https://www.kegg.jp/entry/R00006/R00226/R00014/R03050/R04672/R04673/R08648" TargetMode="External"/><Relationship Id="rId545" Type="http://schemas.openxmlformats.org/officeDocument/2006/relationships/hyperlink" Target="https://enzyme.expasy.org/EC/2.7.7.6" TargetMode="External"/><Relationship Id="rId587" Type="http://schemas.openxmlformats.org/officeDocument/2006/relationships/hyperlink" Target="https://enzyme.expasy.org/EC/6.3.4.15" TargetMode="External"/><Relationship Id="rId710" Type="http://schemas.openxmlformats.org/officeDocument/2006/relationships/hyperlink" Target="https://www.kegg.jp/entry/R00161" TargetMode="External"/><Relationship Id="rId752" Type="http://schemas.openxmlformats.org/officeDocument/2006/relationships/hyperlink" Target="https://enzyme.expasy.org/EC/1.17.4.2" TargetMode="External"/><Relationship Id="rId808" Type="http://schemas.openxmlformats.org/officeDocument/2006/relationships/hyperlink" Target="https://enzyme.expasy.org/EC/2.7.1.11" TargetMode="External"/><Relationship Id="rId8" Type="http://schemas.openxmlformats.org/officeDocument/2006/relationships/hyperlink" Target="https://enzyme.expasy.org/EC/6.5.1.2" TargetMode="External"/><Relationship Id="rId142" Type="http://schemas.openxmlformats.org/officeDocument/2006/relationships/hyperlink" Target="https://enzyme.expasy.org/EC/3.6.4.12" TargetMode="External"/><Relationship Id="rId184" Type="http://schemas.openxmlformats.org/officeDocument/2006/relationships/hyperlink" Target="https://enzyme.expasy.org/EC/2.7.7.7" TargetMode="External"/><Relationship Id="rId391" Type="http://schemas.openxmlformats.org/officeDocument/2006/relationships/hyperlink" Target="https://www.kegg.jp/entry/R00513/R00964/R00517/R00968/R08232" TargetMode="External"/><Relationship Id="rId405" Type="http://schemas.openxmlformats.org/officeDocument/2006/relationships/hyperlink" Target="https://enzyme.expasy.org/EC/2.7.7.4" TargetMode="External"/><Relationship Id="rId447" Type="http://schemas.openxmlformats.org/officeDocument/2006/relationships/hyperlink" Target="https://enzyme.expasy.org/EC/2.7.4.3" TargetMode="External"/><Relationship Id="rId612" Type="http://schemas.openxmlformats.org/officeDocument/2006/relationships/hyperlink" Target="https://www.kegg.jp/entry/R00424/R00428/R04639/R05046/R05048" TargetMode="External"/><Relationship Id="rId794" Type="http://schemas.openxmlformats.org/officeDocument/2006/relationships/hyperlink" Target="https://enzyme.expasy.org/EC/2.7.1.11" TargetMode="External"/><Relationship Id="rId1035" Type="http://schemas.openxmlformats.org/officeDocument/2006/relationships/hyperlink" Target="https://www.kegg.jp/entry/R00764/R02073" TargetMode="External"/><Relationship Id="rId1077" Type="http://schemas.openxmlformats.org/officeDocument/2006/relationships/hyperlink" Target="https://www.kegg.jp/entry/R01993" TargetMode="External"/><Relationship Id="rId251" Type="http://schemas.openxmlformats.org/officeDocument/2006/relationships/hyperlink" Target="https://enzyme.expasy.org/EC/7.2.2.21" TargetMode="External"/><Relationship Id="rId489" Type="http://schemas.openxmlformats.org/officeDocument/2006/relationships/hyperlink" Target="https://www.kegg.jp/entry/R00006/R00226/R00014/R03050/R04672/R04673/R08648" TargetMode="External"/><Relationship Id="rId654" Type="http://schemas.openxmlformats.org/officeDocument/2006/relationships/hyperlink" Target="https://www.kegg.jp/entry/R02035" TargetMode="External"/><Relationship Id="rId696" Type="http://schemas.openxmlformats.org/officeDocument/2006/relationships/hyperlink" Target="https://enzyme.expasy.org/EC/3.2.1.21" TargetMode="External"/><Relationship Id="rId861" Type="http://schemas.openxmlformats.org/officeDocument/2006/relationships/hyperlink" Target="https://www.kegg.jp/entry/R01532/R00087/R00426/R00515/R00662/R11323/R00103/R00160/R00287/R03004/R03036" TargetMode="External"/><Relationship Id="rId917" Type="http://schemas.openxmlformats.org/officeDocument/2006/relationships/hyperlink" Target="https://enzyme.expasy.org/EC/1.1.1.262" TargetMode="External"/><Relationship Id="rId959" Type="http://schemas.openxmlformats.org/officeDocument/2006/relationships/hyperlink" Target="https://www.kegg.jp/entry/R01082" TargetMode="External"/><Relationship Id="rId1102" Type="http://schemas.openxmlformats.org/officeDocument/2006/relationships/hyperlink" Target="https://enzyme.expasy.org/EC/2.6.1.1" TargetMode="External"/><Relationship Id="rId46" Type="http://schemas.openxmlformats.org/officeDocument/2006/relationships/hyperlink" Target="https://enzyme.expasy.org/EC/2.4.2.8" TargetMode="External"/><Relationship Id="rId293" Type="http://schemas.openxmlformats.org/officeDocument/2006/relationships/hyperlink" Target="https://enzyme.expasy.org/EC/4.2.1.8" TargetMode="External"/><Relationship Id="rId307" Type="http://schemas.openxmlformats.org/officeDocument/2006/relationships/hyperlink" Target="https://enzyme.expasy.org/EC/5.1.3.2" TargetMode="External"/><Relationship Id="rId349" Type="http://schemas.openxmlformats.org/officeDocument/2006/relationships/hyperlink" Target="https://enzyme.expasy.org/EC/2.7.7.7" TargetMode="External"/><Relationship Id="rId514" Type="http://schemas.openxmlformats.org/officeDocument/2006/relationships/hyperlink" Target="https://enzyme.expasy.org/EC/2.7.7.7" TargetMode="External"/><Relationship Id="rId556" Type="http://schemas.openxmlformats.org/officeDocument/2006/relationships/hyperlink" Target="https://enzyme.expasy.org/EC/2.7.7.6" TargetMode="External"/><Relationship Id="rId721" Type="http://schemas.openxmlformats.org/officeDocument/2006/relationships/hyperlink" Target="https://www.kegg.jp/entry/R00230/R00921" TargetMode="External"/><Relationship Id="rId763" Type="http://schemas.openxmlformats.org/officeDocument/2006/relationships/hyperlink" Target="https://enzyme.expasy.org/EC/2.7.7.7" TargetMode="External"/><Relationship Id="rId1144" Type="http://schemas.openxmlformats.org/officeDocument/2006/relationships/hyperlink" Target="https://enzyme.expasy.org/EC/5.4.99.9" TargetMode="External"/><Relationship Id="rId88" Type="http://schemas.openxmlformats.org/officeDocument/2006/relationships/hyperlink" Target="https://enzyme.expasy.org/EC/2.7.7.6" TargetMode="External"/><Relationship Id="rId111" Type="http://schemas.openxmlformats.org/officeDocument/2006/relationships/hyperlink" Target="https://enzyme.expasy.org/EC/6.3.5.3" TargetMode="External"/><Relationship Id="rId153" Type="http://schemas.openxmlformats.org/officeDocument/2006/relationships/hyperlink" Target="https://enzyme.expasy.org/EC/3.2.1.21" TargetMode="External"/><Relationship Id="rId195" Type="http://schemas.openxmlformats.org/officeDocument/2006/relationships/hyperlink" Target="https://enzyme.expasy.org/EC/2.1.2.-" TargetMode="External"/><Relationship Id="rId209" Type="http://schemas.openxmlformats.org/officeDocument/2006/relationships/hyperlink" Target="https://enzyme.expasy.org/EC/6.3.1.1" TargetMode="External"/><Relationship Id="rId360" Type="http://schemas.openxmlformats.org/officeDocument/2006/relationships/hyperlink" Target="https://enzyme.expasy.org/EC/2.5.1.3" TargetMode="External"/><Relationship Id="rId416" Type="http://schemas.openxmlformats.org/officeDocument/2006/relationships/hyperlink" Target="https://enzyme.expasy.org/EC/4.2.1.20" TargetMode="External"/><Relationship Id="rId598" Type="http://schemas.openxmlformats.org/officeDocument/2006/relationships/hyperlink" Target="https://enzyme.expasy.org/EC/3.1.6.1" TargetMode="External"/><Relationship Id="rId819" Type="http://schemas.openxmlformats.org/officeDocument/2006/relationships/hyperlink" Target="../../magaasmac/Downloads/v" TargetMode="External"/><Relationship Id="rId970" Type="http://schemas.openxmlformats.org/officeDocument/2006/relationships/hyperlink" Target="https://enzyme.expasy.org/EC/6.3.5.2" TargetMode="External"/><Relationship Id="rId1004" Type="http://schemas.openxmlformats.org/officeDocument/2006/relationships/hyperlink" Target="https://www.kegg.jp/entry/R00291/R00418/R02984" TargetMode="External"/><Relationship Id="rId1046" Type="http://schemas.openxmlformats.org/officeDocument/2006/relationships/hyperlink" Target="https://enzyme.expasy.org/EC/1.1.1.100" TargetMode="External"/><Relationship Id="rId220" Type="http://schemas.openxmlformats.org/officeDocument/2006/relationships/hyperlink" Target="https://enzyme.expasy.org/EC/6.1.1.21" TargetMode="External"/><Relationship Id="rId458" Type="http://schemas.openxmlformats.org/officeDocument/2006/relationships/hyperlink" Target="https://www.kegg.jp/entry/C02764" TargetMode="External"/><Relationship Id="rId623" Type="http://schemas.openxmlformats.org/officeDocument/2006/relationships/hyperlink" Target="https://enzyme.expasy.org/EC/6.1.1.10" TargetMode="External"/><Relationship Id="rId665" Type="http://schemas.openxmlformats.org/officeDocument/2006/relationships/hyperlink" Target="https://enzyme.expasy.org/EC/3.2.1.21" TargetMode="External"/><Relationship Id="rId830" Type="http://schemas.openxmlformats.org/officeDocument/2006/relationships/hyperlink" Target="https://enzyme.expasy.org/EC/1.4.1.13" TargetMode="External"/><Relationship Id="rId872" Type="http://schemas.openxmlformats.org/officeDocument/2006/relationships/hyperlink" Target="https://enzyme.expasy.org/EC/1.4.1.4" TargetMode="External"/><Relationship Id="rId928" Type="http://schemas.openxmlformats.org/officeDocument/2006/relationships/hyperlink" Target="https://www.kegg.jp/entry/R02735" TargetMode="External"/><Relationship Id="rId1088" Type="http://schemas.openxmlformats.org/officeDocument/2006/relationships/hyperlink" Target="https://www.kegg.jp/entry/R04150/R07263" TargetMode="External"/><Relationship Id="rId15" Type="http://schemas.openxmlformats.org/officeDocument/2006/relationships/hyperlink" Target="https://enzyme.expasy.org/EC/2.7.1.148" TargetMode="External"/><Relationship Id="rId57" Type="http://schemas.openxmlformats.org/officeDocument/2006/relationships/hyperlink" Target="https://enzyme.expasy.org/EC/3.6.1.31" TargetMode="External"/><Relationship Id="rId262" Type="http://schemas.openxmlformats.org/officeDocument/2006/relationships/hyperlink" Target="https://enzyme.expasy.org/EC/3.4.11.4" TargetMode="External"/><Relationship Id="rId318" Type="http://schemas.openxmlformats.org/officeDocument/2006/relationships/hyperlink" Target="https://enzyme.expasy.org/EC/2.6.99.2" TargetMode="External"/><Relationship Id="rId525" Type="http://schemas.openxmlformats.org/officeDocument/2006/relationships/hyperlink" Target="https://enzyme.expasy.org/EC/2.8.1.8" TargetMode="External"/><Relationship Id="rId567" Type="http://schemas.openxmlformats.org/officeDocument/2006/relationships/hyperlink" Target="https://www.kegg.jp/entry/R05662/R06173/R05032/R06172/R06174" TargetMode="External"/><Relationship Id="rId732" Type="http://schemas.openxmlformats.org/officeDocument/2006/relationships/hyperlink" Target="https://www.kegg.jp/dbget-bin/www_bget?ec:6.3.5.5" TargetMode="External"/><Relationship Id="rId1113" Type="http://schemas.openxmlformats.org/officeDocument/2006/relationships/hyperlink" Target="https://www.kegg.jp/entry/R00206" TargetMode="External"/><Relationship Id="rId99" Type="http://schemas.openxmlformats.org/officeDocument/2006/relationships/hyperlink" Target="https://enzyme.expasy.org/EC/5.2.1.8" TargetMode="External"/><Relationship Id="rId122" Type="http://schemas.openxmlformats.org/officeDocument/2006/relationships/hyperlink" Target="https://enzyme.expasy.org/EC/2.2.1.7" TargetMode="External"/><Relationship Id="rId164" Type="http://schemas.openxmlformats.org/officeDocument/2006/relationships/hyperlink" Target="https://enzyme.expasy.org/EC/6.1.1.14" TargetMode="External"/><Relationship Id="rId371" Type="http://schemas.openxmlformats.org/officeDocument/2006/relationships/hyperlink" Target="https://enzyme.expasy.org/EC/2.4.2.17" TargetMode="External"/><Relationship Id="rId774" Type="http://schemas.openxmlformats.org/officeDocument/2006/relationships/hyperlink" Target="https://enzyme.expasy.org/EC/2.7.7.7" TargetMode="External"/><Relationship Id="rId981" Type="http://schemas.openxmlformats.org/officeDocument/2006/relationships/hyperlink" Target="https://www.kegg.jp/entry/R00342/R07136" TargetMode="External"/><Relationship Id="rId1015" Type="http://schemas.openxmlformats.org/officeDocument/2006/relationships/hyperlink" Target="https://enzyme.expasy.org/EC/2.7.4.6" TargetMode="External"/><Relationship Id="rId1057" Type="http://schemas.openxmlformats.org/officeDocument/2006/relationships/hyperlink" Target="https://www.kegg.jp/dbget-bin/www_bget?ec:1.1.1.100" TargetMode="External"/><Relationship Id="rId427" Type="http://schemas.openxmlformats.org/officeDocument/2006/relationships/hyperlink" Target="https://www.kegg.jp/entry/C00096" TargetMode="External"/><Relationship Id="rId469" Type="http://schemas.openxmlformats.org/officeDocument/2006/relationships/hyperlink" Target="https://enzyme.expasy.org/EC/1.1.1.85" TargetMode="External"/><Relationship Id="rId634" Type="http://schemas.openxmlformats.org/officeDocument/2006/relationships/hyperlink" Target="https://enzyme.expasy.org/EC/2.3.1.179" TargetMode="External"/><Relationship Id="rId676" Type="http://schemas.openxmlformats.org/officeDocument/2006/relationships/hyperlink" Target="https://enzyme.expasy.org/EC/3.2.1.21" TargetMode="External"/><Relationship Id="rId841" Type="http://schemas.openxmlformats.org/officeDocument/2006/relationships/hyperlink" Target="https://enzyme.expasy.org/EC/1.17.7.4" TargetMode="External"/><Relationship Id="rId883" Type="http://schemas.openxmlformats.org/officeDocument/2006/relationships/hyperlink" Target="https://www.kegg.jp/entry/R04294/R02017/R02018/R02019/R02024/R08363/R08364/R11893" TargetMode="External"/><Relationship Id="rId1099" Type="http://schemas.openxmlformats.org/officeDocument/2006/relationships/hyperlink" Target="https://enzyme.expasy.org/EC/4.2.1.3" TargetMode="External"/><Relationship Id="rId26" Type="http://schemas.openxmlformats.org/officeDocument/2006/relationships/hyperlink" Target="https://enzyme.expasy.org/EC/2.7.8.31" TargetMode="External"/><Relationship Id="rId231" Type="http://schemas.openxmlformats.org/officeDocument/2006/relationships/hyperlink" Target="https://enzyme.expasy.org/EC/1.17.4.1" TargetMode="External"/><Relationship Id="rId273" Type="http://schemas.openxmlformats.org/officeDocument/2006/relationships/hyperlink" Target="https://enzyme.expasy.org/EC/2.3.1.39" TargetMode="External"/><Relationship Id="rId329" Type="http://schemas.openxmlformats.org/officeDocument/2006/relationships/hyperlink" Target="https://enzyme.expasy.org/EC/4.3.1.17" TargetMode="External"/><Relationship Id="rId480" Type="http://schemas.openxmlformats.org/officeDocument/2006/relationships/hyperlink" Target="https://enzyme.expasy.org/EC/4.2.1.33" TargetMode="External"/><Relationship Id="rId536" Type="http://schemas.openxmlformats.org/officeDocument/2006/relationships/hyperlink" Target="https://enzyme.expasy.org/EC/2.7.7.6" TargetMode="External"/><Relationship Id="rId701" Type="http://schemas.openxmlformats.org/officeDocument/2006/relationships/hyperlink" Target="https://enzyme.expasy.org/EC/3.2.1.21" TargetMode="External"/><Relationship Id="rId939" Type="http://schemas.openxmlformats.org/officeDocument/2006/relationships/hyperlink" Target="https://www.kegg.jp/entry/R01090/R01214/R02199/R10991" TargetMode="External"/><Relationship Id="rId1124" Type="http://schemas.openxmlformats.org/officeDocument/2006/relationships/hyperlink" Target="https://enzyme.expasy.org/EC/2.6.1.9" TargetMode="External"/><Relationship Id="rId68" Type="http://schemas.openxmlformats.org/officeDocument/2006/relationships/hyperlink" Target="https://enzyme.expasy.org/EC/2.2.1.6" TargetMode="External"/><Relationship Id="rId133" Type="http://schemas.openxmlformats.org/officeDocument/2006/relationships/hyperlink" Target="https://enzyme.expasy.org/EC/5.4.99.9" TargetMode="External"/><Relationship Id="rId175" Type="http://schemas.openxmlformats.org/officeDocument/2006/relationships/hyperlink" Target="https://enzyme.expasy.org/EC/2.3.1.54" TargetMode="External"/><Relationship Id="rId340" Type="http://schemas.openxmlformats.org/officeDocument/2006/relationships/hyperlink" Target="https://enzyme.expasy.org/EC/1.3.1.1" TargetMode="External"/><Relationship Id="rId578" Type="http://schemas.openxmlformats.org/officeDocument/2006/relationships/hyperlink" Target="https://enzyme.expasy.org/EC/2.7.8.13" TargetMode="External"/><Relationship Id="rId743" Type="http://schemas.openxmlformats.org/officeDocument/2006/relationships/hyperlink" Target="https://enzyme.expasy.org/EC/2.7.1.40" TargetMode="External"/><Relationship Id="rId785" Type="http://schemas.openxmlformats.org/officeDocument/2006/relationships/hyperlink" Target="https://www.kegg.jp/entry/R04779/R00756/R00767/R00769/R00770/R01843/R03236/R03237/R03238/R03239" TargetMode="External"/><Relationship Id="rId950" Type="http://schemas.openxmlformats.org/officeDocument/2006/relationships/hyperlink" Target="https://www.kegg.jp/entry/R00485/R06134" TargetMode="External"/><Relationship Id="rId992" Type="http://schemas.openxmlformats.org/officeDocument/2006/relationships/hyperlink" Target="https://www.kegg.jp/entry/R03425" TargetMode="External"/><Relationship Id="rId1026" Type="http://schemas.openxmlformats.org/officeDocument/2006/relationships/hyperlink" Target="https://enzyme.expasy.org/EC/2.7.4.6" TargetMode="External"/><Relationship Id="rId200" Type="http://schemas.openxmlformats.org/officeDocument/2006/relationships/hyperlink" Target="https://enzyme.expasy.org/EC/4.3.1.3" TargetMode="External"/><Relationship Id="rId382" Type="http://schemas.openxmlformats.org/officeDocument/2006/relationships/hyperlink" Target="https://www.genome.jp/entry/C00935" TargetMode="External"/><Relationship Id="rId438" Type="http://schemas.openxmlformats.org/officeDocument/2006/relationships/hyperlink" Target="https://www.kegg.jp/entry/R00420/R00414/R02707" TargetMode="External"/><Relationship Id="rId603" Type="http://schemas.openxmlformats.org/officeDocument/2006/relationships/hyperlink" Target="https://www.kegg.jp/entry/R01518" TargetMode="External"/><Relationship Id="rId645" Type="http://schemas.openxmlformats.org/officeDocument/2006/relationships/hyperlink" Target="https://enzyme.expasy.org/EC/2.7.7.7" TargetMode="External"/><Relationship Id="rId687" Type="http://schemas.openxmlformats.org/officeDocument/2006/relationships/hyperlink" Target="https://enzyme.expasy.org/EC/3.2.1.21" TargetMode="External"/><Relationship Id="rId810" Type="http://schemas.openxmlformats.org/officeDocument/2006/relationships/hyperlink" Target="https://enzyme.expasy.org/EC/2.7.1.11" TargetMode="External"/><Relationship Id="rId852" Type="http://schemas.openxmlformats.org/officeDocument/2006/relationships/hyperlink" Target="https://enzyme.expasy.org/EC/3.6.1.9" TargetMode="External"/><Relationship Id="rId908" Type="http://schemas.openxmlformats.org/officeDocument/2006/relationships/hyperlink" Target="https://enzyme.expasy.org/EC/1.1.1.94" TargetMode="External"/><Relationship Id="rId1068" Type="http://schemas.openxmlformats.org/officeDocument/2006/relationships/hyperlink" Target="https://www.kegg.jp/entry/R00220/R00590/R11099/R11100/R06131" TargetMode="External"/><Relationship Id="rId242" Type="http://schemas.openxmlformats.org/officeDocument/2006/relationships/hyperlink" Target="https://enzyme.expasy.org/EC/1.1.1.94" TargetMode="External"/><Relationship Id="rId284" Type="http://schemas.openxmlformats.org/officeDocument/2006/relationships/hyperlink" Target="https://enzyme.expasy.org/EC/4.2.1.2" TargetMode="External"/><Relationship Id="rId491" Type="http://schemas.openxmlformats.org/officeDocument/2006/relationships/hyperlink" Target="https://www.kegg.jp/entry/R00006/R00226/R00014/R03050/R04672/R04673/R08648" TargetMode="External"/><Relationship Id="rId505" Type="http://schemas.openxmlformats.org/officeDocument/2006/relationships/hyperlink" Target="https://www.kegg.jp/entry/R00006/R00226/R00014/R03050/R04672/R04673/R08648" TargetMode="External"/><Relationship Id="rId712" Type="http://schemas.openxmlformats.org/officeDocument/2006/relationships/hyperlink" Target="https://www.kegg.jp/entry/R02059" TargetMode="External"/><Relationship Id="rId894" Type="http://schemas.openxmlformats.org/officeDocument/2006/relationships/hyperlink" Target="https://enzyme.expasy.org/EC/1.17.4.1" TargetMode="External"/><Relationship Id="rId1135" Type="http://schemas.openxmlformats.org/officeDocument/2006/relationships/hyperlink" Target="https://www.kegg.jp/entry/R02108/R02112/R06209/R11262" TargetMode="External"/><Relationship Id="rId37" Type="http://schemas.openxmlformats.org/officeDocument/2006/relationships/hyperlink" Target="https://enzyme.expasy.org/EC/6.3.5.5" TargetMode="External"/><Relationship Id="rId79" Type="http://schemas.openxmlformats.org/officeDocument/2006/relationships/hyperlink" Target="https://enzyme.expasy.org/EC/2.1.1.72" TargetMode="External"/><Relationship Id="rId102" Type="http://schemas.openxmlformats.org/officeDocument/2006/relationships/hyperlink" Target="https://enzyme.expasy.org/EC/2.4.99.17" TargetMode="External"/><Relationship Id="rId144" Type="http://schemas.openxmlformats.org/officeDocument/2006/relationships/hyperlink" Target="https://enzyme.expasy.org/EC/3.1.1.96" TargetMode="External"/><Relationship Id="rId547" Type="http://schemas.openxmlformats.org/officeDocument/2006/relationships/hyperlink" Target="https://www.kegg.jp/entry/R04420" TargetMode="External"/><Relationship Id="rId589" Type="http://schemas.openxmlformats.org/officeDocument/2006/relationships/hyperlink" Target="https://www.kegg.jp/entry/R02055" TargetMode="External"/><Relationship Id="rId754" Type="http://schemas.openxmlformats.org/officeDocument/2006/relationships/hyperlink" Target="https://enzyme.expasy.org/EC/2.7.7.7" TargetMode="External"/><Relationship Id="rId796" Type="http://schemas.openxmlformats.org/officeDocument/2006/relationships/hyperlink" Target="https://enzyme.expasy.org/EC/2.7.1.11" TargetMode="External"/><Relationship Id="rId961" Type="http://schemas.openxmlformats.org/officeDocument/2006/relationships/hyperlink" Target="https://www.kegg.jp/entry/R06513" TargetMode="External"/><Relationship Id="rId90" Type="http://schemas.openxmlformats.org/officeDocument/2006/relationships/hyperlink" Target="https://enzyme.expasy.org/EC/6.1.1.17" TargetMode="External"/><Relationship Id="rId186" Type="http://schemas.openxmlformats.org/officeDocument/2006/relationships/hyperlink" Target="https://enzyme.expasy.org/EC/4.1.99.12" TargetMode="External"/><Relationship Id="rId351" Type="http://schemas.openxmlformats.org/officeDocument/2006/relationships/hyperlink" Target="https://enzyme.expasy.org/EC/3.1.11.2" TargetMode="External"/><Relationship Id="rId393" Type="http://schemas.openxmlformats.org/officeDocument/2006/relationships/hyperlink" Target="https://enzyme.expasy.org/EC/5.4.99.9" TargetMode="External"/><Relationship Id="rId407" Type="http://schemas.openxmlformats.org/officeDocument/2006/relationships/hyperlink" Target="https://enzyme.expasy.org/EC/5.3.1.5" TargetMode="External"/><Relationship Id="rId449" Type="http://schemas.openxmlformats.org/officeDocument/2006/relationships/hyperlink" Target="https://www.kegg.jp/entry/R00127/R01547/R11319" TargetMode="External"/><Relationship Id="rId614" Type="http://schemas.openxmlformats.org/officeDocument/2006/relationships/hyperlink" Target="https://www.kegg.jp/entry/R00424/R00428/R04639/R05046/R05048" TargetMode="External"/><Relationship Id="rId656" Type="http://schemas.openxmlformats.org/officeDocument/2006/relationships/hyperlink" Target="https://enzyme.expasy.org/EC/3.2.1.21" TargetMode="External"/><Relationship Id="rId821" Type="http://schemas.openxmlformats.org/officeDocument/2006/relationships/hyperlink" Target="https://www.kegg.jp/entry/R03646" TargetMode="External"/><Relationship Id="rId863" Type="http://schemas.openxmlformats.org/officeDocument/2006/relationships/hyperlink" Target="https://www.kegg.jp/entry/R01532/R00087/R00426/R00515/R00662/R11323/R00103/R00160/R00287/R03004/R03036" TargetMode="External"/><Relationship Id="rId1037" Type="http://schemas.openxmlformats.org/officeDocument/2006/relationships/hyperlink" Target="https://enzyme.expasy.org/EC/2.4.2.22" TargetMode="External"/><Relationship Id="rId1079" Type="http://schemas.openxmlformats.org/officeDocument/2006/relationships/hyperlink" Target="https://enzyme.expasy.org/EC/2.6.1.85" TargetMode="External"/><Relationship Id="rId211" Type="http://schemas.openxmlformats.org/officeDocument/2006/relationships/hyperlink" Target="https://enzyme.expasy.org/EC/6.1.1.22" TargetMode="External"/><Relationship Id="rId253" Type="http://schemas.openxmlformats.org/officeDocument/2006/relationships/hyperlink" Target="https://enzyme.expasy.org/EC/3.5.1.25" TargetMode="External"/><Relationship Id="rId295" Type="http://schemas.openxmlformats.org/officeDocument/2006/relationships/hyperlink" Target="https://enzyme.expasy.org/EC/1.1.1.37" TargetMode="External"/><Relationship Id="rId309" Type="http://schemas.openxmlformats.org/officeDocument/2006/relationships/hyperlink" Target="https://enzyme.expasy.org/EC/2.7.7.38" TargetMode="External"/><Relationship Id="rId460" Type="http://schemas.openxmlformats.org/officeDocument/2006/relationships/hyperlink" Target="https://enzyme.expasy.org/EC/4.3.1.19" TargetMode="External"/><Relationship Id="rId516" Type="http://schemas.openxmlformats.org/officeDocument/2006/relationships/hyperlink" Target="https://enzyme.expasy.org/EC/3.5.4.5" TargetMode="External"/><Relationship Id="rId698" Type="http://schemas.openxmlformats.org/officeDocument/2006/relationships/hyperlink" Target="https://enzyme.expasy.org/EC/3.2.1.21" TargetMode="External"/><Relationship Id="rId919" Type="http://schemas.openxmlformats.org/officeDocument/2006/relationships/hyperlink" Target="https://www.kegg.jp/entry/R02301" TargetMode="External"/><Relationship Id="rId1090" Type="http://schemas.openxmlformats.org/officeDocument/2006/relationships/hyperlink" Target="https://www.kegg.jp/entry/R01717" TargetMode="External"/><Relationship Id="rId1104" Type="http://schemas.openxmlformats.org/officeDocument/2006/relationships/hyperlink" Target="https://enzyme.expasy.org/EC/2.6.1.1" TargetMode="External"/><Relationship Id="rId48" Type="http://schemas.openxmlformats.org/officeDocument/2006/relationships/hyperlink" Target="https://enzyme.expasy.org/EC/2.6.1.62" TargetMode="External"/><Relationship Id="rId113" Type="http://schemas.openxmlformats.org/officeDocument/2006/relationships/hyperlink" Target="https://enzyme.expasy.org/EC/6.1.1.7" TargetMode="External"/><Relationship Id="rId320" Type="http://schemas.openxmlformats.org/officeDocument/2006/relationships/hyperlink" Target="https://enzyme.expasy.org/EC/2.7.1.90" TargetMode="External"/><Relationship Id="rId558" Type="http://schemas.openxmlformats.org/officeDocument/2006/relationships/hyperlink" Target="https://enzyme.expasy.org/EC/2.7.7.6" TargetMode="External"/><Relationship Id="rId723" Type="http://schemas.openxmlformats.org/officeDocument/2006/relationships/hyperlink" Target="https://www.kegg.jp/entry/R00230/R00921" TargetMode="External"/><Relationship Id="rId765" Type="http://schemas.openxmlformats.org/officeDocument/2006/relationships/hyperlink" Target="https://enzyme.expasy.org/EC/2.7.7.7" TargetMode="External"/><Relationship Id="rId930" Type="http://schemas.openxmlformats.org/officeDocument/2006/relationships/hyperlink" Target="https://enzyme.expasy.org/EC/6.3.5.4" TargetMode="External"/><Relationship Id="rId972" Type="http://schemas.openxmlformats.org/officeDocument/2006/relationships/hyperlink" Target="https://enzyme.expasy.org/EC/6.3.5.2" TargetMode="External"/><Relationship Id="rId1006" Type="http://schemas.openxmlformats.org/officeDocument/2006/relationships/hyperlink" Target="https://enzyme.expasy.org/EC/6.3.4.2" TargetMode="External"/><Relationship Id="rId155" Type="http://schemas.openxmlformats.org/officeDocument/2006/relationships/hyperlink" Target="https://enzyme.expasy.org/EC/1.17.99.6" TargetMode="External"/><Relationship Id="rId197" Type="http://schemas.openxmlformats.org/officeDocument/2006/relationships/hyperlink" Target="https://enzyme.expasy.org/EC/4.2.1.47" TargetMode="External"/><Relationship Id="rId362" Type="http://schemas.openxmlformats.org/officeDocument/2006/relationships/hyperlink" Target="https://enzyme.expasy.org/EC/2.7.9.1" TargetMode="External"/><Relationship Id="rId418" Type="http://schemas.openxmlformats.org/officeDocument/2006/relationships/hyperlink" Target="https://enzyme.expasy.org/EC/6.3.5.5" TargetMode="External"/><Relationship Id="rId625" Type="http://schemas.openxmlformats.org/officeDocument/2006/relationships/hyperlink" Target="https://enzyme.expasy.org/EC/2.3.1.179" TargetMode="External"/><Relationship Id="rId832" Type="http://schemas.openxmlformats.org/officeDocument/2006/relationships/hyperlink" Target="https://enzyme.expasy.org/EC/1.4.1.13" TargetMode="External"/><Relationship Id="rId1048" Type="http://schemas.openxmlformats.org/officeDocument/2006/relationships/hyperlink" Target="https://enzyme.expasy.org/EC/1.1.1.100" TargetMode="External"/><Relationship Id="rId222" Type="http://schemas.openxmlformats.org/officeDocument/2006/relationships/hyperlink" Target="https://enzyme.expasy.org/EC/6.1.1.9" TargetMode="External"/><Relationship Id="rId264" Type="http://schemas.openxmlformats.org/officeDocument/2006/relationships/hyperlink" Target="https://enzyme.expasy.org/EC/6.3.1.5" TargetMode="External"/><Relationship Id="rId471" Type="http://schemas.openxmlformats.org/officeDocument/2006/relationships/hyperlink" Target="https://enzyme.expasy.org/EC/1.1.1.85" TargetMode="External"/><Relationship Id="rId667" Type="http://schemas.openxmlformats.org/officeDocument/2006/relationships/hyperlink" Target="https://enzyme.expasy.org/EC/3.2.1.21" TargetMode="External"/><Relationship Id="rId874" Type="http://schemas.openxmlformats.org/officeDocument/2006/relationships/hyperlink" Target="https://www.kegg.jp/entry/R00248/R00145/R00146" TargetMode="External"/><Relationship Id="rId1115" Type="http://schemas.openxmlformats.org/officeDocument/2006/relationships/hyperlink" Target="https://www.kegg.jp/entry/R00897/R03601/R04859/R07274" TargetMode="External"/><Relationship Id="rId17" Type="http://schemas.openxmlformats.org/officeDocument/2006/relationships/hyperlink" Target="https://enzyme.expasy.org/EC/4.1.1.36" TargetMode="External"/><Relationship Id="rId59" Type="http://schemas.openxmlformats.org/officeDocument/2006/relationships/hyperlink" Target="https://enzyme.expasy.org/EC/3.2.2.27" TargetMode="External"/><Relationship Id="rId124" Type="http://schemas.openxmlformats.org/officeDocument/2006/relationships/hyperlink" Target="https://enzyme.expasy.org/EC/2.6.1.13" TargetMode="External"/><Relationship Id="rId527" Type="http://schemas.openxmlformats.org/officeDocument/2006/relationships/hyperlink" Target="https://enzyme.expasy.org/EC/1.5.1.2" TargetMode="External"/><Relationship Id="rId569" Type="http://schemas.openxmlformats.org/officeDocument/2006/relationships/hyperlink" Target="https://www.kegg.jp/entry/R05662/R06173/R05032/R06172/R06174" TargetMode="External"/><Relationship Id="rId734" Type="http://schemas.openxmlformats.org/officeDocument/2006/relationships/hyperlink" Target="https://www.kegg.jp/dbget-bin/www_bget?ec:6.3.5.5" TargetMode="External"/><Relationship Id="rId776" Type="http://schemas.openxmlformats.org/officeDocument/2006/relationships/hyperlink" Target="https://www.kegg.jp/entry/R00425" TargetMode="External"/><Relationship Id="rId941" Type="http://schemas.openxmlformats.org/officeDocument/2006/relationships/hyperlink" Target="https://www.kegg.jp/entry/R03940" TargetMode="External"/><Relationship Id="rId983" Type="http://schemas.openxmlformats.org/officeDocument/2006/relationships/hyperlink" Target="https://enzyme.expasy.org/EC/1.8.1.9" TargetMode="External"/><Relationship Id="rId70" Type="http://schemas.openxmlformats.org/officeDocument/2006/relationships/hyperlink" Target="https://enzyme.expasy.org/EC/4.2.3.5" TargetMode="External"/><Relationship Id="rId166" Type="http://schemas.openxmlformats.org/officeDocument/2006/relationships/hyperlink" Target="https://enzyme.expasy.org/EC/3.1.25.-" TargetMode="External"/><Relationship Id="rId331" Type="http://schemas.openxmlformats.org/officeDocument/2006/relationships/hyperlink" Target="https://enzyme.expasy.org/EC/4.1.2.19" TargetMode="External"/><Relationship Id="rId373" Type="http://schemas.openxmlformats.org/officeDocument/2006/relationships/hyperlink" Target="https://enzyme.expasy.org/EC/4.1.1.96" TargetMode="External"/><Relationship Id="rId429" Type="http://schemas.openxmlformats.org/officeDocument/2006/relationships/hyperlink" Target="https://www.kegg.jp/entry/R00420/R00414/R02707" TargetMode="External"/><Relationship Id="rId580" Type="http://schemas.openxmlformats.org/officeDocument/2006/relationships/hyperlink" Target="https://www.kegg.jp/entry/R05629/R05630" TargetMode="External"/><Relationship Id="rId636" Type="http://schemas.openxmlformats.org/officeDocument/2006/relationships/hyperlink" Target="https://www.kegg.jp/entry/R03650" TargetMode="External"/><Relationship Id="rId801" Type="http://schemas.openxmlformats.org/officeDocument/2006/relationships/hyperlink" Target="https://www.kegg.jp/entry/R04779/R00756/R00767/R00769/R00770/R01843/R03236/R03237/R03238/R03239" TargetMode="External"/><Relationship Id="rId1017" Type="http://schemas.openxmlformats.org/officeDocument/2006/relationships/hyperlink" Target="https://enzyme.expasy.org/EC/2.7.4.6" TargetMode="External"/><Relationship Id="rId1059" Type="http://schemas.openxmlformats.org/officeDocument/2006/relationships/hyperlink" Target="https://enzyme.expasy.org/EC/4.1.2.13" TargetMode="External"/><Relationship Id="rId1" Type="http://schemas.openxmlformats.org/officeDocument/2006/relationships/hyperlink" Target="https://enzyme.expasy.org/EC/3.5.2.7" TargetMode="External"/><Relationship Id="rId233" Type="http://schemas.openxmlformats.org/officeDocument/2006/relationships/hyperlink" Target="https://enzyme.expasy.org/EC/2.7.10.2" TargetMode="External"/><Relationship Id="rId440" Type="http://schemas.openxmlformats.org/officeDocument/2006/relationships/hyperlink" Target="https://www.kegg.jp/entry/C01170" TargetMode="External"/><Relationship Id="rId678" Type="http://schemas.openxmlformats.org/officeDocument/2006/relationships/hyperlink" Target="https://enzyme.expasy.org/EC/3.2.1.21" TargetMode="External"/><Relationship Id="rId843" Type="http://schemas.openxmlformats.org/officeDocument/2006/relationships/hyperlink" Target="https://www.kegg.jp/entry/R00004" TargetMode="External"/><Relationship Id="rId885" Type="http://schemas.openxmlformats.org/officeDocument/2006/relationships/hyperlink" Target="https://www.kegg.jp/entry/R04294/R02017/R02018/R02019/R02024/R08363/R08364/R11893" TargetMode="External"/><Relationship Id="rId1070" Type="http://schemas.openxmlformats.org/officeDocument/2006/relationships/hyperlink" Target="https://www.kegg.jp/entry/R00220/R00590/R11099/R11100/R06131" TargetMode="External"/><Relationship Id="rId1126" Type="http://schemas.openxmlformats.org/officeDocument/2006/relationships/hyperlink" Target="https://enzyme.expasy.org/EC/1.1.1.23" TargetMode="External"/><Relationship Id="rId28" Type="http://schemas.openxmlformats.org/officeDocument/2006/relationships/hyperlink" Target="https://enzyme.expasy.org/EC/2.7.7.24" TargetMode="External"/><Relationship Id="rId275" Type="http://schemas.openxmlformats.org/officeDocument/2006/relationships/hyperlink" Target="https://enzyme.expasy.org/EC/2.7.1.35" TargetMode="External"/><Relationship Id="rId300" Type="http://schemas.openxmlformats.org/officeDocument/2006/relationships/hyperlink" Target="https://enzyme.expasy.org/EC/1.11.1.-" TargetMode="External"/><Relationship Id="rId482" Type="http://schemas.openxmlformats.org/officeDocument/2006/relationships/hyperlink" Target="https://enzyme.expasy.org/EC/2.2.1.6" TargetMode="External"/><Relationship Id="rId538" Type="http://schemas.openxmlformats.org/officeDocument/2006/relationships/hyperlink" Target="https://enzyme.expasy.org/EC/2.7.7.6" TargetMode="External"/><Relationship Id="rId703" Type="http://schemas.openxmlformats.org/officeDocument/2006/relationships/hyperlink" Target="https://enzyme.expasy.org/EC/3.2.1.21" TargetMode="External"/><Relationship Id="rId745" Type="http://schemas.openxmlformats.org/officeDocument/2006/relationships/hyperlink" Target="https://enzyme.expasy.org/EC/2.7.1.40" TargetMode="External"/><Relationship Id="rId910" Type="http://schemas.openxmlformats.org/officeDocument/2006/relationships/hyperlink" Target="https://www.kegg.jp/entry/R03658" TargetMode="External"/><Relationship Id="rId952" Type="http://schemas.openxmlformats.org/officeDocument/2006/relationships/hyperlink" Target="https://www.kegg.jp/entry/R00485/R06134" TargetMode="External"/><Relationship Id="rId81" Type="http://schemas.openxmlformats.org/officeDocument/2006/relationships/hyperlink" Target="https://enzyme.expasy.org/EC/2.8.1.8" TargetMode="External"/><Relationship Id="rId135" Type="http://schemas.openxmlformats.org/officeDocument/2006/relationships/hyperlink" Target="https://enzyme.expasy.org/EC/2.7.1.71" TargetMode="External"/><Relationship Id="rId177" Type="http://schemas.openxmlformats.org/officeDocument/2006/relationships/hyperlink" Target="https://enzyme.expasy.org/EC/4.2.1.11" TargetMode="External"/><Relationship Id="rId342" Type="http://schemas.openxmlformats.org/officeDocument/2006/relationships/hyperlink" Target="https://enzyme.expasy.org/EC/2.4.2.9" TargetMode="External"/><Relationship Id="rId384" Type="http://schemas.openxmlformats.org/officeDocument/2006/relationships/hyperlink" Target="https://www.kegg.jp/entry/R00261/R00489/R01682/R02466" TargetMode="External"/><Relationship Id="rId591" Type="http://schemas.openxmlformats.org/officeDocument/2006/relationships/hyperlink" Target="https://www.genome.jp/dbget-bin/www_bget?ec:2.1.1.182" TargetMode="External"/><Relationship Id="rId605" Type="http://schemas.openxmlformats.org/officeDocument/2006/relationships/hyperlink" Target="https://enzyme.expasy.org/EC/2.6.1.13" TargetMode="External"/><Relationship Id="rId787" Type="http://schemas.openxmlformats.org/officeDocument/2006/relationships/hyperlink" Target="https://www.kegg.jp/entry/R04779/R00756/R00767/R00769/R00770/R01843/R03236/R03237/R03238/R03239" TargetMode="External"/><Relationship Id="rId812" Type="http://schemas.openxmlformats.org/officeDocument/2006/relationships/hyperlink" Target="https://enzyme.expasy.org/EC/2.7.1.11" TargetMode="External"/><Relationship Id="rId994" Type="http://schemas.openxmlformats.org/officeDocument/2006/relationships/hyperlink" Target="https://enzyme.expasy.org/EC/1.4.1.1" TargetMode="External"/><Relationship Id="rId1028" Type="http://schemas.openxmlformats.org/officeDocument/2006/relationships/hyperlink" Target="https://www.kegg.jp/entry/R00331/R00124/R00139/R00156/R00330/R00570/R00722/R01137/R01857/R02093/R02326/R02331/R03530/R12853/R11894/R11895" TargetMode="External"/><Relationship Id="rId202" Type="http://schemas.openxmlformats.org/officeDocument/2006/relationships/hyperlink" Target="https://enzyme.expasy.org/EC/1.4.1.13" TargetMode="External"/><Relationship Id="rId244" Type="http://schemas.openxmlformats.org/officeDocument/2006/relationships/hyperlink" Target="https://enzyme.expasy.org/EC/2.7.7.18" TargetMode="External"/><Relationship Id="rId647" Type="http://schemas.openxmlformats.org/officeDocument/2006/relationships/hyperlink" Target="https://enzyme.expasy.org/EC/2.1.1.37" TargetMode="External"/><Relationship Id="rId689" Type="http://schemas.openxmlformats.org/officeDocument/2006/relationships/hyperlink" Target="https://enzyme.expasy.org/EC/3.2.1.21" TargetMode="External"/><Relationship Id="rId854" Type="http://schemas.openxmlformats.org/officeDocument/2006/relationships/hyperlink" Target="https://enzyme.expasy.org/EC/3.6.1.9" TargetMode="External"/><Relationship Id="rId896" Type="http://schemas.openxmlformats.org/officeDocument/2006/relationships/hyperlink" Target="https://www.kegg.jp/entry/R03504" TargetMode="External"/><Relationship Id="rId1081" Type="http://schemas.openxmlformats.org/officeDocument/2006/relationships/hyperlink" Target="https://enzyme.expasy.org/EC/1.3.1.1" TargetMode="External"/><Relationship Id="rId39" Type="http://schemas.openxmlformats.org/officeDocument/2006/relationships/hyperlink" Target="https://enzyme.expasy.org/EC/4.2.1.47" TargetMode="External"/><Relationship Id="rId286" Type="http://schemas.openxmlformats.org/officeDocument/2006/relationships/hyperlink" Target="https://enzyme.expasy.org/EC/4.2.1.46" TargetMode="External"/><Relationship Id="rId451" Type="http://schemas.openxmlformats.org/officeDocument/2006/relationships/hyperlink" Target="https://enzyme.expasy.org/EC/2.4.2.8" TargetMode="External"/><Relationship Id="rId493" Type="http://schemas.openxmlformats.org/officeDocument/2006/relationships/hyperlink" Target="https://www.kegg.jp/entry/R00006/R00226/R00014/R03050/R04672/R04673/R08648" TargetMode="External"/><Relationship Id="rId507" Type="http://schemas.openxmlformats.org/officeDocument/2006/relationships/hyperlink" Target="https://enzyme.expasy.org/EC/4.2.1.9" TargetMode="External"/><Relationship Id="rId549" Type="http://schemas.openxmlformats.org/officeDocument/2006/relationships/hyperlink" Target="https://enzyme.expasy.org/EC/2.7.1.33" TargetMode="External"/><Relationship Id="rId714" Type="http://schemas.openxmlformats.org/officeDocument/2006/relationships/hyperlink" Target="https://www.kegg.jp/entry/R04209" TargetMode="External"/><Relationship Id="rId756" Type="http://schemas.openxmlformats.org/officeDocument/2006/relationships/hyperlink" Target="https://enzyme.expasy.org/EC/2.7.7.7" TargetMode="External"/><Relationship Id="rId921" Type="http://schemas.openxmlformats.org/officeDocument/2006/relationships/hyperlink" Target="https://www.kegg.jp/entry/R05629/R05630" TargetMode="External"/><Relationship Id="rId1137" Type="http://schemas.openxmlformats.org/officeDocument/2006/relationships/hyperlink" Target="https://www.kegg.jp/entry/R02108/R02112/R06209/R11262" TargetMode="External"/><Relationship Id="rId50" Type="http://schemas.openxmlformats.org/officeDocument/2006/relationships/hyperlink" Target="https://enzyme.expasy.org/EC/6.3.3.3" TargetMode="External"/><Relationship Id="rId104" Type="http://schemas.openxmlformats.org/officeDocument/2006/relationships/hyperlink" Target="https://enzyme.expasy.org/EC/6.3.2.8" TargetMode="External"/><Relationship Id="rId146" Type="http://schemas.openxmlformats.org/officeDocument/2006/relationships/hyperlink" Target="https://enzyme.expasy.org/EC/2.7.7.7" TargetMode="External"/><Relationship Id="rId188" Type="http://schemas.openxmlformats.org/officeDocument/2006/relationships/hyperlink" Target="https://enzyme.expasy.org/EC/2.7.1.11" TargetMode="External"/><Relationship Id="rId311" Type="http://schemas.openxmlformats.org/officeDocument/2006/relationships/hyperlink" Target="https://enzyme.expasy.org/EC/2.3.1.234" TargetMode="External"/><Relationship Id="rId353" Type="http://schemas.openxmlformats.org/officeDocument/2006/relationships/hyperlink" Target="https://enzyme.expasy.org/EC/4.2.1.3" TargetMode="External"/><Relationship Id="rId395" Type="http://schemas.openxmlformats.org/officeDocument/2006/relationships/hyperlink" Target="https://www.genome.jp/entry/C03733" TargetMode="External"/><Relationship Id="rId409" Type="http://schemas.openxmlformats.org/officeDocument/2006/relationships/hyperlink" Target="https://enzyme.expasy.org/EC/3.5.1.88" TargetMode="External"/><Relationship Id="rId560" Type="http://schemas.openxmlformats.org/officeDocument/2006/relationships/hyperlink" Target="https://enzyme.expasy.org/EC/1.1.1.205" TargetMode="External"/><Relationship Id="rId798" Type="http://schemas.openxmlformats.org/officeDocument/2006/relationships/hyperlink" Target="https://www.kegg.jp/entry/R04779/R00756/R00767/R00769/R00770/R01843/R03236/R03237/R03238/R03239" TargetMode="External"/><Relationship Id="rId963" Type="http://schemas.openxmlformats.org/officeDocument/2006/relationships/hyperlink" Target="https://enzyme.expasy.org/EC/6.3.5.2" TargetMode="External"/><Relationship Id="rId1039" Type="http://schemas.openxmlformats.org/officeDocument/2006/relationships/hyperlink" Target="https://www.kegg.jp/entry/R02142/R01229" TargetMode="External"/><Relationship Id="rId92" Type="http://schemas.openxmlformats.org/officeDocument/2006/relationships/hyperlink" Target="https://enzyme.expasy.org/EC/5.4.99.2" TargetMode="External"/><Relationship Id="rId213" Type="http://schemas.openxmlformats.org/officeDocument/2006/relationships/hyperlink" Target="https://enzyme.expasy.org/EC/1.17.7.4" TargetMode="External"/><Relationship Id="rId420" Type="http://schemas.openxmlformats.org/officeDocument/2006/relationships/hyperlink" Target="https://enzyme.expasy.org/EC/6.3.5.5" TargetMode="External"/><Relationship Id="rId616" Type="http://schemas.openxmlformats.org/officeDocument/2006/relationships/hyperlink" Target="https://www.kegg.jp/entry/R00424/R00428/R04639/R05046/R05048" TargetMode="External"/><Relationship Id="rId658" Type="http://schemas.openxmlformats.org/officeDocument/2006/relationships/hyperlink" Target="https://enzyme.expasy.org/EC/3.2.1.21" TargetMode="External"/><Relationship Id="rId823" Type="http://schemas.openxmlformats.org/officeDocument/2006/relationships/hyperlink" Target="https://enzyme.expasy.org/EC/2.1.2.5" TargetMode="External"/><Relationship Id="rId865" Type="http://schemas.openxmlformats.org/officeDocument/2006/relationships/hyperlink" Target="https://www.kegg.jp/entry/R01532/R00087/R00426/R00515/R00662/R11323/R00103/R00160/R00287/R03004/R03036" TargetMode="External"/><Relationship Id="rId1050" Type="http://schemas.openxmlformats.org/officeDocument/2006/relationships/hyperlink" Target="https://enzyme.expasy.org/EC/1.1.1.100" TargetMode="External"/><Relationship Id="rId255" Type="http://schemas.openxmlformats.org/officeDocument/2006/relationships/hyperlink" Target="https://enzyme.expasy.org/EC/4.2.3.1" TargetMode="External"/><Relationship Id="rId297" Type="http://schemas.openxmlformats.org/officeDocument/2006/relationships/hyperlink" Target="https://enzyme.expasy.org/EC/2.1.1.13" TargetMode="External"/><Relationship Id="rId462" Type="http://schemas.openxmlformats.org/officeDocument/2006/relationships/hyperlink" Target="https://enzyme.expasy.org/EC/4.3.1.19" TargetMode="External"/><Relationship Id="rId518" Type="http://schemas.openxmlformats.org/officeDocument/2006/relationships/hyperlink" Target="https://enzyme.expasy.org/EC/2.3.1.191" TargetMode="External"/><Relationship Id="rId725" Type="http://schemas.openxmlformats.org/officeDocument/2006/relationships/hyperlink" Target="https://enzyme.expasy.org/EC/2.3.1.54" TargetMode="External"/><Relationship Id="rId932" Type="http://schemas.openxmlformats.org/officeDocument/2006/relationships/hyperlink" Target="https://www.kegg.jp/entry/R00066" TargetMode="External"/><Relationship Id="rId1092" Type="http://schemas.openxmlformats.org/officeDocument/2006/relationships/hyperlink" Target="https://www.kegg.jp/entry/R00182" TargetMode="External"/><Relationship Id="rId1106" Type="http://schemas.openxmlformats.org/officeDocument/2006/relationships/hyperlink" Target="https://enzyme.expasy.org/EC/2.6.1.1" TargetMode="External"/><Relationship Id="rId115" Type="http://schemas.openxmlformats.org/officeDocument/2006/relationships/hyperlink" Target="../../magaasmac/Downloads/COORDINATES" TargetMode="External"/><Relationship Id="rId157" Type="http://schemas.openxmlformats.org/officeDocument/2006/relationships/hyperlink" Target="https://enzyme.expasy.org/EC/2.7.1.26" TargetMode="External"/><Relationship Id="rId322" Type="http://schemas.openxmlformats.org/officeDocument/2006/relationships/hyperlink" Target="https://enzyme.expasy.org/EC/2.3.1.46" TargetMode="External"/><Relationship Id="rId364" Type="http://schemas.openxmlformats.org/officeDocument/2006/relationships/hyperlink" Target="https://enzyme.expasy.org/EC/6.3.4.3" TargetMode="External"/><Relationship Id="rId767" Type="http://schemas.openxmlformats.org/officeDocument/2006/relationships/hyperlink" Target="https://enzyme.expasy.org/EC/2.7.7.7" TargetMode="External"/><Relationship Id="rId974" Type="http://schemas.openxmlformats.org/officeDocument/2006/relationships/hyperlink" Target="https://enzyme.expasy.org/EC/6.3.5.2" TargetMode="External"/><Relationship Id="rId1008" Type="http://schemas.openxmlformats.org/officeDocument/2006/relationships/hyperlink" Target="https://www.kegg.jp/entry/R10648" TargetMode="External"/><Relationship Id="rId61" Type="http://schemas.openxmlformats.org/officeDocument/2006/relationships/hyperlink" Target="https://enzyme.expasy.org/EC/1.8.4.12" TargetMode="External"/><Relationship Id="rId199" Type="http://schemas.openxmlformats.org/officeDocument/2006/relationships/hyperlink" Target="https://enzyme.expasy.org/EC/2.1.2.5" TargetMode="External"/><Relationship Id="rId571" Type="http://schemas.openxmlformats.org/officeDocument/2006/relationships/hyperlink" Target="https://www.kegg.jp/entry/R05662/R06173/R05032/R06172/R06174" TargetMode="External"/><Relationship Id="rId627" Type="http://schemas.openxmlformats.org/officeDocument/2006/relationships/hyperlink" Target="https://enzyme.expasy.org/EC/2.3.1.179" TargetMode="External"/><Relationship Id="rId669" Type="http://schemas.openxmlformats.org/officeDocument/2006/relationships/hyperlink" Target="https://enzyme.expasy.org/EC/3.2.1.21" TargetMode="External"/><Relationship Id="rId834" Type="http://schemas.openxmlformats.org/officeDocument/2006/relationships/hyperlink" Target="https://enzyme.expasy.org/EC/2.4.2.10" TargetMode="External"/><Relationship Id="rId876" Type="http://schemas.openxmlformats.org/officeDocument/2006/relationships/hyperlink" Target="https://www.kegg.jp/entry/R00248/R00145/R00146" TargetMode="External"/><Relationship Id="rId19" Type="http://schemas.openxmlformats.org/officeDocument/2006/relationships/hyperlink" Target="https://enzyme.expasy.org/EC/2.7.7.7" TargetMode="External"/><Relationship Id="rId224" Type="http://schemas.openxmlformats.org/officeDocument/2006/relationships/hyperlink" Target="https://enzyme.expasy.org/EC/1.4.1.4" TargetMode="External"/><Relationship Id="rId266" Type="http://schemas.openxmlformats.org/officeDocument/2006/relationships/hyperlink" Target="https://enzyme.expasy.org/EC/5.1.1.7" TargetMode="External"/><Relationship Id="rId431" Type="http://schemas.openxmlformats.org/officeDocument/2006/relationships/hyperlink" Target="https://www.kegg.jp/entry/R00420/R00414/R02707" TargetMode="External"/><Relationship Id="rId473" Type="http://schemas.openxmlformats.org/officeDocument/2006/relationships/hyperlink" Target="https://enzyme.expasy.org/EC/1.1.1.85" TargetMode="External"/><Relationship Id="rId529" Type="http://schemas.openxmlformats.org/officeDocument/2006/relationships/hyperlink" Target="https://enzyme.expasy.org/EC/1.5.1.20" TargetMode="External"/><Relationship Id="rId680" Type="http://schemas.openxmlformats.org/officeDocument/2006/relationships/hyperlink" Target="https://enzyme.expasy.org/EC/3.2.1.21" TargetMode="External"/><Relationship Id="rId736" Type="http://schemas.openxmlformats.org/officeDocument/2006/relationships/hyperlink" Target="https://www.kegg.jp/dbget-bin/www_bget?ec:6.3.5.5" TargetMode="External"/><Relationship Id="rId901" Type="http://schemas.openxmlformats.org/officeDocument/2006/relationships/hyperlink" Target="https://www.kegg.jp/entry/R02740/R00771/R02739/R03321/R13199" TargetMode="External"/><Relationship Id="rId1061" Type="http://schemas.openxmlformats.org/officeDocument/2006/relationships/hyperlink" Target="https://enzyme.expasy.org/EC/4.1.2.13" TargetMode="External"/><Relationship Id="rId1117" Type="http://schemas.openxmlformats.org/officeDocument/2006/relationships/hyperlink" Target="https://www.kegg.jp/entry/R00897/R03601/R04859/R07274" TargetMode="External"/><Relationship Id="rId30" Type="http://schemas.openxmlformats.org/officeDocument/2006/relationships/hyperlink" Target="https://enzyme.expasy.org/EC/1.1.1.44" TargetMode="External"/><Relationship Id="rId126" Type="http://schemas.openxmlformats.org/officeDocument/2006/relationships/hyperlink" Target="https://enzyme.expasy.org/EC/3.5.4.16" TargetMode="External"/><Relationship Id="rId168" Type="http://schemas.openxmlformats.org/officeDocument/2006/relationships/hyperlink" Target="https://enzyme.expasy.org/EC/2.7.1.40" TargetMode="External"/><Relationship Id="rId333" Type="http://schemas.openxmlformats.org/officeDocument/2006/relationships/hyperlink" Target="https://enzyme.expasy.org/EC/2.1.1.72" TargetMode="External"/><Relationship Id="rId540" Type="http://schemas.openxmlformats.org/officeDocument/2006/relationships/hyperlink" Target="https://enzyme.expasy.org/EC/2.7.7.6" TargetMode="External"/><Relationship Id="rId778" Type="http://schemas.openxmlformats.org/officeDocument/2006/relationships/hyperlink" Target="https://www.kegg.jp/entry/R01016" TargetMode="External"/><Relationship Id="rId943" Type="http://schemas.openxmlformats.org/officeDocument/2006/relationships/hyperlink" Target="https://enzyme.expasy.org/EC/2.7.1.35" TargetMode="External"/><Relationship Id="rId985" Type="http://schemas.openxmlformats.org/officeDocument/2006/relationships/hyperlink" Target="https://enzyme.expasy.org/EC/1.8.1.9" TargetMode="External"/><Relationship Id="rId1019" Type="http://schemas.openxmlformats.org/officeDocument/2006/relationships/hyperlink" Target="https://enzyme.expasy.org/EC/2.7.4.6" TargetMode="External"/><Relationship Id="rId72" Type="http://schemas.openxmlformats.org/officeDocument/2006/relationships/hyperlink" Target="https://enzyme.expasy.org/EC/2.7.7.7" TargetMode="External"/><Relationship Id="rId375" Type="http://schemas.openxmlformats.org/officeDocument/2006/relationships/hyperlink" Target="https://enzyme.expasy.org/EC/3.1.25.-" TargetMode="External"/><Relationship Id="rId582" Type="http://schemas.openxmlformats.org/officeDocument/2006/relationships/hyperlink" Target="https://www.kegg.jp/entry/R04463" TargetMode="External"/><Relationship Id="rId638" Type="http://schemas.openxmlformats.org/officeDocument/2006/relationships/hyperlink" Target="https://www.kegg.jp/entry/R04152" TargetMode="External"/><Relationship Id="rId803" Type="http://schemas.openxmlformats.org/officeDocument/2006/relationships/hyperlink" Target="https://www.kegg.jp/entry/R04779/R00756/R00767/R00769/R00770/R01843/R03236/R03237/R03238/R03239" TargetMode="External"/><Relationship Id="rId845" Type="http://schemas.openxmlformats.org/officeDocument/2006/relationships/hyperlink" Target="https://www.kegg.jp/entry/R01135" TargetMode="External"/><Relationship Id="rId1030" Type="http://schemas.openxmlformats.org/officeDocument/2006/relationships/hyperlink" Target="https://www.kegg.jp/entry/R00331/R00124/R00139/R00156/R00330/R00570/R00722/R01137/R01857/R02093/R02326/R02331/R03530/R12853/R11894/R11895" TargetMode="External"/><Relationship Id="rId3" Type="http://schemas.openxmlformats.org/officeDocument/2006/relationships/hyperlink" Target="https://enzyme.expasy.org/EC/2.7.10.2" TargetMode="External"/><Relationship Id="rId235" Type="http://schemas.openxmlformats.org/officeDocument/2006/relationships/hyperlink" Target="https://enzyme.expasy.org/EC/1.2.1.38" TargetMode="External"/><Relationship Id="rId277" Type="http://schemas.openxmlformats.org/officeDocument/2006/relationships/hyperlink" Target="https://enzyme.expasy.org/EC/2.1.1.37" TargetMode="External"/><Relationship Id="rId400" Type="http://schemas.openxmlformats.org/officeDocument/2006/relationships/hyperlink" Target="https://enzyme.expasy.org/EC/2.7.10.2" TargetMode="External"/><Relationship Id="rId442" Type="http://schemas.openxmlformats.org/officeDocument/2006/relationships/hyperlink" Target="https://enzyme.expasy.org/EC/5.1.3.14" TargetMode="External"/><Relationship Id="rId484" Type="http://schemas.openxmlformats.org/officeDocument/2006/relationships/hyperlink" Target="https://enzyme.expasy.org/EC/2.2.1.6" TargetMode="External"/><Relationship Id="rId705" Type="http://schemas.openxmlformats.org/officeDocument/2006/relationships/hyperlink" Target="https://enzyme.expasy.org/EC/3.2.1.21" TargetMode="External"/><Relationship Id="rId887" Type="http://schemas.openxmlformats.org/officeDocument/2006/relationships/hyperlink" Target="https://www.kegg.jp/entry/R04294/R02017/R02018/R02019/R02024/R08363/R08364/R11893" TargetMode="External"/><Relationship Id="rId1072" Type="http://schemas.openxmlformats.org/officeDocument/2006/relationships/hyperlink" Target="https://www.kegg.jp/entry/R00220/R00590/R11099/R11100/R06131" TargetMode="External"/><Relationship Id="rId1128" Type="http://schemas.openxmlformats.org/officeDocument/2006/relationships/hyperlink" Target="https://www.kegg.jp/entry/R01158/R01163/R03012" TargetMode="External"/><Relationship Id="rId137" Type="http://schemas.openxmlformats.org/officeDocument/2006/relationships/hyperlink" Target="https://enzyme.expasy.org/EC/6.1.1.16" TargetMode="External"/><Relationship Id="rId302" Type="http://schemas.openxmlformats.org/officeDocument/2006/relationships/hyperlink" Target="https://enzyme.expasy.org/EC/2.5.1.7" TargetMode="External"/><Relationship Id="rId344" Type="http://schemas.openxmlformats.org/officeDocument/2006/relationships/hyperlink" Target="https://enzyme.expasy.org/EC/4.1.3.36" TargetMode="External"/><Relationship Id="rId691" Type="http://schemas.openxmlformats.org/officeDocument/2006/relationships/hyperlink" Target="https://enzyme.expasy.org/EC/3.2.1.21" TargetMode="External"/><Relationship Id="rId747" Type="http://schemas.openxmlformats.org/officeDocument/2006/relationships/hyperlink" Target="https://enzyme.expasy.org/EC/2.5.1.17" TargetMode="External"/><Relationship Id="rId789" Type="http://schemas.openxmlformats.org/officeDocument/2006/relationships/hyperlink" Target="https://www.kegg.jp/entry/R04779/R00756/R00767/R00769/R00770/R01843/R03236/R03237/R03238/R03239" TargetMode="External"/><Relationship Id="rId912" Type="http://schemas.openxmlformats.org/officeDocument/2006/relationships/hyperlink" Target="https://enzyme.expasy.org/EC/2.7.4.8" TargetMode="External"/><Relationship Id="rId954" Type="http://schemas.openxmlformats.org/officeDocument/2006/relationships/hyperlink" Target="https://www.kegg.jp/entry/R02060" TargetMode="External"/><Relationship Id="rId996" Type="http://schemas.openxmlformats.org/officeDocument/2006/relationships/hyperlink" Target="https://enzyme.expasy.org/EC/1.4.1.1" TargetMode="External"/><Relationship Id="rId41" Type="http://schemas.openxmlformats.org/officeDocument/2006/relationships/hyperlink" Target="https://enzyme.expasy.org/EC/3.4.21.53" TargetMode="External"/><Relationship Id="rId83" Type="http://schemas.openxmlformats.org/officeDocument/2006/relationships/hyperlink" Target="https://enzyme.expasy.org/EC/1.2.1.88" TargetMode="External"/><Relationship Id="rId179" Type="http://schemas.openxmlformats.org/officeDocument/2006/relationships/hyperlink" Target="https://enzyme.expasy.org/EC/1.17.4.2" TargetMode="External"/><Relationship Id="rId386" Type="http://schemas.openxmlformats.org/officeDocument/2006/relationships/hyperlink" Target="https://www.kegg.jp/entry/R00261/R00489/R01682/R02466" TargetMode="External"/><Relationship Id="rId551" Type="http://schemas.openxmlformats.org/officeDocument/2006/relationships/hyperlink" Target="https://enzyme.expasy.org/EC/2.7.1.33" TargetMode="External"/><Relationship Id="rId593" Type="http://schemas.openxmlformats.org/officeDocument/2006/relationships/hyperlink" Target="https://www.kegg.jp/entry/R01243/R03980/R04856/R06280" TargetMode="External"/><Relationship Id="rId607" Type="http://schemas.openxmlformats.org/officeDocument/2006/relationships/hyperlink" Target="https://www.kegg.jp/entry/R01150" TargetMode="External"/><Relationship Id="rId649" Type="http://schemas.openxmlformats.org/officeDocument/2006/relationships/hyperlink" Target="https://enzyme.expasy.org/EC/1.4.3.16" TargetMode="External"/><Relationship Id="rId814" Type="http://schemas.openxmlformats.org/officeDocument/2006/relationships/hyperlink" Target="https://enzyme.expasy.org/EC/2.7.1.11" TargetMode="External"/><Relationship Id="rId856" Type="http://schemas.openxmlformats.org/officeDocument/2006/relationships/hyperlink" Target="https://enzyme.expasy.org/EC/3.6.1.9" TargetMode="External"/><Relationship Id="rId190" Type="http://schemas.openxmlformats.org/officeDocument/2006/relationships/hyperlink" Target="../../magaasmac/Downloads/v" TargetMode="External"/><Relationship Id="rId204" Type="http://schemas.openxmlformats.org/officeDocument/2006/relationships/hyperlink" Target="https://enzyme.expasy.org/EC/2.4.2.10" TargetMode="External"/><Relationship Id="rId246" Type="http://schemas.openxmlformats.org/officeDocument/2006/relationships/hyperlink" Target="https://enzyme.expasy.org/EC/5.1.99.1" TargetMode="External"/><Relationship Id="rId288" Type="http://schemas.openxmlformats.org/officeDocument/2006/relationships/hyperlink" Target="https://enzyme.expasy.org/EC/6.3.5.2" TargetMode="External"/><Relationship Id="rId411" Type="http://schemas.openxmlformats.org/officeDocument/2006/relationships/hyperlink" Target="https://www.kegg.jp/entry/R02035" TargetMode="External"/><Relationship Id="rId453" Type="http://schemas.openxmlformats.org/officeDocument/2006/relationships/hyperlink" Target="https://enzyme.expasy.org/EC/2.4.2.8" TargetMode="External"/><Relationship Id="rId509" Type="http://schemas.openxmlformats.org/officeDocument/2006/relationships/hyperlink" Target="https://www.kegg.jp/entry/R01714" TargetMode="External"/><Relationship Id="rId660" Type="http://schemas.openxmlformats.org/officeDocument/2006/relationships/hyperlink" Target="https://enzyme.expasy.org/EC/3.2.1.21" TargetMode="External"/><Relationship Id="rId898" Type="http://schemas.openxmlformats.org/officeDocument/2006/relationships/hyperlink" Target="https://enzyme.expasy.org/EC/5.3.1.9" TargetMode="External"/><Relationship Id="rId1041" Type="http://schemas.openxmlformats.org/officeDocument/2006/relationships/hyperlink" Target="https://enzyme.expasy.org/EC/1.1.1.100" TargetMode="External"/><Relationship Id="rId1083" Type="http://schemas.openxmlformats.org/officeDocument/2006/relationships/hyperlink" Target="https://www.kegg.jp/entry/R01414/R11026/R00977" TargetMode="External"/><Relationship Id="rId1139" Type="http://schemas.openxmlformats.org/officeDocument/2006/relationships/hyperlink" Target="https://www.kegg.jp/entry/R03660" TargetMode="External"/><Relationship Id="rId106" Type="http://schemas.openxmlformats.org/officeDocument/2006/relationships/hyperlink" Target="https://enzyme.expasy.org/EC/6.3.2.9" TargetMode="External"/><Relationship Id="rId313" Type="http://schemas.openxmlformats.org/officeDocument/2006/relationships/hyperlink" Target="https://enzyme.expasy.org/EC/1.1.1.336" TargetMode="External"/><Relationship Id="rId495" Type="http://schemas.openxmlformats.org/officeDocument/2006/relationships/hyperlink" Target="https://enzyme.expasy.org/EC/2.2.1.6" TargetMode="External"/><Relationship Id="rId716" Type="http://schemas.openxmlformats.org/officeDocument/2006/relationships/hyperlink" Target="https://www.kegg.jp/entry/R01482/R01983" TargetMode="External"/><Relationship Id="rId758" Type="http://schemas.openxmlformats.org/officeDocument/2006/relationships/hyperlink" Target="https://enzyme.expasy.org/EC/2.7.7.7" TargetMode="External"/><Relationship Id="rId923" Type="http://schemas.openxmlformats.org/officeDocument/2006/relationships/hyperlink" Target="https://enzyme.expasy.org/EC/4.2.3.1" TargetMode="External"/><Relationship Id="rId965" Type="http://schemas.openxmlformats.org/officeDocument/2006/relationships/hyperlink" Target="https://enzyme.expasy.org/EC/6.3.5.2" TargetMode="External"/><Relationship Id="rId10" Type="http://schemas.openxmlformats.org/officeDocument/2006/relationships/hyperlink" Target="https://enzyme.expasy.org/EC/2.7.7.4" TargetMode="External"/><Relationship Id="rId52" Type="http://schemas.openxmlformats.org/officeDocument/2006/relationships/hyperlink" Target="https://enzyme.expasy.org/EC/4.3.1.19" TargetMode="External"/><Relationship Id="rId94" Type="http://schemas.openxmlformats.org/officeDocument/2006/relationships/hyperlink" Target="https://enzyme.expasy.org/EC/4.2.1.11" TargetMode="External"/><Relationship Id="rId148" Type="http://schemas.openxmlformats.org/officeDocument/2006/relationships/hyperlink" Target="https://enzyme.expasy.org/EC/6.1.1.4" TargetMode="External"/><Relationship Id="rId355" Type="http://schemas.openxmlformats.org/officeDocument/2006/relationships/hyperlink" Target="https://enzyme.expasy.org/EC/4.1.1.12" TargetMode="External"/><Relationship Id="rId397" Type="http://schemas.openxmlformats.org/officeDocument/2006/relationships/hyperlink" Target="https://www.genome.jp/entry/C18094" TargetMode="External"/><Relationship Id="rId520" Type="http://schemas.openxmlformats.org/officeDocument/2006/relationships/hyperlink" Target="https://enzyme.expasy.org/EC/2.3.1.129" TargetMode="External"/><Relationship Id="rId562" Type="http://schemas.openxmlformats.org/officeDocument/2006/relationships/hyperlink" Target="https://www.kegg.jp/entry/R04273" TargetMode="External"/><Relationship Id="rId618" Type="http://schemas.openxmlformats.org/officeDocument/2006/relationships/hyperlink" Target="https://enzyme.expasy.org/EC/2.7.7.8" TargetMode="External"/><Relationship Id="rId825" Type="http://schemas.openxmlformats.org/officeDocument/2006/relationships/hyperlink" Target="https://www.kegg.jp/entry/R01168/R06132" TargetMode="External"/><Relationship Id="rId215" Type="http://schemas.openxmlformats.org/officeDocument/2006/relationships/hyperlink" Target="https://enzyme.expasy.org/EC/3.6.5.-" TargetMode="External"/><Relationship Id="rId257" Type="http://schemas.openxmlformats.org/officeDocument/2006/relationships/hyperlink" Target="https://enzyme.expasy.org/EC/1.1.1.3" TargetMode="External"/><Relationship Id="rId422" Type="http://schemas.openxmlformats.org/officeDocument/2006/relationships/hyperlink" Target="https://enzyme.expasy.org/EC/6.3.5.5" TargetMode="External"/><Relationship Id="rId464" Type="http://schemas.openxmlformats.org/officeDocument/2006/relationships/hyperlink" Target="https://www.kegg.jp/entry/C20905" TargetMode="External"/><Relationship Id="rId867" Type="http://schemas.openxmlformats.org/officeDocument/2006/relationships/hyperlink" Target="https://www.kegg.jp/entry/R01532/R00087/R00426/R00515/R00662/R11323/R00103/R00160/R00287/R03004/R03036" TargetMode="External"/><Relationship Id="rId1010" Type="http://schemas.openxmlformats.org/officeDocument/2006/relationships/hyperlink" Target="https://www.kegg.jp/entry/R03662/R08218" TargetMode="External"/><Relationship Id="rId1052" Type="http://schemas.openxmlformats.org/officeDocument/2006/relationships/hyperlink" Target="https://enzyme.expasy.org/EC/1.1.1.100" TargetMode="External"/><Relationship Id="rId1094" Type="http://schemas.openxmlformats.org/officeDocument/2006/relationships/hyperlink" Target="https://enzyme.expasy.org/EC/3.1.3.3" TargetMode="External"/><Relationship Id="rId1108" Type="http://schemas.openxmlformats.org/officeDocument/2006/relationships/hyperlink" Target="https://enzyme.expasy.org/EC/4.1.1.12" TargetMode="External"/><Relationship Id="rId299" Type="http://schemas.openxmlformats.org/officeDocument/2006/relationships/hyperlink" Target="https://enzyme.expasy.org/EC/6.1.1.5" TargetMode="External"/><Relationship Id="rId727" Type="http://schemas.openxmlformats.org/officeDocument/2006/relationships/hyperlink" Target="https://enzyme.expasy.org/EC/6.3.5.5" TargetMode="External"/><Relationship Id="rId934" Type="http://schemas.openxmlformats.org/officeDocument/2006/relationships/hyperlink" Target="https://enzyme.expasy.org/EC/2.6.1.42" TargetMode="External"/><Relationship Id="rId63" Type="http://schemas.openxmlformats.org/officeDocument/2006/relationships/hyperlink" Target="https://enzyme.expasy.org/EC/4.2.1.33" TargetMode="External"/><Relationship Id="rId159" Type="http://schemas.openxmlformats.org/officeDocument/2006/relationships/hyperlink" Target="https://enzyme.expasy.org/EC/3.5.1.25" TargetMode="External"/><Relationship Id="rId366" Type="http://schemas.openxmlformats.org/officeDocument/2006/relationships/hyperlink" Target="https://enzyme.expasy.org/EC/2.5.1.47" TargetMode="External"/><Relationship Id="rId573" Type="http://schemas.openxmlformats.org/officeDocument/2006/relationships/hyperlink" Target="https://www.kegg.jp/entry/R05662/R06173/R05032/R06172/R06174" TargetMode="External"/><Relationship Id="rId780" Type="http://schemas.openxmlformats.org/officeDocument/2006/relationships/hyperlink" Target="https://enzyme.expasy.org/EC/2.7.1.11" TargetMode="External"/><Relationship Id="rId226" Type="http://schemas.openxmlformats.org/officeDocument/2006/relationships/hyperlink" Target="https://enzyme.expasy.org/EC/1.7.1.13" TargetMode="External"/><Relationship Id="rId433" Type="http://schemas.openxmlformats.org/officeDocument/2006/relationships/hyperlink" Target="https://www.kegg.jp/entry/R00420/R00414/R02707" TargetMode="External"/><Relationship Id="rId878" Type="http://schemas.openxmlformats.org/officeDocument/2006/relationships/hyperlink" Target="https://www.kegg.jp/entry/R00248/R00145/R00146" TargetMode="External"/><Relationship Id="rId1063" Type="http://schemas.openxmlformats.org/officeDocument/2006/relationships/hyperlink" Target="https://www.kegg.jp/entry/R09597" TargetMode="External"/><Relationship Id="rId640" Type="http://schemas.openxmlformats.org/officeDocument/2006/relationships/hyperlink" Target="https://www.kegg.jp/entry/R01066" TargetMode="External"/><Relationship Id="rId738" Type="http://schemas.openxmlformats.org/officeDocument/2006/relationships/hyperlink" Target="https://www.kegg.jp/dbget-bin/www_bget?ec:6.3.5.5" TargetMode="External"/><Relationship Id="rId945" Type="http://schemas.openxmlformats.org/officeDocument/2006/relationships/hyperlink" Target="https://www.kegg.jp/entry/R00284/R00143" TargetMode="External"/><Relationship Id="rId74" Type="http://schemas.openxmlformats.org/officeDocument/2006/relationships/hyperlink" Target="https://enzyme.expasy.org/EC/4.1.1.23" TargetMode="External"/><Relationship Id="rId377" Type="http://schemas.openxmlformats.org/officeDocument/2006/relationships/hyperlink" Target="https://enzyme.expasy.org/EC/6.1.1.20" TargetMode="External"/><Relationship Id="rId500" Type="http://schemas.openxmlformats.org/officeDocument/2006/relationships/hyperlink" Target="https://www.kegg.jp/entry/R00006/R00226/R00014/R03050/R04672/R04673/R08648" TargetMode="External"/><Relationship Id="rId584" Type="http://schemas.openxmlformats.org/officeDocument/2006/relationships/hyperlink" Target="https://www.kegg.jp/entry/R04562/R01074/R05145" TargetMode="External"/><Relationship Id="rId805" Type="http://schemas.openxmlformats.org/officeDocument/2006/relationships/hyperlink" Target="https://www.kegg.jp/entry/R04779/R00756/R00767/R00769/R00770/R01843/R03236/R03237/R03238/R03239" TargetMode="External"/><Relationship Id="rId1130" Type="http://schemas.openxmlformats.org/officeDocument/2006/relationships/hyperlink" Target="https://www.kegg.jp/entry/R10652" TargetMode="External"/><Relationship Id="rId5" Type="http://schemas.openxmlformats.org/officeDocument/2006/relationships/hyperlink" Target="https://enzyme.expasy.org/EC/2.7.1.48" TargetMode="External"/><Relationship Id="rId237" Type="http://schemas.openxmlformats.org/officeDocument/2006/relationships/hyperlink" Target="https://enzyme.expasy.org/EC/4.2.1.126" TargetMode="External"/><Relationship Id="rId791" Type="http://schemas.openxmlformats.org/officeDocument/2006/relationships/hyperlink" Target="https://www.kegg.jp/entry/R04779/R00756/R00767/R00769/R00770/R01843/R03236/R03237/R03238/R03239" TargetMode="External"/><Relationship Id="rId889" Type="http://schemas.openxmlformats.org/officeDocument/2006/relationships/hyperlink" Target="https://www.kegg.jp/entry/R04294/R02017/R02018/R02019/R02024/R08363/R08364/R11893" TargetMode="External"/><Relationship Id="rId1074" Type="http://schemas.openxmlformats.org/officeDocument/2006/relationships/hyperlink" Target="https://enzyme.expasy.org/EC/4.1.2.19" TargetMode="External"/><Relationship Id="rId444" Type="http://schemas.openxmlformats.org/officeDocument/2006/relationships/hyperlink" Target="https://www.kegg.jp/entry/C01170" TargetMode="External"/><Relationship Id="rId651" Type="http://schemas.openxmlformats.org/officeDocument/2006/relationships/hyperlink" Target="https://enzyme.expasy.org/EC/1.8.1.4" TargetMode="External"/><Relationship Id="rId749" Type="http://schemas.openxmlformats.org/officeDocument/2006/relationships/hyperlink" Target="https://enzyme.expasy.org/EC/2.5.1.17" TargetMode="External"/><Relationship Id="rId290" Type="http://schemas.openxmlformats.org/officeDocument/2006/relationships/hyperlink" Target="https://enzyme.expasy.org/EC/2.1.1.193" TargetMode="External"/><Relationship Id="rId304" Type="http://schemas.openxmlformats.org/officeDocument/2006/relationships/hyperlink" Target="https://enzyme.expasy.org/EC/1.4.1.1" TargetMode="External"/><Relationship Id="rId388" Type="http://schemas.openxmlformats.org/officeDocument/2006/relationships/hyperlink" Target="https://www.kegg.jp/entry/C00049" TargetMode="External"/><Relationship Id="rId511" Type="http://schemas.openxmlformats.org/officeDocument/2006/relationships/hyperlink" Target="https://enzyme.expasy.org/EC/2.7.7.7" TargetMode="External"/><Relationship Id="rId609" Type="http://schemas.openxmlformats.org/officeDocument/2006/relationships/hyperlink" Target="https://enzyme.expasy.org/EC/3.5.4.16" TargetMode="External"/><Relationship Id="rId956" Type="http://schemas.openxmlformats.org/officeDocument/2006/relationships/hyperlink" Target="https://enzyme.expasy.org/EC/2.7.1.15" TargetMode="External"/><Relationship Id="rId1141" Type="http://schemas.openxmlformats.org/officeDocument/2006/relationships/hyperlink" Target="https://enzyme.expasy.org/EC/2.7.1.25" TargetMode="External"/><Relationship Id="rId85" Type="http://schemas.openxmlformats.org/officeDocument/2006/relationships/hyperlink" Target="https://enzyme.expasy.org/EC/1.2.1.41" TargetMode="External"/><Relationship Id="rId150" Type="http://schemas.openxmlformats.org/officeDocument/2006/relationships/hyperlink" Target="https://enzyme.expasy.org/EC/1.8.1.4" TargetMode="External"/><Relationship Id="rId595" Type="http://schemas.openxmlformats.org/officeDocument/2006/relationships/hyperlink" Target="https://www.kegg.jp/entry/R01243/R03980/R04856/R06280" TargetMode="External"/><Relationship Id="rId816" Type="http://schemas.openxmlformats.org/officeDocument/2006/relationships/hyperlink" Target="https://enzyme.expasy.org/EC/2.7.1.11" TargetMode="External"/><Relationship Id="rId1001" Type="http://schemas.openxmlformats.org/officeDocument/2006/relationships/hyperlink" Target="https://enzyme.expasy.org/EC/5.1.3.2" TargetMode="External"/><Relationship Id="rId248" Type="http://schemas.openxmlformats.org/officeDocument/2006/relationships/hyperlink" Target="https://enzyme.expasy.org/EC/2.5.1.78" TargetMode="External"/><Relationship Id="rId455" Type="http://schemas.openxmlformats.org/officeDocument/2006/relationships/hyperlink" Target="https://enzyme.expasy.org/EC/6.3.3.3" TargetMode="External"/><Relationship Id="rId662" Type="http://schemas.openxmlformats.org/officeDocument/2006/relationships/hyperlink" Target="https://enzyme.expasy.org/EC/3.2.1.21" TargetMode="External"/><Relationship Id="rId1085" Type="http://schemas.openxmlformats.org/officeDocument/2006/relationships/hyperlink" Target="https://enzyme.expasy.org/EC/1.3.1.98" TargetMode="External"/><Relationship Id="rId12" Type="http://schemas.openxmlformats.org/officeDocument/2006/relationships/hyperlink" Target="https://enzyme.expasy.org/EC/3.1.3.7" TargetMode="External"/><Relationship Id="rId108" Type="http://schemas.openxmlformats.org/officeDocument/2006/relationships/hyperlink" Target="https://enzyme.expasy.org/EC/6.3.2.13" TargetMode="External"/><Relationship Id="rId315" Type="http://schemas.openxmlformats.org/officeDocument/2006/relationships/hyperlink" Target="https://enzyme.expasy.org/EC/2.7.4.6" TargetMode="External"/><Relationship Id="rId522" Type="http://schemas.openxmlformats.org/officeDocument/2006/relationships/hyperlink" Target="https://enzyme.expasy.org/EC/5.3.1.6" TargetMode="External"/><Relationship Id="rId967" Type="http://schemas.openxmlformats.org/officeDocument/2006/relationships/hyperlink" Target="https://www.kegg.jp/entry/R00256/R01230/R01231/R08244" TargetMode="External"/><Relationship Id="rId96" Type="http://schemas.openxmlformats.org/officeDocument/2006/relationships/hyperlink" Target="https://enzyme.expasy.org/EC/3.4.11.18" TargetMode="External"/><Relationship Id="rId161" Type="http://schemas.openxmlformats.org/officeDocument/2006/relationships/hyperlink" Target="https://enzyme.expasy.org/EC/5.4.99.18" TargetMode="External"/><Relationship Id="rId399" Type="http://schemas.openxmlformats.org/officeDocument/2006/relationships/hyperlink" Target="https://www.kegg.jp/entry/C00966" TargetMode="External"/><Relationship Id="rId827" Type="http://schemas.openxmlformats.org/officeDocument/2006/relationships/hyperlink" Target="https://www.kegg.jp/entry/R01168/R06132" TargetMode="External"/><Relationship Id="rId1012" Type="http://schemas.openxmlformats.org/officeDocument/2006/relationships/hyperlink" Target="https://enzyme.expasy.org/EC/2.7.4.6" TargetMode="External"/><Relationship Id="rId259" Type="http://schemas.openxmlformats.org/officeDocument/2006/relationships/hyperlink" Target="https://enzyme.expasy.org/EC/2.5.1.55" TargetMode="External"/><Relationship Id="rId466" Type="http://schemas.openxmlformats.org/officeDocument/2006/relationships/hyperlink" Target="https://www.kegg.jp/entry/C04896" TargetMode="External"/><Relationship Id="rId673" Type="http://schemas.openxmlformats.org/officeDocument/2006/relationships/hyperlink" Target="https://enzyme.expasy.org/EC/3.2.1.21" TargetMode="External"/><Relationship Id="rId880" Type="http://schemas.openxmlformats.org/officeDocument/2006/relationships/hyperlink" Target="https://www.kegg.jp/entry/R04148" TargetMode="External"/><Relationship Id="rId1096" Type="http://schemas.openxmlformats.org/officeDocument/2006/relationships/hyperlink" Target="https://www.kegg.jp/entry/R01324/R01325/R01900" TargetMode="External"/><Relationship Id="rId23" Type="http://schemas.openxmlformats.org/officeDocument/2006/relationships/hyperlink" Target="https://enzyme.expasy.org/EC/3.6.4.12" TargetMode="External"/><Relationship Id="rId119" Type="http://schemas.openxmlformats.org/officeDocument/2006/relationships/hyperlink" Target="https://enzyme.expasy.org/EC/2.4.1.182" TargetMode="External"/><Relationship Id="rId326" Type="http://schemas.openxmlformats.org/officeDocument/2006/relationships/hyperlink" Target="https://enzyme.expasy.org/EC/1.11.1.24" TargetMode="External"/><Relationship Id="rId533" Type="http://schemas.openxmlformats.org/officeDocument/2006/relationships/hyperlink" Target="https://enzyme.expasy.org/EC/1.2.1.88" TargetMode="External"/><Relationship Id="rId978" Type="http://schemas.openxmlformats.org/officeDocument/2006/relationships/hyperlink" Target="https://enzyme.expasy.org/EC/2.3.1.129" TargetMode="External"/><Relationship Id="rId740" Type="http://schemas.openxmlformats.org/officeDocument/2006/relationships/hyperlink" Target="https://enzyme.expasy.org/EC/2.7.1.40" TargetMode="External"/><Relationship Id="rId838" Type="http://schemas.openxmlformats.org/officeDocument/2006/relationships/hyperlink" Target="https://enzyme.expasy.org/EC/4.3.2.2" TargetMode="External"/><Relationship Id="rId1023" Type="http://schemas.openxmlformats.org/officeDocument/2006/relationships/hyperlink" Target="https://enzyme.expasy.org/EC/2.7.4.6" TargetMode="External"/><Relationship Id="rId172" Type="http://schemas.openxmlformats.org/officeDocument/2006/relationships/hyperlink" Target="https://enzyme.expasy.org/EC/2.5.1.15" TargetMode="External"/><Relationship Id="rId477" Type="http://schemas.openxmlformats.org/officeDocument/2006/relationships/hyperlink" Target="https://enzyme.expasy.org/EC/4.2.1.33" TargetMode="External"/><Relationship Id="rId600" Type="http://schemas.openxmlformats.org/officeDocument/2006/relationships/hyperlink" Target="https://www.kegg.jp/entry/R04606" TargetMode="External"/><Relationship Id="rId684" Type="http://schemas.openxmlformats.org/officeDocument/2006/relationships/hyperlink" Target="https://enzyme.expasy.org/EC/3.2.1.21" TargetMode="External"/><Relationship Id="rId337" Type="http://schemas.openxmlformats.org/officeDocument/2006/relationships/hyperlink" Target="https://enzyme.expasy.org/EC/3.1.21.2" TargetMode="External"/><Relationship Id="rId891" Type="http://schemas.openxmlformats.org/officeDocument/2006/relationships/hyperlink" Target="https://www.kegg.jp/entry/R04294/R02017/R02018/R02019/R02024/R08363/R08364/R11893" TargetMode="External"/><Relationship Id="rId905" Type="http://schemas.openxmlformats.org/officeDocument/2006/relationships/hyperlink" Target="https://www.kegg.jp/entry/R02740/R00771/R02739/R03321/R13199" TargetMode="External"/><Relationship Id="rId989" Type="http://schemas.openxmlformats.org/officeDocument/2006/relationships/hyperlink" Target="https://www.kegg.jp/entry/R02016/R00900/R03596/R09372" TargetMode="External"/><Relationship Id="rId34" Type="http://schemas.openxmlformats.org/officeDocument/2006/relationships/hyperlink" Target="https://enzyme.expasy.org/EC/2.4.2.18" TargetMode="External"/><Relationship Id="rId544" Type="http://schemas.openxmlformats.org/officeDocument/2006/relationships/hyperlink" Target="https://enzyme.expasy.org/EC/2.7.7.6" TargetMode="External"/><Relationship Id="rId751" Type="http://schemas.openxmlformats.org/officeDocument/2006/relationships/hyperlink" Target="https://enzyme.expasy.org/EC/1.17.4.2" TargetMode="External"/><Relationship Id="rId849" Type="http://schemas.openxmlformats.org/officeDocument/2006/relationships/hyperlink" Target="https://www.kegg.jp/entry/R01532/R00087/R00426/R00515/R00662/R11323/R00103/R00160/R00287/R03004/R03036" TargetMode="External"/><Relationship Id="rId183" Type="http://schemas.openxmlformats.org/officeDocument/2006/relationships/hyperlink" Target="https://enzyme.expasy.org/EC/3.6.1.22" TargetMode="External"/><Relationship Id="rId390" Type="http://schemas.openxmlformats.org/officeDocument/2006/relationships/hyperlink" Target="https://enzyme.expasy.org/EC/2.7.1.48" TargetMode="External"/><Relationship Id="rId404" Type="http://schemas.openxmlformats.org/officeDocument/2006/relationships/hyperlink" Target="https://enzyme.expasy.org/EC/2.7.7.4" TargetMode="External"/><Relationship Id="rId611" Type="http://schemas.openxmlformats.org/officeDocument/2006/relationships/hyperlink" Target="https://enzyme.expasy.org/EC/3.5.4.16" TargetMode="External"/><Relationship Id="rId1034" Type="http://schemas.openxmlformats.org/officeDocument/2006/relationships/hyperlink" Target="https://enzyme.expasy.org/EC/2.7.1.90" TargetMode="External"/><Relationship Id="rId250" Type="http://schemas.openxmlformats.org/officeDocument/2006/relationships/hyperlink" Target="https://enzyme.expasy.org/EC/4.1.1.11" TargetMode="External"/><Relationship Id="rId488" Type="http://schemas.openxmlformats.org/officeDocument/2006/relationships/hyperlink" Target="https://enzyme.expasy.org/EC/2.2.1.6" TargetMode="External"/><Relationship Id="rId695" Type="http://schemas.openxmlformats.org/officeDocument/2006/relationships/hyperlink" Target="https://enzyme.expasy.org/EC/3.2.1.21" TargetMode="External"/><Relationship Id="rId709" Type="http://schemas.openxmlformats.org/officeDocument/2006/relationships/hyperlink" Target="https://www.kegg.jp/entry/R00549" TargetMode="External"/><Relationship Id="rId916" Type="http://schemas.openxmlformats.org/officeDocument/2006/relationships/hyperlink" Target="https://www.kegg.jp/entry/R02765/R09979" TargetMode="External"/><Relationship Id="rId1101" Type="http://schemas.openxmlformats.org/officeDocument/2006/relationships/hyperlink" Target="https://enzyme.expasy.org/EC/2.6.1.1" TargetMode="External"/><Relationship Id="rId45" Type="http://schemas.openxmlformats.org/officeDocument/2006/relationships/hyperlink" Target="https://enzyme.expasy.org/EC/2.7.4.3" TargetMode="External"/><Relationship Id="rId110" Type="http://schemas.openxmlformats.org/officeDocument/2006/relationships/hyperlink" Target="https://enzyme.expasy.org/EC/1.1.1.133" TargetMode="External"/><Relationship Id="rId348" Type="http://schemas.openxmlformats.org/officeDocument/2006/relationships/hyperlink" Target="https://enzyme.expasy.org/EC/3.2.2.4" TargetMode="External"/><Relationship Id="rId555" Type="http://schemas.openxmlformats.org/officeDocument/2006/relationships/hyperlink" Target="https://enzyme.expasy.org/EC/2.7.7.6" TargetMode="External"/><Relationship Id="rId762" Type="http://schemas.openxmlformats.org/officeDocument/2006/relationships/hyperlink" Target="https://enzyme.expasy.org/EC/2.7.7.7" TargetMode="External"/><Relationship Id="rId194" Type="http://schemas.openxmlformats.org/officeDocument/2006/relationships/hyperlink" Target="https://enzyme.expasy.org/EC/3.5.99.6" TargetMode="External"/><Relationship Id="rId208" Type="http://schemas.openxmlformats.org/officeDocument/2006/relationships/hyperlink" Target="https://enzyme.expasy.org/EC/3.2.2.27" TargetMode="External"/><Relationship Id="rId415" Type="http://schemas.openxmlformats.org/officeDocument/2006/relationships/hyperlink" Target="https://enzyme.expasy.org/EC/4.2.1.20" TargetMode="External"/><Relationship Id="rId622" Type="http://schemas.openxmlformats.org/officeDocument/2006/relationships/hyperlink" Target="https://enzyme.expasy.org/EC/6.1.1.10" TargetMode="External"/><Relationship Id="rId1045" Type="http://schemas.openxmlformats.org/officeDocument/2006/relationships/hyperlink" Target="https://www.kegg.jp/dbget-bin/www_bget?ec:1.1.1.100" TargetMode="External"/><Relationship Id="rId261" Type="http://schemas.openxmlformats.org/officeDocument/2006/relationships/hyperlink" Target="https://enzyme.expasy.org/EC/5.4.99.9" TargetMode="External"/><Relationship Id="rId499" Type="http://schemas.openxmlformats.org/officeDocument/2006/relationships/hyperlink" Target="https://enzyme.expasy.org/EC/2.2.1.6" TargetMode="External"/><Relationship Id="rId927" Type="http://schemas.openxmlformats.org/officeDocument/2006/relationships/hyperlink" Target="https://www.kegg.jp/entry/R07613" TargetMode="External"/><Relationship Id="rId1112" Type="http://schemas.openxmlformats.org/officeDocument/2006/relationships/hyperlink" Target="https://www.kegg.jp/entry/R04509" TargetMode="External"/><Relationship Id="rId56" Type="http://schemas.openxmlformats.org/officeDocument/2006/relationships/hyperlink" Target="https://enzyme.expasy.org/EC/3.5.4.19" TargetMode="External"/><Relationship Id="rId359" Type="http://schemas.openxmlformats.org/officeDocument/2006/relationships/hyperlink" Target="https://enzyme.expasy.org/EC/2.7.4.7" TargetMode="External"/><Relationship Id="rId566" Type="http://schemas.openxmlformats.org/officeDocument/2006/relationships/hyperlink" Target="https://www.kegg.jp/entry/R03193" TargetMode="External"/><Relationship Id="rId773" Type="http://schemas.openxmlformats.org/officeDocument/2006/relationships/hyperlink" Target="https://enzyme.expasy.org/EC/2.7.7.7" TargetMode="External"/><Relationship Id="rId121" Type="http://schemas.openxmlformats.org/officeDocument/2006/relationships/hyperlink" Target="https://enzyme.expasy.org/EC/5.4.2.12" TargetMode="External"/><Relationship Id="rId219" Type="http://schemas.openxmlformats.org/officeDocument/2006/relationships/hyperlink" Target="https://enzyme.expasy.org/EC/6.3.4.4" TargetMode="External"/><Relationship Id="rId426" Type="http://schemas.openxmlformats.org/officeDocument/2006/relationships/hyperlink" Target="https://enzyme.expasy.org/EC/6.3.5.5" TargetMode="External"/><Relationship Id="rId633" Type="http://schemas.openxmlformats.org/officeDocument/2006/relationships/hyperlink" Target="https://enzyme.expasy.org/EC/2.3.1.179" TargetMode="External"/><Relationship Id="rId980" Type="http://schemas.openxmlformats.org/officeDocument/2006/relationships/hyperlink" Target="https://enzyme.expasy.org/EC/1.1.1.37" TargetMode="External"/><Relationship Id="rId1056" Type="http://schemas.openxmlformats.org/officeDocument/2006/relationships/hyperlink" Target="https://enzyme.expasy.org/EC/1.1.1.100" TargetMode="External"/><Relationship Id="rId840" Type="http://schemas.openxmlformats.org/officeDocument/2006/relationships/hyperlink" Target="https://enzyme.expasy.org/EC/2.7.4.25" TargetMode="External"/><Relationship Id="rId938" Type="http://schemas.openxmlformats.org/officeDocument/2006/relationships/hyperlink" Target="https://enzyme.expasy.org/EC/2.6.1.42" TargetMode="External"/><Relationship Id="rId67" Type="http://schemas.openxmlformats.org/officeDocument/2006/relationships/hyperlink" Target="https://enzyme.expasy.org/EC/2.2.1.6" TargetMode="External"/><Relationship Id="rId272" Type="http://schemas.openxmlformats.org/officeDocument/2006/relationships/hyperlink" Target="https://enzyme.expasy.org/EC/2.6.1.42" TargetMode="External"/><Relationship Id="rId577" Type="http://schemas.openxmlformats.org/officeDocument/2006/relationships/hyperlink" Target="https://www.kegg.jp/entry/R05629/R05630" TargetMode="External"/><Relationship Id="rId700" Type="http://schemas.openxmlformats.org/officeDocument/2006/relationships/hyperlink" Target="https://enzyme.expasy.org/EC/3.2.1.21" TargetMode="External"/><Relationship Id="rId1123" Type="http://schemas.openxmlformats.org/officeDocument/2006/relationships/hyperlink" Target="https://www.kegg.jp/entry/R03457" TargetMode="External"/><Relationship Id="rId132" Type="http://schemas.openxmlformats.org/officeDocument/2006/relationships/hyperlink" Target="https://enzyme.expasy.org/EC/3.3.1.1" TargetMode="External"/><Relationship Id="rId784" Type="http://schemas.openxmlformats.org/officeDocument/2006/relationships/hyperlink" Target="https://enzyme.expasy.org/EC/2.7.1.11" TargetMode="External"/><Relationship Id="rId991" Type="http://schemas.openxmlformats.org/officeDocument/2006/relationships/hyperlink" Target="https://www.kegg.jp/entry/R03656" TargetMode="External"/><Relationship Id="rId1067" Type="http://schemas.openxmlformats.org/officeDocument/2006/relationships/hyperlink" Target="https://enzyme.expasy.org/EC/4.3.1.17" TargetMode="External"/><Relationship Id="rId437" Type="http://schemas.openxmlformats.org/officeDocument/2006/relationships/hyperlink" Target="https://www.kegg.jp/entry/R00420/R00414/R02707" TargetMode="External"/><Relationship Id="rId644" Type="http://schemas.openxmlformats.org/officeDocument/2006/relationships/hyperlink" Target="https://enzyme.expasy.org/EC/2.7.7.7" TargetMode="External"/><Relationship Id="rId851" Type="http://schemas.openxmlformats.org/officeDocument/2006/relationships/hyperlink" Target="https://www.kegg.jp/entry/R01532/R00087/R00426/R00515/R00662/R11323/R00103/R00160/R00287/R03004/R03036" TargetMode="External"/><Relationship Id="rId283" Type="http://schemas.openxmlformats.org/officeDocument/2006/relationships/hyperlink" Target="https://enzyme.expasy.org/EC/2.7.1.15" TargetMode="External"/><Relationship Id="rId490" Type="http://schemas.openxmlformats.org/officeDocument/2006/relationships/hyperlink" Target="https://enzyme.expasy.org/EC/2.2.1.6" TargetMode="External"/><Relationship Id="rId504" Type="http://schemas.openxmlformats.org/officeDocument/2006/relationships/hyperlink" Target="https://www.kegg.jp/entry/R00006/R00226/R00014/R03050/R04672/R04673/R08648" TargetMode="External"/><Relationship Id="rId711" Type="http://schemas.openxmlformats.org/officeDocument/2006/relationships/hyperlink" Target="https://www.kegg.jp/entry/R02059" TargetMode="External"/><Relationship Id="rId949" Type="http://schemas.openxmlformats.org/officeDocument/2006/relationships/hyperlink" Target="https://www.kegg.jp/entry/R00380/R04858" TargetMode="External"/><Relationship Id="rId1134" Type="http://schemas.openxmlformats.org/officeDocument/2006/relationships/hyperlink" Target="https://www.kegg.jp/entry/C18172" TargetMode="External"/><Relationship Id="rId78" Type="http://schemas.openxmlformats.org/officeDocument/2006/relationships/hyperlink" Target="https://enzyme.expasy.org/EC/5.3.1.6" TargetMode="External"/><Relationship Id="rId143" Type="http://schemas.openxmlformats.org/officeDocument/2006/relationships/hyperlink" Target="https://enzyme.expasy.org/EC/3.5.4.2" TargetMode="External"/><Relationship Id="rId350" Type="http://schemas.openxmlformats.org/officeDocument/2006/relationships/hyperlink" Target="https://enzyme.expasy.org/EC/1.3.1.14" TargetMode="External"/><Relationship Id="rId588" Type="http://schemas.openxmlformats.org/officeDocument/2006/relationships/hyperlink" Target="https://www.kegg.jp/entry/R04562/R01074/R05145" TargetMode="External"/><Relationship Id="rId795" Type="http://schemas.openxmlformats.org/officeDocument/2006/relationships/hyperlink" Target="https://www.kegg.jp/entry/R04779/R00756/R00767/R00769/R00770/R01843/R03236/R03237/R03238/R03239" TargetMode="External"/><Relationship Id="rId809" Type="http://schemas.openxmlformats.org/officeDocument/2006/relationships/hyperlink" Target="https://enzyme.expasy.org/EC/2.7.1.11" TargetMode="External"/><Relationship Id="rId9" Type="http://schemas.openxmlformats.org/officeDocument/2006/relationships/hyperlink" Target="https://enzyme.expasy.org/EC/2.7.7.4" TargetMode="External"/><Relationship Id="rId210" Type="http://schemas.openxmlformats.org/officeDocument/2006/relationships/hyperlink" Target="https://enzyme.expasy.org/EC/4.3.2.2" TargetMode="External"/><Relationship Id="rId448" Type="http://schemas.openxmlformats.org/officeDocument/2006/relationships/hyperlink" Target="https://enzyme.expasy.org/EC/2.7.4.3" TargetMode="External"/><Relationship Id="rId655" Type="http://schemas.openxmlformats.org/officeDocument/2006/relationships/hyperlink" Target="https://enzyme.expasy.org/EC/3.2.1.21" TargetMode="External"/><Relationship Id="rId862" Type="http://schemas.openxmlformats.org/officeDocument/2006/relationships/hyperlink" Target="https://enzyme.expasy.org/EC/3.6.1.9" TargetMode="External"/><Relationship Id="rId1078" Type="http://schemas.openxmlformats.org/officeDocument/2006/relationships/hyperlink" Target="https://www.kegg.jp/entry/R00371" TargetMode="External"/><Relationship Id="rId294" Type="http://schemas.openxmlformats.org/officeDocument/2006/relationships/hyperlink" Target="https://enzyme.expasy.org/EC/2.3.1.129" TargetMode="External"/><Relationship Id="rId308" Type="http://schemas.openxmlformats.org/officeDocument/2006/relationships/hyperlink" Target="https://enzyme.expasy.org/EC/6.3.4.2" TargetMode="External"/><Relationship Id="rId515" Type="http://schemas.openxmlformats.org/officeDocument/2006/relationships/hyperlink" Target="https://enzyme.expasy.org/EC/3.5.4.5" TargetMode="External"/><Relationship Id="rId722" Type="http://schemas.openxmlformats.org/officeDocument/2006/relationships/hyperlink" Target="https://enzyme.expasy.org/EC/2.3.1.8" TargetMode="External"/><Relationship Id="rId1145" Type="http://schemas.openxmlformats.org/officeDocument/2006/relationships/hyperlink" Target="https://www.genome.jp/entry/C00052" TargetMode="External"/><Relationship Id="rId89" Type="http://schemas.openxmlformats.org/officeDocument/2006/relationships/hyperlink" Target="https://enzyme.expasy.org/EC/5.3.1.23" TargetMode="External"/><Relationship Id="rId154" Type="http://schemas.openxmlformats.org/officeDocument/2006/relationships/hyperlink" Target="https://enzyme.expasy.org/EC/3.2.1.21" TargetMode="External"/><Relationship Id="rId361" Type="http://schemas.openxmlformats.org/officeDocument/2006/relationships/hyperlink" Target="https://enzyme.expasy.org/EC/4.1.99.17" TargetMode="External"/><Relationship Id="rId599" Type="http://schemas.openxmlformats.org/officeDocument/2006/relationships/hyperlink" Target="https://www.kegg.jp/entry/R01243/R03980/R04856/R06280" TargetMode="External"/><Relationship Id="rId1005" Type="http://schemas.openxmlformats.org/officeDocument/2006/relationships/hyperlink" Target="https://enzyme.expasy.org/EC/6.3.4.2" TargetMode="External"/><Relationship Id="rId459" Type="http://schemas.openxmlformats.org/officeDocument/2006/relationships/hyperlink" Target="https://enzyme.expasy.org/EC/4.3.1.19" TargetMode="External"/><Relationship Id="rId666" Type="http://schemas.openxmlformats.org/officeDocument/2006/relationships/hyperlink" Target="https://enzyme.expasy.org/EC/3.2.1.21" TargetMode="External"/><Relationship Id="rId873" Type="http://schemas.openxmlformats.org/officeDocument/2006/relationships/hyperlink" Target="https://www.kegg.jp/entry/R00248/R00145/R00146" TargetMode="External"/><Relationship Id="rId1089" Type="http://schemas.openxmlformats.org/officeDocument/2006/relationships/hyperlink" Target="https://www.kegg.jp/entry/R08165" TargetMode="External"/><Relationship Id="rId16" Type="http://schemas.openxmlformats.org/officeDocument/2006/relationships/hyperlink" Target="https://enzyme.expasy.org/EC/2.7.1.21" TargetMode="External"/><Relationship Id="rId221" Type="http://schemas.openxmlformats.org/officeDocument/2006/relationships/hyperlink" Target="https://enzyme.expasy.org/EC/3.6.1.9" TargetMode="External"/><Relationship Id="rId319" Type="http://schemas.openxmlformats.org/officeDocument/2006/relationships/hyperlink" Target="https://enzyme.expasy.org/EC/2.7.1.23" TargetMode="External"/><Relationship Id="rId526" Type="http://schemas.openxmlformats.org/officeDocument/2006/relationships/hyperlink" Target="https://enzyme.expasy.org/EC/1.5.1.2" TargetMode="External"/><Relationship Id="rId733" Type="http://schemas.openxmlformats.org/officeDocument/2006/relationships/hyperlink" Target="https://enzyme.expasy.org/EC/6.3.5.5" TargetMode="External"/><Relationship Id="rId940" Type="http://schemas.openxmlformats.org/officeDocument/2006/relationships/hyperlink" Target="https://www.kegg.jp/entry/R01626" TargetMode="External"/><Relationship Id="rId1016" Type="http://schemas.openxmlformats.org/officeDocument/2006/relationships/hyperlink" Target="https://enzyme.expasy.org/EC/2.7.4.6" TargetMode="External"/><Relationship Id="rId165" Type="http://schemas.openxmlformats.org/officeDocument/2006/relationships/hyperlink" Target="https://enzyme.expasy.org/EC/1.2.1.11" TargetMode="External"/><Relationship Id="rId372" Type="http://schemas.openxmlformats.org/officeDocument/2006/relationships/hyperlink" Target="https://enzyme.expasy.org/EC/2.8.4.4" TargetMode="External"/><Relationship Id="rId677" Type="http://schemas.openxmlformats.org/officeDocument/2006/relationships/hyperlink" Target="https://enzyme.expasy.org/EC/3.2.1.21" TargetMode="External"/><Relationship Id="rId800" Type="http://schemas.openxmlformats.org/officeDocument/2006/relationships/hyperlink" Target="https://www.kegg.jp/entry/R04779/R00756/R00767/R00769/R00770/R01843/R03236/R03237/R03238/R03239" TargetMode="External"/><Relationship Id="rId232" Type="http://schemas.openxmlformats.org/officeDocument/2006/relationships/hyperlink" Target="https://enzyme.expasy.org/EC/4.1.2.25" TargetMode="External"/><Relationship Id="rId884" Type="http://schemas.openxmlformats.org/officeDocument/2006/relationships/hyperlink" Target="https://enzyme.expasy.org/EC/1.17.4.1" TargetMode="External"/><Relationship Id="rId27" Type="http://schemas.openxmlformats.org/officeDocument/2006/relationships/hyperlink" Target="https://enzyme.expasy.org/EC/4.2.1.47" TargetMode="External"/><Relationship Id="rId537" Type="http://schemas.openxmlformats.org/officeDocument/2006/relationships/hyperlink" Target="https://enzyme.expasy.org/EC/2.7.7.6" TargetMode="External"/><Relationship Id="rId744" Type="http://schemas.openxmlformats.org/officeDocument/2006/relationships/hyperlink" Target="https://enzyme.expasy.org/EC/2.7.1.40" TargetMode="External"/><Relationship Id="rId951" Type="http://schemas.openxmlformats.org/officeDocument/2006/relationships/hyperlink" Target="https://enzyme.expasy.org/EC/3.5.1.1" TargetMode="External"/><Relationship Id="rId80" Type="http://schemas.openxmlformats.org/officeDocument/2006/relationships/hyperlink" Target="https://enzyme.expasy.org/EC/2.7.4.1" TargetMode="External"/><Relationship Id="rId176" Type="http://schemas.openxmlformats.org/officeDocument/2006/relationships/hyperlink" Target="https://enzyme.expasy.org/EC/1.97.1.4" TargetMode="External"/><Relationship Id="rId383" Type="http://schemas.openxmlformats.org/officeDocument/2006/relationships/hyperlink" Target="https://www.genome.jp/entry/C18094" TargetMode="External"/><Relationship Id="rId590" Type="http://schemas.openxmlformats.org/officeDocument/2006/relationships/hyperlink" Target="https://www.kegg.jp/entry/R05637" TargetMode="External"/><Relationship Id="rId604" Type="http://schemas.openxmlformats.org/officeDocument/2006/relationships/hyperlink" Target="https://www.kegg.jp/entry/R00551" TargetMode="External"/><Relationship Id="rId811" Type="http://schemas.openxmlformats.org/officeDocument/2006/relationships/hyperlink" Target="https://enzyme.expasy.org/EC/2.7.1.11" TargetMode="External"/><Relationship Id="rId1027" Type="http://schemas.openxmlformats.org/officeDocument/2006/relationships/hyperlink" Target="https://www.kegg.jp/entry/R00331/R00124/R00139/R00156/R00330/R00570/R00722/R01137/R01857/R02093/R02326/R02331/R03530/R12853/R11894/R11895" TargetMode="External"/><Relationship Id="rId243" Type="http://schemas.openxmlformats.org/officeDocument/2006/relationships/hyperlink" Target="https://enzyme.expasy.org/EC/6.1.1.6" TargetMode="External"/><Relationship Id="rId450" Type="http://schemas.openxmlformats.org/officeDocument/2006/relationships/hyperlink" Target="https://enzyme.expasy.org/EC/2.4.2.8" TargetMode="External"/><Relationship Id="rId688" Type="http://schemas.openxmlformats.org/officeDocument/2006/relationships/hyperlink" Target="https://enzyme.expasy.org/EC/3.2.1.21" TargetMode="External"/><Relationship Id="rId895" Type="http://schemas.openxmlformats.org/officeDocument/2006/relationships/hyperlink" Target="https://www.kegg.jp/entry/R04294/R02017/R02018/R02019/R02024/R08363/R08364/R11893" TargetMode="External"/><Relationship Id="rId909" Type="http://schemas.openxmlformats.org/officeDocument/2006/relationships/hyperlink" Target="https://www.kegg.jp/entry/R00842/R00844" TargetMode="External"/><Relationship Id="rId1080" Type="http://schemas.openxmlformats.org/officeDocument/2006/relationships/hyperlink" Target="https://enzyme.expasy.org/EC/2.6.1.85" TargetMode="External"/><Relationship Id="rId38" Type="http://schemas.openxmlformats.org/officeDocument/2006/relationships/hyperlink" Target="https://enzyme.expasy.org/EC/6.3.5.5" TargetMode="External"/><Relationship Id="rId103" Type="http://schemas.openxmlformats.org/officeDocument/2006/relationships/hyperlink" Target="https://enzyme.expasy.org/EC/5.4.99.25" TargetMode="External"/><Relationship Id="rId310" Type="http://schemas.openxmlformats.org/officeDocument/2006/relationships/hyperlink" Target="https://enzyme.expasy.org/EC/2.4.1.129" TargetMode="External"/><Relationship Id="rId548" Type="http://schemas.openxmlformats.org/officeDocument/2006/relationships/hyperlink" Target="https://www.kegg.jp/entry/R03018/R02971/R04391" TargetMode="External"/><Relationship Id="rId755" Type="http://schemas.openxmlformats.org/officeDocument/2006/relationships/hyperlink" Target="https://enzyme.expasy.org/EC/2.7.7.7" TargetMode="External"/><Relationship Id="rId962" Type="http://schemas.openxmlformats.org/officeDocument/2006/relationships/hyperlink" Target="https://www.kegg.jp/entry/R06514" TargetMode="External"/><Relationship Id="rId91" Type="http://schemas.openxmlformats.org/officeDocument/2006/relationships/hyperlink" Target="https://enzyme.expasy.org/EC/2.7.1.33" TargetMode="External"/><Relationship Id="rId187" Type="http://schemas.openxmlformats.org/officeDocument/2006/relationships/hyperlink" Target="https://enzyme.expasy.org/EC/4.2.3.3" TargetMode="External"/><Relationship Id="rId394" Type="http://schemas.openxmlformats.org/officeDocument/2006/relationships/hyperlink" Target="https://www.genome.jp/entry/C00052" TargetMode="External"/><Relationship Id="rId408" Type="http://schemas.openxmlformats.org/officeDocument/2006/relationships/hyperlink" Target="https://www.kegg.jp/entry/C04352" TargetMode="External"/><Relationship Id="rId615" Type="http://schemas.openxmlformats.org/officeDocument/2006/relationships/hyperlink" Target="https://enzyme.expasy.org/EC/3.5.4.16" TargetMode="External"/><Relationship Id="rId822" Type="http://schemas.openxmlformats.org/officeDocument/2006/relationships/hyperlink" Target="https://www.kegg.jp/entry/C03680" TargetMode="External"/><Relationship Id="rId1038" Type="http://schemas.openxmlformats.org/officeDocument/2006/relationships/hyperlink" Target="https://www.kegg.jp/entry/R02142/R01229" TargetMode="External"/><Relationship Id="rId254" Type="http://schemas.openxmlformats.org/officeDocument/2006/relationships/hyperlink" Target="https://enzyme.expasy.org/EC/3.5.99.6" TargetMode="External"/><Relationship Id="rId699" Type="http://schemas.openxmlformats.org/officeDocument/2006/relationships/hyperlink" Target="https://enzyme.expasy.org/EC/3.2.1.21" TargetMode="External"/><Relationship Id="rId1091" Type="http://schemas.openxmlformats.org/officeDocument/2006/relationships/hyperlink" Target="https://www.kegg.jp/dbget-bin/www_bget?ec:3.5.4.3" TargetMode="External"/><Relationship Id="rId1105" Type="http://schemas.openxmlformats.org/officeDocument/2006/relationships/hyperlink" Target="https://enzyme.expasy.org/EC/2.6.1.1" TargetMode="External"/><Relationship Id="rId49" Type="http://schemas.openxmlformats.org/officeDocument/2006/relationships/hyperlink" Target="https://enzyme.expasy.org/EC/2.1.1.197" TargetMode="External"/><Relationship Id="rId114" Type="http://schemas.openxmlformats.org/officeDocument/2006/relationships/hyperlink" Target="https://enzyme.expasy.org/EC/6.3.4.15" TargetMode="External"/><Relationship Id="rId461" Type="http://schemas.openxmlformats.org/officeDocument/2006/relationships/hyperlink" Target="https://enzyme.expasy.org/EC/4.3.1.19" TargetMode="External"/><Relationship Id="rId559" Type="http://schemas.openxmlformats.org/officeDocument/2006/relationships/hyperlink" Target="https://enzyme.expasy.org/EC/1.1.1.205" TargetMode="External"/><Relationship Id="rId766" Type="http://schemas.openxmlformats.org/officeDocument/2006/relationships/hyperlink" Target="https://enzyme.expasy.org/EC/2.7.7.7" TargetMode="External"/><Relationship Id="rId198" Type="http://schemas.openxmlformats.org/officeDocument/2006/relationships/hyperlink" Target="https://enzyme.expasy.org/EC/4.2.1.49" TargetMode="External"/><Relationship Id="rId321" Type="http://schemas.openxmlformats.org/officeDocument/2006/relationships/hyperlink" Target="https://enzyme.expasy.org/EC/2.4.2.22" TargetMode="External"/><Relationship Id="rId419" Type="http://schemas.openxmlformats.org/officeDocument/2006/relationships/hyperlink" Target="https://enzyme.expasy.org/EC/6.3.5.5" TargetMode="External"/><Relationship Id="rId626" Type="http://schemas.openxmlformats.org/officeDocument/2006/relationships/hyperlink" Target="https://enzyme.expasy.org/EC/2.3.1.179" TargetMode="External"/><Relationship Id="rId973" Type="http://schemas.openxmlformats.org/officeDocument/2006/relationships/hyperlink" Target="https://www.kegg.jp/entry/R00256/R01230/R01231/R08244" TargetMode="External"/><Relationship Id="rId1049" Type="http://schemas.openxmlformats.org/officeDocument/2006/relationships/hyperlink" Target="https://www.kegg.jp/dbget-bin/www_bget?ec:1.1.1.100" TargetMode="External"/><Relationship Id="rId833" Type="http://schemas.openxmlformats.org/officeDocument/2006/relationships/hyperlink" Target="https://www.kegg.jp/entry/C03406" TargetMode="External"/><Relationship Id="rId1116" Type="http://schemas.openxmlformats.org/officeDocument/2006/relationships/hyperlink" Target="https://enzyme.expasy.org/EC/2.5.1.47" TargetMode="External"/><Relationship Id="rId265" Type="http://schemas.openxmlformats.org/officeDocument/2006/relationships/hyperlink" Target="https://enzyme.expasy.org/EC/2.6.1.83" TargetMode="External"/><Relationship Id="rId472" Type="http://schemas.openxmlformats.org/officeDocument/2006/relationships/hyperlink" Target="https://www.kegg.jp/entry/R01652/R04426/R10052/R00994" TargetMode="External"/><Relationship Id="rId900" Type="http://schemas.openxmlformats.org/officeDocument/2006/relationships/hyperlink" Target="https://enzyme.expasy.org/EC/5.3.1.9" TargetMode="External"/><Relationship Id="rId125" Type="http://schemas.openxmlformats.org/officeDocument/2006/relationships/hyperlink" Target="https://enzyme.expasy.org/EC/6.3.2.4" TargetMode="External"/><Relationship Id="rId332" Type="http://schemas.openxmlformats.org/officeDocument/2006/relationships/hyperlink" Target="https://enzyme.expasy.org/EC/3.5.2.3" TargetMode="External"/><Relationship Id="rId777" Type="http://schemas.openxmlformats.org/officeDocument/2006/relationships/hyperlink" Target="https://www.kegg.jp/entry/R07281" TargetMode="External"/><Relationship Id="rId984" Type="http://schemas.openxmlformats.org/officeDocument/2006/relationships/hyperlink" Target="https://enzyme.expasy.org/EC/1.8.1.9" TargetMode="External"/><Relationship Id="rId637" Type="http://schemas.openxmlformats.org/officeDocument/2006/relationships/hyperlink" Target="https://enzyme.expasy.org/EC/1.17.1.8" TargetMode="External"/><Relationship Id="rId844" Type="http://schemas.openxmlformats.org/officeDocument/2006/relationships/hyperlink" Target="https://www.kegg.jp/entry/R08700" TargetMode="External"/><Relationship Id="rId276" Type="http://schemas.openxmlformats.org/officeDocument/2006/relationships/hyperlink" Target="https://enzyme.expasy.org/EC/1.7.99.1" TargetMode="External"/><Relationship Id="rId483" Type="http://schemas.openxmlformats.org/officeDocument/2006/relationships/hyperlink" Target="https://www.kegg.jp/entry/R00006/R00226/R00014/R03050/R04672/R04673/R08648" TargetMode="External"/><Relationship Id="rId690" Type="http://schemas.openxmlformats.org/officeDocument/2006/relationships/hyperlink" Target="https://www.kegg.jp/entry/C00031" TargetMode="External"/><Relationship Id="rId704" Type="http://schemas.openxmlformats.org/officeDocument/2006/relationships/hyperlink" Target="https://enzyme.expasy.org/EC/3.2.1.21" TargetMode="External"/><Relationship Id="rId911" Type="http://schemas.openxmlformats.org/officeDocument/2006/relationships/hyperlink" Target="https://enzyme.expasy.org/EC/2.7.7.18" TargetMode="External"/><Relationship Id="rId1127" Type="http://schemas.openxmlformats.org/officeDocument/2006/relationships/hyperlink" Target="https://enzyme.expasy.org/EC/1.1.1.23" TargetMode="External"/><Relationship Id="rId40" Type="http://schemas.openxmlformats.org/officeDocument/2006/relationships/hyperlink" Target="https://enzyme.expasy.org/EC/5.1.3.14" TargetMode="External"/><Relationship Id="rId136" Type="http://schemas.openxmlformats.org/officeDocument/2006/relationships/hyperlink" Target="https://enzyme.expasy.org/EC/3.1.26.3" TargetMode="External"/><Relationship Id="rId343" Type="http://schemas.openxmlformats.org/officeDocument/2006/relationships/hyperlink" Target="https://enzyme.expasy.org/EC/1.3.1.98" TargetMode="External"/><Relationship Id="rId550" Type="http://schemas.openxmlformats.org/officeDocument/2006/relationships/hyperlink" Target="https://www.kegg.jp/entry/R03018/R02971/R04391" TargetMode="External"/><Relationship Id="rId788" Type="http://schemas.openxmlformats.org/officeDocument/2006/relationships/hyperlink" Target="https://enzyme.expasy.org/EC/2.7.1.11" TargetMode="External"/><Relationship Id="rId995" Type="http://schemas.openxmlformats.org/officeDocument/2006/relationships/hyperlink" Target="https://enzyme.expasy.org/EC/1.4.1.1" TargetMode="External"/><Relationship Id="rId203" Type="http://schemas.openxmlformats.org/officeDocument/2006/relationships/hyperlink" Target="../../magaasmac/Downloads/4.3.2.1" TargetMode="External"/><Relationship Id="rId648" Type="http://schemas.openxmlformats.org/officeDocument/2006/relationships/hyperlink" Target="https://www.kegg.jp/entry/R00380/R04858" TargetMode="External"/><Relationship Id="rId855" Type="http://schemas.openxmlformats.org/officeDocument/2006/relationships/hyperlink" Target="https://www.kegg.jp/entry/R01532/R00087/R00426/R00515/R00662/R11323/R00103/R00160/R00287/R03004/R03036" TargetMode="External"/><Relationship Id="rId1040" Type="http://schemas.openxmlformats.org/officeDocument/2006/relationships/hyperlink" Target="https://enzyme.expasy.org/EC/1.1.1.100" TargetMode="External"/><Relationship Id="rId287" Type="http://schemas.openxmlformats.org/officeDocument/2006/relationships/hyperlink" Target="https://enzyme.expasy.org/EC/5.1.3.13" TargetMode="External"/><Relationship Id="rId410" Type="http://schemas.openxmlformats.org/officeDocument/2006/relationships/hyperlink" Target="https://www.kegg.jp/entry/C00096" TargetMode="External"/><Relationship Id="rId494" Type="http://schemas.openxmlformats.org/officeDocument/2006/relationships/hyperlink" Target="https://enzyme.expasy.org/EC/2.2.1.6" TargetMode="External"/><Relationship Id="rId508" Type="http://schemas.openxmlformats.org/officeDocument/2006/relationships/hyperlink" Target="https://enzyme.expasy.org/EC/4.2.1.9" TargetMode="External"/><Relationship Id="rId715" Type="http://schemas.openxmlformats.org/officeDocument/2006/relationships/hyperlink" Target="https://enzyme.expasy.org/EC/3.6.1.23" TargetMode="External"/><Relationship Id="rId922" Type="http://schemas.openxmlformats.org/officeDocument/2006/relationships/hyperlink" Target="https://www.kegg.jp/entry/R00489" TargetMode="External"/><Relationship Id="rId1138" Type="http://schemas.openxmlformats.org/officeDocument/2006/relationships/hyperlink" Target="https://www.kegg.jp/entry/R01397" TargetMode="External"/><Relationship Id="rId147" Type="http://schemas.openxmlformats.org/officeDocument/2006/relationships/hyperlink" Target="https://enzyme.expasy.org/EC/2.1.1.37" TargetMode="External"/><Relationship Id="rId354" Type="http://schemas.openxmlformats.org/officeDocument/2006/relationships/hyperlink" Target="https://enzyme.expasy.org/EC/2.6.1.1" TargetMode="External"/><Relationship Id="rId799" Type="http://schemas.openxmlformats.org/officeDocument/2006/relationships/hyperlink" Target="https://www.kegg.jp/entry/R04779/R00756/R00767/R00769/R00770/R01843/R03236/R03237/R03238/R03239" TargetMode="External"/><Relationship Id="rId51" Type="http://schemas.openxmlformats.org/officeDocument/2006/relationships/hyperlink" Target="../../magaasmac/Downloads/5.4.99.12" TargetMode="External"/><Relationship Id="rId561" Type="http://schemas.openxmlformats.org/officeDocument/2006/relationships/hyperlink" Target="https://www.kegg.jp/entry/R01130/R08240" TargetMode="External"/><Relationship Id="rId659" Type="http://schemas.openxmlformats.org/officeDocument/2006/relationships/hyperlink" Target="https://enzyme.expasy.org/EC/3.2.1.21" TargetMode="External"/><Relationship Id="rId866" Type="http://schemas.openxmlformats.org/officeDocument/2006/relationships/hyperlink" Target="https://enzyme.expasy.org/EC/3.6.1.9" TargetMode="External"/><Relationship Id="rId214" Type="http://schemas.openxmlformats.org/officeDocument/2006/relationships/hyperlink" Target="https://enzyme.expasy.org/EC/2.7.1.11" TargetMode="External"/><Relationship Id="rId298" Type="http://schemas.openxmlformats.org/officeDocument/2006/relationships/hyperlink" Target="https://enzyme.expasy.org/EC/2.7.10.2" TargetMode="External"/><Relationship Id="rId421" Type="http://schemas.openxmlformats.org/officeDocument/2006/relationships/hyperlink" Target="https://enzyme.expasy.org/EC/6.3.5.5" TargetMode="External"/><Relationship Id="rId519" Type="http://schemas.openxmlformats.org/officeDocument/2006/relationships/hyperlink" Target="https://www.kegg.jp/entry/R12803/R04550" TargetMode="External"/><Relationship Id="rId1051" Type="http://schemas.openxmlformats.org/officeDocument/2006/relationships/hyperlink" Target="https://www.kegg.jp/dbget-bin/www_bget?ec:1.1.1.100" TargetMode="External"/><Relationship Id="rId158" Type="http://schemas.openxmlformats.org/officeDocument/2006/relationships/hyperlink" Target="https://enzyme.expasy.org/EC/2.7.7.2" TargetMode="External"/><Relationship Id="rId726" Type="http://schemas.openxmlformats.org/officeDocument/2006/relationships/hyperlink" Target="https://enzyme.expasy.org/EC/4.2.1.11" TargetMode="External"/><Relationship Id="rId933" Type="http://schemas.openxmlformats.org/officeDocument/2006/relationships/hyperlink" Target="https://www.kegg.jp/entry/R01090/R01214/R02199/R10991" TargetMode="External"/><Relationship Id="rId1009" Type="http://schemas.openxmlformats.org/officeDocument/2006/relationships/hyperlink" Target="https://enzyme.expasy.org/EC/6.1.1.11" TargetMode="External"/><Relationship Id="rId62" Type="http://schemas.openxmlformats.org/officeDocument/2006/relationships/hyperlink" Target="https://enzyme.expasy.org/EC/4.2.3.3" TargetMode="External"/><Relationship Id="rId365" Type="http://schemas.openxmlformats.org/officeDocument/2006/relationships/hyperlink" Target="https://enzyme.expasy.org/EC/6.1.1.15" TargetMode="External"/><Relationship Id="rId572" Type="http://schemas.openxmlformats.org/officeDocument/2006/relationships/hyperlink" Target="https://enzyme.expasy.org/EC/2.4.1.227" TargetMode="External"/><Relationship Id="rId225" Type="http://schemas.openxmlformats.org/officeDocument/2006/relationships/hyperlink" Target="https://enzyme.expasy.org/EC/3.1.22.4" TargetMode="External"/><Relationship Id="rId432" Type="http://schemas.openxmlformats.org/officeDocument/2006/relationships/hyperlink" Target="https://enzyme.expasy.org/EC/5.1.3.14" TargetMode="External"/><Relationship Id="rId877" Type="http://schemas.openxmlformats.org/officeDocument/2006/relationships/hyperlink" Target="https://enzyme.expasy.org/EC/1.4.1.4" TargetMode="External"/><Relationship Id="rId1062" Type="http://schemas.openxmlformats.org/officeDocument/2006/relationships/hyperlink" Target="https://www.kegg.jp/entry/R05577" TargetMode="External"/><Relationship Id="rId737" Type="http://schemas.openxmlformats.org/officeDocument/2006/relationships/hyperlink" Target="https://enzyme.expasy.org/EC/6.3.5.5" TargetMode="External"/><Relationship Id="rId944" Type="http://schemas.openxmlformats.org/officeDocument/2006/relationships/hyperlink" Target="https://enzyme.expasy.org/EC/1.7.99.1" TargetMode="External"/><Relationship Id="rId73" Type="http://schemas.openxmlformats.org/officeDocument/2006/relationships/hyperlink" Target="https://enzyme.expasy.org/EC/3.5.4.5" TargetMode="External"/><Relationship Id="rId169" Type="http://schemas.openxmlformats.org/officeDocument/2006/relationships/hyperlink" Target="https://enzyme.expasy.org/EC/2.5.1.17" TargetMode="External"/><Relationship Id="rId376" Type="http://schemas.openxmlformats.org/officeDocument/2006/relationships/hyperlink" Target="https://enzyme.expasy.org/EC/2.1.3.2" TargetMode="External"/><Relationship Id="rId583" Type="http://schemas.openxmlformats.org/officeDocument/2006/relationships/hyperlink" Target="https://www.kegg.jp/entry/R03038" TargetMode="External"/><Relationship Id="rId790" Type="http://schemas.openxmlformats.org/officeDocument/2006/relationships/hyperlink" Target="https://enzyme.expasy.org/EC/2.7.1.11" TargetMode="External"/><Relationship Id="rId804" Type="http://schemas.openxmlformats.org/officeDocument/2006/relationships/hyperlink" Target="https://www.kegg.jp/entry/R04779/R00756/R00767/R00769/R00770/R01843/R03236/R03237/R03238/R0323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zyme.expasy.org/EC/6.3.4.4" TargetMode="External"/><Relationship Id="rId21" Type="http://schemas.openxmlformats.org/officeDocument/2006/relationships/hyperlink" Target="https://enzyme.expasy.org/EC/1.1.1.44" TargetMode="External"/><Relationship Id="rId42" Type="http://schemas.openxmlformats.org/officeDocument/2006/relationships/hyperlink" Target="https://enzyme.expasy.org/EC/4.1.1.23" TargetMode="External"/><Relationship Id="rId63" Type="http://schemas.openxmlformats.org/officeDocument/2006/relationships/hyperlink" Target="https://enzyme.expasy.org/EC/6.1.1.7" TargetMode="External"/><Relationship Id="rId84" Type="http://schemas.openxmlformats.org/officeDocument/2006/relationships/hyperlink" Target="https://enzyme.expasy.org/EC/6.3.4.13" TargetMode="External"/><Relationship Id="rId138" Type="http://schemas.openxmlformats.org/officeDocument/2006/relationships/hyperlink" Target="https://enzyme.expasy.org/EC/5.1.3.1" TargetMode="External"/><Relationship Id="rId159" Type="http://schemas.openxmlformats.org/officeDocument/2006/relationships/hyperlink" Target="https://enzyme.expasy.org/EC/6.1.1.12" TargetMode="External"/><Relationship Id="rId170" Type="http://schemas.openxmlformats.org/officeDocument/2006/relationships/hyperlink" Target="https://enzyme.expasy.org/EC/2.1.1.133" TargetMode="External"/><Relationship Id="rId191" Type="http://schemas.openxmlformats.org/officeDocument/2006/relationships/hyperlink" Target="https://enzyme.expasy.org/EC/5.1.3.14" TargetMode="External"/><Relationship Id="rId205" Type="http://schemas.openxmlformats.org/officeDocument/2006/relationships/hyperlink" Target="https://enzyme.expasy.org/EC/2.8.1.8" TargetMode="External"/><Relationship Id="rId226" Type="http://schemas.openxmlformats.org/officeDocument/2006/relationships/hyperlink" Target="https://enzyme.expasy.org/EC/5.3.1.12" TargetMode="External"/><Relationship Id="rId247" Type="http://schemas.openxmlformats.org/officeDocument/2006/relationships/hyperlink" Target="https://enzyme.expasy.org/EC/1.1.1.94" TargetMode="External"/><Relationship Id="rId107" Type="http://schemas.openxmlformats.org/officeDocument/2006/relationships/hyperlink" Target="https://enzyme.expasy.org/EC/2.1.1.33" TargetMode="External"/><Relationship Id="rId268" Type="http://schemas.openxmlformats.org/officeDocument/2006/relationships/hyperlink" Target="https://enzyme.expasy.org/EC/6.3.4.2" TargetMode="External"/><Relationship Id="rId289" Type="http://schemas.openxmlformats.org/officeDocument/2006/relationships/hyperlink" Target="https://enzyme.expasy.org/EC/3.2.1.1" TargetMode="External"/><Relationship Id="rId11" Type="http://schemas.openxmlformats.org/officeDocument/2006/relationships/hyperlink" Target="https://enzyme.expasy.org/EC/2.7.1.21" TargetMode="External"/><Relationship Id="rId32" Type="http://schemas.openxmlformats.org/officeDocument/2006/relationships/hyperlink" Target="https://enzyme.expasy.org/EC/5.3.1.16" TargetMode="External"/><Relationship Id="rId53" Type="http://schemas.openxmlformats.org/officeDocument/2006/relationships/hyperlink" Target="https://enzyme.expasy.org/EC/5.2.1.8" TargetMode="External"/><Relationship Id="rId74" Type="http://schemas.openxmlformats.org/officeDocument/2006/relationships/hyperlink" Target="https://enzyme.expasy.org/EC/4.1.1.49" TargetMode="External"/><Relationship Id="rId128" Type="http://schemas.openxmlformats.org/officeDocument/2006/relationships/hyperlink" Target="https://enzyme.expasy.org/EC/6.3.3.2" TargetMode="External"/><Relationship Id="rId149" Type="http://schemas.openxmlformats.org/officeDocument/2006/relationships/hyperlink" Target="https://enzyme.expasy.org/EC/2.5.1.7" TargetMode="External"/><Relationship Id="rId5" Type="http://schemas.openxmlformats.org/officeDocument/2006/relationships/hyperlink" Target="https://enzyme.expasy.org/EC/4.3.3.7" TargetMode="External"/><Relationship Id="rId95" Type="http://schemas.openxmlformats.org/officeDocument/2006/relationships/hyperlink" Target="https://enzyme.expasy.org/EC/1.97.1.4" TargetMode="External"/><Relationship Id="rId160" Type="http://schemas.openxmlformats.org/officeDocument/2006/relationships/hyperlink" Target="https://enzyme.expasy.org/EC/6.3.4.19" TargetMode="External"/><Relationship Id="rId181" Type="http://schemas.openxmlformats.org/officeDocument/2006/relationships/hyperlink" Target="https://enzyme.expasy.org/EC/2.1.3.2" TargetMode="External"/><Relationship Id="rId216" Type="http://schemas.openxmlformats.org/officeDocument/2006/relationships/hyperlink" Target="https://enzyme.expasy.org/EC/2.6.1.13" TargetMode="External"/><Relationship Id="rId237" Type="http://schemas.openxmlformats.org/officeDocument/2006/relationships/hyperlink" Target="https://enzyme.expasy.org/EC/4.3.1.3" TargetMode="External"/><Relationship Id="rId258" Type="http://schemas.openxmlformats.org/officeDocument/2006/relationships/hyperlink" Target="https://enzyme.expasy.org/EC/1.7.99.1" TargetMode="External"/><Relationship Id="rId279" Type="http://schemas.openxmlformats.org/officeDocument/2006/relationships/hyperlink" Target="https://enzyme.expasy.org/EC/4.1.3.36" TargetMode="External"/><Relationship Id="rId22" Type="http://schemas.openxmlformats.org/officeDocument/2006/relationships/hyperlink" Target="https://enzyme.expasy.org/EC/2.3.1.245" TargetMode="External"/><Relationship Id="rId43" Type="http://schemas.openxmlformats.org/officeDocument/2006/relationships/hyperlink" Target="https://enzyme.expasy.org/EC/2.5.1.75" TargetMode="External"/><Relationship Id="rId64" Type="http://schemas.openxmlformats.org/officeDocument/2006/relationships/hyperlink" Target="../../magaasmac/Downloads/COORDINATES" TargetMode="External"/><Relationship Id="rId118" Type="http://schemas.openxmlformats.org/officeDocument/2006/relationships/hyperlink" Target="https://enzyme.expasy.org/EC/6.1.1.21" TargetMode="External"/><Relationship Id="rId139" Type="http://schemas.openxmlformats.org/officeDocument/2006/relationships/hyperlink" Target="https://enzyme.expasy.org/EC/5.4.2.10" TargetMode="External"/><Relationship Id="rId290" Type="http://schemas.openxmlformats.org/officeDocument/2006/relationships/hyperlink" Target="https://enzyme.expasy.org/EC/2.7.1.25" TargetMode="External"/><Relationship Id="rId85" Type="http://schemas.openxmlformats.org/officeDocument/2006/relationships/hyperlink" Target="https://enzyme.expasy.org/EC/2.7.1.26" TargetMode="External"/><Relationship Id="rId150" Type="http://schemas.openxmlformats.org/officeDocument/2006/relationships/hyperlink" Target="https://enzyme.expasy.org/EC/1.1.1.267" TargetMode="External"/><Relationship Id="rId171" Type="http://schemas.openxmlformats.org/officeDocument/2006/relationships/hyperlink" Target="https://enzyme.expasy.org/EC/2.7.1.49" TargetMode="External"/><Relationship Id="rId192" Type="http://schemas.openxmlformats.org/officeDocument/2006/relationships/hyperlink" Target="https://enzyme.expasy.org/EC/2.7.4.3" TargetMode="External"/><Relationship Id="rId206" Type="http://schemas.openxmlformats.org/officeDocument/2006/relationships/hyperlink" Target="https://enzyme.expasy.org/EC/1.5.1.2" TargetMode="External"/><Relationship Id="rId227" Type="http://schemas.openxmlformats.org/officeDocument/2006/relationships/hyperlink" Target="https://enzyme.expasy.org/EC/2.5.1.15" TargetMode="External"/><Relationship Id="rId248" Type="http://schemas.openxmlformats.org/officeDocument/2006/relationships/hyperlink" Target="https://enzyme.expasy.org/EC/2.7.7.18" TargetMode="External"/><Relationship Id="rId269" Type="http://schemas.openxmlformats.org/officeDocument/2006/relationships/hyperlink" Target="https://enzyme.expasy.org/EC/6.1.1.11" TargetMode="External"/><Relationship Id="rId12" Type="http://schemas.openxmlformats.org/officeDocument/2006/relationships/hyperlink" Target="https://enzyme.expasy.org/EC/4.1.1.36" TargetMode="External"/><Relationship Id="rId33" Type="http://schemas.openxmlformats.org/officeDocument/2006/relationships/hyperlink" Target="https://enzyme.expasy.org/EC/3.5.4.19" TargetMode="External"/><Relationship Id="rId108" Type="http://schemas.openxmlformats.org/officeDocument/2006/relationships/hyperlink" Target="../../magaasmac/Downloads/4.3.2.1" TargetMode="External"/><Relationship Id="rId129" Type="http://schemas.openxmlformats.org/officeDocument/2006/relationships/hyperlink" Target="https://enzyme.expasy.org/EC/4.1.1.11" TargetMode="External"/><Relationship Id="rId280" Type="http://schemas.openxmlformats.org/officeDocument/2006/relationships/hyperlink" Target="https://enzyme.expasy.org/EC/3.1.3.3" TargetMode="External"/><Relationship Id="rId54" Type="http://schemas.openxmlformats.org/officeDocument/2006/relationships/hyperlink" Target="https://enzyme.expasy.org/EC/2.7.6.3" TargetMode="External"/><Relationship Id="rId75" Type="http://schemas.openxmlformats.org/officeDocument/2006/relationships/hyperlink" Target="https://enzyme.expasy.org/EC/2.7.1.71" TargetMode="External"/><Relationship Id="rId96" Type="http://schemas.openxmlformats.org/officeDocument/2006/relationships/hyperlink" Target="https://enzyme.expasy.org/EC/1.11.1.24" TargetMode="External"/><Relationship Id="rId140" Type="http://schemas.openxmlformats.org/officeDocument/2006/relationships/hyperlink" Target="https://enzyme.expasy.org/EC/2.7.1.6" TargetMode="External"/><Relationship Id="rId161" Type="http://schemas.openxmlformats.org/officeDocument/2006/relationships/hyperlink" Target="https://enzyme.expasy.org/EC/5.3.1.14" TargetMode="External"/><Relationship Id="rId182" Type="http://schemas.openxmlformats.org/officeDocument/2006/relationships/hyperlink" Target="https://enzyme.expasy.org/EC/6.1.1.20" TargetMode="External"/><Relationship Id="rId217" Type="http://schemas.openxmlformats.org/officeDocument/2006/relationships/hyperlink" Target="https://enzyme.expasy.org/EC/3.5.4.16" TargetMode="External"/><Relationship Id="rId6" Type="http://schemas.openxmlformats.org/officeDocument/2006/relationships/hyperlink" Target="https://enzyme.expasy.org/EC/6.5.1.2" TargetMode="External"/><Relationship Id="rId238" Type="http://schemas.openxmlformats.org/officeDocument/2006/relationships/hyperlink" Target="https://enzyme.expasy.org/EC/1.4.1.13" TargetMode="External"/><Relationship Id="rId259" Type="http://schemas.openxmlformats.org/officeDocument/2006/relationships/hyperlink" Target="https://enzyme.expasy.org/EC/3.5.1.1" TargetMode="External"/><Relationship Id="rId23" Type="http://schemas.openxmlformats.org/officeDocument/2006/relationships/hyperlink" Target="https://enzyme.expasy.org/EC/2.4.2.18" TargetMode="External"/><Relationship Id="rId119" Type="http://schemas.openxmlformats.org/officeDocument/2006/relationships/hyperlink" Target="https://enzyme.expasy.org/EC/6.1.1.9" TargetMode="External"/><Relationship Id="rId270" Type="http://schemas.openxmlformats.org/officeDocument/2006/relationships/hyperlink" Target="https://enzyme.expasy.org/EC/2.7.4.6" TargetMode="External"/><Relationship Id="rId44" Type="http://schemas.openxmlformats.org/officeDocument/2006/relationships/hyperlink" Target="https://enzyme.expasy.org/EC/2.1.1.72" TargetMode="External"/><Relationship Id="rId65" Type="http://schemas.openxmlformats.org/officeDocument/2006/relationships/hyperlink" Target="https://enzyme.expasy.org/EC/4.6.1.12" TargetMode="External"/><Relationship Id="rId86" Type="http://schemas.openxmlformats.org/officeDocument/2006/relationships/hyperlink" Target="https://enzyme.expasy.org/EC/2.7.7.2" TargetMode="External"/><Relationship Id="rId130" Type="http://schemas.openxmlformats.org/officeDocument/2006/relationships/hyperlink" Target="https://enzyme.expasy.org/EC/2.5.1.55" TargetMode="External"/><Relationship Id="rId151" Type="http://schemas.openxmlformats.org/officeDocument/2006/relationships/hyperlink" Target="https://enzyme.expasy.org/EC/2.7.2.8" TargetMode="External"/><Relationship Id="rId172" Type="http://schemas.openxmlformats.org/officeDocument/2006/relationships/hyperlink" Target="https://enzyme.expasy.org/EC/2.7.4.7" TargetMode="External"/><Relationship Id="rId193" Type="http://schemas.openxmlformats.org/officeDocument/2006/relationships/hyperlink" Target="https://enzyme.expasy.org/EC/2.4.2.8" TargetMode="External"/><Relationship Id="rId207" Type="http://schemas.openxmlformats.org/officeDocument/2006/relationships/hyperlink" Target="https://enzyme.expasy.org/EC/1.5.1.20" TargetMode="External"/><Relationship Id="rId228" Type="http://schemas.openxmlformats.org/officeDocument/2006/relationships/hyperlink" Target="https://enzyme.expasy.org/EC/2.3.1.8" TargetMode="External"/><Relationship Id="rId249" Type="http://schemas.openxmlformats.org/officeDocument/2006/relationships/hyperlink" Target="https://enzyme.expasy.org/EC/2.7.4.8" TargetMode="External"/><Relationship Id="rId13" Type="http://schemas.openxmlformats.org/officeDocument/2006/relationships/hyperlink" Target="https://enzyme.expasy.org/EC/6.3.2.5https:/enzyme.expasy.org/EC/6.3.2.5" TargetMode="External"/><Relationship Id="rId109" Type="http://schemas.openxmlformats.org/officeDocument/2006/relationships/hyperlink" Target="https://enzyme.expasy.org/EC/1.1.1.193" TargetMode="External"/><Relationship Id="rId260" Type="http://schemas.openxmlformats.org/officeDocument/2006/relationships/hyperlink" Target="https://enzyme.expasy.org/EC/2.7.1.15" TargetMode="External"/><Relationship Id="rId281" Type="http://schemas.openxmlformats.org/officeDocument/2006/relationships/hyperlink" Target="https://enzyme.expasy.org/EC/4.2.1.3" TargetMode="External"/><Relationship Id="rId34" Type="http://schemas.openxmlformats.org/officeDocument/2006/relationships/hyperlink" Target="https://enzyme.expasy.org/EC/3.6.1.31" TargetMode="External"/><Relationship Id="rId50" Type="http://schemas.openxmlformats.org/officeDocument/2006/relationships/hyperlink" Target="https://enzyme.expasy.org/EC/6.1.1.17" TargetMode="External"/><Relationship Id="rId55" Type="http://schemas.openxmlformats.org/officeDocument/2006/relationships/hyperlink" Target="https://enzyme.expasy.org/EC/2.4.99.17" TargetMode="External"/><Relationship Id="rId76" Type="http://schemas.openxmlformats.org/officeDocument/2006/relationships/hyperlink" Target="https://enzyme.expasy.org/EC/6.1.1.16" TargetMode="External"/><Relationship Id="rId97" Type="http://schemas.openxmlformats.org/officeDocument/2006/relationships/hyperlink" Target="https://enzyme.expasy.org/EC/6.3.4.14" TargetMode="External"/><Relationship Id="rId104" Type="http://schemas.openxmlformats.org/officeDocument/2006/relationships/hyperlink" Target="https://enzyme.expasy.org/EC/3.5.99.6" TargetMode="External"/><Relationship Id="rId120" Type="http://schemas.openxmlformats.org/officeDocument/2006/relationships/hyperlink" Target="https://enzyme.expasy.org/EC/2.7.4.16" TargetMode="External"/><Relationship Id="rId125" Type="http://schemas.openxmlformats.org/officeDocument/2006/relationships/hyperlink" Target="https://enzyme.expasy.org/EC/4.2.1.126" TargetMode="External"/><Relationship Id="rId141" Type="http://schemas.openxmlformats.org/officeDocument/2006/relationships/hyperlink" Target="https://enzyme.expasy.org/EC/4.2.1.2" TargetMode="External"/><Relationship Id="rId146" Type="http://schemas.openxmlformats.org/officeDocument/2006/relationships/hyperlink" Target="https://enzyme.expasy.org/EC/4.2.1.8" TargetMode="External"/><Relationship Id="rId167" Type="http://schemas.openxmlformats.org/officeDocument/2006/relationships/hyperlink" Target="https://enzyme.expasy.org/EC/3.5.4.3" TargetMode="External"/><Relationship Id="rId188" Type="http://schemas.openxmlformats.org/officeDocument/2006/relationships/hyperlink" Target="https://enzyme.expasy.org/EC/5.4.2.11" TargetMode="External"/><Relationship Id="rId7" Type="http://schemas.openxmlformats.org/officeDocument/2006/relationships/hyperlink" Target="https://enzyme.expasy.org/EC/3.1.3.7" TargetMode="External"/><Relationship Id="rId71" Type="http://schemas.openxmlformats.org/officeDocument/2006/relationships/hyperlink" Target="https://enzyme.expasy.org/EC/6.3.2.4" TargetMode="External"/><Relationship Id="rId92" Type="http://schemas.openxmlformats.org/officeDocument/2006/relationships/hyperlink" Target="https://enzyme.expasy.org/EC/4.2.1.10" TargetMode="External"/><Relationship Id="rId162" Type="http://schemas.openxmlformats.org/officeDocument/2006/relationships/hyperlink" Target="https://enzyme.expasy.org/EC/3.5.2.3" TargetMode="External"/><Relationship Id="rId183" Type="http://schemas.openxmlformats.org/officeDocument/2006/relationships/hyperlink" Target="https://enzyme.expasy.org/EC/2.1.1.228" TargetMode="External"/><Relationship Id="rId213" Type="http://schemas.openxmlformats.org/officeDocument/2006/relationships/hyperlink" Target="https://enzyme.expasy.org/EC/2.4.1.227" TargetMode="External"/><Relationship Id="rId218" Type="http://schemas.openxmlformats.org/officeDocument/2006/relationships/hyperlink" Target="https://enzyme.expasy.org/EC/2.7.7.8" TargetMode="External"/><Relationship Id="rId234" Type="http://schemas.openxmlformats.org/officeDocument/2006/relationships/hyperlink" Target="https://enzyme.expasy.org/EC/2.7.1.11" TargetMode="External"/><Relationship Id="rId239" Type="http://schemas.openxmlformats.org/officeDocument/2006/relationships/hyperlink" Target="https://enzyme.expasy.org/EC/2.4.2.10" TargetMode="External"/><Relationship Id="rId2" Type="http://schemas.openxmlformats.org/officeDocument/2006/relationships/hyperlink" Target="https://enzyme.expasy.org/EC/5.4.99.9" TargetMode="External"/><Relationship Id="rId29" Type="http://schemas.openxmlformats.org/officeDocument/2006/relationships/hyperlink" Target="https://enzyme.expasy.org/EC/2.1.1.197" TargetMode="External"/><Relationship Id="rId250" Type="http://schemas.openxmlformats.org/officeDocument/2006/relationships/hyperlink" Target="https://enzyme.expasy.org/EC/5.1.99.1" TargetMode="External"/><Relationship Id="rId255" Type="http://schemas.openxmlformats.org/officeDocument/2006/relationships/hyperlink" Target="https://enzyme.expasy.org/EC/6.3.5.4" TargetMode="External"/><Relationship Id="rId271" Type="http://schemas.openxmlformats.org/officeDocument/2006/relationships/hyperlink" Target="https://enzyme.expasy.org/EC/2.7.1.90" TargetMode="External"/><Relationship Id="rId276" Type="http://schemas.openxmlformats.org/officeDocument/2006/relationships/hyperlink" Target="https://enzyme.expasy.org/EC/2.6.1.85" TargetMode="External"/><Relationship Id="rId24" Type="http://schemas.openxmlformats.org/officeDocument/2006/relationships/hyperlink" Target="https://enzyme.expasy.org/EC/4.1.1.48" TargetMode="External"/><Relationship Id="rId40" Type="http://schemas.openxmlformats.org/officeDocument/2006/relationships/hyperlink" Target="https://enzyme.expasy.org/EC/4.2.3.5" TargetMode="External"/><Relationship Id="rId45" Type="http://schemas.openxmlformats.org/officeDocument/2006/relationships/hyperlink" Target="https://enzyme.expasy.org/EC/2.7.4.1" TargetMode="External"/><Relationship Id="rId66" Type="http://schemas.openxmlformats.org/officeDocument/2006/relationships/hyperlink" Target="https://enzyme.expasy.org/EC/2.1.1.182" TargetMode="External"/><Relationship Id="rId87" Type="http://schemas.openxmlformats.org/officeDocument/2006/relationships/hyperlink" Target="https://enzyme.expasy.org/EC/3.5.1.25" TargetMode="External"/><Relationship Id="rId110" Type="http://schemas.openxmlformats.org/officeDocument/2006/relationships/hyperlink" Target="https://enzyme.expasy.org/EC/3.5.4.26" TargetMode="External"/><Relationship Id="rId115" Type="http://schemas.openxmlformats.org/officeDocument/2006/relationships/hyperlink" Target="https://enzyme.expasy.org/EC/3.6.1.1" TargetMode="External"/><Relationship Id="rId131" Type="http://schemas.openxmlformats.org/officeDocument/2006/relationships/hyperlink" Target="https://enzyme.expasy.org/EC/6.3.1.5" TargetMode="External"/><Relationship Id="rId136" Type="http://schemas.openxmlformats.org/officeDocument/2006/relationships/hyperlink" Target="https://enzyme.expasy.org/EC/2.3.1.39" TargetMode="External"/><Relationship Id="rId157" Type="http://schemas.openxmlformats.org/officeDocument/2006/relationships/hyperlink" Target="https://enzyme.expasy.org/EC/2.7.1.23" TargetMode="External"/><Relationship Id="rId178" Type="http://schemas.openxmlformats.org/officeDocument/2006/relationships/hyperlink" Target="https://enzyme.expasy.org/EC/4.2.1.19" TargetMode="External"/><Relationship Id="rId61" Type="http://schemas.openxmlformats.org/officeDocument/2006/relationships/hyperlink" Target="https://enzyme.expasy.org/EC/6.3.5.3" TargetMode="External"/><Relationship Id="rId82" Type="http://schemas.openxmlformats.org/officeDocument/2006/relationships/hyperlink" Target="https://enzyme.expasy.org/EC/6.1.1.1" TargetMode="External"/><Relationship Id="rId152" Type="http://schemas.openxmlformats.org/officeDocument/2006/relationships/hyperlink" Target="https://enzyme.expasy.org/EC/2.7.7.38" TargetMode="External"/><Relationship Id="rId173" Type="http://schemas.openxmlformats.org/officeDocument/2006/relationships/hyperlink" Target="https://enzyme.expasy.org/EC/4.1.99.17" TargetMode="External"/><Relationship Id="rId194" Type="http://schemas.openxmlformats.org/officeDocument/2006/relationships/hyperlink" Target="https://enzyme.expasy.org/EC/6.3.3.3" TargetMode="External"/><Relationship Id="rId199" Type="http://schemas.openxmlformats.org/officeDocument/2006/relationships/hyperlink" Target="https://enzyme.expasy.org/EC/4.2.1.9" TargetMode="External"/><Relationship Id="rId203" Type="http://schemas.openxmlformats.org/officeDocument/2006/relationships/hyperlink" Target="https://enzyme.expasy.org/EC/2.3.1.129" TargetMode="External"/><Relationship Id="rId208" Type="http://schemas.openxmlformats.org/officeDocument/2006/relationships/hyperlink" Target="https://enzyme.expasy.org/EC/1.2.1.88" TargetMode="External"/><Relationship Id="rId229" Type="http://schemas.openxmlformats.org/officeDocument/2006/relationships/hyperlink" Target="https://enzyme.expasy.org/EC/2.3.1.54" TargetMode="External"/><Relationship Id="rId19" Type="http://schemas.openxmlformats.org/officeDocument/2006/relationships/hyperlink" Target="https://enzyme.expasy.org/EC/2.7.7.24" TargetMode="External"/><Relationship Id="rId224" Type="http://schemas.openxmlformats.org/officeDocument/2006/relationships/hyperlink" Target="https://enzyme.expasy.org/EC/3.2.1.21" TargetMode="External"/><Relationship Id="rId240" Type="http://schemas.openxmlformats.org/officeDocument/2006/relationships/hyperlink" Target="https://enzyme.expasy.org/EC/4.3.2.2" TargetMode="External"/><Relationship Id="rId245" Type="http://schemas.openxmlformats.org/officeDocument/2006/relationships/hyperlink" Target="https://enzyme.expasy.org/EC/1.17.4.1" TargetMode="External"/><Relationship Id="rId261" Type="http://schemas.openxmlformats.org/officeDocument/2006/relationships/hyperlink" Target="https://enzyme.expasy.org/EC/6.3.5.2" TargetMode="External"/><Relationship Id="rId266" Type="http://schemas.openxmlformats.org/officeDocument/2006/relationships/hyperlink" Target="https://enzyme.expasy.org/EC/2.6.1.52" TargetMode="External"/><Relationship Id="rId287" Type="http://schemas.openxmlformats.org/officeDocument/2006/relationships/hyperlink" Target="https://enzyme.expasy.org/EC/1.1.1.23" TargetMode="External"/><Relationship Id="rId14" Type="http://schemas.openxmlformats.org/officeDocument/2006/relationships/hyperlink" Target="https://enzyme.expasy.org/EC/1.8.1.4" TargetMode="External"/><Relationship Id="rId30" Type="http://schemas.openxmlformats.org/officeDocument/2006/relationships/hyperlink" Target="../../magaasmac/Downloads/5.4.99.12" TargetMode="External"/><Relationship Id="rId35" Type="http://schemas.openxmlformats.org/officeDocument/2006/relationships/hyperlink" Target="https://enzyme.expasy.org/EC/2.7.2.4" TargetMode="External"/><Relationship Id="rId56" Type="http://schemas.openxmlformats.org/officeDocument/2006/relationships/hyperlink" Target="https://enzyme.expasy.org/EC/6.3.2.8" TargetMode="External"/><Relationship Id="rId77" Type="http://schemas.openxmlformats.org/officeDocument/2006/relationships/hyperlink" Target="https://enzyme.expasy.org/EC/2.6.1.37" TargetMode="External"/><Relationship Id="rId100" Type="http://schemas.openxmlformats.org/officeDocument/2006/relationships/hyperlink" Target="https://enzyme.expasy.org/EC/3.5.4.25" TargetMode="External"/><Relationship Id="rId105" Type="http://schemas.openxmlformats.org/officeDocument/2006/relationships/hyperlink" Target="https://enzyme.expasy.org/EC/6.1.1.19" TargetMode="External"/><Relationship Id="rId126" Type="http://schemas.openxmlformats.org/officeDocument/2006/relationships/hyperlink" Target="https://enzyme.expasy.org/EC/6.1.1.6" TargetMode="External"/><Relationship Id="rId147" Type="http://schemas.openxmlformats.org/officeDocument/2006/relationships/hyperlink" Target="https://enzyme.expasy.org/EC/6.1.1.5" TargetMode="External"/><Relationship Id="rId168" Type="http://schemas.openxmlformats.org/officeDocument/2006/relationships/hyperlink" Target="https://enzyme.expasy.org/EC/3.2.2.4" TargetMode="External"/><Relationship Id="rId282" Type="http://schemas.openxmlformats.org/officeDocument/2006/relationships/hyperlink" Target="https://enzyme.expasy.org/EC/2.6.1.1" TargetMode="External"/><Relationship Id="rId8" Type="http://schemas.openxmlformats.org/officeDocument/2006/relationships/hyperlink" Target="https://enzyme.expasy.org/EC/5.3.1.5" TargetMode="External"/><Relationship Id="rId51" Type="http://schemas.openxmlformats.org/officeDocument/2006/relationships/hyperlink" Target="https://enzyme.expasy.org/EC/5.4.99.2" TargetMode="External"/><Relationship Id="rId72" Type="http://schemas.openxmlformats.org/officeDocument/2006/relationships/hyperlink" Target="https://enzyme.expasy.org/EC/5.3.1.1" TargetMode="External"/><Relationship Id="rId93" Type="http://schemas.openxmlformats.org/officeDocument/2006/relationships/hyperlink" Target="https://enzyme.expasy.org/EC/2.7.7.3" TargetMode="External"/><Relationship Id="rId98" Type="http://schemas.openxmlformats.org/officeDocument/2006/relationships/hyperlink" Target="https://enzyme.expasy.org/EC/6.1.1.2" TargetMode="External"/><Relationship Id="rId121" Type="http://schemas.openxmlformats.org/officeDocument/2006/relationships/hyperlink" Target="https://enzyme.expasy.org/EC/2.7.1.130" TargetMode="External"/><Relationship Id="rId142" Type="http://schemas.openxmlformats.org/officeDocument/2006/relationships/hyperlink" Target="https://enzyme.expasy.org/EC/2.7.1.24" TargetMode="External"/><Relationship Id="rId163" Type="http://schemas.openxmlformats.org/officeDocument/2006/relationships/hyperlink" Target="https://enzyme.expasy.org/EC/2.3.1.29" TargetMode="External"/><Relationship Id="rId184" Type="http://schemas.openxmlformats.org/officeDocument/2006/relationships/hyperlink" Target="https://enzyme.expasy.org/EC/2.7.1.48" TargetMode="External"/><Relationship Id="rId189" Type="http://schemas.openxmlformats.org/officeDocument/2006/relationships/hyperlink" Target="https://enzyme.expasy.org/EC/4.2.1.20" TargetMode="External"/><Relationship Id="rId219" Type="http://schemas.openxmlformats.org/officeDocument/2006/relationships/hyperlink" Target="https://enzyme.expasy.org/EC/6.1.1.10" TargetMode="External"/><Relationship Id="rId3" Type="http://schemas.openxmlformats.org/officeDocument/2006/relationships/hyperlink" Target="https://enzyme.expasy.org/EC/2.7.10.2" TargetMode="External"/><Relationship Id="rId214" Type="http://schemas.openxmlformats.org/officeDocument/2006/relationships/hyperlink" Target="https://enzyme.expasy.org/EC/6.3.4.15" TargetMode="External"/><Relationship Id="rId230" Type="http://schemas.openxmlformats.org/officeDocument/2006/relationships/hyperlink" Target="https://enzyme.expasy.org/EC/4.2.1.11" TargetMode="External"/><Relationship Id="rId235" Type="http://schemas.openxmlformats.org/officeDocument/2006/relationships/hyperlink" Target="../../magaasmac/Downloads/v" TargetMode="External"/><Relationship Id="rId251" Type="http://schemas.openxmlformats.org/officeDocument/2006/relationships/hyperlink" Target="https://enzyme.expasy.org/EC/1.1.1.262" TargetMode="External"/><Relationship Id="rId256" Type="http://schemas.openxmlformats.org/officeDocument/2006/relationships/hyperlink" Target="https://enzyme.expasy.org/EC/2.6.1.42" TargetMode="External"/><Relationship Id="rId277" Type="http://schemas.openxmlformats.org/officeDocument/2006/relationships/hyperlink" Target="https://enzyme.expasy.org/EC/1.3.1.1" TargetMode="External"/><Relationship Id="rId25" Type="http://schemas.openxmlformats.org/officeDocument/2006/relationships/hyperlink" Target="https://enzyme.expasy.org/EC/2.1.2.3" TargetMode="External"/><Relationship Id="rId46" Type="http://schemas.openxmlformats.org/officeDocument/2006/relationships/hyperlink" Target="https://enzyme.expasy.org/EC/2.7.2.11" TargetMode="External"/><Relationship Id="rId67" Type="http://schemas.openxmlformats.org/officeDocument/2006/relationships/hyperlink" Target="https://enzyme.expasy.org/EC/2.4.1.182" TargetMode="External"/><Relationship Id="rId116" Type="http://schemas.openxmlformats.org/officeDocument/2006/relationships/hyperlink" Target="https://enzyme.expasy.org/EC/2.8.1.13" TargetMode="External"/><Relationship Id="rId137" Type="http://schemas.openxmlformats.org/officeDocument/2006/relationships/hyperlink" Target="https://enzyme.expasy.org/EC/2.1.2.9" TargetMode="External"/><Relationship Id="rId158" Type="http://schemas.openxmlformats.org/officeDocument/2006/relationships/hyperlink" Target="https://enzyme.expasy.org/EC/2.3.1.46" TargetMode="External"/><Relationship Id="rId272" Type="http://schemas.openxmlformats.org/officeDocument/2006/relationships/hyperlink" Target="https://enzyme.expasy.org/EC/2.4.2.22" TargetMode="External"/><Relationship Id="rId20" Type="http://schemas.openxmlformats.org/officeDocument/2006/relationships/hyperlink" Target="https://enzyme.expasy.org/EC/3.1.1.31" TargetMode="External"/><Relationship Id="rId41" Type="http://schemas.openxmlformats.org/officeDocument/2006/relationships/hyperlink" Target="https://enzyme.expasy.org/EC/2.4.2.19" TargetMode="External"/><Relationship Id="rId62" Type="http://schemas.openxmlformats.org/officeDocument/2006/relationships/hyperlink" Target="https://enzyme.expasy.org/EC/4.2.3.4" TargetMode="External"/><Relationship Id="rId83" Type="http://schemas.openxmlformats.org/officeDocument/2006/relationships/hyperlink" Target="https://enzyme.expasy.org/EC/1.17.99.6" TargetMode="External"/><Relationship Id="rId88" Type="http://schemas.openxmlformats.org/officeDocument/2006/relationships/hyperlink" Target="https://enzyme.expasy.org/EC/4.1.1.21" TargetMode="External"/><Relationship Id="rId111" Type="http://schemas.openxmlformats.org/officeDocument/2006/relationships/hyperlink" Target="https://enzyme.expasy.org/EC/5.1.1.3" TargetMode="External"/><Relationship Id="rId132" Type="http://schemas.openxmlformats.org/officeDocument/2006/relationships/hyperlink" Target="https://enzyme.expasy.org/EC/2.6.1.83" TargetMode="External"/><Relationship Id="rId153" Type="http://schemas.openxmlformats.org/officeDocument/2006/relationships/hyperlink" Target="https://enzyme.expasy.org/EC/2.3.1.234" TargetMode="External"/><Relationship Id="rId174" Type="http://schemas.openxmlformats.org/officeDocument/2006/relationships/hyperlink" Target="https://enzyme.expasy.org/EC/2.7.9.1" TargetMode="External"/><Relationship Id="rId179" Type="http://schemas.openxmlformats.org/officeDocument/2006/relationships/hyperlink" Target="https://enzyme.expasy.org/EC/2.4.2.17" TargetMode="External"/><Relationship Id="rId195" Type="http://schemas.openxmlformats.org/officeDocument/2006/relationships/hyperlink" Target="https://enzyme.expasy.org/EC/4.3.1.19" TargetMode="External"/><Relationship Id="rId209" Type="http://schemas.openxmlformats.org/officeDocument/2006/relationships/hyperlink" Target="https://enzyme.expasy.org/EC/2.7.7.6" TargetMode="External"/><Relationship Id="rId190" Type="http://schemas.openxmlformats.org/officeDocument/2006/relationships/hyperlink" Target="https://enzyme.expasy.org/EC/6.3.5.5" TargetMode="External"/><Relationship Id="rId204" Type="http://schemas.openxmlformats.org/officeDocument/2006/relationships/hyperlink" Target="https://enzyme.expasy.org/EC/5.3.1.6" TargetMode="External"/><Relationship Id="rId220" Type="http://schemas.openxmlformats.org/officeDocument/2006/relationships/hyperlink" Target="https://enzyme.expasy.org/EC/2.3.1.179" TargetMode="External"/><Relationship Id="rId225" Type="http://schemas.openxmlformats.org/officeDocument/2006/relationships/hyperlink" Target="https://enzyme.expasy.org/EC/3.6.1.23" TargetMode="External"/><Relationship Id="rId241" Type="http://schemas.openxmlformats.org/officeDocument/2006/relationships/hyperlink" Target="https://enzyme.expasy.org/EC/2.7.4.25" TargetMode="External"/><Relationship Id="rId246" Type="http://schemas.openxmlformats.org/officeDocument/2006/relationships/hyperlink" Target="https://enzyme.expasy.org/EC/5.3.1.9" TargetMode="External"/><Relationship Id="rId267" Type="http://schemas.openxmlformats.org/officeDocument/2006/relationships/hyperlink" Target="https://enzyme.expasy.org/EC/5.1.3.2" TargetMode="External"/><Relationship Id="rId288" Type="http://schemas.openxmlformats.org/officeDocument/2006/relationships/hyperlink" Target="https://enzyme.expasy.org/EC/4.1.1.96" TargetMode="External"/><Relationship Id="rId15" Type="http://schemas.openxmlformats.org/officeDocument/2006/relationships/hyperlink" Target="https://enzyme.expasy.org/EC/1.7.2.2" TargetMode="External"/><Relationship Id="rId36" Type="http://schemas.openxmlformats.org/officeDocument/2006/relationships/hyperlink" Target="https://enzyme.expasy.org/EC/2.1.1.63" TargetMode="External"/><Relationship Id="rId57" Type="http://schemas.openxmlformats.org/officeDocument/2006/relationships/hyperlink" Target="https://enzyme.expasy.org/EC/6.3.2.9" TargetMode="External"/><Relationship Id="rId106" Type="http://schemas.openxmlformats.org/officeDocument/2006/relationships/hyperlink" Target="https://enzyme.expasy.org/EC/4.2.1.49" TargetMode="External"/><Relationship Id="rId127" Type="http://schemas.openxmlformats.org/officeDocument/2006/relationships/hyperlink" Target="https://enzyme.expasy.org/EC/2.5.1.78" TargetMode="External"/><Relationship Id="rId262" Type="http://schemas.openxmlformats.org/officeDocument/2006/relationships/hyperlink" Target="https://enzyme.expasy.org/EC/1.1.1.37" TargetMode="External"/><Relationship Id="rId283" Type="http://schemas.openxmlformats.org/officeDocument/2006/relationships/hyperlink" Target="https://enzyme.expasy.org/EC/4.1.1.12" TargetMode="External"/><Relationship Id="rId10" Type="http://schemas.openxmlformats.org/officeDocument/2006/relationships/hyperlink" Target="https://enzyme.expasy.org/EC/2.7.1.148" TargetMode="External"/><Relationship Id="rId31" Type="http://schemas.openxmlformats.org/officeDocument/2006/relationships/hyperlink" Target="https://enzyme.expasy.org/EC/6.3.2.6" TargetMode="External"/><Relationship Id="rId52" Type="http://schemas.openxmlformats.org/officeDocument/2006/relationships/hyperlink" Target="https://enzyme.expasy.org/EC/1.1.1.205" TargetMode="External"/><Relationship Id="rId73" Type="http://schemas.openxmlformats.org/officeDocument/2006/relationships/hyperlink" Target="https://enzyme.expasy.org/EC/2.7.7.60" TargetMode="External"/><Relationship Id="rId78" Type="http://schemas.openxmlformats.org/officeDocument/2006/relationships/hyperlink" Target="https://enzyme.expasy.org/EC/3.11.1.1" TargetMode="External"/><Relationship Id="rId94" Type="http://schemas.openxmlformats.org/officeDocument/2006/relationships/hyperlink" Target="https://enzyme.expasy.org/EC/2.7.4.22" TargetMode="External"/><Relationship Id="rId99" Type="http://schemas.openxmlformats.org/officeDocument/2006/relationships/hyperlink" Target="https://enzyme.expasy.org/EC/3.6.1.22" TargetMode="External"/><Relationship Id="rId101" Type="http://schemas.openxmlformats.org/officeDocument/2006/relationships/hyperlink" Target="https://enzyme.expasy.org/EC/4.1.99.12" TargetMode="External"/><Relationship Id="rId122" Type="http://schemas.openxmlformats.org/officeDocument/2006/relationships/hyperlink" Target="https://enzyme.expasy.org/EC/2.4.2.21" TargetMode="External"/><Relationship Id="rId143" Type="http://schemas.openxmlformats.org/officeDocument/2006/relationships/hyperlink" Target="https://enzyme.expasy.org/EC/4.2.1.46" TargetMode="External"/><Relationship Id="rId148" Type="http://schemas.openxmlformats.org/officeDocument/2006/relationships/hyperlink" Target="https://enzyme.expasy.org/EC/1.4.4.2" TargetMode="External"/><Relationship Id="rId164" Type="http://schemas.openxmlformats.org/officeDocument/2006/relationships/hyperlink" Target="https://enzyme.expasy.org/EC/2.4.2.9" TargetMode="External"/><Relationship Id="rId169" Type="http://schemas.openxmlformats.org/officeDocument/2006/relationships/hyperlink" Target="https://enzyme.expasy.org/EC/1.3.1.14" TargetMode="External"/><Relationship Id="rId185" Type="http://schemas.openxmlformats.org/officeDocument/2006/relationships/hyperlink" Target="https://enzyme.expasy.org/EC/2.1.2.11" TargetMode="External"/><Relationship Id="rId4" Type="http://schemas.openxmlformats.org/officeDocument/2006/relationships/hyperlink" Target="https://enzyme.expasy.org/EC/4.1.1.15" TargetMode="External"/><Relationship Id="rId9" Type="http://schemas.openxmlformats.org/officeDocument/2006/relationships/hyperlink" Target="https://enzyme.expasy.org/EC/2.4.2.29" TargetMode="External"/><Relationship Id="rId180" Type="http://schemas.openxmlformats.org/officeDocument/2006/relationships/hyperlink" Target="https://enzyme.expasy.org/EC/2.8.4.4" TargetMode="External"/><Relationship Id="rId210" Type="http://schemas.openxmlformats.org/officeDocument/2006/relationships/hyperlink" Target="https://enzyme.expasy.org/EC/2.7.1.33" TargetMode="External"/><Relationship Id="rId215" Type="http://schemas.openxmlformats.org/officeDocument/2006/relationships/hyperlink" Target="https://enzyme.expasy.org/EC/3.1.6.1" TargetMode="External"/><Relationship Id="rId236" Type="http://schemas.openxmlformats.org/officeDocument/2006/relationships/hyperlink" Target="https://enzyme.expasy.org/EC/2.1.2.5" TargetMode="External"/><Relationship Id="rId257" Type="http://schemas.openxmlformats.org/officeDocument/2006/relationships/hyperlink" Target="https://enzyme.expasy.org/EC/2.7.1.35" TargetMode="External"/><Relationship Id="rId278" Type="http://schemas.openxmlformats.org/officeDocument/2006/relationships/hyperlink" Target="https://enzyme.expasy.org/EC/1.3.1.98" TargetMode="External"/><Relationship Id="rId26" Type="http://schemas.openxmlformats.org/officeDocument/2006/relationships/hyperlink" Target="https://enzyme.expasy.org/EC/3.5.4.10" TargetMode="External"/><Relationship Id="rId231" Type="http://schemas.openxmlformats.org/officeDocument/2006/relationships/hyperlink" Target="https://enzyme.expasy.org/EC/2.7.1.40" TargetMode="External"/><Relationship Id="rId252" Type="http://schemas.openxmlformats.org/officeDocument/2006/relationships/hyperlink" Target="https://enzyme.expasy.org/EC/4.2.3.1" TargetMode="External"/><Relationship Id="rId273" Type="http://schemas.openxmlformats.org/officeDocument/2006/relationships/hyperlink" Target="https://enzyme.expasy.org/EC/1.1.1.100" TargetMode="External"/><Relationship Id="rId47" Type="http://schemas.openxmlformats.org/officeDocument/2006/relationships/hyperlink" Target="https://enzyme.expasy.org/EC/1.2.1.41" TargetMode="External"/><Relationship Id="rId68" Type="http://schemas.openxmlformats.org/officeDocument/2006/relationships/hyperlink" Target="https://enzyme.expasy.org/EC/5.4.2.12" TargetMode="External"/><Relationship Id="rId89" Type="http://schemas.openxmlformats.org/officeDocument/2006/relationships/hyperlink" Target="https://enzyme.expasy.org/EC/5.4.99.18" TargetMode="External"/><Relationship Id="rId112" Type="http://schemas.openxmlformats.org/officeDocument/2006/relationships/hyperlink" Target="https://enzyme.expasy.org/EC/6.3.1.1" TargetMode="External"/><Relationship Id="rId133" Type="http://schemas.openxmlformats.org/officeDocument/2006/relationships/hyperlink" Target="https://enzyme.expasy.org/EC/5.1.1.7" TargetMode="External"/><Relationship Id="rId154" Type="http://schemas.openxmlformats.org/officeDocument/2006/relationships/hyperlink" Target="https://enzyme.expasy.org/EC/1.1.1.336" TargetMode="External"/><Relationship Id="rId175" Type="http://schemas.openxmlformats.org/officeDocument/2006/relationships/hyperlink" Target="https://enzyme.expasy.org/EC/6.3.4.3" TargetMode="External"/><Relationship Id="rId196" Type="http://schemas.openxmlformats.org/officeDocument/2006/relationships/hyperlink" Target="https://enzyme.expasy.org/EC/1.1.1.85" TargetMode="External"/><Relationship Id="rId200" Type="http://schemas.openxmlformats.org/officeDocument/2006/relationships/hyperlink" Target="https://enzyme.expasy.org/EC/2.7.7.7" TargetMode="External"/><Relationship Id="rId16" Type="http://schemas.openxmlformats.org/officeDocument/2006/relationships/hyperlink" Target="https://enzyme.expasy.org/EC/6.1.1.3" TargetMode="External"/><Relationship Id="rId221" Type="http://schemas.openxmlformats.org/officeDocument/2006/relationships/hyperlink" Target="https://enzyme.expasy.org/EC/1.17.1.8" TargetMode="External"/><Relationship Id="rId242" Type="http://schemas.openxmlformats.org/officeDocument/2006/relationships/hyperlink" Target="https://enzyme.expasy.org/EC/1.17.7.4" TargetMode="External"/><Relationship Id="rId263" Type="http://schemas.openxmlformats.org/officeDocument/2006/relationships/hyperlink" Target="https://enzyme.expasy.org/EC/1.8.1.9" TargetMode="External"/><Relationship Id="rId284" Type="http://schemas.openxmlformats.org/officeDocument/2006/relationships/hyperlink" Target="https://enzyme.expasy.org/EC/2.1.1.131" TargetMode="External"/><Relationship Id="rId37" Type="http://schemas.openxmlformats.org/officeDocument/2006/relationships/hyperlink" Target="https://enzyme.expasy.org/EC/1.8.4.12" TargetMode="External"/><Relationship Id="rId58" Type="http://schemas.openxmlformats.org/officeDocument/2006/relationships/hyperlink" Target="https://enzyme.expasy.org/EC/2.7.8.13" TargetMode="External"/><Relationship Id="rId79" Type="http://schemas.openxmlformats.org/officeDocument/2006/relationships/hyperlink" Target="https://enzyme.expasy.org/EC/3.5.4.2" TargetMode="External"/><Relationship Id="rId102" Type="http://schemas.openxmlformats.org/officeDocument/2006/relationships/hyperlink" Target="https://enzyme.expasy.org/EC/2.7.6.2" TargetMode="External"/><Relationship Id="rId123" Type="http://schemas.openxmlformats.org/officeDocument/2006/relationships/hyperlink" Target="https://enzyme.expasy.org/EC/4.1.2.25" TargetMode="External"/><Relationship Id="rId144" Type="http://schemas.openxmlformats.org/officeDocument/2006/relationships/hyperlink" Target="https://enzyme.expasy.org/EC/5.1.3.13" TargetMode="External"/><Relationship Id="rId90" Type="http://schemas.openxmlformats.org/officeDocument/2006/relationships/hyperlink" Target="https://enzyme.expasy.org/EC/6.1.1.14" TargetMode="External"/><Relationship Id="rId165" Type="http://schemas.openxmlformats.org/officeDocument/2006/relationships/hyperlink" Target="https://enzyme.expasy.org/EC/2.2.1.9" TargetMode="External"/><Relationship Id="rId186" Type="http://schemas.openxmlformats.org/officeDocument/2006/relationships/hyperlink" Target="https://enzyme.expasy.org/EC/2.7.7.4" TargetMode="External"/><Relationship Id="rId211" Type="http://schemas.openxmlformats.org/officeDocument/2006/relationships/hyperlink" Target="https://enzyme.expasy.org/EC/4.2.1.11" TargetMode="External"/><Relationship Id="rId232" Type="http://schemas.openxmlformats.org/officeDocument/2006/relationships/hyperlink" Target="https://enzyme.expasy.org/EC/2.5.1.17" TargetMode="External"/><Relationship Id="rId253" Type="http://schemas.openxmlformats.org/officeDocument/2006/relationships/hyperlink" Target="https://enzyme.expasy.org/EC/1.1.1.3" TargetMode="External"/><Relationship Id="rId274" Type="http://schemas.openxmlformats.org/officeDocument/2006/relationships/hyperlink" Target="https://enzyme.expasy.org/EC/4.3.1.17" TargetMode="External"/><Relationship Id="rId27" Type="http://schemas.openxmlformats.org/officeDocument/2006/relationships/hyperlink" Target="https://enzyme.expasy.org/EC/2.8.1.6" TargetMode="External"/><Relationship Id="rId48" Type="http://schemas.openxmlformats.org/officeDocument/2006/relationships/hyperlink" Target="https://enzyme.expasy.org/EC/2.1.3.9" TargetMode="External"/><Relationship Id="rId69" Type="http://schemas.openxmlformats.org/officeDocument/2006/relationships/hyperlink" Target="https://enzyme.expasy.org/EC/2.2.1.7" TargetMode="External"/><Relationship Id="rId113" Type="http://schemas.openxmlformats.org/officeDocument/2006/relationships/hyperlink" Target="https://enzyme.expasy.org/EC/6.1.1.22" TargetMode="External"/><Relationship Id="rId134" Type="http://schemas.openxmlformats.org/officeDocument/2006/relationships/hyperlink" Target="https://enzyme.expasy.org/EC/3.1.1.29" TargetMode="External"/><Relationship Id="rId80" Type="http://schemas.openxmlformats.org/officeDocument/2006/relationships/hyperlink" Target="https://enzyme.expasy.org/EC/4.1.2.4" TargetMode="External"/><Relationship Id="rId155" Type="http://schemas.openxmlformats.org/officeDocument/2006/relationships/hyperlink" Target="https://enzyme.expasy.org/EC/2.5.1.74" TargetMode="External"/><Relationship Id="rId176" Type="http://schemas.openxmlformats.org/officeDocument/2006/relationships/hyperlink" Target="https://enzyme.expasy.org/EC/6.1.1.15" TargetMode="External"/><Relationship Id="rId197" Type="http://schemas.openxmlformats.org/officeDocument/2006/relationships/hyperlink" Target="https://enzyme.expasy.org/EC/4.2.1.33" TargetMode="External"/><Relationship Id="rId201" Type="http://schemas.openxmlformats.org/officeDocument/2006/relationships/hyperlink" Target="https://enzyme.expasy.org/EC/3.5.4.5" TargetMode="External"/><Relationship Id="rId222" Type="http://schemas.openxmlformats.org/officeDocument/2006/relationships/hyperlink" Target="https://enzyme.expasy.org/EC/2.1.1.37" TargetMode="External"/><Relationship Id="rId243" Type="http://schemas.openxmlformats.org/officeDocument/2006/relationships/hyperlink" Target="https://enzyme.expasy.org/EC/3.6.1.9" TargetMode="External"/><Relationship Id="rId264" Type="http://schemas.openxmlformats.org/officeDocument/2006/relationships/hyperlink" Target="https://enzyme.expasy.org/EC/2.1.1.13" TargetMode="External"/><Relationship Id="rId285" Type="http://schemas.openxmlformats.org/officeDocument/2006/relationships/hyperlink" Target="https://enzyme.expasy.org/EC/2.5.1.47" TargetMode="External"/><Relationship Id="rId17" Type="http://schemas.openxmlformats.org/officeDocument/2006/relationships/hyperlink" Target="https://enzyme.expasy.org/EC/2.7.8.31" TargetMode="External"/><Relationship Id="rId38" Type="http://schemas.openxmlformats.org/officeDocument/2006/relationships/hyperlink" Target="https://enzyme.expasy.org/EC/4.2.3.3" TargetMode="External"/><Relationship Id="rId59" Type="http://schemas.openxmlformats.org/officeDocument/2006/relationships/hyperlink" Target="https://enzyme.expasy.org/EC/6.3.2.13" TargetMode="External"/><Relationship Id="rId103" Type="http://schemas.openxmlformats.org/officeDocument/2006/relationships/hyperlink" Target="https://enzyme.expasy.org/EC/1.4.1.16" TargetMode="External"/><Relationship Id="rId124" Type="http://schemas.openxmlformats.org/officeDocument/2006/relationships/hyperlink" Target="https://enzyme.expasy.org/EC/1.2.1.38" TargetMode="External"/><Relationship Id="rId70" Type="http://schemas.openxmlformats.org/officeDocument/2006/relationships/hyperlink" Target="https://enzyme.expasy.org/EC/3.5.3.1" TargetMode="External"/><Relationship Id="rId91" Type="http://schemas.openxmlformats.org/officeDocument/2006/relationships/hyperlink" Target="https://enzyme.expasy.org/EC/1.2.1.11" TargetMode="External"/><Relationship Id="rId145" Type="http://schemas.openxmlformats.org/officeDocument/2006/relationships/hyperlink" Target="https://enzyme.expasy.org/EC/2.7.1.30" TargetMode="External"/><Relationship Id="rId166" Type="http://schemas.openxmlformats.org/officeDocument/2006/relationships/hyperlink" Target="https://enzyme.expasy.org/EC/5.4.4.2" TargetMode="External"/><Relationship Id="rId187" Type="http://schemas.openxmlformats.org/officeDocument/2006/relationships/hyperlink" Target="https://enzyme.expasy.org/EC/3.5.1.88" TargetMode="External"/><Relationship Id="rId1" Type="http://schemas.openxmlformats.org/officeDocument/2006/relationships/hyperlink" Target="https://enzyme.expasy.org/EC/3.5.2.7" TargetMode="External"/><Relationship Id="rId212" Type="http://schemas.openxmlformats.org/officeDocument/2006/relationships/hyperlink" Target="https://enzyme.expasy.org/EC/2.5.1.6" TargetMode="External"/><Relationship Id="rId233" Type="http://schemas.openxmlformats.org/officeDocument/2006/relationships/hyperlink" Target="https://enzyme.expasy.org/EC/1.17.4.2" TargetMode="External"/><Relationship Id="rId254" Type="http://schemas.openxmlformats.org/officeDocument/2006/relationships/hyperlink" Target="https://enzyme.expasy.org/EC/2.1.2.10" TargetMode="External"/><Relationship Id="rId28" Type="http://schemas.openxmlformats.org/officeDocument/2006/relationships/hyperlink" Target="https://enzyme.expasy.org/EC/2.6.1.62" TargetMode="External"/><Relationship Id="rId49" Type="http://schemas.openxmlformats.org/officeDocument/2006/relationships/hyperlink" Target="https://enzyme.expasy.org/EC/5.3.1.23" TargetMode="External"/><Relationship Id="rId114" Type="http://schemas.openxmlformats.org/officeDocument/2006/relationships/hyperlink" Target="https://enzyme.expasy.org/EC/2.1.1.45" TargetMode="External"/><Relationship Id="rId275" Type="http://schemas.openxmlformats.org/officeDocument/2006/relationships/hyperlink" Target="https://enzyme.expasy.org/EC/4.1.2.19" TargetMode="External"/><Relationship Id="rId60" Type="http://schemas.openxmlformats.org/officeDocument/2006/relationships/hyperlink" Target="https://enzyme.expasy.org/EC/1.1.1.133" TargetMode="External"/><Relationship Id="rId81" Type="http://schemas.openxmlformats.org/officeDocument/2006/relationships/hyperlink" Target="https://enzyme.expasy.org/EC/6.1.1.4" TargetMode="External"/><Relationship Id="rId135" Type="http://schemas.openxmlformats.org/officeDocument/2006/relationships/hyperlink" Target="https://enzyme.expasy.org/EC/2.5.1.9" TargetMode="External"/><Relationship Id="rId156" Type="http://schemas.openxmlformats.org/officeDocument/2006/relationships/hyperlink" Target="https://enzyme.expasy.org/EC/2.6.99.2" TargetMode="External"/><Relationship Id="rId177" Type="http://schemas.openxmlformats.org/officeDocument/2006/relationships/hyperlink" Target="https://enzyme.expasy.org/EC/3.1.3.15" TargetMode="External"/><Relationship Id="rId198" Type="http://schemas.openxmlformats.org/officeDocument/2006/relationships/hyperlink" Target="https://enzyme.expasy.org/EC/2.2.1.6" TargetMode="External"/><Relationship Id="rId202" Type="http://schemas.openxmlformats.org/officeDocument/2006/relationships/hyperlink" Target="https://enzyme.expasy.org/EC/2.3.1.191" TargetMode="External"/><Relationship Id="rId223" Type="http://schemas.openxmlformats.org/officeDocument/2006/relationships/hyperlink" Target="https://enzyme.expasy.org/EC/1.4.3.16" TargetMode="External"/><Relationship Id="rId244" Type="http://schemas.openxmlformats.org/officeDocument/2006/relationships/hyperlink" Target="https://enzyme.expasy.org/EC/1.4.1.4" TargetMode="External"/><Relationship Id="rId18" Type="http://schemas.openxmlformats.org/officeDocument/2006/relationships/hyperlink" Target="https://enzyme.expasy.org/EC/4.2.1.47" TargetMode="External"/><Relationship Id="rId39" Type="http://schemas.openxmlformats.org/officeDocument/2006/relationships/hyperlink" Target="https://enzyme.expasy.org/EC/2.3.3.13" TargetMode="External"/><Relationship Id="rId265" Type="http://schemas.openxmlformats.org/officeDocument/2006/relationships/hyperlink" Target="https://enzyme.expasy.org/EC/1.4.1.1" TargetMode="External"/><Relationship Id="rId286" Type="http://schemas.openxmlformats.org/officeDocument/2006/relationships/hyperlink" Target="https://enzyme.expasy.org/EC/2.6.1.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gg.jp/entry/C04188" TargetMode="External"/><Relationship Id="rId13" Type="http://schemas.openxmlformats.org/officeDocument/2006/relationships/hyperlink" Target="https://www.genome.jp/entry/C18094" TargetMode="External"/><Relationship Id="rId3" Type="http://schemas.openxmlformats.org/officeDocument/2006/relationships/hyperlink" Target="https://www.kegg.jp/entry/C00966" TargetMode="External"/><Relationship Id="rId7" Type="http://schemas.openxmlformats.org/officeDocument/2006/relationships/hyperlink" Target="https://www.kegg.jp/entry/C05167" TargetMode="External"/><Relationship Id="rId12" Type="http://schemas.openxmlformats.org/officeDocument/2006/relationships/hyperlink" Target="https://www.genome.jp/entry/C03733" TargetMode="External"/><Relationship Id="rId17" Type="http://schemas.openxmlformats.org/officeDocument/2006/relationships/hyperlink" Target="https://www.kegg.jp/entry/C00966" TargetMode="External"/><Relationship Id="rId2" Type="http://schemas.openxmlformats.org/officeDocument/2006/relationships/hyperlink" Target="https://www.genome.jp/entry/C00935" TargetMode="External"/><Relationship Id="rId16" Type="http://schemas.openxmlformats.org/officeDocument/2006/relationships/hyperlink" Target="https://www.kegg.jp/entry/C00905" TargetMode="External"/><Relationship Id="rId1" Type="http://schemas.openxmlformats.org/officeDocument/2006/relationships/hyperlink" Target="https://www.genome.jp/entry/C00052" TargetMode="External"/><Relationship Id="rId6" Type="http://schemas.openxmlformats.org/officeDocument/2006/relationships/hyperlink" Target="https://www.kegg.jp/entry/C00868" TargetMode="External"/><Relationship Id="rId11" Type="http://schemas.openxmlformats.org/officeDocument/2006/relationships/hyperlink" Target="https://www.kegg.jp/entry/C18172" TargetMode="External"/><Relationship Id="rId5" Type="http://schemas.openxmlformats.org/officeDocument/2006/relationships/hyperlink" Target="https://www.kegg.jp/entry/C00096" TargetMode="External"/><Relationship Id="rId15" Type="http://schemas.openxmlformats.org/officeDocument/2006/relationships/hyperlink" Target="https://www.kegg.jp/entry/C02764" TargetMode="External"/><Relationship Id="rId10" Type="http://schemas.openxmlformats.org/officeDocument/2006/relationships/hyperlink" Target="https://www.kegg.jp/entry/C01172" TargetMode="External"/><Relationship Id="rId4" Type="http://schemas.openxmlformats.org/officeDocument/2006/relationships/hyperlink" Target="https://www.kegg.jp/entry/C04352" TargetMode="External"/><Relationship Id="rId9" Type="http://schemas.openxmlformats.org/officeDocument/2006/relationships/hyperlink" Target="https://www.kegg.jp/entry/C03406" TargetMode="External"/><Relationship Id="rId14" Type="http://schemas.openxmlformats.org/officeDocument/2006/relationships/hyperlink" Target="https://www.kegg.jp/entry/C00345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zyme.expasy.org/EC/2.7.7.8" TargetMode="External"/><Relationship Id="rId671" Type="http://schemas.openxmlformats.org/officeDocument/2006/relationships/hyperlink" Target="https://enzyme.expasy.org/EC/6.3.5.2" TargetMode="External"/><Relationship Id="rId769" Type="http://schemas.openxmlformats.org/officeDocument/2006/relationships/hyperlink" Target="https://www.kegg.jp/entry/C18172" TargetMode="External"/><Relationship Id="rId21" Type="http://schemas.openxmlformats.org/officeDocument/2006/relationships/hyperlink" Target="https://enzyme.expasy.org/EC/1.7.2.2" TargetMode="External"/><Relationship Id="rId324" Type="http://schemas.openxmlformats.org/officeDocument/2006/relationships/hyperlink" Target="https://enzyme.expasy.org/EC/2.5.1.47" TargetMode="External"/><Relationship Id="rId531" Type="http://schemas.openxmlformats.org/officeDocument/2006/relationships/hyperlink" Target="https://enzyme.expasy.org/EC/3.2.1.21" TargetMode="External"/><Relationship Id="rId629" Type="http://schemas.openxmlformats.org/officeDocument/2006/relationships/hyperlink" Target="https://enzyme.expasy.org/EC/3.6.1.9" TargetMode="External"/><Relationship Id="rId170" Type="http://schemas.openxmlformats.org/officeDocument/2006/relationships/hyperlink" Target="https://enzyme.expasy.org/EC/3.5.99.6" TargetMode="External"/><Relationship Id="rId268" Type="http://schemas.openxmlformats.org/officeDocument/2006/relationships/hyperlink" Target="https://enzyme.expasy.org/EC/1.4.4.2" TargetMode="External"/><Relationship Id="rId475" Type="http://schemas.openxmlformats.org/officeDocument/2006/relationships/hyperlink" Target="https://enzyme.expasy.org/EC/2.3.1.179" TargetMode="External"/><Relationship Id="rId682" Type="http://schemas.openxmlformats.org/officeDocument/2006/relationships/hyperlink" Target="https://enzyme.expasy.org/EC/1.4.1.1" TargetMode="External"/><Relationship Id="rId32" Type="http://schemas.openxmlformats.org/officeDocument/2006/relationships/hyperlink" Target="https://enzyme.expasy.org/EC/2.4.2.18" TargetMode="External"/><Relationship Id="rId128" Type="http://schemas.openxmlformats.org/officeDocument/2006/relationships/hyperlink" Target="https://enzyme.expasy.org/EC/2.1.1.37" TargetMode="External"/><Relationship Id="rId335" Type="http://schemas.openxmlformats.org/officeDocument/2006/relationships/hyperlink" Target="https://enzyme.expasy.org/EC/2.1.1.228" TargetMode="External"/><Relationship Id="rId542" Type="http://schemas.openxmlformats.org/officeDocument/2006/relationships/hyperlink" Target="https://enzyme.expasy.org/EC/5.3.1.12" TargetMode="External"/><Relationship Id="rId181" Type="http://schemas.openxmlformats.org/officeDocument/2006/relationships/hyperlink" Target="https://enzyme.expasy.org/EC/3.5.4.26" TargetMode="External"/><Relationship Id="rId402" Type="http://schemas.openxmlformats.org/officeDocument/2006/relationships/hyperlink" Target="https://enzyme.expasy.org/EC/2.7.7.7" TargetMode="External"/><Relationship Id="rId279" Type="http://schemas.openxmlformats.org/officeDocument/2006/relationships/hyperlink" Target="https://enzyme.expasy.org/EC/1.1.1.336" TargetMode="External"/><Relationship Id="rId486" Type="http://schemas.openxmlformats.org/officeDocument/2006/relationships/hyperlink" Target="https://enzyme.expasy.org/EC/1.4.3.16" TargetMode="External"/><Relationship Id="rId693" Type="http://schemas.openxmlformats.org/officeDocument/2006/relationships/hyperlink" Target="https://enzyme.expasy.org/EC/2.7.4.6" TargetMode="External"/><Relationship Id="rId707" Type="http://schemas.openxmlformats.org/officeDocument/2006/relationships/hyperlink" Target="https://enzyme.expasy.org/EC/1.1.1.100" TargetMode="External"/><Relationship Id="rId43" Type="http://schemas.openxmlformats.org/officeDocument/2006/relationships/hyperlink" Target="https://enzyme.expasy.org/EC/2.8.1.6" TargetMode="External"/><Relationship Id="rId139" Type="http://schemas.openxmlformats.org/officeDocument/2006/relationships/hyperlink" Target="https://enzyme.expasy.org/EC/3.5.1.25" TargetMode="External"/><Relationship Id="rId346" Type="http://schemas.openxmlformats.org/officeDocument/2006/relationships/hyperlink" Target="https://enzyme.expasy.org/EC/3.5.1.88" TargetMode="External"/><Relationship Id="rId553" Type="http://schemas.openxmlformats.org/officeDocument/2006/relationships/hyperlink" Target="https://enzyme.expasy.org/EC/2.7.1.40" TargetMode="External"/><Relationship Id="rId760" Type="http://schemas.openxmlformats.org/officeDocument/2006/relationships/hyperlink" Target="https://www.kegg.jp/entry/C00868" TargetMode="External"/><Relationship Id="rId192" Type="http://schemas.openxmlformats.org/officeDocument/2006/relationships/hyperlink" Target="https://enzyme.expasy.org/EC/6.3.4.4" TargetMode="External"/><Relationship Id="rId206" Type="http://schemas.openxmlformats.org/officeDocument/2006/relationships/hyperlink" Target="https://enzyme.expasy.org/EC/1.2.1.38" TargetMode="External"/><Relationship Id="rId413" Type="http://schemas.openxmlformats.org/officeDocument/2006/relationships/hyperlink" Target="https://enzyme.expasy.org/EC/2.8.1.8" TargetMode="External"/><Relationship Id="rId497" Type="http://schemas.openxmlformats.org/officeDocument/2006/relationships/hyperlink" Target="https://enzyme.expasy.org/EC/3.2.1.21" TargetMode="External"/><Relationship Id="rId620" Type="http://schemas.openxmlformats.org/officeDocument/2006/relationships/hyperlink" Target="https://enzyme.expasy.org/EC/1.17.7.4" TargetMode="External"/><Relationship Id="rId718" Type="http://schemas.openxmlformats.org/officeDocument/2006/relationships/hyperlink" Target="https://enzyme.expasy.org/EC/4.1.2.13" TargetMode="External"/><Relationship Id="rId357" Type="http://schemas.openxmlformats.org/officeDocument/2006/relationships/hyperlink" Target="https://enzyme.expasy.org/EC/6.3.5.5" TargetMode="External"/><Relationship Id="rId54" Type="http://schemas.openxmlformats.org/officeDocument/2006/relationships/hyperlink" Target="https://enzyme.expasy.org/EC/2.1.1.63" TargetMode="External"/><Relationship Id="rId96" Type="http://schemas.openxmlformats.org/officeDocument/2006/relationships/hyperlink" Target="https://enzyme.expasy.org/EC/6.3.2.9" TargetMode="External"/><Relationship Id="rId161" Type="http://schemas.openxmlformats.org/officeDocument/2006/relationships/hyperlink" Target="https://enzyme.expasy.org/EC/2.7.7.7" TargetMode="External"/><Relationship Id="rId217" Type="http://schemas.openxmlformats.org/officeDocument/2006/relationships/hyperlink" Target="https://enzyme.expasy.org/EC/5.1.99.1" TargetMode="External"/><Relationship Id="rId399" Type="http://schemas.openxmlformats.org/officeDocument/2006/relationships/hyperlink" Target="https://enzyme.expasy.org/EC/2.2.1.6" TargetMode="External"/><Relationship Id="rId564" Type="http://schemas.openxmlformats.org/officeDocument/2006/relationships/hyperlink" Target="https://enzyme.expasy.org/EC/1.17.4.2" TargetMode="External"/><Relationship Id="rId771" Type="http://schemas.openxmlformats.org/officeDocument/2006/relationships/hyperlink" Target="https://www.genome.jp/entry/C18094" TargetMode="External"/><Relationship Id="rId827" Type="http://schemas.openxmlformats.org/officeDocument/2006/relationships/hyperlink" Target="https://www.genome.jp/entry/C03733" TargetMode="External"/><Relationship Id="rId259" Type="http://schemas.openxmlformats.org/officeDocument/2006/relationships/hyperlink" Target="https://enzyme.expasy.org/EC/2.7.1.30" TargetMode="External"/><Relationship Id="rId424" Type="http://schemas.openxmlformats.org/officeDocument/2006/relationships/hyperlink" Target="https://enzyme.expasy.org/EC/1.2.1.88" TargetMode="External"/><Relationship Id="rId466" Type="http://schemas.openxmlformats.org/officeDocument/2006/relationships/hyperlink" Target="https://enzyme.expasy.org/EC/6.1.1.10" TargetMode="External"/><Relationship Id="rId631" Type="http://schemas.openxmlformats.org/officeDocument/2006/relationships/hyperlink" Target="https://enzyme.expasy.org/EC/1.4.1.4" TargetMode="External"/><Relationship Id="rId673" Type="http://schemas.openxmlformats.org/officeDocument/2006/relationships/hyperlink" Target="https://enzyme.expasy.org/EC/6.3.5.2" TargetMode="External"/><Relationship Id="rId729" Type="http://schemas.openxmlformats.org/officeDocument/2006/relationships/hyperlink" Target="https://enzyme.expasy.org/EC/1.3.1.98" TargetMode="External"/><Relationship Id="rId23" Type="http://schemas.openxmlformats.org/officeDocument/2006/relationships/hyperlink" Target="https://enzyme.expasy.org/EC/3.5.1.88" TargetMode="External"/><Relationship Id="rId119" Type="http://schemas.openxmlformats.org/officeDocument/2006/relationships/hyperlink" Target="https://enzyme.expasy.org/EC/4.1.1.49" TargetMode="External"/><Relationship Id="rId270" Type="http://schemas.openxmlformats.org/officeDocument/2006/relationships/hyperlink" Target="https://enzyme.expasy.org/EC/1.1.1.267" TargetMode="External"/><Relationship Id="rId326" Type="http://schemas.openxmlformats.org/officeDocument/2006/relationships/hyperlink" Target="https://enzyme.expasy.org/EC/4.2.1.19" TargetMode="External"/><Relationship Id="rId533" Type="http://schemas.openxmlformats.org/officeDocument/2006/relationships/hyperlink" Target="https://enzyme.expasy.org/EC/3.2.1.21" TargetMode="External"/><Relationship Id="rId65" Type="http://schemas.openxmlformats.org/officeDocument/2006/relationships/hyperlink" Target="https://enzyme.expasy.org/EC/2.7.7.7" TargetMode="External"/><Relationship Id="rId130" Type="http://schemas.openxmlformats.org/officeDocument/2006/relationships/hyperlink" Target="https://enzyme.expasy.org/EC/1.4.3.16" TargetMode="External"/><Relationship Id="rId368" Type="http://schemas.openxmlformats.org/officeDocument/2006/relationships/hyperlink" Target="https://enzyme.expasy.org/EC/2.7.4.3" TargetMode="External"/><Relationship Id="rId575" Type="http://schemas.openxmlformats.org/officeDocument/2006/relationships/hyperlink" Target="https://enzyme.expasy.org/EC/2.7.7.7" TargetMode="External"/><Relationship Id="rId740" Type="http://schemas.openxmlformats.org/officeDocument/2006/relationships/hyperlink" Target="https://enzyme.expasy.org/EC/2.6.1.1" TargetMode="External"/><Relationship Id="rId782" Type="http://schemas.openxmlformats.org/officeDocument/2006/relationships/hyperlink" Target="https://www.kegg.jp/entry/C04896" TargetMode="External"/><Relationship Id="rId172" Type="http://schemas.openxmlformats.org/officeDocument/2006/relationships/hyperlink" Target="https://enzyme.expasy.org/EC/4.2.1.47" TargetMode="External"/><Relationship Id="rId228" Type="http://schemas.openxmlformats.org/officeDocument/2006/relationships/hyperlink" Target="https://enzyme.expasy.org/EC/2.7.2.4" TargetMode="External"/><Relationship Id="rId435" Type="http://schemas.openxmlformats.org/officeDocument/2006/relationships/hyperlink" Target="https://enzyme.expasy.org/EC/2.7.1.33" TargetMode="External"/><Relationship Id="rId477" Type="http://schemas.openxmlformats.org/officeDocument/2006/relationships/hyperlink" Target="https://enzyme.expasy.org/EC/2.3.1.179" TargetMode="External"/><Relationship Id="rId600" Type="http://schemas.openxmlformats.org/officeDocument/2006/relationships/hyperlink" Target="https://enzyme.expasy.org/EC/2.7.1.11" TargetMode="External"/><Relationship Id="rId642" Type="http://schemas.openxmlformats.org/officeDocument/2006/relationships/hyperlink" Target="https://enzyme.expasy.org/EC/5.3.1.9" TargetMode="External"/><Relationship Id="rId684" Type="http://schemas.openxmlformats.org/officeDocument/2006/relationships/hyperlink" Target="https://enzyme.expasy.org/EC/5.1.3.2" TargetMode="External"/><Relationship Id="rId281" Type="http://schemas.openxmlformats.org/officeDocument/2006/relationships/hyperlink" Target="https://enzyme.expasy.org/EC/2.7.4.6" TargetMode="External"/><Relationship Id="rId337" Type="http://schemas.openxmlformats.org/officeDocument/2006/relationships/hyperlink" Target="https://enzyme.expasy.org/EC/4.1.1.15" TargetMode="External"/><Relationship Id="rId502" Type="http://schemas.openxmlformats.org/officeDocument/2006/relationships/hyperlink" Target="https://enzyme.expasy.org/EC/3.2.1.21" TargetMode="External"/><Relationship Id="rId34" Type="http://schemas.openxmlformats.org/officeDocument/2006/relationships/hyperlink" Target="https://enzyme.expasy.org/EC/4.2.1.20" TargetMode="External"/><Relationship Id="rId76" Type="http://schemas.openxmlformats.org/officeDocument/2006/relationships/hyperlink" Target="https://enzyme.expasy.org/EC/1.2.1.88" TargetMode="External"/><Relationship Id="rId141" Type="http://schemas.openxmlformats.org/officeDocument/2006/relationships/hyperlink" Target="https://enzyme.expasy.org/EC/5.4.99.18" TargetMode="External"/><Relationship Id="rId379" Type="http://schemas.openxmlformats.org/officeDocument/2006/relationships/hyperlink" Target="https://enzyme.expasy.org/EC/4.3.1.19" TargetMode="External"/><Relationship Id="rId544" Type="http://schemas.openxmlformats.org/officeDocument/2006/relationships/hyperlink" Target="https://enzyme.expasy.org/EC/2.3.1.8" TargetMode="External"/><Relationship Id="rId586" Type="http://schemas.openxmlformats.org/officeDocument/2006/relationships/hyperlink" Target="https://enzyme.expasy.org/EC/2.7.7.7" TargetMode="External"/><Relationship Id="rId751" Type="http://schemas.openxmlformats.org/officeDocument/2006/relationships/hyperlink" Target="https://enzyme.expasy.org/EC/3.2.1.1" TargetMode="External"/><Relationship Id="rId793" Type="http://schemas.openxmlformats.org/officeDocument/2006/relationships/hyperlink" Target="https://www.kegg.jp/entry/C00966" TargetMode="External"/><Relationship Id="rId807" Type="http://schemas.openxmlformats.org/officeDocument/2006/relationships/hyperlink" Target="https://www.genome.jp/entry/C03733" TargetMode="External"/><Relationship Id="rId7" Type="http://schemas.openxmlformats.org/officeDocument/2006/relationships/hyperlink" Target="https://enzyme.expasy.org/EC/4.3.3.7" TargetMode="External"/><Relationship Id="rId183" Type="http://schemas.openxmlformats.org/officeDocument/2006/relationships/hyperlink" Target="https://enzyme.expasy.org/EC/6.3.1.1" TargetMode="External"/><Relationship Id="rId239" Type="http://schemas.openxmlformats.org/officeDocument/2006/relationships/hyperlink" Target="https://enzyme.expasy.org/EC/2.5.1.9" TargetMode="External"/><Relationship Id="rId390" Type="http://schemas.openxmlformats.org/officeDocument/2006/relationships/hyperlink" Target="https://enzyme.expasy.org/EC/2.2.1.6" TargetMode="External"/><Relationship Id="rId404" Type="http://schemas.openxmlformats.org/officeDocument/2006/relationships/hyperlink" Target="https://enzyme.expasy.org/EC/2.7.7.7" TargetMode="External"/><Relationship Id="rId446" Type="http://schemas.openxmlformats.org/officeDocument/2006/relationships/hyperlink" Target="https://enzyme.expasy.org/EC/2.4.1.227" TargetMode="External"/><Relationship Id="rId611" Type="http://schemas.openxmlformats.org/officeDocument/2006/relationships/hyperlink" Target="https://enzyme.expasy.org/EC/4.3.1.3" TargetMode="External"/><Relationship Id="rId653" Type="http://schemas.openxmlformats.org/officeDocument/2006/relationships/hyperlink" Target="https://enzyme.expasy.org/EC/6.3.2.13" TargetMode="External"/><Relationship Id="rId250" Type="http://schemas.openxmlformats.org/officeDocument/2006/relationships/hyperlink" Target="https://enzyme.expasy.org/EC/5.3.1.6" TargetMode="External"/><Relationship Id="rId292" Type="http://schemas.openxmlformats.org/officeDocument/2006/relationships/hyperlink" Target="https://enzyme.expasy.org/EC/6.1.1.12" TargetMode="External"/><Relationship Id="rId306" Type="http://schemas.openxmlformats.org/officeDocument/2006/relationships/hyperlink" Target="https://enzyme.expasy.org/EC/2.2.1.9" TargetMode="External"/><Relationship Id="rId488" Type="http://schemas.openxmlformats.org/officeDocument/2006/relationships/hyperlink" Target="https://enzyme.expasy.org/EC/1.8.1.4" TargetMode="External"/><Relationship Id="rId695" Type="http://schemas.openxmlformats.org/officeDocument/2006/relationships/hyperlink" Target="https://enzyme.expasy.org/EC/2.7.4.6" TargetMode="External"/><Relationship Id="rId709" Type="http://schemas.openxmlformats.org/officeDocument/2006/relationships/hyperlink" Target="https://enzyme.expasy.org/EC/1.1.1.100" TargetMode="External"/><Relationship Id="rId45" Type="http://schemas.openxmlformats.org/officeDocument/2006/relationships/hyperlink" Target="https://enzyme.expasy.org/EC/2.1.1.197" TargetMode="External"/><Relationship Id="rId87" Type="http://schemas.openxmlformats.org/officeDocument/2006/relationships/hyperlink" Target="https://enzyme.expasy.org/EC/4.2.1.11" TargetMode="External"/><Relationship Id="rId110" Type="http://schemas.openxmlformats.org/officeDocument/2006/relationships/hyperlink" Target="https://enzyme.expasy.org/EC/2.2.1.7" TargetMode="External"/><Relationship Id="rId348" Type="http://schemas.openxmlformats.org/officeDocument/2006/relationships/hyperlink" Target="https://enzyme.expasy.org/EC/4.2.1.20" TargetMode="External"/><Relationship Id="rId513" Type="http://schemas.openxmlformats.org/officeDocument/2006/relationships/hyperlink" Target="https://enzyme.expasy.org/EC/3.2.1.21" TargetMode="External"/><Relationship Id="rId555" Type="http://schemas.openxmlformats.org/officeDocument/2006/relationships/hyperlink" Target="https://enzyme.expasy.org/EC/2.7.1.40" TargetMode="External"/><Relationship Id="rId597" Type="http://schemas.openxmlformats.org/officeDocument/2006/relationships/hyperlink" Target="https://enzyme.expasy.org/EC/2.7.1.11" TargetMode="External"/><Relationship Id="rId720" Type="http://schemas.openxmlformats.org/officeDocument/2006/relationships/hyperlink" Target="https://enzyme.expasy.org/EC/4.3.1.17" TargetMode="External"/><Relationship Id="rId762" Type="http://schemas.openxmlformats.org/officeDocument/2006/relationships/hyperlink" Target="https://www.kegg.jp/entry/C00111" TargetMode="External"/><Relationship Id="rId818" Type="http://schemas.openxmlformats.org/officeDocument/2006/relationships/hyperlink" Target="https://www.kegg.jp/entry/C20905" TargetMode="External"/><Relationship Id="rId152" Type="http://schemas.openxmlformats.org/officeDocument/2006/relationships/hyperlink" Target="https://enzyme.expasy.org/EC/2.7.4.22" TargetMode="External"/><Relationship Id="rId194" Type="http://schemas.openxmlformats.org/officeDocument/2006/relationships/hyperlink" Target="https://enzyme.expasy.org/EC/3.6.1.9" TargetMode="External"/><Relationship Id="rId208" Type="http://schemas.openxmlformats.org/officeDocument/2006/relationships/hyperlink" Target="https://enzyme.expasy.org/EC/4.2.1.126" TargetMode="External"/><Relationship Id="rId415" Type="http://schemas.openxmlformats.org/officeDocument/2006/relationships/hyperlink" Target="https://enzyme.expasy.org/EC/1.5.1.2" TargetMode="External"/><Relationship Id="rId457" Type="http://schemas.openxmlformats.org/officeDocument/2006/relationships/hyperlink" Target="https://enzyme.expasy.org/EC/2.6.1.13" TargetMode="External"/><Relationship Id="rId622" Type="http://schemas.openxmlformats.org/officeDocument/2006/relationships/hyperlink" Target="https://enzyme.expasy.org/EC/3.6.1.9" TargetMode="External"/><Relationship Id="rId261" Type="http://schemas.openxmlformats.org/officeDocument/2006/relationships/hyperlink" Target="https://enzyme.expasy.org/EC/4.2.1.8" TargetMode="External"/><Relationship Id="rId499" Type="http://schemas.openxmlformats.org/officeDocument/2006/relationships/hyperlink" Target="https://enzyme.expasy.org/EC/3.2.1.21" TargetMode="External"/><Relationship Id="rId664" Type="http://schemas.openxmlformats.org/officeDocument/2006/relationships/hyperlink" Target="https://enzyme.expasy.org/EC/1.7.99.1" TargetMode="External"/><Relationship Id="rId14" Type="http://schemas.openxmlformats.org/officeDocument/2006/relationships/hyperlink" Target="https://enzyme.expasy.org/EC/2.4.2.29" TargetMode="External"/><Relationship Id="rId56" Type="http://schemas.openxmlformats.org/officeDocument/2006/relationships/hyperlink" Target="https://enzyme.expasy.org/EC/4.2.3.3" TargetMode="External"/><Relationship Id="rId317" Type="http://schemas.openxmlformats.org/officeDocument/2006/relationships/hyperlink" Target="https://enzyme.expasy.org/EC/2.1.1.133" TargetMode="External"/><Relationship Id="rId359" Type="http://schemas.openxmlformats.org/officeDocument/2006/relationships/hyperlink" Target="https://enzyme.expasy.org/EC/6.3.5.5" TargetMode="External"/><Relationship Id="rId524" Type="http://schemas.openxmlformats.org/officeDocument/2006/relationships/hyperlink" Target="https://enzyme.expasy.org/EC/3.2.1.21" TargetMode="External"/><Relationship Id="rId566" Type="http://schemas.openxmlformats.org/officeDocument/2006/relationships/hyperlink" Target="https://enzyme.expasy.org/EC/1.17.4.2" TargetMode="External"/><Relationship Id="rId731" Type="http://schemas.openxmlformats.org/officeDocument/2006/relationships/hyperlink" Target="https://enzyme.expasy.org/EC/3.1.3.3" TargetMode="External"/><Relationship Id="rId773" Type="http://schemas.openxmlformats.org/officeDocument/2006/relationships/hyperlink" Target="https://www.genome.jp/entry/C00935" TargetMode="External"/><Relationship Id="rId98" Type="http://schemas.openxmlformats.org/officeDocument/2006/relationships/hyperlink" Target="https://enzyme.expasy.org/EC/6.3.2.13" TargetMode="External"/><Relationship Id="rId121" Type="http://schemas.openxmlformats.org/officeDocument/2006/relationships/hyperlink" Target="https://enzyme.expasy.org/EC/6.1.1.16" TargetMode="External"/><Relationship Id="rId163" Type="http://schemas.openxmlformats.org/officeDocument/2006/relationships/hyperlink" Target="https://enzyme.expasy.org/EC/4.1.99.12" TargetMode="External"/><Relationship Id="rId219" Type="http://schemas.openxmlformats.org/officeDocument/2006/relationships/hyperlink" Target="https://enzyme.expasy.org/EC/2.5.1.78" TargetMode="External"/><Relationship Id="rId370" Type="http://schemas.openxmlformats.org/officeDocument/2006/relationships/hyperlink" Target="https://enzyme.expasy.org/EC/2.4.2.8" TargetMode="External"/><Relationship Id="rId426" Type="http://schemas.openxmlformats.org/officeDocument/2006/relationships/hyperlink" Target="https://enzyme.expasy.org/EC/2.7.7.6" TargetMode="External"/><Relationship Id="rId633" Type="http://schemas.openxmlformats.org/officeDocument/2006/relationships/hyperlink" Target="https://enzyme.expasy.org/EC/1.4.1.4" TargetMode="External"/><Relationship Id="rId829" Type="http://schemas.openxmlformats.org/officeDocument/2006/relationships/hyperlink" Target="https://www.genome.jp/entry/C03733" TargetMode="External"/><Relationship Id="rId230" Type="http://schemas.openxmlformats.org/officeDocument/2006/relationships/hyperlink" Target="https://enzyme.expasy.org/EC/2.5.1.75" TargetMode="External"/><Relationship Id="rId468" Type="http://schemas.openxmlformats.org/officeDocument/2006/relationships/hyperlink" Target="https://enzyme.expasy.org/EC/2.3.1.179" TargetMode="External"/><Relationship Id="rId675" Type="http://schemas.openxmlformats.org/officeDocument/2006/relationships/hyperlink" Target="https://enzyme.expasy.org/EC/1.1.1.37" TargetMode="External"/><Relationship Id="rId25" Type="http://schemas.openxmlformats.org/officeDocument/2006/relationships/hyperlink" Target="https://enzyme.expasy.org/EC/4.2.1.47" TargetMode="External"/><Relationship Id="rId67" Type="http://schemas.openxmlformats.org/officeDocument/2006/relationships/hyperlink" Target="https://enzyme.expasy.org/EC/4.1.1.23" TargetMode="External"/><Relationship Id="rId272" Type="http://schemas.openxmlformats.org/officeDocument/2006/relationships/hyperlink" Target="https://enzyme.expasy.org/EC/2.7.2.8" TargetMode="External"/><Relationship Id="rId328" Type="http://schemas.openxmlformats.org/officeDocument/2006/relationships/hyperlink" Target="https://enzyme.expasy.org/EC/1.1.1.23" TargetMode="External"/><Relationship Id="rId535" Type="http://schemas.openxmlformats.org/officeDocument/2006/relationships/hyperlink" Target="https://enzyme.expasy.org/EC/3.2.1.21" TargetMode="External"/><Relationship Id="rId577" Type="http://schemas.openxmlformats.org/officeDocument/2006/relationships/hyperlink" Target="https://enzyme.expasy.org/EC/2.7.7.7" TargetMode="External"/><Relationship Id="rId700" Type="http://schemas.openxmlformats.org/officeDocument/2006/relationships/hyperlink" Target="https://enzyme.expasy.org/EC/2.7.4.6" TargetMode="External"/><Relationship Id="rId742" Type="http://schemas.openxmlformats.org/officeDocument/2006/relationships/hyperlink" Target="https://enzyme.expasy.org/EC/2.1.1.131" TargetMode="External"/><Relationship Id="rId132" Type="http://schemas.openxmlformats.org/officeDocument/2006/relationships/hyperlink" Target="https://enzyme.expasy.org/EC/6.1.1.1" TargetMode="External"/><Relationship Id="rId174" Type="http://schemas.openxmlformats.org/officeDocument/2006/relationships/hyperlink" Target="https://enzyme.expasy.org/EC/2.1.2.5" TargetMode="External"/><Relationship Id="rId381" Type="http://schemas.openxmlformats.org/officeDocument/2006/relationships/hyperlink" Target="https://enzyme.expasy.org/EC/1.1.1.85" TargetMode="External"/><Relationship Id="rId602" Type="http://schemas.openxmlformats.org/officeDocument/2006/relationships/hyperlink" Target="https://enzyme.expasy.org/EC/2.7.1.11" TargetMode="External"/><Relationship Id="rId784" Type="http://schemas.openxmlformats.org/officeDocument/2006/relationships/hyperlink" Target="https://www.kegg.jp/entry/C00031" TargetMode="External"/><Relationship Id="rId241" Type="http://schemas.openxmlformats.org/officeDocument/2006/relationships/hyperlink" Target="https://enzyme.expasy.org/EC/2.6.1.42" TargetMode="External"/><Relationship Id="rId437" Type="http://schemas.openxmlformats.org/officeDocument/2006/relationships/hyperlink" Target="https://enzyme.expasy.org/EC/4.2.1.11" TargetMode="External"/><Relationship Id="rId479" Type="http://schemas.openxmlformats.org/officeDocument/2006/relationships/hyperlink" Target="https://enzyme.expasy.org/EC/1.17.1.8" TargetMode="External"/><Relationship Id="rId644" Type="http://schemas.openxmlformats.org/officeDocument/2006/relationships/hyperlink" Target="https://enzyme.expasy.org/EC/5.3.1.9" TargetMode="External"/><Relationship Id="rId686" Type="http://schemas.openxmlformats.org/officeDocument/2006/relationships/hyperlink" Target="https://enzyme.expasy.org/EC/6.3.4.2" TargetMode="External"/><Relationship Id="rId36" Type="http://schemas.openxmlformats.org/officeDocument/2006/relationships/hyperlink" Target="https://enzyme.expasy.org/EC/6.3.5.5" TargetMode="External"/><Relationship Id="rId283" Type="http://schemas.openxmlformats.org/officeDocument/2006/relationships/hyperlink" Target="https://enzyme.expasy.org/EC/2.5.1.74" TargetMode="External"/><Relationship Id="rId339" Type="http://schemas.openxmlformats.org/officeDocument/2006/relationships/hyperlink" Target="https://enzyme.expasy.org/EC/5.4.99.9" TargetMode="External"/><Relationship Id="rId490" Type="http://schemas.openxmlformats.org/officeDocument/2006/relationships/hyperlink" Target="https://enzyme.expasy.org/EC/3.2.1.21" TargetMode="External"/><Relationship Id="rId504" Type="http://schemas.openxmlformats.org/officeDocument/2006/relationships/hyperlink" Target="https://enzyme.expasy.org/EC/3.2.1.21" TargetMode="External"/><Relationship Id="rId546" Type="http://schemas.openxmlformats.org/officeDocument/2006/relationships/hyperlink" Target="https://enzyme.expasy.org/EC/4.2.1.11" TargetMode="External"/><Relationship Id="rId711" Type="http://schemas.openxmlformats.org/officeDocument/2006/relationships/hyperlink" Target="https://enzyme.expasy.org/EC/1.1.1.100" TargetMode="External"/><Relationship Id="rId753" Type="http://schemas.openxmlformats.org/officeDocument/2006/relationships/hyperlink" Target="https://www.genome.jp/entry/C00935" TargetMode="External"/><Relationship Id="rId78" Type="http://schemas.openxmlformats.org/officeDocument/2006/relationships/hyperlink" Target="https://enzyme.expasy.org/EC/1.2.1.41" TargetMode="External"/><Relationship Id="rId101" Type="http://schemas.openxmlformats.org/officeDocument/2006/relationships/hyperlink" Target="https://enzyme.expasy.org/EC/4.2.3.4" TargetMode="External"/><Relationship Id="rId143" Type="http://schemas.openxmlformats.org/officeDocument/2006/relationships/hyperlink" Target="https://enzyme.expasy.org/EC/5.3.1.12" TargetMode="External"/><Relationship Id="rId185" Type="http://schemas.openxmlformats.org/officeDocument/2006/relationships/hyperlink" Target="https://enzyme.expasy.org/EC/6.1.1.22" TargetMode="External"/><Relationship Id="rId350" Type="http://schemas.openxmlformats.org/officeDocument/2006/relationships/hyperlink" Target="https://enzyme.expasy.org/EC/4.2.1.20" TargetMode="External"/><Relationship Id="rId406" Type="http://schemas.openxmlformats.org/officeDocument/2006/relationships/hyperlink" Target="https://enzyme.expasy.org/EC/2.7.7.7" TargetMode="External"/><Relationship Id="rId588" Type="http://schemas.openxmlformats.org/officeDocument/2006/relationships/hyperlink" Target="https://enzyme.expasy.org/EC/2.7.1.11" TargetMode="External"/><Relationship Id="rId795" Type="http://schemas.openxmlformats.org/officeDocument/2006/relationships/hyperlink" Target="https://www.kegg.jp/entry/C00096" TargetMode="External"/><Relationship Id="rId809" Type="http://schemas.openxmlformats.org/officeDocument/2006/relationships/hyperlink" Target="https://www.genome.jp/entry/C00052" TargetMode="External"/><Relationship Id="rId9" Type="http://schemas.openxmlformats.org/officeDocument/2006/relationships/hyperlink" Target="https://enzyme.expasy.org/EC/2.7.7.4" TargetMode="External"/><Relationship Id="rId210" Type="http://schemas.openxmlformats.org/officeDocument/2006/relationships/hyperlink" Target="https://enzyme.expasy.org/EC/1.7.2.2" TargetMode="External"/><Relationship Id="rId392" Type="http://schemas.openxmlformats.org/officeDocument/2006/relationships/hyperlink" Target="https://enzyme.expasy.org/EC/2.2.1.6" TargetMode="External"/><Relationship Id="rId448" Type="http://schemas.openxmlformats.org/officeDocument/2006/relationships/hyperlink" Target="https://enzyme.expasy.org/EC/2.4.1.227" TargetMode="External"/><Relationship Id="rId613" Type="http://schemas.openxmlformats.org/officeDocument/2006/relationships/hyperlink" Target="https://enzyme.expasy.org/EC/1.4.1.13" TargetMode="External"/><Relationship Id="rId655" Type="http://schemas.openxmlformats.org/officeDocument/2006/relationships/hyperlink" Target="https://enzyme.expasy.org/EC/1.1.1.3" TargetMode="External"/><Relationship Id="rId697" Type="http://schemas.openxmlformats.org/officeDocument/2006/relationships/hyperlink" Target="https://enzyme.expasy.org/EC/2.7.4.6" TargetMode="External"/><Relationship Id="rId820" Type="http://schemas.openxmlformats.org/officeDocument/2006/relationships/hyperlink" Target="https://www.kegg.jp/entry/C00111" TargetMode="External"/><Relationship Id="rId252" Type="http://schemas.openxmlformats.org/officeDocument/2006/relationships/hyperlink" Target="https://enzyme.expasy.org/EC/2.7.1.15" TargetMode="External"/><Relationship Id="rId294" Type="http://schemas.openxmlformats.org/officeDocument/2006/relationships/hyperlink" Target="https://enzyme.expasy.org/EC/4.3.1.17" TargetMode="External"/><Relationship Id="rId308" Type="http://schemas.openxmlformats.org/officeDocument/2006/relationships/hyperlink" Target="https://enzyme.expasy.org/EC/3.5.4.3" TargetMode="External"/><Relationship Id="rId515" Type="http://schemas.openxmlformats.org/officeDocument/2006/relationships/hyperlink" Target="https://enzyme.expasy.org/EC/3.2.1.21" TargetMode="External"/><Relationship Id="rId722" Type="http://schemas.openxmlformats.org/officeDocument/2006/relationships/hyperlink" Target="https://enzyme.expasy.org/EC/4.3.1.17" TargetMode="External"/><Relationship Id="rId47" Type="http://schemas.openxmlformats.org/officeDocument/2006/relationships/hyperlink" Target="../../magaasmac/Downloads/5.4.99.12" TargetMode="External"/><Relationship Id="rId89" Type="http://schemas.openxmlformats.org/officeDocument/2006/relationships/hyperlink" Target="https://enzyme.expasy.org/EC/1.1.1.205" TargetMode="External"/><Relationship Id="rId112" Type="http://schemas.openxmlformats.org/officeDocument/2006/relationships/hyperlink" Target="https://enzyme.expasy.org/EC/2.6.1.13" TargetMode="External"/><Relationship Id="rId154" Type="http://schemas.openxmlformats.org/officeDocument/2006/relationships/hyperlink" Target="https://enzyme.expasy.org/EC/1.97.1.4" TargetMode="External"/><Relationship Id="rId361" Type="http://schemas.openxmlformats.org/officeDocument/2006/relationships/hyperlink" Target="https://enzyme.expasy.org/EC/5.1.3.14" TargetMode="External"/><Relationship Id="rId557" Type="http://schemas.openxmlformats.org/officeDocument/2006/relationships/hyperlink" Target="https://enzyme.expasy.org/EC/2.7.1.40" TargetMode="External"/><Relationship Id="rId599" Type="http://schemas.openxmlformats.org/officeDocument/2006/relationships/hyperlink" Target="https://enzyme.expasy.org/EC/2.7.1.11" TargetMode="External"/><Relationship Id="rId764" Type="http://schemas.openxmlformats.org/officeDocument/2006/relationships/hyperlink" Target="https://www.kegg.jp/entry/C04188" TargetMode="External"/><Relationship Id="rId196" Type="http://schemas.openxmlformats.org/officeDocument/2006/relationships/hyperlink" Target="https://enzyme.expasy.org/EC/1.4.1.4" TargetMode="External"/><Relationship Id="rId417" Type="http://schemas.openxmlformats.org/officeDocument/2006/relationships/hyperlink" Target="https://enzyme.expasy.org/EC/1.5.1.2" TargetMode="External"/><Relationship Id="rId459" Type="http://schemas.openxmlformats.org/officeDocument/2006/relationships/hyperlink" Target="https://enzyme.expasy.org/EC/3.5.4.16" TargetMode="External"/><Relationship Id="rId624" Type="http://schemas.openxmlformats.org/officeDocument/2006/relationships/hyperlink" Target="https://enzyme.expasy.org/EC/3.6.1.9" TargetMode="External"/><Relationship Id="rId666" Type="http://schemas.openxmlformats.org/officeDocument/2006/relationships/hyperlink" Target="https://enzyme.expasy.org/EC/3.5.1.1" TargetMode="External"/><Relationship Id="rId831" Type="http://schemas.openxmlformats.org/officeDocument/2006/relationships/hyperlink" Target="https://www.genome.jp/entry/C18094" TargetMode="External"/><Relationship Id="rId16" Type="http://schemas.openxmlformats.org/officeDocument/2006/relationships/hyperlink" Target="https://enzyme.expasy.org/EC/2.7.1.21" TargetMode="External"/><Relationship Id="rId221" Type="http://schemas.openxmlformats.org/officeDocument/2006/relationships/hyperlink" Target="https://enzyme.expasy.org/EC/4.1.1.11" TargetMode="External"/><Relationship Id="rId263" Type="http://schemas.openxmlformats.org/officeDocument/2006/relationships/hyperlink" Target="https://enzyme.expasy.org/EC/1.1.1.37" TargetMode="External"/><Relationship Id="rId319" Type="http://schemas.openxmlformats.org/officeDocument/2006/relationships/hyperlink" Target="https://enzyme.expasy.org/EC/2.7.4.7" TargetMode="External"/><Relationship Id="rId470" Type="http://schemas.openxmlformats.org/officeDocument/2006/relationships/hyperlink" Target="https://enzyme.expasy.org/EC/2.3.1.179" TargetMode="External"/><Relationship Id="rId526" Type="http://schemas.openxmlformats.org/officeDocument/2006/relationships/hyperlink" Target="https://enzyme.expasy.org/EC/3.2.1.21" TargetMode="External"/><Relationship Id="rId58" Type="http://schemas.openxmlformats.org/officeDocument/2006/relationships/hyperlink" Target="https://enzyme.expasy.org/EC/4.2.1.33" TargetMode="External"/><Relationship Id="rId123" Type="http://schemas.openxmlformats.org/officeDocument/2006/relationships/hyperlink" Target="https://enzyme.expasy.org/EC/2.6.1.37" TargetMode="External"/><Relationship Id="rId330" Type="http://schemas.openxmlformats.org/officeDocument/2006/relationships/hyperlink" Target="https://enzyme.expasy.org/EC/2.8.4.4" TargetMode="External"/><Relationship Id="rId568" Type="http://schemas.openxmlformats.org/officeDocument/2006/relationships/hyperlink" Target="https://enzyme.expasy.org/EC/2.7.7.7" TargetMode="External"/><Relationship Id="rId733" Type="http://schemas.openxmlformats.org/officeDocument/2006/relationships/hyperlink" Target="https://enzyme.expasy.org/EC/4.2.1.3" TargetMode="External"/><Relationship Id="rId775" Type="http://schemas.openxmlformats.org/officeDocument/2006/relationships/hyperlink" Target="https://www.genome.jp/entry/C00935" TargetMode="External"/><Relationship Id="rId165" Type="http://schemas.openxmlformats.org/officeDocument/2006/relationships/hyperlink" Target="https://enzyme.expasy.org/EC/2.7.1.11" TargetMode="External"/><Relationship Id="rId372" Type="http://schemas.openxmlformats.org/officeDocument/2006/relationships/hyperlink" Target="https://enzyme.expasy.org/EC/2.4.2.8" TargetMode="External"/><Relationship Id="rId428" Type="http://schemas.openxmlformats.org/officeDocument/2006/relationships/hyperlink" Target="https://enzyme.expasy.org/EC/2.7.7.6" TargetMode="External"/><Relationship Id="rId635" Type="http://schemas.openxmlformats.org/officeDocument/2006/relationships/hyperlink" Target="https://enzyme.expasy.org/EC/1.17.4.1" TargetMode="External"/><Relationship Id="rId677" Type="http://schemas.openxmlformats.org/officeDocument/2006/relationships/hyperlink" Target="https://enzyme.expasy.org/EC/1.8.1.9" TargetMode="External"/><Relationship Id="rId800" Type="http://schemas.openxmlformats.org/officeDocument/2006/relationships/hyperlink" Target="https://www.kegg.jp/entry/C01103" TargetMode="External"/><Relationship Id="rId232" Type="http://schemas.openxmlformats.org/officeDocument/2006/relationships/hyperlink" Target="https://enzyme.expasy.org/EC/2.1.2.10" TargetMode="External"/><Relationship Id="rId274" Type="http://schemas.openxmlformats.org/officeDocument/2006/relationships/hyperlink" Target="https://enzyme.expasy.org/EC/5.1.3.2" TargetMode="External"/><Relationship Id="rId481" Type="http://schemas.openxmlformats.org/officeDocument/2006/relationships/hyperlink" Target="https://enzyme.expasy.org/EC/2.7.7.7" TargetMode="External"/><Relationship Id="rId702" Type="http://schemas.openxmlformats.org/officeDocument/2006/relationships/hyperlink" Target="https://enzyme.expasy.org/EC/2.7.4.6" TargetMode="External"/><Relationship Id="rId27" Type="http://schemas.openxmlformats.org/officeDocument/2006/relationships/hyperlink" Target="https://enzyme.expasy.org/EC/3.1.1.31" TargetMode="External"/><Relationship Id="rId69" Type="http://schemas.openxmlformats.org/officeDocument/2006/relationships/hyperlink" Target="https://enzyme.expasy.org/EC/2.3.1.129" TargetMode="External"/><Relationship Id="rId134" Type="http://schemas.openxmlformats.org/officeDocument/2006/relationships/hyperlink" Target="https://enzyme.expasy.org/EC/3.2.1.21" TargetMode="External"/><Relationship Id="rId537" Type="http://schemas.openxmlformats.org/officeDocument/2006/relationships/hyperlink" Target="https://enzyme.expasy.org/EC/3.2.1.21" TargetMode="External"/><Relationship Id="rId579" Type="http://schemas.openxmlformats.org/officeDocument/2006/relationships/hyperlink" Target="https://enzyme.expasy.org/EC/2.7.7.7" TargetMode="External"/><Relationship Id="rId744" Type="http://schemas.openxmlformats.org/officeDocument/2006/relationships/hyperlink" Target="https://enzyme.expasy.org/EC/2.5.1.47" TargetMode="External"/><Relationship Id="rId786" Type="http://schemas.openxmlformats.org/officeDocument/2006/relationships/hyperlink" Target="https://www.kegg.jp/entry/C00031" TargetMode="External"/><Relationship Id="rId80" Type="http://schemas.openxmlformats.org/officeDocument/2006/relationships/hyperlink" Target="https://enzyme.expasy.org/EC/2.7.7.6" TargetMode="External"/><Relationship Id="rId176" Type="http://schemas.openxmlformats.org/officeDocument/2006/relationships/hyperlink" Target="https://enzyme.expasy.org/EC/2.1.1.33" TargetMode="External"/><Relationship Id="rId341" Type="http://schemas.openxmlformats.org/officeDocument/2006/relationships/hyperlink" Target="https://enzyme.expasy.org/EC/2.1.2.11" TargetMode="External"/><Relationship Id="rId383" Type="http://schemas.openxmlformats.org/officeDocument/2006/relationships/hyperlink" Target="https://enzyme.expasy.org/EC/1.1.1.85" TargetMode="External"/><Relationship Id="rId439" Type="http://schemas.openxmlformats.org/officeDocument/2006/relationships/hyperlink" Target="https://enzyme.expasy.org/EC/2.7.7.6" TargetMode="External"/><Relationship Id="rId590" Type="http://schemas.openxmlformats.org/officeDocument/2006/relationships/hyperlink" Target="https://enzyme.expasy.org/EC/2.7.1.11" TargetMode="External"/><Relationship Id="rId604" Type="http://schemas.openxmlformats.org/officeDocument/2006/relationships/hyperlink" Target="https://enzyme.expasy.org/EC/2.7.1.11" TargetMode="External"/><Relationship Id="rId646" Type="http://schemas.openxmlformats.org/officeDocument/2006/relationships/hyperlink" Target="https://enzyme.expasy.org/EC/1.1.1.94" TargetMode="External"/><Relationship Id="rId811" Type="http://schemas.openxmlformats.org/officeDocument/2006/relationships/hyperlink" Target="https://www.genome.jp/entry/C00052" TargetMode="External"/><Relationship Id="rId201" Type="http://schemas.openxmlformats.org/officeDocument/2006/relationships/hyperlink" Target="https://enzyme.expasy.org/EC/2.4.2.21" TargetMode="External"/><Relationship Id="rId243" Type="http://schemas.openxmlformats.org/officeDocument/2006/relationships/hyperlink" Target="https://enzyme.expasy.org/EC/2.1.2.9" TargetMode="External"/><Relationship Id="rId285" Type="http://schemas.openxmlformats.org/officeDocument/2006/relationships/hyperlink" Target="https://enzyme.expasy.org/EC/2.7.1.23" TargetMode="External"/><Relationship Id="rId450" Type="http://schemas.openxmlformats.org/officeDocument/2006/relationships/hyperlink" Target="https://enzyme.expasy.org/EC/2.7.8.13" TargetMode="External"/><Relationship Id="rId506" Type="http://schemas.openxmlformats.org/officeDocument/2006/relationships/hyperlink" Target="https://enzyme.expasy.org/EC/3.2.1.21" TargetMode="External"/><Relationship Id="rId688" Type="http://schemas.openxmlformats.org/officeDocument/2006/relationships/hyperlink" Target="https://enzyme.expasy.org/EC/6.1.1.11" TargetMode="External"/><Relationship Id="rId38" Type="http://schemas.openxmlformats.org/officeDocument/2006/relationships/hyperlink" Target="https://enzyme.expasy.org/EC/5.1.3.14" TargetMode="External"/><Relationship Id="rId103" Type="http://schemas.openxmlformats.org/officeDocument/2006/relationships/hyperlink" Target="https://enzyme.expasy.org/EC/6.3.4.15" TargetMode="External"/><Relationship Id="rId310" Type="http://schemas.openxmlformats.org/officeDocument/2006/relationships/hyperlink" Target="https://enzyme.expasy.org/EC/2.7.7.7" TargetMode="External"/><Relationship Id="rId492" Type="http://schemas.openxmlformats.org/officeDocument/2006/relationships/hyperlink" Target="https://enzyme.expasy.org/EC/3.2.1.21" TargetMode="External"/><Relationship Id="rId548" Type="http://schemas.openxmlformats.org/officeDocument/2006/relationships/hyperlink" Target="https://enzyme.expasy.org/EC/6.3.5.5" TargetMode="External"/><Relationship Id="rId713" Type="http://schemas.openxmlformats.org/officeDocument/2006/relationships/hyperlink" Target="https://enzyme.expasy.org/EC/1.1.1.100" TargetMode="External"/><Relationship Id="rId755" Type="http://schemas.openxmlformats.org/officeDocument/2006/relationships/hyperlink" Target="https://www.kegg.jp/entry/C00049" TargetMode="External"/><Relationship Id="rId797" Type="http://schemas.openxmlformats.org/officeDocument/2006/relationships/hyperlink" Target="https://www.kegg.jp/entry/C00868" TargetMode="External"/><Relationship Id="rId91" Type="http://schemas.openxmlformats.org/officeDocument/2006/relationships/hyperlink" Target="https://enzyme.expasy.org/EC/2.5.1.6" TargetMode="External"/><Relationship Id="rId145" Type="http://schemas.openxmlformats.org/officeDocument/2006/relationships/hyperlink" Target="https://enzyme.expasy.org/EC/1.2.1.11" TargetMode="External"/><Relationship Id="rId187" Type="http://schemas.openxmlformats.org/officeDocument/2006/relationships/hyperlink" Target="https://enzyme.expasy.org/EC/1.17.7.4" TargetMode="External"/><Relationship Id="rId352" Type="http://schemas.openxmlformats.org/officeDocument/2006/relationships/hyperlink" Target="https://enzyme.expasy.org/EC/6.3.5.5" TargetMode="External"/><Relationship Id="rId394" Type="http://schemas.openxmlformats.org/officeDocument/2006/relationships/hyperlink" Target="https://enzyme.expasy.org/EC/2.2.1.6" TargetMode="External"/><Relationship Id="rId408" Type="http://schemas.openxmlformats.org/officeDocument/2006/relationships/hyperlink" Target="https://enzyme.expasy.org/EC/3.5.4.5" TargetMode="External"/><Relationship Id="rId615" Type="http://schemas.openxmlformats.org/officeDocument/2006/relationships/hyperlink" Target="https://enzyme.expasy.org/EC/1.4.1.13" TargetMode="External"/><Relationship Id="rId822" Type="http://schemas.openxmlformats.org/officeDocument/2006/relationships/hyperlink" Target="https://www.kegg.jp/entry/C00031" TargetMode="External"/><Relationship Id="rId212" Type="http://schemas.openxmlformats.org/officeDocument/2006/relationships/hyperlink" Target="https://enzyme.expasy.org/EC/5.3.1.9" TargetMode="External"/><Relationship Id="rId254" Type="http://schemas.openxmlformats.org/officeDocument/2006/relationships/hyperlink" Target="https://enzyme.expasy.org/EC/2.7.1.24" TargetMode="External"/><Relationship Id="rId657" Type="http://schemas.openxmlformats.org/officeDocument/2006/relationships/hyperlink" Target="https://enzyme.expasy.org/EC/6.3.5.4" TargetMode="External"/><Relationship Id="rId699" Type="http://schemas.openxmlformats.org/officeDocument/2006/relationships/hyperlink" Target="https://enzyme.expasy.org/EC/2.7.4.6" TargetMode="External"/><Relationship Id="rId49" Type="http://schemas.openxmlformats.org/officeDocument/2006/relationships/hyperlink" Target="https://enzyme.expasy.org/EC/6.3.2.6" TargetMode="External"/><Relationship Id="rId114" Type="http://schemas.openxmlformats.org/officeDocument/2006/relationships/hyperlink" Target="https://enzyme.expasy.org/EC/3.5.4.16" TargetMode="External"/><Relationship Id="rId296" Type="http://schemas.openxmlformats.org/officeDocument/2006/relationships/hyperlink" Target="https://enzyme.expasy.org/EC/4.1.2.19" TargetMode="External"/><Relationship Id="rId461" Type="http://schemas.openxmlformats.org/officeDocument/2006/relationships/hyperlink" Target="https://enzyme.expasy.org/EC/3.5.4.16" TargetMode="External"/><Relationship Id="rId517" Type="http://schemas.openxmlformats.org/officeDocument/2006/relationships/hyperlink" Target="https://enzyme.expasy.org/EC/3.2.1.21" TargetMode="External"/><Relationship Id="rId559" Type="http://schemas.openxmlformats.org/officeDocument/2006/relationships/hyperlink" Target="https://enzyme.expasy.org/EC/2.7.1.40" TargetMode="External"/><Relationship Id="rId724" Type="http://schemas.openxmlformats.org/officeDocument/2006/relationships/hyperlink" Target="https://enzyme.expasy.org/EC/4.1.2.19" TargetMode="External"/><Relationship Id="rId766" Type="http://schemas.openxmlformats.org/officeDocument/2006/relationships/hyperlink" Target="https://www.kegg.jp/entry/C03680" TargetMode="External"/><Relationship Id="rId60" Type="http://schemas.openxmlformats.org/officeDocument/2006/relationships/hyperlink" Target="https://enzyme.expasy.org/EC/2.2.1.6" TargetMode="External"/><Relationship Id="rId156" Type="http://schemas.openxmlformats.org/officeDocument/2006/relationships/hyperlink" Target="https://enzyme.expasy.org/EC/1.11.1.24" TargetMode="External"/><Relationship Id="rId198" Type="http://schemas.openxmlformats.org/officeDocument/2006/relationships/hyperlink" Target="https://enzyme.expasy.org/EC/2.7.2.4" TargetMode="External"/><Relationship Id="rId321" Type="http://schemas.openxmlformats.org/officeDocument/2006/relationships/hyperlink" Target="https://enzyme.expasy.org/EC/2.7.9.1" TargetMode="External"/><Relationship Id="rId363" Type="http://schemas.openxmlformats.org/officeDocument/2006/relationships/hyperlink" Target="https://enzyme.expasy.org/EC/5.1.3.14" TargetMode="External"/><Relationship Id="rId419" Type="http://schemas.openxmlformats.org/officeDocument/2006/relationships/hyperlink" Target="https://enzyme.expasy.org/EC/1.2.1.88" TargetMode="External"/><Relationship Id="rId570" Type="http://schemas.openxmlformats.org/officeDocument/2006/relationships/hyperlink" Target="https://enzyme.expasy.org/EC/2.7.7.7" TargetMode="External"/><Relationship Id="rId626" Type="http://schemas.openxmlformats.org/officeDocument/2006/relationships/hyperlink" Target="https://enzyme.expasy.org/EC/3.6.1.9" TargetMode="External"/><Relationship Id="rId223" Type="http://schemas.openxmlformats.org/officeDocument/2006/relationships/hyperlink" Target="https://enzyme.expasy.org/EC/3.5.1.25" TargetMode="External"/><Relationship Id="rId430" Type="http://schemas.openxmlformats.org/officeDocument/2006/relationships/hyperlink" Target="https://enzyme.expasy.org/EC/2.7.7.6" TargetMode="External"/><Relationship Id="rId668" Type="http://schemas.openxmlformats.org/officeDocument/2006/relationships/hyperlink" Target="https://enzyme.expasy.org/EC/6.3.5.2" TargetMode="External"/><Relationship Id="rId833" Type="http://schemas.openxmlformats.org/officeDocument/2006/relationships/hyperlink" Target="https://www.genome.jp/entry/C18094" TargetMode="External"/><Relationship Id="rId18" Type="http://schemas.openxmlformats.org/officeDocument/2006/relationships/hyperlink" Target="https://enzyme.expasy.org/EC/6.3.2.5https:/enzyme.expasy.org/EC/6.3.2.5" TargetMode="External"/><Relationship Id="rId265" Type="http://schemas.openxmlformats.org/officeDocument/2006/relationships/hyperlink" Target="https://enzyme.expasy.org/EC/2.1.1.13" TargetMode="External"/><Relationship Id="rId472" Type="http://schemas.openxmlformats.org/officeDocument/2006/relationships/hyperlink" Target="https://enzyme.expasy.org/EC/2.3.1.179" TargetMode="External"/><Relationship Id="rId528" Type="http://schemas.openxmlformats.org/officeDocument/2006/relationships/hyperlink" Target="https://enzyme.expasy.org/EC/3.2.1.21" TargetMode="External"/><Relationship Id="rId735" Type="http://schemas.openxmlformats.org/officeDocument/2006/relationships/hyperlink" Target="https://enzyme.expasy.org/EC/2.6.1.1" TargetMode="External"/><Relationship Id="rId125" Type="http://schemas.openxmlformats.org/officeDocument/2006/relationships/hyperlink" Target="https://enzyme.expasy.org/EC/3.5.4.2" TargetMode="External"/><Relationship Id="rId167" Type="http://schemas.openxmlformats.org/officeDocument/2006/relationships/hyperlink" Target="../../magaasmac/Downloads/v" TargetMode="External"/><Relationship Id="rId332" Type="http://schemas.openxmlformats.org/officeDocument/2006/relationships/hyperlink" Target="https://enzyme.expasy.org/EC/3.2.1.1" TargetMode="External"/><Relationship Id="rId374" Type="http://schemas.openxmlformats.org/officeDocument/2006/relationships/hyperlink" Target="https://enzyme.expasy.org/EC/6.3.3.3" TargetMode="External"/><Relationship Id="rId581" Type="http://schemas.openxmlformats.org/officeDocument/2006/relationships/hyperlink" Target="https://enzyme.expasy.org/EC/2.7.7.7" TargetMode="External"/><Relationship Id="rId777" Type="http://schemas.openxmlformats.org/officeDocument/2006/relationships/hyperlink" Target="https://www.kegg.jp/entry/C01170" TargetMode="External"/><Relationship Id="rId71" Type="http://schemas.openxmlformats.org/officeDocument/2006/relationships/hyperlink" Target="https://enzyme.expasy.org/EC/5.3.1.6" TargetMode="External"/><Relationship Id="rId234" Type="http://schemas.openxmlformats.org/officeDocument/2006/relationships/hyperlink" Target="https://enzyme.expasy.org/EC/2.6.1.83" TargetMode="External"/><Relationship Id="rId637" Type="http://schemas.openxmlformats.org/officeDocument/2006/relationships/hyperlink" Target="https://enzyme.expasy.org/EC/1.17.4.1" TargetMode="External"/><Relationship Id="rId679" Type="http://schemas.openxmlformats.org/officeDocument/2006/relationships/hyperlink" Target="https://enzyme.expasy.org/EC/2.1.1.13" TargetMode="External"/><Relationship Id="rId802" Type="http://schemas.openxmlformats.org/officeDocument/2006/relationships/hyperlink" Target="https://www.kegg.jp/entry/C00631" TargetMode="External"/><Relationship Id="rId2" Type="http://schemas.openxmlformats.org/officeDocument/2006/relationships/hyperlink" Target="https://enzyme.expasy.org/EC/5.4.99.9" TargetMode="External"/><Relationship Id="rId29" Type="http://schemas.openxmlformats.org/officeDocument/2006/relationships/hyperlink" Target="https://enzyme.expasy.org/EC/5.4.2.11" TargetMode="External"/><Relationship Id="rId276" Type="http://schemas.openxmlformats.org/officeDocument/2006/relationships/hyperlink" Target="https://enzyme.expasy.org/EC/2.7.7.38" TargetMode="External"/><Relationship Id="rId441" Type="http://schemas.openxmlformats.org/officeDocument/2006/relationships/hyperlink" Target="https://enzyme.expasy.org/EC/2.7.7.6" TargetMode="External"/><Relationship Id="rId483" Type="http://schemas.openxmlformats.org/officeDocument/2006/relationships/hyperlink" Target="https://enzyme.expasy.org/EC/2.7.7.7" TargetMode="External"/><Relationship Id="rId539" Type="http://schemas.openxmlformats.org/officeDocument/2006/relationships/hyperlink" Target="https://enzyme.expasy.org/EC/3.2.1.21" TargetMode="External"/><Relationship Id="rId690" Type="http://schemas.openxmlformats.org/officeDocument/2006/relationships/hyperlink" Target="https://enzyme.expasy.org/EC/2.7.4.6" TargetMode="External"/><Relationship Id="rId704" Type="http://schemas.openxmlformats.org/officeDocument/2006/relationships/hyperlink" Target="https://enzyme.expasy.org/EC/2.7.1.90" TargetMode="External"/><Relationship Id="rId746" Type="http://schemas.openxmlformats.org/officeDocument/2006/relationships/hyperlink" Target="https://enzyme.expasy.org/EC/2.6.1.9" TargetMode="External"/><Relationship Id="rId40" Type="http://schemas.openxmlformats.org/officeDocument/2006/relationships/hyperlink" Target="https://enzyme.expasy.org/EC/3.5.4.10" TargetMode="External"/><Relationship Id="rId136" Type="http://schemas.openxmlformats.org/officeDocument/2006/relationships/hyperlink" Target="https://enzyme.expasy.org/EC/6.3.4.13" TargetMode="External"/><Relationship Id="rId178" Type="http://schemas.openxmlformats.org/officeDocument/2006/relationships/hyperlink" Target="../../magaasmac/Downloads/4.3.2.1" TargetMode="External"/><Relationship Id="rId301" Type="http://schemas.openxmlformats.org/officeDocument/2006/relationships/hyperlink" Target="https://enzyme.expasy.org/EC/2.6.1.85" TargetMode="External"/><Relationship Id="rId343" Type="http://schemas.openxmlformats.org/officeDocument/2006/relationships/hyperlink" Target="https://enzyme.expasy.org/EC/2.7.7.4" TargetMode="External"/><Relationship Id="rId550" Type="http://schemas.openxmlformats.org/officeDocument/2006/relationships/hyperlink" Target="https://enzyme.expasy.org/EC/6.3.5.5" TargetMode="External"/><Relationship Id="rId788" Type="http://schemas.openxmlformats.org/officeDocument/2006/relationships/hyperlink" Target="https://www.kegg.jp/entry/C01172" TargetMode="External"/><Relationship Id="rId82" Type="http://schemas.openxmlformats.org/officeDocument/2006/relationships/hyperlink" Target="https://enzyme.expasy.org/EC/5.3.1.23" TargetMode="External"/><Relationship Id="rId203" Type="http://schemas.openxmlformats.org/officeDocument/2006/relationships/hyperlink" Target="https://enzyme.expasy.org/EC/4.1.2.25" TargetMode="External"/><Relationship Id="rId385" Type="http://schemas.openxmlformats.org/officeDocument/2006/relationships/hyperlink" Target="https://enzyme.expasy.org/EC/4.2.1.33" TargetMode="External"/><Relationship Id="rId592" Type="http://schemas.openxmlformats.org/officeDocument/2006/relationships/hyperlink" Target="https://enzyme.expasy.org/EC/2.7.1.11" TargetMode="External"/><Relationship Id="rId606" Type="http://schemas.openxmlformats.org/officeDocument/2006/relationships/hyperlink" Target="https://enzyme.expasy.org/EC/5.4.2.11" TargetMode="External"/><Relationship Id="rId648" Type="http://schemas.openxmlformats.org/officeDocument/2006/relationships/hyperlink" Target="https://enzyme.expasy.org/EC/2.7.4.8" TargetMode="External"/><Relationship Id="rId813" Type="http://schemas.openxmlformats.org/officeDocument/2006/relationships/hyperlink" Target="https://www.kegg.jp/entry/C00345" TargetMode="External"/><Relationship Id="rId245" Type="http://schemas.openxmlformats.org/officeDocument/2006/relationships/hyperlink" Target="https://enzyme.expasy.org/EC/1.7.99.1" TargetMode="External"/><Relationship Id="rId287" Type="http://schemas.openxmlformats.org/officeDocument/2006/relationships/hyperlink" Target="https://enzyme.expasy.org/EC/2.4.2.22" TargetMode="External"/><Relationship Id="rId410" Type="http://schemas.openxmlformats.org/officeDocument/2006/relationships/hyperlink" Target="https://enzyme.expasy.org/EC/2.3.1.129" TargetMode="External"/><Relationship Id="rId452" Type="http://schemas.openxmlformats.org/officeDocument/2006/relationships/hyperlink" Target="https://enzyme.expasy.org/EC/6.3.4.15" TargetMode="External"/><Relationship Id="rId494" Type="http://schemas.openxmlformats.org/officeDocument/2006/relationships/hyperlink" Target="https://enzyme.expasy.org/EC/3.2.1.21" TargetMode="External"/><Relationship Id="rId508" Type="http://schemas.openxmlformats.org/officeDocument/2006/relationships/hyperlink" Target="https://enzyme.expasy.org/EC/3.2.1.21" TargetMode="External"/><Relationship Id="rId715" Type="http://schemas.openxmlformats.org/officeDocument/2006/relationships/hyperlink" Target="https://enzyme.expasy.org/EC/1.1.1.100" TargetMode="External"/><Relationship Id="rId105" Type="http://schemas.openxmlformats.org/officeDocument/2006/relationships/hyperlink" Target="https://enzyme.expasy.org/EC/4.6.1.12" TargetMode="External"/><Relationship Id="rId147" Type="http://schemas.openxmlformats.org/officeDocument/2006/relationships/hyperlink" Target="https://enzyme.expasy.org/EC/2.7.1.40" TargetMode="External"/><Relationship Id="rId312" Type="http://schemas.openxmlformats.org/officeDocument/2006/relationships/hyperlink" Target="https://enzyme.expasy.org/EC/3.1.3.3" TargetMode="External"/><Relationship Id="rId354" Type="http://schemas.openxmlformats.org/officeDocument/2006/relationships/hyperlink" Target="https://enzyme.expasy.org/EC/6.3.5.5" TargetMode="External"/><Relationship Id="rId757" Type="http://schemas.openxmlformats.org/officeDocument/2006/relationships/hyperlink" Target="https://www.kegg.jp/entry/C04352" TargetMode="External"/><Relationship Id="rId799" Type="http://schemas.openxmlformats.org/officeDocument/2006/relationships/hyperlink" Target="https://www.kegg.jp/entry/C00111" TargetMode="External"/><Relationship Id="rId51" Type="http://schemas.openxmlformats.org/officeDocument/2006/relationships/hyperlink" Target="https://enzyme.expasy.org/EC/3.5.4.19" TargetMode="External"/><Relationship Id="rId93" Type="http://schemas.openxmlformats.org/officeDocument/2006/relationships/hyperlink" Target="https://enzyme.expasy.org/EC/2.4.99.17" TargetMode="External"/><Relationship Id="rId189" Type="http://schemas.openxmlformats.org/officeDocument/2006/relationships/hyperlink" Target="https://enzyme.expasy.org/EC/2.1.1.45" TargetMode="External"/><Relationship Id="rId396" Type="http://schemas.openxmlformats.org/officeDocument/2006/relationships/hyperlink" Target="https://enzyme.expasy.org/EC/2.2.1.6" TargetMode="External"/><Relationship Id="rId561" Type="http://schemas.openxmlformats.org/officeDocument/2006/relationships/hyperlink" Target="https://enzyme.expasy.org/EC/2.5.1.17" TargetMode="External"/><Relationship Id="rId617" Type="http://schemas.openxmlformats.org/officeDocument/2006/relationships/hyperlink" Target="https://enzyme.expasy.org/EC/4.3.2.2" TargetMode="External"/><Relationship Id="rId659" Type="http://schemas.openxmlformats.org/officeDocument/2006/relationships/hyperlink" Target="https://enzyme.expasy.org/EC/2.6.1.42" TargetMode="External"/><Relationship Id="rId824" Type="http://schemas.openxmlformats.org/officeDocument/2006/relationships/hyperlink" Target="https://www.kegg.jp/entry/C00905" TargetMode="External"/><Relationship Id="rId214" Type="http://schemas.openxmlformats.org/officeDocument/2006/relationships/hyperlink" Target="https://enzyme.expasy.org/EC/6.1.1.6" TargetMode="External"/><Relationship Id="rId256" Type="http://schemas.openxmlformats.org/officeDocument/2006/relationships/hyperlink" Target="https://enzyme.expasy.org/EC/5.1.3.13" TargetMode="External"/><Relationship Id="rId298" Type="http://schemas.openxmlformats.org/officeDocument/2006/relationships/hyperlink" Target="https://enzyme.expasy.org/EC/2.1.1.72" TargetMode="External"/><Relationship Id="rId421" Type="http://schemas.openxmlformats.org/officeDocument/2006/relationships/hyperlink" Target="https://enzyme.expasy.org/EC/1.2.1.88" TargetMode="External"/><Relationship Id="rId463" Type="http://schemas.openxmlformats.org/officeDocument/2006/relationships/hyperlink" Target="https://enzyme.expasy.org/EC/2.7.7.8" TargetMode="External"/><Relationship Id="rId519" Type="http://schemas.openxmlformats.org/officeDocument/2006/relationships/hyperlink" Target="https://enzyme.expasy.org/EC/3.2.1.21" TargetMode="External"/><Relationship Id="rId670" Type="http://schemas.openxmlformats.org/officeDocument/2006/relationships/hyperlink" Target="https://enzyme.expasy.org/EC/6.3.5.2" TargetMode="External"/><Relationship Id="rId116" Type="http://schemas.openxmlformats.org/officeDocument/2006/relationships/hyperlink" Target="https://enzyme.expasy.org/EC/2.7.7.60" TargetMode="External"/><Relationship Id="rId158" Type="http://schemas.openxmlformats.org/officeDocument/2006/relationships/hyperlink" Target="https://enzyme.expasy.org/EC/6.3.4.14" TargetMode="External"/><Relationship Id="rId323" Type="http://schemas.openxmlformats.org/officeDocument/2006/relationships/hyperlink" Target="https://enzyme.expasy.org/EC/6.1.1.15" TargetMode="External"/><Relationship Id="rId530" Type="http://schemas.openxmlformats.org/officeDocument/2006/relationships/hyperlink" Target="https://enzyme.expasy.org/EC/3.2.1.21" TargetMode="External"/><Relationship Id="rId726" Type="http://schemas.openxmlformats.org/officeDocument/2006/relationships/hyperlink" Target="https://enzyme.expasy.org/EC/2.6.1.85" TargetMode="External"/><Relationship Id="rId768" Type="http://schemas.openxmlformats.org/officeDocument/2006/relationships/hyperlink" Target="https://www.kegg.jp/entry/C01172" TargetMode="External"/><Relationship Id="rId20" Type="http://schemas.openxmlformats.org/officeDocument/2006/relationships/hyperlink" Target="https://enzyme.expasy.org/EC/1.8.1.4" TargetMode="External"/><Relationship Id="rId62" Type="http://schemas.openxmlformats.org/officeDocument/2006/relationships/hyperlink" Target="https://enzyme.expasy.org/EC/4.2.1.9" TargetMode="External"/><Relationship Id="rId365" Type="http://schemas.openxmlformats.org/officeDocument/2006/relationships/hyperlink" Target="https://enzyme.expasy.org/EC/5.1.3.14" TargetMode="External"/><Relationship Id="rId572" Type="http://schemas.openxmlformats.org/officeDocument/2006/relationships/hyperlink" Target="https://enzyme.expasy.org/EC/2.7.7.7" TargetMode="External"/><Relationship Id="rId628" Type="http://schemas.openxmlformats.org/officeDocument/2006/relationships/hyperlink" Target="https://enzyme.expasy.org/EC/3.6.1.9" TargetMode="External"/><Relationship Id="rId225" Type="http://schemas.openxmlformats.org/officeDocument/2006/relationships/hyperlink" Target="https://enzyme.expasy.org/EC/4.2.3.1" TargetMode="External"/><Relationship Id="rId267" Type="http://schemas.openxmlformats.org/officeDocument/2006/relationships/hyperlink" Target="https://enzyme.expasy.org/EC/6.1.1.5" TargetMode="External"/><Relationship Id="rId432" Type="http://schemas.openxmlformats.org/officeDocument/2006/relationships/hyperlink" Target="https://enzyme.expasy.org/EC/2.7.7.6" TargetMode="External"/><Relationship Id="rId474" Type="http://schemas.openxmlformats.org/officeDocument/2006/relationships/hyperlink" Target="https://enzyme.expasy.org/EC/2.3.1.179" TargetMode="External"/><Relationship Id="rId127" Type="http://schemas.openxmlformats.org/officeDocument/2006/relationships/hyperlink" Target="https://enzyme.expasy.org/EC/2.7.7.7" TargetMode="External"/><Relationship Id="rId681" Type="http://schemas.openxmlformats.org/officeDocument/2006/relationships/hyperlink" Target="https://enzyme.expasy.org/EC/1.4.1.1" TargetMode="External"/><Relationship Id="rId737" Type="http://schemas.openxmlformats.org/officeDocument/2006/relationships/hyperlink" Target="https://enzyme.expasy.org/EC/2.6.1.1" TargetMode="External"/><Relationship Id="rId779" Type="http://schemas.openxmlformats.org/officeDocument/2006/relationships/hyperlink" Target="https://www.kegg.jp/entry/C01170" TargetMode="External"/><Relationship Id="rId31" Type="http://schemas.openxmlformats.org/officeDocument/2006/relationships/hyperlink" Target="https://enzyme.expasy.org/EC/4.2.1.20" TargetMode="External"/><Relationship Id="rId73" Type="http://schemas.openxmlformats.org/officeDocument/2006/relationships/hyperlink" Target="https://enzyme.expasy.org/EC/2.7.4.1" TargetMode="External"/><Relationship Id="rId169" Type="http://schemas.openxmlformats.org/officeDocument/2006/relationships/hyperlink" Target="https://enzyme.expasy.org/EC/1.4.1.16" TargetMode="External"/><Relationship Id="rId334" Type="http://schemas.openxmlformats.org/officeDocument/2006/relationships/hyperlink" Target="https://enzyme.expasy.org/EC/6.1.1.20" TargetMode="External"/><Relationship Id="rId376" Type="http://schemas.openxmlformats.org/officeDocument/2006/relationships/hyperlink" Target="https://enzyme.expasy.org/EC/4.3.1.19" TargetMode="External"/><Relationship Id="rId541" Type="http://schemas.openxmlformats.org/officeDocument/2006/relationships/hyperlink" Target="https://enzyme.expasy.org/EC/3.6.1.23" TargetMode="External"/><Relationship Id="rId583" Type="http://schemas.openxmlformats.org/officeDocument/2006/relationships/hyperlink" Target="https://enzyme.expasy.org/EC/2.7.7.7" TargetMode="External"/><Relationship Id="rId639" Type="http://schemas.openxmlformats.org/officeDocument/2006/relationships/hyperlink" Target="https://enzyme.expasy.org/EC/1.17.4.1" TargetMode="External"/><Relationship Id="rId790" Type="http://schemas.openxmlformats.org/officeDocument/2006/relationships/hyperlink" Target="https://www.genome.jp/entry/C00935" TargetMode="External"/><Relationship Id="rId804" Type="http://schemas.openxmlformats.org/officeDocument/2006/relationships/hyperlink" Target="https://www.kegg.jp/entry/C03406" TargetMode="External"/><Relationship Id="rId4" Type="http://schemas.openxmlformats.org/officeDocument/2006/relationships/hyperlink" Target="https://enzyme.expasy.org/EC/4.1.1.15" TargetMode="External"/><Relationship Id="rId180" Type="http://schemas.openxmlformats.org/officeDocument/2006/relationships/hyperlink" Target="https://enzyme.expasy.org/EC/1.1.1.193" TargetMode="External"/><Relationship Id="rId236" Type="http://schemas.openxmlformats.org/officeDocument/2006/relationships/hyperlink" Target="https://enzyme.expasy.org/EC/6.3.5.4" TargetMode="External"/><Relationship Id="rId278" Type="http://schemas.openxmlformats.org/officeDocument/2006/relationships/hyperlink" Target="https://enzyme.expasy.org/EC/6.1.1.11" TargetMode="External"/><Relationship Id="rId401" Type="http://schemas.openxmlformats.org/officeDocument/2006/relationships/hyperlink" Target="https://enzyme.expasy.org/EC/4.2.1.9" TargetMode="External"/><Relationship Id="rId443" Type="http://schemas.openxmlformats.org/officeDocument/2006/relationships/hyperlink" Target="https://enzyme.expasy.org/EC/1.1.1.205" TargetMode="External"/><Relationship Id="rId650" Type="http://schemas.openxmlformats.org/officeDocument/2006/relationships/hyperlink" Target="https://enzyme.expasy.org/EC/5.1.99.1" TargetMode="External"/><Relationship Id="rId303" Type="http://schemas.openxmlformats.org/officeDocument/2006/relationships/hyperlink" Target="https://enzyme.expasy.org/EC/2.4.2.9" TargetMode="External"/><Relationship Id="rId485" Type="http://schemas.openxmlformats.org/officeDocument/2006/relationships/hyperlink" Target="https://enzyme.expasy.org/EC/2.1.1.37" TargetMode="External"/><Relationship Id="rId692" Type="http://schemas.openxmlformats.org/officeDocument/2006/relationships/hyperlink" Target="https://enzyme.expasy.org/EC/2.7.4.6" TargetMode="External"/><Relationship Id="rId706" Type="http://schemas.openxmlformats.org/officeDocument/2006/relationships/hyperlink" Target="https://enzyme.expasy.org/EC/1.1.1.100" TargetMode="External"/><Relationship Id="rId748" Type="http://schemas.openxmlformats.org/officeDocument/2006/relationships/hyperlink" Target="https://enzyme.expasy.org/EC/1.1.1.23" TargetMode="External"/><Relationship Id="rId42" Type="http://schemas.openxmlformats.org/officeDocument/2006/relationships/hyperlink" Target="https://enzyme.expasy.org/EC/2.4.2.8" TargetMode="External"/><Relationship Id="rId84" Type="http://schemas.openxmlformats.org/officeDocument/2006/relationships/hyperlink" Target="https://enzyme.expasy.org/EC/2.7.1.33" TargetMode="External"/><Relationship Id="rId138" Type="http://schemas.openxmlformats.org/officeDocument/2006/relationships/hyperlink" Target="https://enzyme.expasy.org/EC/2.7.7.2" TargetMode="External"/><Relationship Id="rId345" Type="http://schemas.openxmlformats.org/officeDocument/2006/relationships/hyperlink" Target="https://enzyme.expasy.org/EC/5.3.1.5" TargetMode="External"/><Relationship Id="rId387" Type="http://schemas.openxmlformats.org/officeDocument/2006/relationships/hyperlink" Target="https://enzyme.expasy.org/EC/4.2.1.33" TargetMode="External"/><Relationship Id="rId510" Type="http://schemas.openxmlformats.org/officeDocument/2006/relationships/hyperlink" Target="https://enzyme.expasy.org/EC/3.2.1.21" TargetMode="External"/><Relationship Id="rId552" Type="http://schemas.openxmlformats.org/officeDocument/2006/relationships/hyperlink" Target="https://enzyme.expasy.org/EC/6.3.5.5" TargetMode="External"/><Relationship Id="rId594" Type="http://schemas.openxmlformats.org/officeDocument/2006/relationships/hyperlink" Target="https://enzyme.expasy.org/EC/2.7.1.11" TargetMode="External"/><Relationship Id="rId608" Type="http://schemas.openxmlformats.org/officeDocument/2006/relationships/hyperlink" Target="../../magaasmac/Downloads/v" TargetMode="External"/><Relationship Id="rId815" Type="http://schemas.openxmlformats.org/officeDocument/2006/relationships/hyperlink" Target="https://www.kegg.jp/entry/C01170" TargetMode="External"/><Relationship Id="rId191" Type="http://schemas.openxmlformats.org/officeDocument/2006/relationships/hyperlink" Target="https://enzyme.expasy.org/EC/2.8.1.13" TargetMode="External"/><Relationship Id="rId205" Type="http://schemas.openxmlformats.org/officeDocument/2006/relationships/hyperlink" Target="https://enzyme.expasy.org/EC/4.2.1.47" TargetMode="External"/><Relationship Id="rId247" Type="http://schemas.openxmlformats.org/officeDocument/2006/relationships/hyperlink" Target="https://enzyme.expasy.org/EC/3.5.1.1" TargetMode="External"/><Relationship Id="rId412" Type="http://schemas.openxmlformats.org/officeDocument/2006/relationships/hyperlink" Target="https://enzyme.expasy.org/EC/5.3.1.6" TargetMode="External"/><Relationship Id="rId107" Type="http://schemas.openxmlformats.org/officeDocument/2006/relationships/hyperlink" Target="https://enzyme.expasy.org/EC/3.1.6.1" TargetMode="External"/><Relationship Id="rId289" Type="http://schemas.openxmlformats.org/officeDocument/2006/relationships/hyperlink" Target="https://enzyme.expasy.org/EC/4.1.2.13" TargetMode="External"/><Relationship Id="rId454" Type="http://schemas.openxmlformats.org/officeDocument/2006/relationships/hyperlink" Target="https://enzyme.expasy.org/EC/3.1.6.1" TargetMode="External"/><Relationship Id="rId496" Type="http://schemas.openxmlformats.org/officeDocument/2006/relationships/hyperlink" Target="https://enzyme.expasy.org/EC/3.2.1.21" TargetMode="External"/><Relationship Id="rId661" Type="http://schemas.openxmlformats.org/officeDocument/2006/relationships/hyperlink" Target="https://enzyme.expasy.org/EC/2.6.1.42" TargetMode="External"/><Relationship Id="rId717" Type="http://schemas.openxmlformats.org/officeDocument/2006/relationships/hyperlink" Target="https://enzyme.expasy.org/EC/4.1.2.13" TargetMode="External"/><Relationship Id="rId759" Type="http://schemas.openxmlformats.org/officeDocument/2006/relationships/hyperlink" Target="https://www.kegg.jp/entry/C00096" TargetMode="External"/><Relationship Id="rId11" Type="http://schemas.openxmlformats.org/officeDocument/2006/relationships/hyperlink" Target="https://enzyme.expasy.org/EC/2.7.1.25" TargetMode="External"/><Relationship Id="rId53" Type="http://schemas.openxmlformats.org/officeDocument/2006/relationships/hyperlink" Target="https://enzyme.expasy.org/EC/2.7.2.4" TargetMode="External"/><Relationship Id="rId149" Type="http://schemas.openxmlformats.org/officeDocument/2006/relationships/hyperlink" Target="https://enzyme.expasy.org/EC/2.7.7.3" TargetMode="External"/><Relationship Id="rId314" Type="http://schemas.openxmlformats.org/officeDocument/2006/relationships/hyperlink" Target="https://enzyme.expasy.org/EC/2.6.1.1" TargetMode="External"/><Relationship Id="rId356" Type="http://schemas.openxmlformats.org/officeDocument/2006/relationships/hyperlink" Target="https://enzyme.expasy.org/EC/6.3.5.5" TargetMode="External"/><Relationship Id="rId398" Type="http://schemas.openxmlformats.org/officeDocument/2006/relationships/hyperlink" Target="https://enzyme.expasy.org/EC/2.2.1.6" TargetMode="External"/><Relationship Id="rId521" Type="http://schemas.openxmlformats.org/officeDocument/2006/relationships/hyperlink" Target="https://enzyme.expasy.org/EC/3.2.1.21" TargetMode="External"/><Relationship Id="rId563" Type="http://schemas.openxmlformats.org/officeDocument/2006/relationships/hyperlink" Target="https://enzyme.expasy.org/EC/2.5.1.17" TargetMode="External"/><Relationship Id="rId619" Type="http://schemas.openxmlformats.org/officeDocument/2006/relationships/hyperlink" Target="https://enzyme.expasy.org/EC/2.7.4.25" TargetMode="External"/><Relationship Id="rId770" Type="http://schemas.openxmlformats.org/officeDocument/2006/relationships/hyperlink" Target="https://www.genome.jp/entry/C03733" TargetMode="External"/><Relationship Id="rId95" Type="http://schemas.openxmlformats.org/officeDocument/2006/relationships/hyperlink" Target="https://enzyme.expasy.org/EC/2.4.1.227" TargetMode="External"/><Relationship Id="rId160" Type="http://schemas.openxmlformats.org/officeDocument/2006/relationships/hyperlink" Target="https://enzyme.expasy.org/EC/3.6.1.22" TargetMode="External"/><Relationship Id="rId216" Type="http://schemas.openxmlformats.org/officeDocument/2006/relationships/hyperlink" Target="https://enzyme.expasy.org/EC/2.7.4.8" TargetMode="External"/><Relationship Id="rId423" Type="http://schemas.openxmlformats.org/officeDocument/2006/relationships/hyperlink" Target="https://enzyme.expasy.org/EC/1.2.1.88" TargetMode="External"/><Relationship Id="rId826" Type="http://schemas.openxmlformats.org/officeDocument/2006/relationships/hyperlink" Target="https://enzyme.expasy.org/EC/2.7.1.25" TargetMode="External"/><Relationship Id="rId258" Type="http://schemas.openxmlformats.org/officeDocument/2006/relationships/hyperlink" Target="https://enzyme.expasy.org/EC/6.3.5.2" TargetMode="External"/><Relationship Id="rId465" Type="http://schemas.openxmlformats.org/officeDocument/2006/relationships/hyperlink" Target="https://enzyme.expasy.org/EC/2.7.7.8" TargetMode="External"/><Relationship Id="rId630" Type="http://schemas.openxmlformats.org/officeDocument/2006/relationships/hyperlink" Target="https://enzyme.expasy.org/EC/3.6.1.9" TargetMode="External"/><Relationship Id="rId672" Type="http://schemas.openxmlformats.org/officeDocument/2006/relationships/hyperlink" Target="https://enzyme.expasy.org/EC/6.3.5.2" TargetMode="External"/><Relationship Id="rId728" Type="http://schemas.openxmlformats.org/officeDocument/2006/relationships/hyperlink" Target="https://enzyme.expasy.org/EC/1.3.1.1" TargetMode="External"/><Relationship Id="rId22" Type="http://schemas.openxmlformats.org/officeDocument/2006/relationships/hyperlink" Target="https://enzyme.expasy.org/EC/6.1.1.3" TargetMode="External"/><Relationship Id="rId64" Type="http://schemas.openxmlformats.org/officeDocument/2006/relationships/hyperlink" Target="https://enzyme.expasy.org/EC/2.4.2.19" TargetMode="External"/><Relationship Id="rId118" Type="http://schemas.openxmlformats.org/officeDocument/2006/relationships/hyperlink" Target="https://enzyme.expasy.org/EC/5.4.99.9" TargetMode="External"/><Relationship Id="rId325" Type="http://schemas.openxmlformats.org/officeDocument/2006/relationships/hyperlink" Target="https://enzyme.expasy.org/EC/3.1.3.15" TargetMode="External"/><Relationship Id="rId367" Type="http://schemas.openxmlformats.org/officeDocument/2006/relationships/hyperlink" Target="https://enzyme.expasy.org/EC/2.7.4.3" TargetMode="External"/><Relationship Id="rId532" Type="http://schemas.openxmlformats.org/officeDocument/2006/relationships/hyperlink" Target="https://enzyme.expasy.org/EC/3.2.1.21" TargetMode="External"/><Relationship Id="rId574" Type="http://schemas.openxmlformats.org/officeDocument/2006/relationships/hyperlink" Target="https://enzyme.expasy.org/EC/2.7.7.7" TargetMode="External"/><Relationship Id="rId171" Type="http://schemas.openxmlformats.org/officeDocument/2006/relationships/hyperlink" Target="https://enzyme.expasy.org/EC/6.1.1.19" TargetMode="External"/><Relationship Id="rId227" Type="http://schemas.openxmlformats.org/officeDocument/2006/relationships/hyperlink" Target="https://enzyme.expasy.org/EC/1.1.1.3" TargetMode="External"/><Relationship Id="rId781" Type="http://schemas.openxmlformats.org/officeDocument/2006/relationships/hyperlink" Target="https://www.kegg.jp/entry/C20905" TargetMode="External"/><Relationship Id="rId269" Type="http://schemas.openxmlformats.org/officeDocument/2006/relationships/hyperlink" Target="https://enzyme.expasy.org/EC/2.5.1.7" TargetMode="External"/><Relationship Id="rId434" Type="http://schemas.openxmlformats.org/officeDocument/2006/relationships/hyperlink" Target="https://enzyme.expasy.org/EC/2.7.7.6" TargetMode="External"/><Relationship Id="rId476" Type="http://schemas.openxmlformats.org/officeDocument/2006/relationships/hyperlink" Target="https://enzyme.expasy.org/EC/2.3.1.179" TargetMode="External"/><Relationship Id="rId641" Type="http://schemas.openxmlformats.org/officeDocument/2006/relationships/hyperlink" Target="https://enzyme.expasy.org/EC/1.17.4.1" TargetMode="External"/><Relationship Id="rId683" Type="http://schemas.openxmlformats.org/officeDocument/2006/relationships/hyperlink" Target="https://enzyme.expasy.org/EC/2.6.1.52" TargetMode="External"/><Relationship Id="rId739" Type="http://schemas.openxmlformats.org/officeDocument/2006/relationships/hyperlink" Target="https://enzyme.expasy.org/EC/2.6.1.1" TargetMode="External"/><Relationship Id="rId33" Type="http://schemas.openxmlformats.org/officeDocument/2006/relationships/hyperlink" Target="https://enzyme.expasy.org/EC/4.1.1.48" TargetMode="External"/><Relationship Id="rId129" Type="http://schemas.openxmlformats.org/officeDocument/2006/relationships/hyperlink" Target="https://enzyme.expasy.org/EC/6.1.1.4" TargetMode="External"/><Relationship Id="rId280" Type="http://schemas.openxmlformats.org/officeDocument/2006/relationships/hyperlink" Target="https://enzyme.expasy.org/EC/5.1.3.14" TargetMode="External"/><Relationship Id="rId336" Type="http://schemas.openxmlformats.org/officeDocument/2006/relationships/hyperlink" Target="https://enzyme.expasy.org/EC/5.4.99.9" TargetMode="External"/><Relationship Id="rId501" Type="http://schemas.openxmlformats.org/officeDocument/2006/relationships/hyperlink" Target="https://enzyme.expasy.org/EC/3.2.1.21" TargetMode="External"/><Relationship Id="rId543" Type="http://schemas.openxmlformats.org/officeDocument/2006/relationships/hyperlink" Target="https://enzyme.expasy.org/EC/2.5.1.15" TargetMode="External"/><Relationship Id="rId75" Type="http://schemas.openxmlformats.org/officeDocument/2006/relationships/hyperlink" Target="https://enzyme.expasy.org/EC/1.5.1.2" TargetMode="External"/><Relationship Id="rId140" Type="http://schemas.openxmlformats.org/officeDocument/2006/relationships/hyperlink" Target="https://enzyme.expasy.org/EC/4.1.1.21" TargetMode="External"/><Relationship Id="rId182" Type="http://schemas.openxmlformats.org/officeDocument/2006/relationships/hyperlink" Target="https://enzyme.expasy.org/EC/5.1.1.3" TargetMode="External"/><Relationship Id="rId378" Type="http://schemas.openxmlformats.org/officeDocument/2006/relationships/hyperlink" Target="https://enzyme.expasy.org/EC/4.3.1.19" TargetMode="External"/><Relationship Id="rId403" Type="http://schemas.openxmlformats.org/officeDocument/2006/relationships/hyperlink" Target="https://enzyme.expasy.org/EC/2.7.7.7" TargetMode="External"/><Relationship Id="rId585" Type="http://schemas.openxmlformats.org/officeDocument/2006/relationships/hyperlink" Target="https://enzyme.expasy.org/EC/2.7.7.7" TargetMode="External"/><Relationship Id="rId750" Type="http://schemas.openxmlformats.org/officeDocument/2006/relationships/hyperlink" Target="https://enzyme.expasy.org/EC/4.1.1.96" TargetMode="External"/><Relationship Id="rId792" Type="http://schemas.openxmlformats.org/officeDocument/2006/relationships/hyperlink" Target="https://www.kegg.jp/entry/C00049" TargetMode="External"/><Relationship Id="rId806" Type="http://schemas.openxmlformats.org/officeDocument/2006/relationships/hyperlink" Target="https://www.kegg.jp/entry/C18172" TargetMode="External"/><Relationship Id="rId6" Type="http://schemas.openxmlformats.org/officeDocument/2006/relationships/hyperlink" Target="https://enzyme.expasy.org/EC/2.1.2.11" TargetMode="External"/><Relationship Id="rId238" Type="http://schemas.openxmlformats.org/officeDocument/2006/relationships/hyperlink" Target="https://enzyme.expasy.org/EC/3.1.1.29" TargetMode="External"/><Relationship Id="rId445" Type="http://schemas.openxmlformats.org/officeDocument/2006/relationships/hyperlink" Target="https://enzyme.expasy.org/EC/2.5.1.6" TargetMode="External"/><Relationship Id="rId487" Type="http://schemas.openxmlformats.org/officeDocument/2006/relationships/hyperlink" Target="https://enzyme.expasy.org/EC/1.8.1.4" TargetMode="External"/><Relationship Id="rId610" Type="http://schemas.openxmlformats.org/officeDocument/2006/relationships/hyperlink" Target="https://enzyme.expasy.org/EC/2.1.2.5" TargetMode="External"/><Relationship Id="rId652" Type="http://schemas.openxmlformats.org/officeDocument/2006/relationships/hyperlink" Target="https://enzyme.expasy.org/EC/1.1.1.262" TargetMode="External"/><Relationship Id="rId694" Type="http://schemas.openxmlformats.org/officeDocument/2006/relationships/hyperlink" Target="https://enzyme.expasy.org/EC/2.7.4.6" TargetMode="External"/><Relationship Id="rId708" Type="http://schemas.openxmlformats.org/officeDocument/2006/relationships/hyperlink" Target="https://enzyme.expasy.org/EC/1.1.1.100" TargetMode="External"/><Relationship Id="rId291" Type="http://schemas.openxmlformats.org/officeDocument/2006/relationships/hyperlink" Target="https://enzyme.expasy.org/EC/1.11.1.24" TargetMode="External"/><Relationship Id="rId305" Type="http://schemas.openxmlformats.org/officeDocument/2006/relationships/hyperlink" Target="https://enzyme.expasy.org/EC/4.1.3.36" TargetMode="External"/><Relationship Id="rId347" Type="http://schemas.openxmlformats.org/officeDocument/2006/relationships/hyperlink" Target="https://enzyme.expasy.org/EC/5.4.2.11" TargetMode="External"/><Relationship Id="rId512" Type="http://schemas.openxmlformats.org/officeDocument/2006/relationships/hyperlink" Target="https://enzyme.expasy.org/EC/3.2.1.21" TargetMode="External"/><Relationship Id="rId44" Type="http://schemas.openxmlformats.org/officeDocument/2006/relationships/hyperlink" Target="https://enzyme.expasy.org/EC/2.6.1.62" TargetMode="External"/><Relationship Id="rId86" Type="http://schemas.openxmlformats.org/officeDocument/2006/relationships/hyperlink" Target="https://enzyme.expasy.org/EC/5.4.99.2" TargetMode="External"/><Relationship Id="rId151" Type="http://schemas.openxmlformats.org/officeDocument/2006/relationships/hyperlink" Target="https://enzyme.expasy.org/EC/2.3.1.8" TargetMode="External"/><Relationship Id="rId389" Type="http://schemas.openxmlformats.org/officeDocument/2006/relationships/hyperlink" Target="https://enzyme.expasy.org/EC/2.2.1.6" TargetMode="External"/><Relationship Id="rId554" Type="http://schemas.openxmlformats.org/officeDocument/2006/relationships/hyperlink" Target="https://enzyme.expasy.org/EC/2.7.1.40" TargetMode="External"/><Relationship Id="rId596" Type="http://schemas.openxmlformats.org/officeDocument/2006/relationships/hyperlink" Target="https://enzyme.expasy.org/EC/2.7.1.11" TargetMode="External"/><Relationship Id="rId761" Type="http://schemas.openxmlformats.org/officeDocument/2006/relationships/hyperlink" Target="https://www.kegg.jp/entry/C05167" TargetMode="External"/><Relationship Id="rId817" Type="http://schemas.openxmlformats.org/officeDocument/2006/relationships/hyperlink" Target="https://www.kegg.jp/entry/C02764" TargetMode="External"/><Relationship Id="rId193" Type="http://schemas.openxmlformats.org/officeDocument/2006/relationships/hyperlink" Target="https://enzyme.expasy.org/EC/6.1.1.21" TargetMode="External"/><Relationship Id="rId207" Type="http://schemas.openxmlformats.org/officeDocument/2006/relationships/hyperlink" Target="https://enzyme.expasy.org/EC/6.3.4.14" TargetMode="External"/><Relationship Id="rId249" Type="http://schemas.openxmlformats.org/officeDocument/2006/relationships/hyperlink" Target="https://enzyme.expasy.org/EC/5.4.2.10" TargetMode="External"/><Relationship Id="rId414" Type="http://schemas.openxmlformats.org/officeDocument/2006/relationships/hyperlink" Target="https://enzyme.expasy.org/EC/2.8.1.8" TargetMode="External"/><Relationship Id="rId456" Type="http://schemas.openxmlformats.org/officeDocument/2006/relationships/hyperlink" Target="https://enzyme.expasy.org/EC/2.6.1.13" TargetMode="External"/><Relationship Id="rId498" Type="http://schemas.openxmlformats.org/officeDocument/2006/relationships/hyperlink" Target="https://enzyme.expasy.org/EC/3.2.1.21" TargetMode="External"/><Relationship Id="rId621" Type="http://schemas.openxmlformats.org/officeDocument/2006/relationships/hyperlink" Target="https://enzyme.expasy.org/EC/3.6.1.9" TargetMode="External"/><Relationship Id="rId663" Type="http://schemas.openxmlformats.org/officeDocument/2006/relationships/hyperlink" Target="https://enzyme.expasy.org/EC/2.7.1.35" TargetMode="External"/><Relationship Id="rId13" Type="http://schemas.openxmlformats.org/officeDocument/2006/relationships/hyperlink" Target="https://enzyme.expasy.org/EC/5.3.1.5" TargetMode="External"/><Relationship Id="rId109" Type="http://schemas.openxmlformats.org/officeDocument/2006/relationships/hyperlink" Target="https://enzyme.expasy.org/EC/5.4.2.12" TargetMode="External"/><Relationship Id="rId260" Type="http://schemas.openxmlformats.org/officeDocument/2006/relationships/hyperlink" Target="https://enzyme.expasy.org/EC/3.2.1.21" TargetMode="External"/><Relationship Id="rId316" Type="http://schemas.openxmlformats.org/officeDocument/2006/relationships/hyperlink" Target="https://enzyme.expasy.org/EC/2.1.1.131" TargetMode="External"/><Relationship Id="rId523" Type="http://schemas.openxmlformats.org/officeDocument/2006/relationships/hyperlink" Target="https://enzyme.expasy.org/EC/3.2.1.21" TargetMode="External"/><Relationship Id="rId719" Type="http://schemas.openxmlformats.org/officeDocument/2006/relationships/hyperlink" Target="https://enzyme.expasy.org/EC/4.1.2.13" TargetMode="External"/><Relationship Id="rId55" Type="http://schemas.openxmlformats.org/officeDocument/2006/relationships/hyperlink" Target="https://enzyme.expasy.org/EC/1.8.4.12" TargetMode="External"/><Relationship Id="rId97" Type="http://schemas.openxmlformats.org/officeDocument/2006/relationships/hyperlink" Target="https://enzyme.expasy.org/EC/2.7.8.13" TargetMode="External"/><Relationship Id="rId120" Type="http://schemas.openxmlformats.org/officeDocument/2006/relationships/hyperlink" Target="https://enzyme.expasy.org/EC/2.7.1.71" TargetMode="External"/><Relationship Id="rId358" Type="http://schemas.openxmlformats.org/officeDocument/2006/relationships/hyperlink" Target="https://enzyme.expasy.org/EC/6.3.5.5" TargetMode="External"/><Relationship Id="rId565" Type="http://schemas.openxmlformats.org/officeDocument/2006/relationships/hyperlink" Target="https://enzyme.expasy.org/EC/1.17.4.2" TargetMode="External"/><Relationship Id="rId730" Type="http://schemas.openxmlformats.org/officeDocument/2006/relationships/hyperlink" Target="https://enzyme.expasy.org/EC/4.1.3.36" TargetMode="External"/><Relationship Id="rId772" Type="http://schemas.openxmlformats.org/officeDocument/2006/relationships/hyperlink" Target="https://www.genome.jp/entry/C00052" TargetMode="External"/><Relationship Id="rId828" Type="http://schemas.openxmlformats.org/officeDocument/2006/relationships/hyperlink" Target="https://enzyme.expasy.org/EC/5.4.99.9" TargetMode="External"/><Relationship Id="rId162" Type="http://schemas.openxmlformats.org/officeDocument/2006/relationships/hyperlink" Target="https://enzyme.expasy.org/EC/3.5.4.25" TargetMode="External"/><Relationship Id="rId218" Type="http://schemas.openxmlformats.org/officeDocument/2006/relationships/hyperlink" Target="https://enzyme.expasy.org/EC/1.1.1.262" TargetMode="External"/><Relationship Id="rId425" Type="http://schemas.openxmlformats.org/officeDocument/2006/relationships/hyperlink" Target="https://enzyme.expasy.org/EC/2.7.7.6" TargetMode="External"/><Relationship Id="rId467" Type="http://schemas.openxmlformats.org/officeDocument/2006/relationships/hyperlink" Target="https://enzyme.expasy.org/EC/6.1.1.10" TargetMode="External"/><Relationship Id="rId632" Type="http://schemas.openxmlformats.org/officeDocument/2006/relationships/hyperlink" Target="https://enzyme.expasy.org/EC/1.4.1.4" TargetMode="External"/><Relationship Id="rId271" Type="http://schemas.openxmlformats.org/officeDocument/2006/relationships/hyperlink" Target="https://enzyme.expasy.org/EC/1.4.1.1" TargetMode="External"/><Relationship Id="rId674" Type="http://schemas.openxmlformats.org/officeDocument/2006/relationships/hyperlink" Target="https://enzyme.expasy.org/EC/2.3.1.129" TargetMode="External"/><Relationship Id="rId24" Type="http://schemas.openxmlformats.org/officeDocument/2006/relationships/hyperlink" Target="https://enzyme.expasy.org/EC/2.7.8.31" TargetMode="External"/><Relationship Id="rId66" Type="http://schemas.openxmlformats.org/officeDocument/2006/relationships/hyperlink" Target="https://enzyme.expasy.org/EC/3.5.4.5" TargetMode="External"/><Relationship Id="rId131" Type="http://schemas.openxmlformats.org/officeDocument/2006/relationships/hyperlink" Target="https://enzyme.expasy.org/EC/1.8.1.4" TargetMode="External"/><Relationship Id="rId327" Type="http://schemas.openxmlformats.org/officeDocument/2006/relationships/hyperlink" Target="https://enzyme.expasy.org/EC/2.6.1.9" TargetMode="External"/><Relationship Id="rId369" Type="http://schemas.openxmlformats.org/officeDocument/2006/relationships/hyperlink" Target="https://enzyme.expasy.org/EC/2.4.2.8" TargetMode="External"/><Relationship Id="rId534" Type="http://schemas.openxmlformats.org/officeDocument/2006/relationships/hyperlink" Target="https://enzyme.expasy.org/EC/3.2.1.21" TargetMode="External"/><Relationship Id="rId576" Type="http://schemas.openxmlformats.org/officeDocument/2006/relationships/hyperlink" Target="https://enzyme.expasy.org/EC/2.7.7.7" TargetMode="External"/><Relationship Id="rId741" Type="http://schemas.openxmlformats.org/officeDocument/2006/relationships/hyperlink" Target="https://enzyme.expasy.org/EC/4.1.1.12" TargetMode="External"/><Relationship Id="rId783" Type="http://schemas.openxmlformats.org/officeDocument/2006/relationships/hyperlink" Target="https://www.kegg.jp/entry/C00111" TargetMode="External"/><Relationship Id="rId173" Type="http://schemas.openxmlformats.org/officeDocument/2006/relationships/hyperlink" Target="https://enzyme.expasy.org/EC/4.2.1.49" TargetMode="External"/><Relationship Id="rId229" Type="http://schemas.openxmlformats.org/officeDocument/2006/relationships/hyperlink" Target="https://enzyme.expasy.org/EC/2.5.1.55" TargetMode="External"/><Relationship Id="rId380" Type="http://schemas.openxmlformats.org/officeDocument/2006/relationships/hyperlink" Target="https://enzyme.expasy.org/EC/1.1.1.85" TargetMode="External"/><Relationship Id="rId436" Type="http://schemas.openxmlformats.org/officeDocument/2006/relationships/hyperlink" Target="https://enzyme.expasy.org/EC/2.7.1.33" TargetMode="External"/><Relationship Id="rId601" Type="http://schemas.openxmlformats.org/officeDocument/2006/relationships/hyperlink" Target="https://enzyme.expasy.org/EC/2.7.1.11" TargetMode="External"/><Relationship Id="rId643" Type="http://schemas.openxmlformats.org/officeDocument/2006/relationships/hyperlink" Target="https://enzyme.expasy.org/EC/5.3.1.9" TargetMode="External"/><Relationship Id="rId240" Type="http://schemas.openxmlformats.org/officeDocument/2006/relationships/hyperlink" Target="https://enzyme.expasy.org/EC/1.5.1.20" TargetMode="External"/><Relationship Id="rId478" Type="http://schemas.openxmlformats.org/officeDocument/2006/relationships/hyperlink" Target="https://enzyme.expasy.org/EC/2.3.1.179" TargetMode="External"/><Relationship Id="rId685" Type="http://schemas.openxmlformats.org/officeDocument/2006/relationships/hyperlink" Target="https://enzyme.expasy.org/EC/5.1.3.2" TargetMode="External"/><Relationship Id="rId35" Type="http://schemas.openxmlformats.org/officeDocument/2006/relationships/hyperlink" Target="https://enzyme.expasy.org/EC/6.3.5.5" TargetMode="External"/><Relationship Id="rId77" Type="http://schemas.openxmlformats.org/officeDocument/2006/relationships/hyperlink" Target="https://enzyme.expasy.org/EC/2.7.2.11" TargetMode="External"/><Relationship Id="rId100" Type="http://schemas.openxmlformats.org/officeDocument/2006/relationships/hyperlink" Target="https://enzyme.expasy.org/EC/6.3.5.3" TargetMode="External"/><Relationship Id="rId282" Type="http://schemas.openxmlformats.org/officeDocument/2006/relationships/hyperlink" Target="https://enzyme.expasy.org/EC/2.7.7.7" TargetMode="External"/><Relationship Id="rId338" Type="http://schemas.openxmlformats.org/officeDocument/2006/relationships/hyperlink" Target="https://enzyme.expasy.org/EC/2.7.1.48" TargetMode="External"/><Relationship Id="rId503" Type="http://schemas.openxmlformats.org/officeDocument/2006/relationships/hyperlink" Target="https://enzyme.expasy.org/EC/3.2.1.21" TargetMode="External"/><Relationship Id="rId545" Type="http://schemas.openxmlformats.org/officeDocument/2006/relationships/hyperlink" Target="https://enzyme.expasy.org/EC/2.3.1.54" TargetMode="External"/><Relationship Id="rId587" Type="http://schemas.openxmlformats.org/officeDocument/2006/relationships/hyperlink" Target="https://enzyme.expasy.org/EC/2.7.7.7" TargetMode="External"/><Relationship Id="rId710" Type="http://schemas.openxmlformats.org/officeDocument/2006/relationships/hyperlink" Target="https://enzyme.expasy.org/EC/1.1.1.100" TargetMode="External"/><Relationship Id="rId752" Type="http://schemas.openxmlformats.org/officeDocument/2006/relationships/hyperlink" Target="https://www.genome.jp/entry/C00052" TargetMode="External"/><Relationship Id="rId808" Type="http://schemas.openxmlformats.org/officeDocument/2006/relationships/hyperlink" Target="https://www.genome.jp/entry/C18094" TargetMode="External"/><Relationship Id="rId8" Type="http://schemas.openxmlformats.org/officeDocument/2006/relationships/hyperlink" Target="https://enzyme.expasy.org/EC/6.5.1.2" TargetMode="External"/><Relationship Id="rId142" Type="http://schemas.openxmlformats.org/officeDocument/2006/relationships/hyperlink" Target="https://enzyme.expasy.org/EC/3.6.1.23" TargetMode="External"/><Relationship Id="rId184" Type="http://schemas.openxmlformats.org/officeDocument/2006/relationships/hyperlink" Target="https://enzyme.expasy.org/EC/4.3.2.2" TargetMode="External"/><Relationship Id="rId391" Type="http://schemas.openxmlformats.org/officeDocument/2006/relationships/hyperlink" Target="https://enzyme.expasy.org/EC/2.2.1.6" TargetMode="External"/><Relationship Id="rId405" Type="http://schemas.openxmlformats.org/officeDocument/2006/relationships/hyperlink" Target="https://enzyme.expasy.org/EC/2.7.7.7" TargetMode="External"/><Relationship Id="rId447" Type="http://schemas.openxmlformats.org/officeDocument/2006/relationships/hyperlink" Target="https://enzyme.expasy.org/EC/2.4.1.227" TargetMode="External"/><Relationship Id="rId612" Type="http://schemas.openxmlformats.org/officeDocument/2006/relationships/hyperlink" Target="https://enzyme.expasy.org/EC/1.4.1.13" TargetMode="External"/><Relationship Id="rId794" Type="http://schemas.openxmlformats.org/officeDocument/2006/relationships/hyperlink" Target="https://www.kegg.jp/entry/C04352" TargetMode="External"/><Relationship Id="rId251" Type="http://schemas.openxmlformats.org/officeDocument/2006/relationships/hyperlink" Target="https://enzyme.expasy.org/EC/2.7.1.6" TargetMode="External"/><Relationship Id="rId489" Type="http://schemas.openxmlformats.org/officeDocument/2006/relationships/hyperlink" Target="https://enzyme.expasy.org/EC/1.8.1.4" TargetMode="External"/><Relationship Id="rId654" Type="http://schemas.openxmlformats.org/officeDocument/2006/relationships/hyperlink" Target="https://enzyme.expasy.org/EC/4.2.3.1" TargetMode="External"/><Relationship Id="rId696" Type="http://schemas.openxmlformats.org/officeDocument/2006/relationships/hyperlink" Target="https://enzyme.expasy.org/EC/2.7.4.6" TargetMode="External"/><Relationship Id="rId46" Type="http://schemas.openxmlformats.org/officeDocument/2006/relationships/hyperlink" Target="https://enzyme.expasy.org/EC/6.3.3.3" TargetMode="External"/><Relationship Id="rId293" Type="http://schemas.openxmlformats.org/officeDocument/2006/relationships/hyperlink" Target="https://enzyme.expasy.org/EC/6.3.4.19" TargetMode="External"/><Relationship Id="rId307" Type="http://schemas.openxmlformats.org/officeDocument/2006/relationships/hyperlink" Target="https://enzyme.expasy.org/EC/5.4.4.2" TargetMode="External"/><Relationship Id="rId349" Type="http://schemas.openxmlformats.org/officeDocument/2006/relationships/hyperlink" Target="https://enzyme.expasy.org/EC/4.2.1.20" TargetMode="External"/><Relationship Id="rId514" Type="http://schemas.openxmlformats.org/officeDocument/2006/relationships/hyperlink" Target="https://enzyme.expasy.org/EC/3.2.1.21" TargetMode="External"/><Relationship Id="rId556" Type="http://schemas.openxmlformats.org/officeDocument/2006/relationships/hyperlink" Target="https://enzyme.expasy.org/EC/2.7.1.40" TargetMode="External"/><Relationship Id="rId721" Type="http://schemas.openxmlformats.org/officeDocument/2006/relationships/hyperlink" Target="https://enzyme.expasy.org/EC/4.3.1.17" TargetMode="External"/><Relationship Id="rId763" Type="http://schemas.openxmlformats.org/officeDocument/2006/relationships/hyperlink" Target="https://www.kegg.jp/entry/C01103" TargetMode="External"/><Relationship Id="rId88" Type="http://schemas.openxmlformats.org/officeDocument/2006/relationships/hyperlink" Target="https://enzyme.expasy.org/EC/2.7.7.6" TargetMode="External"/><Relationship Id="rId111" Type="http://schemas.openxmlformats.org/officeDocument/2006/relationships/hyperlink" Target="https://enzyme.expasy.org/EC/3.5.3.1" TargetMode="External"/><Relationship Id="rId153" Type="http://schemas.openxmlformats.org/officeDocument/2006/relationships/hyperlink" Target="https://enzyme.expasy.org/EC/2.3.1.54" TargetMode="External"/><Relationship Id="rId195" Type="http://schemas.openxmlformats.org/officeDocument/2006/relationships/hyperlink" Target="https://enzyme.expasy.org/EC/6.1.1.9" TargetMode="External"/><Relationship Id="rId209" Type="http://schemas.openxmlformats.org/officeDocument/2006/relationships/hyperlink" Target="https://enzyme.expasy.org/EC/1.1.1.205" TargetMode="External"/><Relationship Id="rId360" Type="http://schemas.openxmlformats.org/officeDocument/2006/relationships/hyperlink" Target="https://enzyme.expasy.org/EC/6.3.5.5" TargetMode="External"/><Relationship Id="rId416" Type="http://schemas.openxmlformats.org/officeDocument/2006/relationships/hyperlink" Target="https://enzyme.expasy.org/EC/1.5.1.2" TargetMode="External"/><Relationship Id="rId598" Type="http://schemas.openxmlformats.org/officeDocument/2006/relationships/hyperlink" Target="https://enzyme.expasy.org/EC/2.7.1.11" TargetMode="External"/><Relationship Id="rId819" Type="http://schemas.openxmlformats.org/officeDocument/2006/relationships/hyperlink" Target="https://www.kegg.jp/entry/C04896" TargetMode="External"/><Relationship Id="rId220" Type="http://schemas.openxmlformats.org/officeDocument/2006/relationships/hyperlink" Target="https://enzyme.expasy.org/EC/6.3.3.2" TargetMode="External"/><Relationship Id="rId458" Type="http://schemas.openxmlformats.org/officeDocument/2006/relationships/hyperlink" Target="https://enzyme.expasy.org/EC/3.5.4.16" TargetMode="External"/><Relationship Id="rId623" Type="http://schemas.openxmlformats.org/officeDocument/2006/relationships/hyperlink" Target="https://enzyme.expasy.org/EC/3.6.1.9" TargetMode="External"/><Relationship Id="rId665" Type="http://schemas.openxmlformats.org/officeDocument/2006/relationships/hyperlink" Target="https://enzyme.expasy.org/EC/2.1.1.37" TargetMode="External"/><Relationship Id="rId830" Type="http://schemas.openxmlformats.org/officeDocument/2006/relationships/hyperlink" Target="https://enzyme.expasy.org/EC/5.4.99.9" TargetMode="External"/><Relationship Id="rId15" Type="http://schemas.openxmlformats.org/officeDocument/2006/relationships/hyperlink" Target="https://enzyme.expasy.org/EC/2.7.1.148" TargetMode="External"/><Relationship Id="rId57" Type="http://schemas.openxmlformats.org/officeDocument/2006/relationships/hyperlink" Target="https://enzyme.expasy.org/EC/4.2.1.33" TargetMode="External"/><Relationship Id="rId262" Type="http://schemas.openxmlformats.org/officeDocument/2006/relationships/hyperlink" Target="https://enzyme.expasy.org/EC/2.3.1.129" TargetMode="External"/><Relationship Id="rId318" Type="http://schemas.openxmlformats.org/officeDocument/2006/relationships/hyperlink" Target="https://enzyme.expasy.org/EC/2.7.1.49" TargetMode="External"/><Relationship Id="rId525" Type="http://schemas.openxmlformats.org/officeDocument/2006/relationships/hyperlink" Target="https://enzyme.expasy.org/EC/3.2.1.21" TargetMode="External"/><Relationship Id="rId567" Type="http://schemas.openxmlformats.org/officeDocument/2006/relationships/hyperlink" Target="https://enzyme.expasy.org/EC/1.17.4.2" TargetMode="External"/><Relationship Id="rId732" Type="http://schemas.openxmlformats.org/officeDocument/2006/relationships/hyperlink" Target="https://enzyme.expasy.org/EC/4.2.1.3" TargetMode="External"/><Relationship Id="rId99" Type="http://schemas.openxmlformats.org/officeDocument/2006/relationships/hyperlink" Target="https://enzyme.expasy.org/EC/1.1.1.133" TargetMode="External"/><Relationship Id="rId122" Type="http://schemas.openxmlformats.org/officeDocument/2006/relationships/hyperlink" Target="https://enzyme.expasy.org/EC/1.17.1.8" TargetMode="External"/><Relationship Id="rId164" Type="http://schemas.openxmlformats.org/officeDocument/2006/relationships/hyperlink" Target="https://enzyme.expasy.org/EC/4.2.3.3" TargetMode="External"/><Relationship Id="rId371" Type="http://schemas.openxmlformats.org/officeDocument/2006/relationships/hyperlink" Target="https://enzyme.expasy.org/EC/2.4.2.8" TargetMode="External"/><Relationship Id="rId774" Type="http://schemas.openxmlformats.org/officeDocument/2006/relationships/hyperlink" Target="https://www.genome.jp/entry/C00052" TargetMode="External"/><Relationship Id="rId427" Type="http://schemas.openxmlformats.org/officeDocument/2006/relationships/hyperlink" Target="https://enzyme.expasy.org/EC/2.7.7.6" TargetMode="External"/><Relationship Id="rId469" Type="http://schemas.openxmlformats.org/officeDocument/2006/relationships/hyperlink" Target="https://enzyme.expasy.org/EC/2.3.1.179" TargetMode="External"/><Relationship Id="rId634" Type="http://schemas.openxmlformats.org/officeDocument/2006/relationships/hyperlink" Target="https://enzyme.expasy.org/EC/1.4.1.4" TargetMode="External"/><Relationship Id="rId676" Type="http://schemas.openxmlformats.org/officeDocument/2006/relationships/hyperlink" Target="https://enzyme.expasy.org/EC/1.8.1.9" TargetMode="External"/><Relationship Id="rId26" Type="http://schemas.openxmlformats.org/officeDocument/2006/relationships/hyperlink" Target="https://enzyme.expasy.org/EC/2.7.7.24" TargetMode="External"/><Relationship Id="rId231" Type="http://schemas.openxmlformats.org/officeDocument/2006/relationships/hyperlink" Target="https://enzyme.expasy.org/EC/5.4.99.9" TargetMode="External"/><Relationship Id="rId273" Type="http://schemas.openxmlformats.org/officeDocument/2006/relationships/hyperlink" Target="https://enzyme.expasy.org/EC/2.6.1.52" TargetMode="External"/><Relationship Id="rId329" Type="http://schemas.openxmlformats.org/officeDocument/2006/relationships/hyperlink" Target="https://enzyme.expasy.org/EC/2.4.2.17" TargetMode="External"/><Relationship Id="rId480" Type="http://schemas.openxmlformats.org/officeDocument/2006/relationships/hyperlink" Target="https://enzyme.expasy.org/EC/2.7.7.7" TargetMode="External"/><Relationship Id="rId536" Type="http://schemas.openxmlformats.org/officeDocument/2006/relationships/hyperlink" Target="https://enzyme.expasy.org/EC/3.2.1.21" TargetMode="External"/><Relationship Id="rId701" Type="http://schemas.openxmlformats.org/officeDocument/2006/relationships/hyperlink" Target="https://enzyme.expasy.org/EC/2.7.4.6" TargetMode="External"/><Relationship Id="rId68" Type="http://schemas.openxmlformats.org/officeDocument/2006/relationships/hyperlink" Target="https://enzyme.expasy.org/EC/2.3.1.191" TargetMode="External"/><Relationship Id="rId133" Type="http://schemas.openxmlformats.org/officeDocument/2006/relationships/hyperlink" Target="https://enzyme.expasy.org/EC/3.2.1.21" TargetMode="External"/><Relationship Id="rId175" Type="http://schemas.openxmlformats.org/officeDocument/2006/relationships/hyperlink" Target="https://enzyme.expasy.org/EC/4.3.1.3" TargetMode="External"/><Relationship Id="rId340" Type="http://schemas.openxmlformats.org/officeDocument/2006/relationships/hyperlink" Target="https://enzyme.expasy.org/EC/5.4.99.9" TargetMode="External"/><Relationship Id="rId578" Type="http://schemas.openxmlformats.org/officeDocument/2006/relationships/hyperlink" Target="https://enzyme.expasy.org/EC/2.7.7.7" TargetMode="External"/><Relationship Id="rId743" Type="http://schemas.openxmlformats.org/officeDocument/2006/relationships/hyperlink" Target="https://enzyme.expasy.org/EC/2.5.1.47" TargetMode="External"/><Relationship Id="rId785" Type="http://schemas.openxmlformats.org/officeDocument/2006/relationships/hyperlink" Target="https://www.kegg.jp/entry/C00031" TargetMode="External"/><Relationship Id="rId200" Type="http://schemas.openxmlformats.org/officeDocument/2006/relationships/hyperlink" Target="https://enzyme.expasy.org/EC/2.7.1.130" TargetMode="External"/><Relationship Id="rId382" Type="http://schemas.openxmlformats.org/officeDocument/2006/relationships/hyperlink" Target="https://enzyme.expasy.org/EC/1.1.1.85" TargetMode="External"/><Relationship Id="rId438" Type="http://schemas.openxmlformats.org/officeDocument/2006/relationships/hyperlink" Target="https://enzyme.expasy.org/EC/2.7.7.6" TargetMode="External"/><Relationship Id="rId603" Type="http://schemas.openxmlformats.org/officeDocument/2006/relationships/hyperlink" Target="https://enzyme.expasy.org/EC/2.7.1.11" TargetMode="External"/><Relationship Id="rId645" Type="http://schemas.openxmlformats.org/officeDocument/2006/relationships/hyperlink" Target="https://enzyme.expasy.org/EC/5.3.1.9" TargetMode="External"/><Relationship Id="rId687" Type="http://schemas.openxmlformats.org/officeDocument/2006/relationships/hyperlink" Target="https://enzyme.expasy.org/EC/6.3.4.2" TargetMode="External"/><Relationship Id="rId810" Type="http://schemas.openxmlformats.org/officeDocument/2006/relationships/hyperlink" Target="https://www.genome.jp/entry/C00935" TargetMode="External"/><Relationship Id="rId242" Type="http://schemas.openxmlformats.org/officeDocument/2006/relationships/hyperlink" Target="https://enzyme.expasy.org/EC/2.3.1.39" TargetMode="External"/><Relationship Id="rId284" Type="http://schemas.openxmlformats.org/officeDocument/2006/relationships/hyperlink" Target="https://enzyme.expasy.org/EC/2.6.99.2" TargetMode="External"/><Relationship Id="rId491" Type="http://schemas.openxmlformats.org/officeDocument/2006/relationships/hyperlink" Target="https://enzyme.expasy.org/EC/3.2.1.21" TargetMode="External"/><Relationship Id="rId505" Type="http://schemas.openxmlformats.org/officeDocument/2006/relationships/hyperlink" Target="https://enzyme.expasy.org/EC/3.2.1.21" TargetMode="External"/><Relationship Id="rId712" Type="http://schemas.openxmlformats.org/officeDocument/2006/relationships/hyperlink" Target="https://enzyme.expasy.org/EC/1.1.1.100" TargetMode="External"/><Relationship Id="rId37" Type="http://schemas.openxmlformats.org/officeDocument/2006/relationships/hyperlink" Target="https://enzyme.expasy.org/EC/4.2.1.47" TargetMode="External"/><Relationship Id="rId79" Type="http://schemas.openxmlformats.org/officeDocument/2006/relationships/hyperlink" Target="https://enzyme.expasy.org/EC/2.1.3.9" TargetMode="External"/><Relationship Id="rId102" Type="http://schemas.openxmlformats.org/officeDocument/2006/relationships/hyperlink" Target="https://enzyme.expasy.org/EC/6.1.1.7" TargetMode="External"/><Relationship Id="rId144" Type="http://schemas.openxmlformats.org/officeDocument/2006/relationships/hyperlink" Target="https://enzyme.expasy.org/EC/6.1.1.14" TargetMode="External"/><Relationship Id="rId547" Type="http://schemas.openxmlformats.org/officeDocument/2006/relationships/hyperlink" Target="https://enzyme.expasy.org/EC/6.3.5.5" TargetMode="External"/><Relationship Id="rId589" Type="http://schemas.openxmlformats.org/officeDocument/2006/relationships/hyperlink" Target="https://enzyme.expasy.org/EC/2.7.1.11" TargetMode="External"/><Relationship Id="rId754" Type="http://schemas.openxmlformats.org/officeDocument/2006/relationships/hyperlink" Target="https://www.kegg.jp/entry/C00025" TargetMode="External"/><Relationship Id="rId796" Type="http://schemas.openxmlformats.org/officeDocument/2006/relationships/hyperlink" Target="https://www.kegg.jp/entry/C00096" TargetMode="External"/><Relationship Id="rId90" Type="http://schemas.openxmlformats.org/officeDocument/2006/relationships/hyperlink" Target="https://enzyme.expasy.org/EC/5.2.1.8" TargetMode="External"/><Relationship Id="rId186" Type="http://schemas.openxmlformats.org/officeDocument/2006/relationships/hyperlink" Target="https://enzyme.expasy.org/EC/2.7.4.25" TargetMode="External"/><Relationship Id="rId351" Type="http://schemas.openxmlformats.org/officeDocument/2006/relationships/hyperlink" Target="https://enzyme.expasy.org/EC/6.3.5.5" TargetMode="External"/><Relationship Id="rId393" Type="http://schemas.openxmlformats.org/officeDocument/2006/relationships/hyperlink" Target="https://enzyme.expasy.org/EC/2.2.1.6" TargetMode="External"/><Relationship Id="rId407" Type="http://schemas.openxmlformats.org/officeDocument/2006/relationships/hyperlink" Target="https://enzyme.expasy.org/EC/3.5.4.5" TargetMode="External"/><Relationship Id="rId449" Type="http://schemas.openxmlformats.org/officeDocument/2006/relationships/hyperlink" Target="https://enzyme.expasy.org/EC/2.4.1.227" TargetMode="External"/><Relationship Id="rId614" Type="http://schemas.openxmlformats.org/officeDocument/2006/relationships/hyperlink" Target="https://enzyme.expasy.org/EC/1.4.1.13" TargetMode="External"/><Relationship Id="rId656" Type="http://schemas.openxmlformats.org/officeDocument/2006/relationships/hyperlink" Target="https://enzyme.expasy.org/EC/2.1.2.10" TargetMode="External"/><Relationship Id="rId821" Type="http://schemas.openxmlformats.org/officeDocument/2006/relationships/hyperlink" Target="https://www.kegg.jp/entry/C00031" TargetMode="External"/><Relationship Id="rId211" Type="http://schemas.openxmlformats.org/officeDocument/2006/relationships/hyperlink" Target="https://enzyme.expasy.org/EC/1.7.2.2" TargetMode="External"/><Relationship Id="rId253" Type="http://schemas.openxmlformats.org/officeDocument/2006/relationships/hyperlink" Target="https://enzyme.expasy.org/EC/4.2.1.2" TargetMode="External"/><Relationship Id="rId295" Type="http://schemas.openxmlformats.org/officeDocument/2006/relationships/hyperlink" Target="https://enzyme.expasy.org/EC/5.3.1.14" TargetMode="External"/><Relationship Id="rId309" Type="http://schemas.openxmlformats.org/officeDocument/2006/relationships/hyperlink" Target="https://enzyme.expasy.org/EC/3.2.2.4" TargetMode="External"/><Relationship Id="rId460" Type="http://schemas.openxmlformats.org/officeDocument/2006/relationships/hyperlink" Target="https://enzyme.expasy.org/EC/3.5.4.16" TargetMode="External"/><Relationship Id="rId516" Type="http://schemas.openxmlformats.org/officeDocument/2006/relationships/hyperlink" Target="https://enzyme.expasy.org/EC/3.2.1.21" TargetMode="External"/><Relationship Id="rId698" Type="http://schemas.openxmlformats.org/officeDocument/2006/relationships/hyperlink" Target="https://enzyme.expasy.org/EC/2.7.4.6" TargetMode="External"/><Relationship Id="rId48" Type="http://schemas.openxmlformats.org/officeDocument/2006/relationships/hyperlink" Target="https://enzyme.expasy.org/EC/4.3.1.19" TargetMode="External"/><Relationship Id="rId113" Type="http://schemas.openxmlformats.org/officeDocument/2006/relationships/hyperlink" Target="https://enzyme.expasy.org/EC/6.3.2.4" TargetMode="External"/><Relationship Id="rId320" Type="http://schemas.openxmlformats.org/officeDocument/2006/relationships/hyperlink" Target="https://enzyme.expasy.org/EC/4.1.99.17" TargetMode="External"/><Relationship Id="rId558" Type="http://schemas.openxmlformats.org/officeDocument/2006/relationships/hyperlink" Target="https://enzyme.expasy.org/EC/2.7.1.40" TargetMode="External"/><Relationship Id="rId723" Type="http://schemas.openxmlformats.org/officeDocument/2006/relationships/hyperlink" Target="https://enzyme.expasy.org/EC/4.3.1.17" TargetMode="External"/><Relationship Id="rId765" Type="http://schemas.openxmlformats.org/officeDocument/2006/relationships/hyperlink" Target="https://www.kegg.jp/entry/C00631" TargetMode="External"/><Relationship Id="rId155" Type="http://schemas.openxmlformats.org/officeDocument/2006/relationships/hyperlink" Target="https://enzyme.expasy.org/EC/4.2.1.11" TargetMode="External"/><Relationship Id="rId197" Type="http://schemas.openxmlformats.org/officeDocument/2006/relationships/hyperlink" Target="https://enzyme.expasy.org/EC/1.4.1.4" TargetMode="External"/><Relationship Id="rId362" Type="http://schemas.openxmlformats.org/officeDocument/2006/relationships/hyperlink" Target="https://enzyme.expasy.org/EC/5.1.3.14" TargetMode="External"/><Relationship Id="rId418" Type="http://schemas.openxmlformats.org/officeDocument/2006/relationships/hyperlink" Target="https://enzyme.expasy.org/EC/1.5.1.20" TargetMode="External"/><Relationship Id="rId625" Type="http://schemas.openxmlformats.org/officeDocument/2006/relationships/hyperlink" Target="https://enzyme.expasy.org/EC/3.6.1.9" TargetMode="External"/><Relationship Id="rId832" Type="http://schemas.openxmlformats.org/officeDocument/2006/relationships/hyperlink" Target="https://www.genome.jp/entry/C00052" TargetMode="External"/><Relationship Id="rId222" Type="http://schemas.openxmlformats.org/officeDocument/2006/relationships/hyperlink" Target="https://enzyme.expasy.org/EC/3.5.1.25" TargetMode="External"/><Relationship Id="rId264" Type="http://schemas.openxmlformats.org/officeDocument/2006/relationships/hyperlink" Target="https://enzyme.expasy.org/EC/1.8.1.9" TargetMode="External"/><Relationship Id="rId471" Type="http://schemas.openxmlformats.org/officeDocument/2006/relationships/hyperlink" Target="https://enzyme.expasy.org/EC/2.3.1.179" TargetMode="External"/><Relationship Id="rId667" Type="http://schemas.openxmlformats.org/officeDocument/2006/relationships/hyperlink" Target="https://enzyme.expasy.org/EC/2.7.1.15" TargetMode="External"/><Relationship Id="rId17" Type="http://schemas.openxmlformats.org/officeDocument/2006/relationships/hyperlink" Target="https://enzyme.expasy.org/EC/4.1.1.36" TargetMode="External"/><Relationship Id="rId59" Type="http://schemas.openxmlformats.org/officeDocument/2006/relationships/hyperlink" Target="https://enzyme.expasy.org/EC/2.3.3.13" TargetMode="External"/><Relationship Id="rId124" Type="http://schemas.openxmlformats.org/officeDocument/2006/relationships/hyperlink" Target="https://enzyme.expasy.org/EC/3.11.1.1" TargetMode="External"/><Relationship Id="rId527" Type="http://schemas.openxmlformats.org/officeDocument/2006/relationships/hyperlink" Target="https://enzyme.expasy.org/EC/3.2.1.21" TargetMode="External"/><Relationship Id="rId569" Type="http://schemas.openxmlformats.org/officeDocument/2006/relationships/hyperlink" Target="https://enzyme.expasy.org/EC/2.7.7.7" TargetMode="External"/><Relationship Id="rId734" Type="http://schemas.openxmlformats.org/officeDocument/2006/relationships/hyperlink" Target="https://enzyme.expasy.org/EC/2.6.1.1" TargetMode="External"/><Relationship Id="rId776" Type="http://schemas.openxmlformats.org/officeDocument/2006/relationships/hyperlink" Target="https://www.kegg.jp/entry/C00345" TargetMode="External"/><Relationship Id="rId70" Type="http://schemas.openxmlformats.org/officeDocument/2006/relationships/hyperlink" Target="https://enzyme.expasy.org/EC/2.5.1.75" TargetMode="External"/><Relationship Id="rId166" Type="http://schemas.openxmlformats.org/officeDocument/2006/relationships/hyperlink" Target="https://enzyme.expasy.org/EC/5.4.2.11" TargetMode="External"/><Relationship Id="rId331" Type="http://schemas.openxmlformats.org/officeDocument/2006/relationships/hyperlink" Target="https://enzyme.expasy.org/EC/4.1.1.96" TargetMode="External"/><Relationship Id="rId373" Type="http://schemas.openxmlformats.org/officeDocument/2006/relationships/hyperlink" Target="https://enzyme.expasy.org/EC/2.4.2.8" TargetMode="External"/><Relationship Id="rId429" Type="http://schemas.openxmlformats.org/officeDocument/2006/relationships/hyperlink" Target="https://enzyme.expasy.org/EC/2.7.7.6" TargetMode="External"/><Relationship Id="rId580" Type="http://schemas.openxmlformats.org/officeDocument/2006/relationships/hyperlink" Target="https://enzyme.expasy.org/EC/2.7.7.7" TargetMode="External"/><Relationship Id="rId636" Type="http://schemas.openxmlformats.org/officeDocument/2006/relationships/hyperlink" Target="https://enzyme.expasy.org/EC/1.17.4.1" TargetMode="External"/><Relationship Id="rId801" Type="http://schemas.openxmlformats.org/officeDocument/2006/relationships/hyperlink" Target="https://www.kegg.jp/entry/C04188" TargetMode="External"/><Relationship Id="rId1" Type="http://schemas.openxmlformats.org/officeDocument/2006/relationships/hyperlink" Target="https://enzyme.expasy.org/EC/3.5.2.7" TargetMode="External"/><Relationship Id="rId233" Type="http://schemas.openxmlformats.org/officeDocument/2006/relationships/hyperlink" Target="https://enzyme.expasy.org/EC/6.3.1.5" TargetMode="External"/><Relationship Id="rId440" Type="http://schemas.openxmlformats.org/officeDocument/2006/relationships/hyperlink" Target="https://enzyme.expasy.org/EC/2.7.7.6" TargetMode="External"/><Relationship Id="rId678" Type="http://schemas.openxmlformats.org/officeDocument/2006/relationships/hyperlink" Target="https://enzyme.expasy.org/EC/1.8.1.9" TargetMode="External"/><Relationship Id="rId28" Type="http://schemas.openxmlformats.org/officeDocument/2006/relationships/hyperlink" Target="https://enzyme.expasy.org/EC/1.1.1.44" TargetMode="External"/><Relationship Id="rId275" Type="http://schemas.openxmlformats.org/officeDocument/2006/relationships/hyperlink" Target="https://enzyme.expasy.org/EC/6.3.4.2" TargetMode="External"/><Relationship Id="rId300" Type="http://schemas.openxmlformats.org/officeDocument/2006/relationships/hyperlink" Target="https://enzyme.expasy.org/EC/2.3.1.29" TargetMode="External"/><Relationship Id="rId482" Type="http://schemas.openxmlformats.org/officeDocument/2006/relationships/hyperlink" Target="https://enzyme.expasy.org/EC/2.7.7.7" TargetMode="External"/><Relationship Id="rId538" Type="http://schemas.openxmlformats.org/officeDocument/2006/relationships/hyperlink" Target="https://enzyme.expasy.org/EC/3.2.1.21" TargetMode="External"/><Relationship Id="rId703" Type="http://schemas.openxmlformats.org/officeDocument/2006/relationships/hyperlink" Target="https://enzyme.expasy.org/EC/2.7.4.6" TargetMode="External"/><Relationship Id="rId745" Type="http://schemas.openxmlformats.org/officeDocument/2006/relationships/hyperlink" Target="https://enzyme.expasy.org/EC/2.5.1.47" TargetMode="External"/><Relationship Id="rId81" Type="http://schemas.openxmlformats.org/officeDocument/2006/relationships/hyperlink" Target="https://enzyme.expasy.org/EC/2.7.7.6" TargetMode="External"/><Relationship Id="rId135" Type="http://schemas.openxmlformats.org/officeDocument/2006/relationships/hyperlink" Target="https://enzyme.expasy.org/EC/1.17.99.6" TargetMode="External"/><Relationship Id="rId177" Type="http://schemas.openxmlformats.org/officeDocument/2006/relationships/hyperlink" Target="https://enzyme.expasy.org/EC/1.4.1.13" TargetMode="External"/><Relationship Id="rId342" Type="http://schemas.openxmlformats.org/officeDocument/2006/relationships/hyperlink" Target="https://enzyme.expasy.org/EC/2.7.10.2" TargetMode="External"/><Relationship Id="rId384" Type="http://schemas.openxmlformats.org/officeDocument/2006/relationships/hyperlink" Target="https://enzyme.expasy.org/EC/4.2.1.33" TargetMode="External"/><Relationship Id="rId591" Type="http://schemas.openxmlformats.org/officeDocument/2006/relationships/hyperlink" Target="https://enzyme.expasy.org/EC/2.7.1.11" TargetMode="External"/><Relationship Id="rId605" Type="http://schemas.openxmlformats.org/officeDocument/2006/relationships/hyperlink" Target="https://enzyme.expasy.org/EC/2.7.1.11" TargetMode="External"/><Relationship Id="rId787" Type="http://schemas.openxmlformats.org/officeDocument/2006/relationships/hyperlink" Target="https://www.kegg.jp/entry/C00905" TargetMode="External"/><Relationship Id="rId812" Type="http://schemas.openxmlformats.org/officeDocument/2006/relationships/hyperlink" Target="https://www.genome.jp/entry/C00935" TargetMode="External"/><Relationship Id="rId202" Type="http://schemas.openxmlformats.org/officeDocument/2006/relationships/hyperlink" Target="https://enzyme.expasy.org/EC/1.17.4.1" TargetMode="External"/><Relationship Id="rId244" Type="http://schemas.openxmlformats.org/officeDocument/2006/relationships/hyperlink" Target="https://enzyme.expasy.org/EC/2.7.1.35" TargetMode="External"/><Relationship Id="rId647" Type="http://schemas.openxmlformats.org/officeDocument/2006/relationships/hyperlink" Target="https://enzyme.expasy.org/EC/2.7.7.18" TargetMode="External"/><Relationship Id="rId689" Type="http://schemas.openxmlformats.org/officeDocument/2006/relationships/hyperlink" Target="https://enzyme.expasy.org/EC/2.7.4.6" TargetMode="External"/><Relationship Id="rId39" Type="http://schemas.openxmlformats.org/officeDocument/2006/relationships/hyperlink" Target="https://enzyme.expasy.org/EC/2.1.2.3" TargetMode="External"/><Relationship Id="rId286" Type="http://schemas.openxmlformats.org/officeDocument/2006/relationships/hyperlink" Target="https://enzyme.expasy.org/EC/2.7.1.90" TargetMode="External"/><Relationship Id="rId451" Type="http://schemas.openxmlformats.org/officeDocument/2006/relationships/hyperlink" Target="https://enzyme.expasy.org/EC/6.3.4.15" TargetMode="External"/><Relationship Id="rId493" Type="http://schemas.openxmlformats.org/officeDocument/2006/relationships/hyperlink" Target="https://enzyme.expasy.org/EC/3.2.1.21" TargetMode="External"/><Relationship Id="rId507" Type="http://schemas.openxmlformats.org/officeDocument/2006/relationships/hyperlink" Target="https://enzyme.expasy.org/EC/3.2.1.21" TargetMode="External"/><Relationship Id="rId549" Type="http://schemas.openxmlformats.org/officeDocument/2006/relationships/hyperlink" Target="https://enzyme.expasy.org/EC/6.3.5.5" TargetMode="External"/><Relationship Id="rId714" Type="http://schemas.openxmlformats.org/officeDocument/2006/relationships/hyperlink" Target="https://enzyme.expasy.org/EC/1.1.1.100" TargetMode="External"/><Relationship Id="rId756" Type="http://schemas.openxmlformats.org/officeDocument/2006/relationships/hyperlink" Target="https://www.kegg.jp/entry/C00966" TargetMode="External"/><Relationship Id="rId50" Type="http://schemas.openxmlformats.org/officeDocument/2006/relationships/hyperlink" Target="https://enzyme.expasy.org/EC/5.3.1.16" TargetMode="External"/><Relationship Id="rId104" Type="http://schemas.openxmlformats.org/officeDocument/2006/relationships/hyperlink" Target="../../magaasmac/Downloads/COORDINATES" TargetMode="External"/><Relationship Id="rId146" Type="http://schemas.openxmlformats.org/officeDocument/2006/relationships/hyperlink" Target="https://enzyme.expasy.org/EC/4.2.1.10" TargetMode="External"/><Relationship Id="rId188" Type="http://schemas.openxmlformats.org/officeDocument/2006/relationships/hyperlink" Target="https://enzyme.expasy.org/EC/2.7.1.11" TargetMode="External"/><Relationship Id="rId311" Type="http://schemas.openxmlformats.org/officeDocument/2006/relationships/hyperlink" Target="https://enzyme.expasy.org/EC/1.3.1.14" TargetMode="External"/><Relationship Id="rId353" Type="http://schemas.openxmlformats.org/officeDocument/2006/relationships/hyperlink" Target="https://enzyme.expasy.org/EC/6.3.5.5" TargetMode="External"/><Relationship Id="rId395" Type="http://schemas.openxmlformats.org/officeDocument/2006/relationships/hyperlink" Target="https://enzyme.expasy.org/EC/2.2.1.6" TargetMode="External"/><Relationship Id="rId409" Type="http://schemas.openxmlformats.org/officeDocument/2006/relationships/hyperlink" Target="https://enzyme.expasy.org/EC/2.3.1.191" TargetMode="External"/><Relationship Id="rId560" Type="http://schemas.openxmlformats.org/officeDocument/2006/relationships/hyperlink" Target="https://enzyme.expasy.org/EC/2.5.1.17" TargetMode="External"/><Relationship Id="rId798" Type="http://schemas.openxmlformats.org/officeDocument/2006/relationships/hyperlink" Target="https://www.kegg.jp/entry/C05167" TargetMode="External"/><Relationship Id="rId92" Type="http://schemas.openxmlformats.org/officeDocument/2006/relationships/hyperlink" Target="https://enzyme.expasy.org/EC/2.7.6.3" TargetMode="External"/><Relationship Id="rId213" Type="http://schemas.openxmlformats.org/officeDocument/2006/relationships/hyperlink" Target="https://enzyme.expasy.org/EC/1.1.1.94" TargetMode="External"/><Relationship Id="rId420" Type="http://schemas.openxmlformats.org/officeDocument/2006/relationships/hyperlink" Target="https://enzyme.expasy.org/EC/1.2.1.88" TargetMode="External"/><Relationship Id="rId616" Type="http://schemas.openxmlformats.org/officeDocument/2006/relationships/hyperlink" Target="https://enzyme.expasy.org/EC/2.4.2.10" TargetMode="External"/><Relationship Id="rId658" Type="http://schemas.openxmlformats.org/officeDocument/2006/relationships/hyperlink" Target="https://enzyme.expasy.org/EC/6.3.5.4" TargetMode="External"/><Relationship Id="rId823" Type="http://schemas.openxmlformats.org/officeDocument/2006/relationships/hyperlink" Target="https://www.kegg.jp/entry/C00031" TargetMode="External"/><Relationship Id="rId255" Type="http://schemas.openxmlformats.org/officeDocument/2006/relationships/hyperlink" Target="https://enzyme.expasy.org/EC/4.2.1.46" TargetMode="External"/><Relationship Id="rId297" Type="http://schemas.openxmlformats.org/officeDocument/2006/relationships/hyperlink" Target="https://enzyme.expasy.org/EC/3.5.2.3" TargetMode="External"/><Relationship Id="rId462" Type="http://schemas.openxmlformats.org/officeDocument/2006/relationships/hyperlink" Target="https://enzyme.expasy.org/EC/2.7.7.8" TargetMode="External"/><Relationship Id="rId518" Type="http://schemas.openxmlformats.org/officeDocument/2006/relationships/hyperlink" Target="https://enzyme.expasy.org/EC/3.2.1.21" TargetMode="External"/><Relationship Id="rId725" Type="http://schemas.openxmlformats.org/officeDocument/2006/relationships/hyperlink" Target="https://enzyme.expasy.org/EC/2.6.1.85" TargetMode="External"/><Relationship Id="rId115" Type="http://schemas.openxmlformats.org/officeDocument/2006/relationships/hyperlink" Target="https://enzyme.expasy.org/EC/5.3.1.1" TargetMode="External"/><Relationship Id="rId157" Type="http://schemas.openxmlformats.org/officeDocument/2006/relationships/hyperlink" Target="https://enzyme.expasy.org/EC/1.17.4.2" TargetMode="External"/><Relationship Id="rId322" Type="http://schemas.openxmlformats.org/officeDocument/2006/relationships/hyperlink" Target="https://enzyme.expasy.org/EC/6.3.4.3" TargetMode="External"/><Relationship Id="rId364" Type="http://schemas.openxmlformats.org/officeDocument/2006/relationships/hyperlink" Target="https://enzyme.expasy.org/EC/5.1.3.14" TargetMode="External"/><Relationship Id="rId767" Type="http://schemas.openxmlformats.org/officeDocument/2006/relationships/hyperlink" Target="https://www.kegg.jp/entry/C03406" TargetMode="External"/><Relationship Id="rId61" Type="http://schemas.openxmlformats.org/officeDocument/2006/relationships/hyperlink" Target="https://enzyme.expasy.org/EC/2.2.1.6" TargetMode="External"/><Relationship Id="rId199" Type="http://schemas.openxmlformats.org/officeDocument/2006/relationships/hyperlink" Target="https://enzyme.expasy.org/EC/2.7.4.16" TargetMode="External"/><Relationship Id="rId571" Type="http://schemas.openxmlformats.org/officeDocument/2006/relationships/hyperlink" Target="https://enzyme.expasy.org/EC/2.7.7.7" TargetMode="External"/><Relationship Id="rId627" Type="http://schemas.openxmlformats.org/officeDocument/2006/relationships/hyperlink" Target="https://enzyme.expasy.org/EC/3.6.1.9" TargetMode="External"/><Relationship Id="rId669" Type="http://schemas.openxmlformats.org/officeDocument/2006/relationships/hyperlink" Target="https://enzyme.expasy.org/EC/6.3.5.2" TargetMode="External"/><Relationship Id="rId834" Type="http://schemas.openxmlformats.org/officeDocument/2006/relationships/hyperlink" Target="https://www.genome.jp/entry/C00052" TargetMode="External"/><Relationship Id="rId19" Type="http://schemas.openxmlformats.org/officeDocument/2006/relationships/hyperlink" Target="https://enzyme.expasy.org/EC/2.7.7.7" TargetMode="External"/><Relationship Id="rId224" Type="http://schemas.openxmlformats.org/officeDocument/2006/relationships/hyperlink" Target="https://enzyme.expasy.org/EC/3.5.99.6" TargetMode="External"/><Relationship Id="rId266" Type="http://schemas.openxmlformats.org/officeDocument/2006/relationships/hyperlink" Target="https://enzyme.expasy.org/EC/2.7.10.2" TargetMode="External"/><Relationship Id="rId431" Type="http://schemas.openxmlformats.org/officeDocument/2006/relationships/hyperlink" Target="https://enzyme.expasy.org/EC/2.7.7.6" TargetMode="External"/><Relationship Id="rId473" Type="http://schemas.openxmlformats.org/officeDocument/2006/relationships/hyperlink" Target="https://enzyme.expasy.org/EC/2.3.1.179" TargetMode="External"/><Relationship Id="rId529" Type="http://schemas.openxmlformats.org/officeDocument/2006/relationships/hyperlink" Target="https://enzyme.expasy.org/EC/3.2.1.21" TargetMode="External"/><Relationship Id="rId680" Type="http://schemas.openxmlformats.org/officeDocument/2006/relationships/hyperlink" Target="https://enzyme.expasy.org/EC/1.4.1.1" TargetMode="External"/><Relationship Id="rId736" Type="http://schemas.openxmlformats.org/officeDocument/2006/relationships/hyperlink" Target="https://enzyme.expasy.org/EC/2.6.1.1" TargetMode="External"/><Relationship Id="rId30" Type="http://schemas.openxmlformats.org/officeDocument/2006/relationships/hyperlink" Target="https://enzyme.expasy.org/EC/2.3.1.245" TargetMode="External"/><Relationship Id="rId126" Type="http://schemas.openxmlformats.org/officeDocument/2006/relationships/hyperlink" Target="https://enzyme.expasy.org/EC/4.1.2.4" TargetMode="External"/><Relationship Id="rId168" Type="http://schemas.openxmlformats.org/officeDocument/2006/relationships/hyperlink" Target="https://enzyme.expasy.org/EC/2.7.6.2" TargetMode="External"/><Relationship Id="rId333" Type="http://schemas.openxmlformats.org/officeDocument/2006/relationships/hyperlink" Target="https://enzyme.expasy.org/EC/2.1.3.2" TargetMode="External"/><Relationship Id="rId540" Type="http://schemas.openxmlformats.org/officeDocument/2006/relationships/hyperlink" Target="https://enzyme.expasy.org/EC/3.2.1.21" TargetMode="External"/><Relationship Id="rId778" Type="http://schemas.openxmlformats.org/officeDocument/2006/relationships/hyperlink" Target="https://www.kegg.jp/entry/C01170" TargetMode="External"/><Relationship Id="rId72" Type="http://schemas.openxmlformats.org/officeDocument/2006/relationships/hyperlink" Target="https://enzyme.expasy.org/EC/2.1.1.72" TargetMode="External"/><Relationship Id="rId375" Type="http://schemas.openxmlformats.org/officeDocument/2006/relationships/hyperlink" Target="https://enzyme.expasy.org/EC/6.3.3.3" TargetMode="External"/><Relationship Id="rId582" Type="http://schemas.openxmlformats.org/officeDocument/2006/relationships/hyperlink" Target="https://enzyme.expasy.org/EC/2.7.7.7" TargetMode="External"/><Relationship Id="rId638" Type="http://schemas.openxmlformats.org/officeDocument/2006/relationships/hyperlink" Target="https://enzyme.expasy.org/EC/1.17.4.1" TargetMode="External"/><Relationship Id="rId803" Type="http://schemas.openxmlformats.org/officeDocument/2006/relationships/hyperlink" Target="https://www.kegg.jp/entry/C03680" TargetMode="External"/><Relationship Id="rId3" Type="http://schemas.openxmlformats.org/officeDocument/2006/relationships/hyperlink" Target="https://enzyme.expasy.org/EC/2.7.10.2" TargetMode="External"/><Relationship Id="rId235" Type="http://schemas.openxmlformats.org/officeDocument/2006/relationships/hyperlink" Target="https://enzyme.expasy.org/EC/5.1.1.7" TargetMode="External"/><Relationship Id="rId277" Type="http://schemas.openxmlformats.org/officeDocument/2006/relationships/hyperlink" Target="https://enzyme.expasy.org/EC/2.3.1.234" TargetMode="External"/><Relationship Id="rId400" Type="http://schemas.openxmlformats.org/officeDocument/2006/relationships/hyperlink" Target="https://enzyme.expasy.org/EC/4.2.1.9" TargetMode="External"/><Relationship Id="rId442" Type="http://schemas.openxmlformats.org/officeDocument/2006/relationships/hyperlink" Target="https://enzyme.expasy.org/EC/2.7.7.6" TargetMode="External"/><Relationship Id="rId484" Type="http://schemas.openxmlformats.org/officeDocument/2006/relationships/hyperlink" Target="https://enzyme.expasy.org/EC/2.7.7.7" TargetMode="External"/><Relationship Id="rId705" Type="http://schemas.openxmlformats.org/officeDocument/2006/relationships/hyperlink" Target="https://enzyme.expasy.org/EC/2.4.2.22" TargetMode="External"/><Relationship Id="rId137" Type="http://schemas.openxmlformats.org/officeDocument/2006/relationships/hyperlink" Target="https://enzyme.expasy.org/EC/2.7.1.26" TargetMode="External"/><Relationship Id="rId302" Type="http://schemas.openxmlformats.org/officeDocument/2006/relationships/hyperlink" Target="https://enzyme.expasy.org/EC/1.3.1.1" TargetMode="External"/><Relationship Id="rId344" Type="http://schemas.openxmlformats.org/officeDocument/2006/relationships/hyperlink" Target="https://enzyme.expasy.org/EC/2.7.7.4" TargetMode="External"/><Relationship Id="rId691" Type="http://schemas.openxmlformats.org/officeDocument/2006/relationships/hyperlink" Target="https://enzyme.expasy.org/EC/2.7.4.6" TargetMode="External"/><Relationship Id="rId747" Type="http://schemas.openxmlformats.org/officeDocument/2006/relationships/hyperlink" Target="https://enzyme.expasy.org/EC/2.6.1.9" TargetMode="External"/><Relationship Id="rId789" Type="http://schemas.openxmlformats.org/officeDocument/2006/relationships/hyperlink" Target="https://www.genome.jp/entry/C00052" TargetMode="External"/><Relationship Id="rId41" Type="http://schemas.openxmlformats.org/officeDocument/2006/relationships/hyperlink" Target="https://enzyme.expasy.org/EC/2.7.4.3" TargetMode="External"/><Relationship Id="rId83" Type="http://schemas.openxmlformats.org/officeDocument/2006/relationships/hyperlink" Target="https://enzyme.expasy.org/EC/6.1.1.17" TargetMode="External"/><Relationship Id="rId179" Type="http://schemas.openxmlformats.org/officeDocument/2006/relationships/hyperlink" Target="https://enzyme.expasy.org/EC/2.4.2.10" TargetMode="External"/><Relationship Id="rId386" Type="http://schemas.openxmlformats.org/officeDocument/2006/relationships/hyperlink" Target="https://enzyme.expasy.org/EC/4.2.1.33" TargetMode="External"/><Relationship Id="rId551" Type="http://schemas.openxmlformats.org/officeDocument/2006/relationships/hyperlink" Target="https://enzyme.expasy.org/EC/6.3.5.5" TargetMode="External"/><Relationship Id="rId593" Type="http://schemas.openxmlformats.org/officeDocument/2006/relationships/hyperlink" Target="https://enzyme.expasy.org/EC/2.7.1.11" TargetMode="External"/><Relationship Id="rId607" Type="http://schemas.openxmlformats.org/officeDocument/2006/relationships/hyperlink" Target="../../magaasmac/Downloads/v" TargetMode="External"/><Relationship Id="rId649" Type="http://schemas.openxmlformats.org/officeDocument/2006/relationships/hyperlink" Target="https://enzyme.expasy.org/EC/2.7.4.8" TargetMode="External"/><Relationship Id="rId814" Type="http://schemas.openxmlformats.org/officeDocument/2006/relationships/hyperlink" Target="https://www.kegg.jp/entry/C01170" TargetMode="External"/><Relationship Id="rId190" Type="http://schemas.openxmlformats.org/officeDocument/2006/relationships/hyperlink" Target="https://enzyme.expasy.org/EC/3.6.1.1" TargetMode="External"/><Relationship Id="rId204" Type="http://schemas.openxmlformats.org/officeDocument/2006/relationships/hyperlink" Target="https://enzyme.expasy.org/EC/2.7.10.2" TargetMode="External"/><Relationship Id="rId246" Type="http://schemas.openxmlformats.org/officeDocument/2006/relationships/hyperlink" Target="https://enzyme.expasy.org/EC/2.1.1.37" TargetMode="External"/><Relationship Id="rId288" Type="http://schemas.openxmlformats.org/officeDocument/2006/relationships/hyperlink" Target="https://enzyme.expasy.org/EC/2.3.1.46" TargetMode="External"/><Relationship Id="rId411" Type="http://schemas.openxmlformats.org/officeDocument/2006/relationships/hyperlink" Target="https://enzyme.expasy.org/EC/5.3.1.6" TargetMode="External"/><Relationship Id="rId453" Type="http://schemas.openxmlformats.org/officeDocument/2006/relationships/hyperlink" Target="https://enzyme.expasy.org/EC/3.1.6.1" TargetMode="External"/><Relationship Id="rId509" Type="http://schemas.openxmlformats.org/officeDocument/2006/relationships/hyperlink" Target="https://enzyme.expasy.org/EC/3.2.1.21" TargetMode="External"/><Relationship Id="rId660" Type="http://schemas.openxmlformats.org/officeDocument/2006/relationships/hyperlink" Target="https://enzyme.expasy.org/EC/2.6.1.42" TargetMode="External"/><Relationship Id="rId106" Type="http://schemas.openxmlformats.org/officeDocument/2006/relationships/hyperlink" Target="https://enzyme.expasy.org/EC/2.1.1.182" TargetMode="External"/><Relationship Id="rId313" Type="http://schemas.openxmlformats.org/officeDocument/2006/relationships/hyperlink" Target="https://enzyme.expasy.org/EC/4.2.1.3" TargetMode="External"/><Relationship Id="rId495" Type="http://schemas.openxmlformats.org/officeDocument/2006/relationships/hyperlink" Target="https://enzyme.expasy.org/EC/3.2.1.21" TargetMode="External"/><Relationship Id="rId716" Type="http://schemas.openxmlformats.org/officeDocument/2006/relationships/hyperlink" Target="https://enzyme.expasy.org/EC/1.1.1.100" TargetMode="External"/><Relationship Id="rId758" Type="http://schemas.openxmlformats.org/officeDocument/2006/relationships/hyperlink" Target="https://www.kegg.jp/entry/C00096" TargetMode="External"/><Relationship Id="rId10" Type="http://schemas.openxmlformats.org/officeDocument/2006/relationships/hyperlink" Target="https://enzyme.expasy.org/EC/2.7.7.4" TargetMode="External"/><Relationship Id="rId52" Type="http://schemas.openxmlformats.org/officeDocument/2006/relationships/hyperlink" Target="https://enzyme.expasy.org/EC/3.6.1.31" TargetMode="External"/><Relationship Id="rId94" Type="http://schemas.openxmlformats.org/officeDocument/2006/relationships/hyperlink" Target="https://enzyme.expasy.org/EC/6.3.2.8" TargetMode="External"/><Relationship Id="rId148" Type="http://schemas.openxmlformats.org/officeDocument/2006/relationships/hyperlink" Target="https://enzyme.expasy.org/EC/2.5.1.17" TargetMode="External"/><Relationship Id="rId355" Type="http://schemas.openxmlformats.org/officeDocument/2006/relationships/hyperlink" Target="https://enzyme.expasy.org/EC/6.3.5.5" TargetMode="External"/><Relationship Id="rId397" Type="http://schemas.openxmlformats.org/officeDocument/2006/relationships/hyperlink" Target="https://enzyme.expasy.org/EC/2.2.1.6" TargetMode="External"/><Relationship Id="rId520" Type="http://schemas.openxmlformats.org/officeDocument/2006/relationships/hyperlink" Target="https://enzyme.expasy.org/EC/3.2.1.21" TargetMode="External"/><Relationship Id="rId562" Type="http://schemas.openxmlformats.org/officeDocument/2006/relationships/hyperlink" Target="https://enzyme.expasy.org/EC/2.5.1.17" TargetMode="External"/><Relationship Id="rId618" Type="http://schemas.openxmlformats.org/officeDocument/2006/relationships/hyperlink" Target="https://enzyme.expasy.org/EC/4.3.2.2" TargetMode="External"/><Relationship Id="rId825" Type="http://schemas.openxmlformats.org/officeDocument/2006/relationships/hyperlink" Target="https://www.kegg.jp/entry/C01172" TargetMode="External"/><Relationship Id="rId215" Type="http://schemas.openxmlformats.org/officeDocument/2006/relationships/hyperlink" Target="https://enzyme.expasy.org/EC/2.7.7.18" TargetMode="External"/><Relationship Id="rId257" Type="http://schemas.openxmlformats.org/officeDocument/2006/relationships/hyperlink" Target="https://enzyme.expasy.org/EC/6.3.5.2" TargetMode="External"/><Relationship Id="rId422" Type="http://schemas.openxmlformats.org/officeDocument/2006/relationships/hyperlink" Target="https://enzyme.expasy.org/EC/1.2.1.88" TargetMode="External"/><Relationship Id="rId464" Type="http://schemas.openxmlformats.org/officeDocument/2006/relationships/hyperlink" Target="https://enzyme.expasy.org/EC/2.7.7.8" TargetMode="External"/><Relationship Id="rId299" Type="http://schemas.openxmlformats.org/officeDocument/2006/relationships/hyperlink" Target="https://enzyme.expasy.org/EC/2.8.1.6" TargetMode="External"/><Relationship Id="rId727" Type="http://schemas.openxmlformats.org/officeDocument/2006/relationships/hyperlink" Target="https://enzyme.expasy.org/EC/1.3.1.1" TargetMode="External"/><Relationship Id="rId63" Type="http://schemas.openxmlformats.org/officeDocument/2006/relationships/hyperlink" Target="https://enzyme.expasy.org/EC/4.2.3.5" TargetMode="External"/><Relationship Id="rId159" Type="http://schemas.openxmlformats.org/officeDocument/2006/relationships/hyperlink" Target="https://enzyme.expasy.org/EC/6.1.1.2" TargetMode="External"/><Relationship Id="rId366" Type="http://schemas.openxmlformats.org/officeDocument/2006/relationships/hyperlink" Target="https://enzyme.expasy.org/EC/5.1.3.14" TargetMode="External"/><Relationship Id="rId573" Type="http://schemas.openxmlformats.org/officeDocument/2006/relationships/hyperlink" Target="https://enzyme.expasy.org/EC/2.7.7.7" TargetMode="External"/><Relationship Id="rId780" Type="http://schemas.openxmlformats.org/officeDocument/2006/relationships/hyperlink" Target="https://www.kegg.jp/entry/C02764" TargetMode="External"/><Relationship Id="rId226" Type="http://schemas.openxmlformats.org/officeDocument/2006/relationships/hyperlink" Target="https://enzyme.expasy.org/EC/5.4.2.12" TargetMode="External"/><Relationship Id="rId433" Type="http://schemas.openxmlformats.org/officeDocument/2006/relationships/hyperlink" Target="https://enzyme.expasy.org/EC/2.7.7.6" TargetMode="External"/><Relationship Id="rId640" Type="http://schemas.openxmlformats.org/officeDocument/2006/relationships/hyperlink" Target="https://enzyme.expasy.org/EC/1.17.4.1" TargetMode="External"/><Relationship Id="rId738" Type="http://schemas.openxmlformats.org/officeDocument/2006/relationships/hyperlink" Target="https://enzyme.expasy.org/EC/2.6.1.1" TargetMode="External"/><Relationship Id="rId74" Type="http://schemas.openxmlformats.org/officeDocument/2006/relationships/hyperlink" Target="https://enzyme.expasy.org/EC/2.8.1.8" TargetMode="External"/><Relationship Id="rId377" Type="http://schemas.openxmlformats.org/officeDocument/2006/relationships/hyperlink" Target="https://enzyme.expasy.org/EC/4.3.1.19" TargetMode="External"/><Relationship Id="rId500" Type="http://schemas.openxmlformats.org/officeDocument/2006/relationships/hyperlink" Target="https://enzyme.expasy.org/EC/3.2.1.21" TargetMode="External"/><Relationship Id="rId584" Type="http://schemas.openxmlformats.org/officeDocument/2006/relationships/hyperlink" Target="https://enzyme.expasy.org/EC/2.7.7.7" TargetMode="External"/><Relationship Id="rId805" Type="http://schemas.openxmlformats.org/officeDocument/2006/relationships/hyperlink" Target="https://www.kegg.jp/entry/C01172" TargetMode="External"/><Relationship Id="rId5" Type="http://schemas.openxmlformats.org/officeDocument/2006/relationships/hyperlink" Target="https://enzyme.expasy.org/EC/2.7.1.48" TargetMode="External"/><Relationship Id="rId237" Type="http://schemas.openxmlformats.org/officeDocument/2006/relationships/hyperlink" Target="https://enzyme.expasy.org/EC/1.4.1.13" TargetMode="External"/><Relationship Id="rId791" Type="http://schemas.openxmlformats.org/officeDocument/2006/relationships/hyperlink" Target="https://www.kegg.jp/entry/C00025" TargetMode="External"/><Relationship Id="rId444" Type="http://schemas.openxmlformats.org/officeDocument/2006/relationships/hyperlink" Target="https://enzyme.expasy.org/EC/1.1.1.205" TargetMode="External"/><Relationship Id="rId651" Type="http://schemas.openxmlformats.org/officeDocument/2006/relationships/hyperlink" Target="https://enzyme.expasy.org/EC/1.1.1.262" TargetMode="External"/><Relationship Id="rId749" Type="http://schemas.openxmlformats.org/officeDocument/2006/relationships/hyperlink" Target="https://enzyme.expasy.org/EC/1.1.1.23" TargetMode="External"/><Relationship Id="rId290" Type="http://schemas.openxmlformats.org/officeDocument/2006/relationships/hyperlink" Target="https://enzyme.expasy.org/EC/5.1.3.14" TargetMode="External"/><Relationship Id="rId304" Type="http://schemas.openxmlformats.org/officeDocument/2006/relationships/hyperlink" Target="https://enzyme.expasy.org/EC/1.3.1.98" TargetMode="External"/><Relationship Id="rId388" Type="http://schemas.openxmlformats.org/officeDocument/2006/relationships/hyperlink" Target="https://enzyme.expasy.org/EC/2.2.1.6" TargetMode="External"/><Relationship Id="rId511" Type="http://schemas.openxmlformats.org/officeDocument/2006/relationships/hyperlink" Target="https://enzyme.expasy.org/EC/3.2.1.21" TargetMode="External"/><Relationship Id="rId609" Type="http://schemas.openxmlformats.org/officeDocument/2006/relationships/hyperlink" Target="../../magaasmac/Downloads/v" TargetMode="External"/><Relationship Id="rId85" Type="http://schemas.openxmlformats.org/officeDocument/2006/relationships/hyperlink" Target="https://enzyme.expasy.org/EC/5.4.99.2" TargetMode="External"/><Relationship Id="rId150" Type="http://schemas.openxmlformats.org/officeDocument/2006/relationships/hyperlink" Target="https://enzyme.expasy.org/EC/2.5.1.15" TargetMode="External"/><Relationship Id="rId595" Type="http://schemas.openxmlformats.org/officeDocument/2006/relationships/hyperlink" Target="https://enzyme.expasy.org/EC/2.7.1.11" TargetMode="External"/><Relationship Id="rId816" Type="http://schemas.openxmlformats.org/officeDocument/2006/relationships/hyperlink" Target="https://www.kegg.jp/entry/C01170" TargetMode="External"/><Relationship Id="rId248" Type="http://schemas.openxmlformats.org/officeDocument/2006/relationships/hyperlink" Target="https://enzyme.expasy.org/EC/5.1.3.1" TargetMode="External"/><Relationship Id="rId455" Type="http://schemas.openxmlformats.org/officeDocument/2006/relationships/hyperlink" Target="https://enzyme.expasy.org/EC/3.1.6.1" TargetMode="External"/><Relationship Id="rId662" Type="http://schemas.openxmlformats.org/officeDocument/2006/relationships/hyperlink" Target="https://enzyme.expasy.org/EC/2.7.1.35" TargetMode="External"/><Relationship Id="rId12" Type="http://schemas.openxmlformats.org/officeDocument/2006/relationships/hyperlink" Target="https://enzyme.expasy.org/EC/3.1.3.7" TargetMode="External"/><Relationship Id="rId108" Type="http://schemas.openxmlformats.org/officeDocument/2006/relationships/hyperlink" Target="https://enzyme.expasy.org/EC/2.4.1.182" TargetMode="External"/><Relationship Id="rId315" Type="http://schemas.openxmlformats.org/officeDocument/2006/relationships/hyperlink" Target="https://enzyme.expasy.org/EC/4.1.1.12" TargetMode="External"/><Relationship Id="rId522" Type="http://schemas.openxmlformats.org/officeDocument/2006/relationships/hyperlink" Target="https://enzyme.expasy.org/EC/3.2.1.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70B2-4899-3A44-A642-D16CD1414287}">
  <dimension ref="A1:C27"/>
  <sheetViews>
    <sheetView zoomScale="120" zoomScaleNormal="120" workbookViewId="0">
      <selection activeCell="B1" sqref="B1"/>
    </sheetView>
  </sheetViews>
  <sheetFormatPr defaultColWidth="11.1640625" defaultRowHeight="16"/>
  <cols>
    <col min="1" max="1" width="24.83203125" customWidth="1"/>
    <col min="2" max="2" width="34.33203125" style="53" customWidth="1"/>
    <col min="3" max="3" width="17.1640625" style="53" customWidth="1"/>
  </cols>
  <sheetData>
    <row r="1" spans="1:3" ht="16.5" thickBot="1">
      <c r="A1" s="3" t="s">
        <v>9229</v>
      </c>
      <c r="B1" s="57" t="s">
        <v>9230</v>
      </c>
    </row>
    <row r="2" spans="1:3" ht="16.5" thickBot="1">
      <c r="A2" s="4" t="s">
        <v>9231</v>
      </c>
      <c r="B2" s="54" t="s">
        <v>9232</v>
      </c>
    </row>
    <row r="3" spans="1:3">
      <c r="A3" s="4" t="s">
        <v>9233</v>
      </c>
      <c r="B3" s="55" t="s">
        <v>9234</v>
      </c>
    </row>
    <row r="4" spans="1:3" ht="16.5" thickBot="1">
      <c r="A4" s="6" t="s">
        <v>9235</v>
      </c>
      <c r="B4" s="56" t="s">
        <v>25588</v>
      </c>
    </row>
    <row r="5" spans="1:3" ht="16.5" thickBot="1">
      <c r="A5" s="4" t="s">
        <v>9236</v>
      </c>
      <c r="B5" s="56" t="s">
        <v>9255</v>
      </c>
    </row>
    <row r="6" spans="1:3">
      <c r="A6" s="7" t="s">
        <v>9237</v>
      </c>
      <c r="B6" s="57" t="s">
        <v>9256</v>
      </c>
    </row>
    <row r="7" spans="1:3">
      <c r="A7" s="8"/>
      <c r="B7" s="9" t="s">
        <v>9257</v>
      </c>
      <c r="C7" s="9" t="s">
        <v>9258</v>
      </c>
    </row>
    <row r="8" spans="1:3">
      <c r="A8" s="8" t="s">
        <v>9238</v>
      </c>
      <c r="B8" s="53" t="s">
        <v>25589</v>
      </c>
      <c r="C8" s="53" t="s">
        <v>25589</v>
      </c>
    </row>
    <row r="9" spans="1:3">
      <c r="A9" s="8" t="s">
        <v>9239</v>
      </c>
      <c r="B9" s="53" t="s">
        <v>25589</v>
      </c>
      <c r="C9" s="53" t="s">
        <v>25589</v>
      </c>
    </row>
    <row r="10" spans="1:3">
      <c r="A10" s="8" t="s">
        <v>9240</v>
      </c>
      <c r="B10" s="53">
        <v>2</v>
      </c>
      <c r="C10" s="53">
        <v>2</v>
      </c>
    </row>
    <row r="11" spans="1:3">
      <c r="A11" s="8" t="s">
        <v>9241</v>
      </c>
      <c r="B11" s="53" t="s">
        <v>25590</v>
      </c>
      <c r="C11" s="53" t="s">
        <v>25590</v>
      </c>
    </row>
    <row r="12" spans="1:3">
      <c r="A12" s="8" t="s">
        <v>9242</v>
      </c>
      <c r="B12" s="53" t="s">
        <v>25589</v>
      </c>
      <c r="C12" s="53" t="s">
        <v>25589</v>
      </c>
    </row>
    <row r="13" spans="1:3">
      <c r="A13" s="8" t="s">
        <v>9243</v>
      </c>
      <c r="B13" s="53">
        <v>1</v>
      </c>
      <c r="C13" s="53">
        <v>1</v>
      </c>
    </row>
    <row r="14" spans="1:3">
      <c r="A14" s="8" t="s">
        <v>9244</v>
      </c>
      <c r="B14" s="53">
        <v>2</v>
      </c>
      <c r="C14" s="53">
        <v>2</v>
      </c>
    </row>
    <row r="15" spans="1:3">
      <c r="A15" s="8" t="s">
        <v>9245</v>
      </c>
      <c r="B15" s="53" t="s">
        <v>25589</v>
      </c>
      <c r="C15" s="53" t="s">
        <v>25589</v>
      </c>
    </row>
    <row r="16" spans="1:3">
      <c r="A16" s="8" t="s">
        <v>9246</v>
      </c>
      <c r="B16" s="53">
        <v>1</v>
      </c>
      <c r="C16" s="53">
        <v>1</v>
      </c>
    </row>
    <row r="17" spans="1:3">
      <c r="A17" s="8" t="s">
        <v>9247</v>
      </c>
      <c r="B17" s="53">
        <v>45.5</v>
      </c>
      <c r="C17" s="53">
        <v>45.5</v>
      </c>
    </row>
    <row r="18" spans="1:3">
      <c r="A18" s="8" t="s">
        <v>9248</v>
      </c>
      <c r="B18" s="53" t="s">
        <v>25591</v>
      </c>
      <c r="C18" s="53" t="s">
        <v>25591</v>
      </c>
    </row>
    <row r="19" spans="1:3">
      <c r="A19" s="8" t="s">
        <v>9249</v>
      </c>
      <c r="B19" s="58">
        <v>4513</v>
      </c>
      <c r="C19" s="58">
        <v>4513</v>
      </c>
    </row>
    <row r="20" spans="1:3">
      <c r="A20" s="8" t="s">
        <v>9250</v>
      </c>
      <c r="B20" s="58">
        <v>4344</v>
      </c>
      <c r="C20" s="58">
        <v>4344</v>
      </c>
    </row>
    <row r="22" spans="1:3">
      <c r="A22" s="8" t="s">
        <v>9251</v>
      </c>
      <c r="B22" s="1" t="s">
        <v>9256</v>
      </c>
      <c r="C22" s="53" t="s">
        <v>25592</v>
      </c>
    </row>
    <row r="25" spans="1:3">
      <c r="A25" t="s">
        <v>9252</v>
      </c>
    </row>
    <row r="26" spans="1:3">
      <c r="A26" t="s">
        <v>9253</v>
      </c>
      <c r="B26" s="59">
        <v>0.99150000000000005</v>
      </c>
    </row>
    <row r="27" spans="1:3">
      <c r="A27" t="s">
        <v>9254</v>
      </c>
      <c r="B27" s="53">
        <v>1.45</v>
      </c>
    </row>
  </sheetData>
  <hyperlinks>
    <hyperlink ref="B6" r:id="rId1" display="https://www.ncbi.nlm.nih.gov/nuccore/NZ_CP042285.1/" xr:uid="{96A7A830-BC19-4A42-AE6A-1CBECF984104}"/>
    <hyperlink ref="B22" r:id="rId2" display="https://www.ncbi.nlm.nih.gov/nuccore/NZ_CP042285.1/" xr:uid="{616C130E-7754-3B42-8B20-428265127BCD}"/>
    <hyperlink ref="B1" r:id="rId3" xr:uid="{B9F63E87-B3A5-4553-A87C-AE19C020A0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CDA5-A0FC-8043-957C-7CDDDA65AE2D}">
  <dimension ref="A1:N4514"/>
  <sheetViews>
    <sheetView workbookViewId="0">
      <selection activeCell="P5" sqref="P5"/>
    </sheetView>
  </sheetViews>
  <sheetFormatPr defaultColWidth="11.1640625" defaultRowHeight="16"/>
  <sheetData>
    <row r="1" spans="1:14">
      <c r="A1" t="s">
        <v>14278</v>
      </c>
      <c r="B1" t="s">
        <v>14279</v>
      </c>
      <c r="C1" t="s">
        <v>14280</v>
      </c>
      <c r="D1" t="s">
        <v>14281</v>
      </c>
      <c r="E1" t="s">
        <v>14282</v>
      </c>
      <c r="F1" t="s">
        <v>13583</v>
      </c>
      <c r="G1" t="s">
        <v>14283</v>
      </c>
      <c r="H1" t="s">
        <v>14284</v>
      </c>
      <c r="I1" t="s">
        <v>14285</v>
      </c>
      <c r="J1" t="s">
        <v>14286</v>
      </c>
      <c r="K1" t="s">
        <v>14287</v>
      </c>
      <c r="L1" t="s">
        <v>0</v>
      </c>
      <c r="M1" t="s">
        <v>1</v>
      </c>
      <c r="N1" t="s">
        <v>2</v>
      </c>
    </row>
    <row r="2" spans="1:14">
      <c r="A2" t="s">
        <v>14288</v>
      </c>
      <c r="B2">
        <v>757</v>
      </c>
      <c r="C2">
        <v>1008</v>
      </c>
      <c r="D2" t="s">
        <v>14289</v>
      </c>
      <c r="E2" t="s">
        <v>14290</v>
      </c>
      <c r="F2" t="s">
        <v>14291</v>
      </c>
      <c r="H2">
        <v>93521495</v>
      </c>
      <c r="I2" t="s">
        <v>14292</v>
      </c>
      <c r="L2" t="s">
        <v>14293</v>
      </c>
      <c r="M2">
        <v>83</v>
      </c>
      <c r="N2" t="s">
        <v>14294</v>
      </c>
    </row>
    <row r="3" spans="1:14">
      <c r="A3" t="s">
        <v>14288</v>
      </c>
      <c r="B3">
        <v>1005</v>
      </c>
      <c r="C3">
        <v>1280</v>
      </c>
      <c r="D3" t="s">
        <v>14289</v>
      </c>
      <c r="E3" t="s">
        <v>14290</v>
      </c>
      <c r="F3" t="s">
        <v>14295</v>
      </c>
      <c r="H3">
        <v>93521496</v>
      </c>
      <c r="I3" t="s">
        <v>14292</v>
      </c>
      <c r="L3" t="s">
        <v>14296</v>
      </c>
      <c r="M3">
        <v>91</v>
      </c>
      <c r="N3" t="s">
        <v>14297</v>
      </c>
    </row>
    <row r="4" spans="1:14">
      <c r="A4" t="s">
        <v>14288</v>
      </c>
      <c r="B4">
        <v>1291</v>
      </c>
      <c r="C4">
        <v>1488</v>
      </c>
      <c r="D4" t="s">
        <v>14289</v>
      </c>
      <c r="E4" t="s">
        <v>14290</v>
      </c>
      <c r="F4" t="s">
        <v>14291</v>
      </c>
      <c r="H4">
        <v>93521497</v>
      </c>
      <c r="I4" t="s">
        <v>14292</v>
      </c>
      <c r="L4" t="s">
        <v>14298</v>
      </c>
      <c r="M4">
        <v>65</v>
      </c>
      <c r="N4" t="s">
        <v>14299</v>
      </c>
    </row>
    <row r="5" spans="1:14">
      <c r="A5" t="s">
        <v>14288</v>
      </c>
      <c r="B5">
        <v>1681</v>
      </c>
      <c r="C5">
        <v>1980</v>
      </c>
      <c r="D5" t="s">
        <v>14289</v>
      </c>
      <c r="E5" t="s">
        <v>14290</v>
      </c>
      <c r="F5" t="s">
        <v>14300</v>
      </c>
      <c r="G5" t="s">
        <v>14301</v>
      </c>
      <c r="H5">
        <v>93525965</v>
      </c>
      <c r="I5" t="s">
        <v>14292</v>
      </c>
      <c r="L5" t="s">
        <v>14302</v>
      </c>
      <c r="M5">
        <v>99</v>
      </c>
      <c r="N5" t="s">
        <v>14303</v>
      </c>
    </row>
    <row r="6" spans="1:14">
      <c r="A6" t="s">
        <v>14288</v>
      </c>
      <c r="B6">
        <v>1977</v>
      </c>
      <c r="C6">
        <v>2771</v>
      </c>
      <c r="D6" t="s">
        <v>14289</v>
      </c>
      <c r="E6" t="s">
        <v>14290</v>
      </c>
      <c r="F6" t="s">
        <v>14304</v>
      </c>
      <c r="G6" t="s">
        <v>14305</v>
      </c>
      <c r="H6">
        <v>93521498</v>
      </c>
      <c r="I6" t="s">
        <v>14292</v>
      </c>
      <c r="L6" t="s">
        <v>14306</v>
      </c>
      <c r="M6">
        <v>264</v>
      </c>
      <c r="N6" t="s">
        <v>14307</v>
      </c>
    </row>
    <row r="7" spans="1:14">
      <c r="A7" t="s">
        <v>14288</v>
      </c>
      <c r="B7">
        <v>2728</v>
      </c>
      <c r="C7">
        <v>3180</v>
      </c>
      <c r="D7" t="s">
        <v>14289</v>
      </c>
      <c r="E7" t="s">
        <v>14290</v>
      </c>
      <c r="F7" t="s">
        <v>14308</v>
      </c>
      <c r="G7" t="s">
        <v>14309</v>
      </c>
      <c r="H7">
        <v>93521499</v>
      </c>
      <c r="I7" t="s">
        <v>14292</v>
      </c>
      <c r="L7" t="s">
        <v>14310</v>
      </c>
      <c r="M7">
        <v>150</v>
      </c>
      <c r="N7" t="s">
        <v>14311</v>
      </c>
    </row>
    <row r="8" spans="1:14">
      <c r="A8" t="s">
        <v>14288</v>
      </c>
      <c r="B8">
        <v>3200</v>
      </c>
      <c r="C8">
        <v>3430</v>
      </c>
      <c r="D8" t="s">
        <v>14289</v>
      </c>
      <c r="E8" t="s">
        <v>14290</v>
      </c>
      <c r="F8" t="s">
        <v>14291</v>
      </c>
      <c r="H8">
        <v>93521500</v>
      </c>
      <c r="I8" t="s">
        <v>14292</v>
      </c>
      <c r="L8" t="s">
        <v>14312</v>
      </c>
      <c r="M8">
        <v>76</v>
      </c>
      <c r="N8" t="s">
        <v>14313</v>
      </c>
    </row>
    <row r="9" spans="1:14">
      <c r="A9" t="s">
        <v>14288</v>
      </c>
      <c r="B9">
        <v>3467</v>
      </c>
      <c r="C9">
        <v>344</v>
      </c>
      <c r="D9" t="s">
        <v>14289</v>
      </c>
      <c r="E9" t="s">
        <v>14314</v>
      </c>
      <c r="F9" t="s">
        <v>14315</v>
      </c>
      <c r="H9">
        <v>93521494</v>
      </c>
      <c r="I9" t="s">
        <v>14292</v>
      </c>
      <c r="L9" t="s">
        <v>14316</v>
      </c>
      <c r="M9">
        <v>341</v>
      </c>
      <c r="N9" t="s">
        <v>14317</v>
      </c>
    </row>
    <row r="10" spans="1:14">
      <c r="A10" t="s">
        <v>9256</v>
      </c>
      <c r="B10">
        <v>445</v>
      </c>
      <c r="C10">
        <v>993</v>
      </c>
      <c r="E10" t="s">
        <v>14290</v>
      </c>
      <c r="F10" t="s">
        <v>14318</v>
      </c>
      <c r="H10">
        <v>93521501</v>
      </c>
      <c r="I10" t="s">
        <v>14292</v>
      </c>
      <c r="L10" t="s">
        <v>14319</v>
      </c>
      <c r="M10">
        <v>182</v>
      </c>
      <c r="N10" t="s">
        <v>14320</v>
      </c>
    </row>
    <row r="11" spans="1:14">
      <c r="A11" t="s">
        <v>9256</v>
      </c>
      <c r="B11">
        <v>1177</v>
      </c>
      <c r="C11">
        <v>1839</v>
      </c>
      <c r="E11" t="s">
        <v>14290</v>
      </c>
      <c r="F11" t="s">
        <v>14291</v>
      </c>
      <c r="H11">
        <v>93525920</v>
      </c>
      <c r="I11" t="s">
        <v>14292</v>
      </c>
      <c r="L11" t="s">
        <v>14321</v>
      </c>
      <c r="M11">
        <v>220</v>
      </c>
      <c r="N11" t="s">
        <v>14322</v>
      </c>
    </row>
    <row r="12" spans="1:14">
      <c r="A12" t="s">
        <v>9256</v>
      </c>
      <c r="B12">
        <v>1895</v>
      </c>
      <c r="C12">
        <v>2332</v>
      </c>
      <c r="E12" t="s">
        <v>14290</v>
      </c>
      <c r="F12" t="s">
        <v>14323</v>
      </c>
      <c r="H12">
        <v>93521502</v>
      </c>
      <c r="I12" t="s">
        <v>14292</v>
      </c>
      <c r="L12" t="s">
        <v>14324</v>
      </c>
      <c r="M12">
        <v>145</v>
      </c>
      <c r="N12" t="s">
        <v>14325</v>
      </c>
    </row>
    <row r="13" spans="1:14">
      <c r="A13" t="s">
        <v>9256</v>
      </c>
      <c r="B13">
        <v>2389</v>
      </c>
      <c r="C13">
        <v>3930</v>
      </c>
      <c r="E13" t="s">
        <v>14290</v>
      </c>
      <c r="F13" t="s">
        <v>14326</v>
      </c>
      <c r="H13">
        <v>93521503</v>
      </c>
      <c r="I13" t="s">
        <v>14292</v>
      </c>
      <c r="L13" t="s">
        <v>14327</v>
      </c>
      <c r="M13">
        <v>513</v>
      </c>
      <c r="N13" t="s">
        <v>14328</v>
      </c>
    </row>
    <row r="14" spans="1:14">
      <c r="A14" t="s">
        <v>9256</v>
      </c>
      <c r="B14">
        <v>3927</v>
      </c>
      <c r="C14">
        <v>5129</v>
      </c>
      <c r="E14" t="s">
        <v>14290</v>
      </c>
      <c r="F14" t="s">
        <v>14329</v>
      </c>
      <c r="H14">
        <v>93521504</v>
      </c>
      <c r="I14" t="s">
        <v>14292</v>
      </c>
      <c r="L14" t="s">
        <v>14330</v>
      </c>
      <c r="M14">
        <v>400</v>
      </c>
      <c r="N14" t="s">
        <v>14331</v>
      </c>
    </row>
    <row r="15" spans="1:14">
      <c r="A15" t="s">
        <v>9256</v>
      </c>
      <c r="B15">
        <v>5126</v>
      </c>
      <c r="C15">
        <v>6274</v>
      </c>
      <c r="E15" t="s">
        <v>14290</v>
      </c>
      <c r="F15" t="s">
        <v>14332</v>
      </c>
      <c r="H15">
        <v>93521505</v>
      </c>
      <c r="I15" t="s">
        <v>14292</v>
      </c>
      <c r="L15" t="s">
        <v>14333</v>
      </c>
      <c r="M15">
        <v>382</v>
      </c>
      <c r="N15" t="s">
        <v>14334</v>
      </c>
    </row>
    <row r="16" spans="1:14">
      <c r="A16" t="s">
        <v>9256</v>
      </c>
      <c r="B16">
        <v>6267</v>
      </c>
      <c r="C16">
        <v>7220</v>
      </c>
      <c r="E16" t="s">
        <v>14290</v>
      </c>
      <c r="F16" t="s">
        <v>14335</v>
      </c>
      <c r="H16">
        <v>93521506</v>
      </c>
      <c r="I16" t="s">
        <v>14292</v>
      </c>
      <c r="L16" t="s">
        <v>14336</v>
      </c>
      <c r="M16">
        <v>317</v>
      </c>
      <c r="N16" t="s">
        <v>14337</v>
      </c>
    </row>
    <row r="17" spans="1:14">
      <c r="A17" t="s">
        <v>9256</v>
      </c>
      <c r="B17">
        <v>7213</v>
      </c>
      <c r="C17">
        <v>8274</v>
      </c>
      <c r="E17" t="s">
        <v>14290</v>
      </c>
      <c r="F17" t="s">
        <v>14338</v>
      </c>
      <c r="H17">
        <v>93521507</v>
      </c>
      <c r="I17" t="s">
        <v>14292</v>
      </c>
      <c r="L17" t="s">
        <v>14339</v>
      </c>
      <c r="M17">
        <v>353</v>
      </c>
      <c r="N17" t="s">
        <v>14340</v>
      </c>
    </row>
    <row r="18" spans="1:14">
      <c r="A18" t="s">
        <v>9256</v>
      </c>
      <c r="B18">
        <v>8267</v>
      </c>
      <c r="C18">
        <v>9385</v>
      </c>
      <c r="E18" t="s">
        <v>14290</v>
      </c>
      <c r="F18" t="s">
        <v>14291</v>
      </c>
      <c r="H18">
        <v>93521508</v>
      </c>
      <c r="I18" t="s">
        <v>14292</v>
      </c>
      <c r="L18" t="s">
        <v>14341</v>
      </c>
      <c r="M18">
        <v>372</v>
      </c>
      <c r="N18" t="s">
        <v>14342</v>
      </c>
    </row>
    <row r="19" spans="1:14">
      <c r="A19" t="s">
        <v>9256</v>
      </c>
      <c r="B19">
        <v>9399</v>
      </c>
      <c r="C19">
        <v>10550</v>
      </c>
      <c r="E19" t="s">
        <v>14290</v>
      </c>
      <c r="F19" t="s">
        <v>14343</v>
      </c>
      <c r="G19" t="s">
        <v>14344</v>
      </c>
      <c r="H19">
        <v>93521509</v>
      </c>
      <c r="I19" t="s">
        <v>14292</v>
      </c>
      <c r="L19" t="s">
        <v>14345</v>
      </c>
      <c r="M19">
        <v>383</v>
      </c>
      <c r="N19" t="s">
        <v>14346</v>
      </c>
    </row>
    <row r="20" spans="1:14">
      <c r="A20" t="s">
        <v>9256</v>
      </c>
      <c r="B20">
        <v>10543</v>
      </c>
      <c r="C20">
        <v>11577</v>
      </c>
      <c r="E20" t="s">
        <v>14290</v>
      </c>
      <c r="F20" t="s">
        <v>14291</v>
      </c>
      <c r="H20">
        <v>93521510</v>
      </c>
      <c r="I20" t="s">
        <v>14292</v>
      </c>
      <c r="L20" t="s">
        <v>14347</v>
      </c>
      <c r="M20">
        <v>344</v>
      </c>
      <c r="N20" t="s">
        <v>14348</v>
      </c>
    </row>
    <row r="21" spans="1:14">
      <c r="A21" t="s">
        <v>9256</v>
      </c>
      <c r="B21">
        <v>11581</v>
      </c>
      <c r="C21">
        <v>12657</v>
      </c>
      <c r="E21" t="s">
        <v>14290</v>
      </c>
      <c r="F21" t="s">
        <v>14335</v>
      </c>
      <c r="H21">
        <v>93521511</v>
      </c>
      <c r="I21" t="s">
        <v>14292</v>
      </c>
      <c r="L21" t="s">
        <v>14349</v>
      </c>
      <c r="M21">
        <v>358</v>
      </c>
      <c r="N21" t="s">
        <v>14350</v>
      </c>
    </row>
    <row r="22" spans="1:14">
      <c r="A22" t="s">
        <v>9256</v>
      </c>
      <c r="B22">
        <v>12632</v>
      </c>
      <c r="C22">
        <v>13648</v>
      </c>
      <c r="E22" t="s">
        <v>14290</v>
      </c>
      <c r="F22" t="s">
        <v>14335</v>
      </c>
      <c r="H22">
        <v>93521512</v>
      </c>
      <c r="I22" t="s">
        <v>14292</v>
      </c>
      <c r="L22" t="s">
        <v>14351</v>
      </c>
      <c r="M22">
        <v>338</v>
      </c>
      <c r="N22" t="s">
        <v>14352</v>
      </c>
    </row>
    <row r="23" spans="1:14">
      <c r="A23" t="s">
        <v>9256</v>
      </c>
      <c r="B23">
        <v>13648</v>
      </c>
      <c r="C23">
        <v>14955</v>
      </c>
      <c r="E23" t="s">
        <v>14290</v>
      </c>
      <c r="F23" t="s">
        <v>14291</v>
      </c>
      <c r="H23">
        <v>93521513</v>
      </c>
      <c r="I23" t="s">
        <v>14292</v>
      </c>
      <c r="L23" t="s">
        <v>14353</v>
      </c>
      <c r="M23">
        <v>435</v>
      </c>
      <c r="N23" t="s">
        <v>14354</v>
      </c>
    </row>
    <row r="24" spans="1:14">
      <c r="A24" t="s">
        <v>9256</v>
      </c>
      <c r="B24">
        <v>14965</v>
      </c>
      <c r="C24">
        <v>15891</v>
      </c>
      <c r="E24" t="s">
        <v>14290</v>
      </c>
      <c r="F24" t="s">
        <v>14355</v>
      </c>
      <c r="H24">
        <v>93521514</v>
      </c>
      <c r="I24" t="s">
        <v>14292</v>
      </c>
      <c r="L24" t="s">
        <v>14356</v>
      </c>
      <c r="M24">
        <v>308</v>
      </c>
      <c r="N24" t="s">
        <v>14357</v>
      </c>
    </row>
    <row r="25" spans="1:14">
      <c r="A25" t="s">
        <v>9256</v>
      </c>
      <c r="B25">
        <v>15900</v>
      </c>
      <c r="C25">
        <v>16757</v>
      </c>
      <c r="E25" t="s">
        <v>14290</v>
      </c>
      <c r="F25" t="s">
        <v>14358</v>
      </c>
      <c r="H25">
        <v>93521515</v>
      </c>
      <c r="I25" t="s">
        <v>14292</v>
      </c>
      <c r="L25" t="s">
        <v>14359</v>
      </c>
      <c r="M25">
        <v>285</v>
      </c>
      <c r="N25" t="s">
        <v>14360</v>
      </c>
    </row>
    <row r="26" spans="1:14">
      <c r="A26" t="s">
        <v>9256</v>
      </c>
      <c r="B26">
        <v>16824</v>
      </c>
      <c r="C26">
        <v>17963</v>
      </c>
      <c r="E26" t="s">
        <v>14290</v>
      </c>
      <c r="F26" t="s">
        <v>14361</v>
      </c>
      <c r="H26">
        <v>93521516</v>
      </c>
      <c r="I26" t="s">
        <v>14292</v>
      </c>
      <c r="L26" t="s">
        <v>14362</v>
      </c>
      <c r="M26">
        <v>379</v>
      </c>
      <c r="N26" t="s">
        <v>14363</v>
      </c>
    </row>
    <row r="27" spans="1:14">
      <c r="A27" t="s">
        <v>9256</v>
      </c>
      <c r="B27">
        <v>17960</v>
      </c>
      <c r="C27">
        <v>19201</v>
      </c>
      <c r="E27" t="s">
        <v>14290</v>
      </c>
      <c r="F27" t="s">
        <v>14364</v>
      </c>
      <c r="H27">
        <v>93521517</v>
      </c>
      <c r="I27" t="s">
        <v>14292</v>
      </c>
      <c r="L27" t="s">
        <v>14365</v>
      </c>
      <c r="M27">
        <v>413</v>
      </c>
      <c r="N27" t="s">
        <v>14366</v>
      </c>
    </row>
    <row r="28" spans="1:14">
      <c r="A28" t="s">
        <v>9256</v>
      </c>
      <c r="B28">
        <v>19244</v>
      </c>
      <c r="C28">
        <v>20380</v>
      </c>
      <c r="E28" t="s">
        <v>14290</v>
      </c>
      <c r="F28" t="s">
        <v>14364</v>
      </c>
      <c r="H28">
        <v>93521518</v>
      </c>
      <c r="I28" t="s">
        <v>14292</v>
      </c>
      <c r="L28" t="s">
        <v>14367</v>
      </c>
      <c r="M28">
        <v>378</v>
      </c>
      <c r="N28" t="s">
        <v>14368</v>
      </c>
    </row>
    <row r="29" spans="1:14">
      <c r="A29" t="s">
        <v>9256</v>
      </c>
      <c r="B29">
        <v>20380</v>
      </c>
      <c r="C29">
        <v>21015</v>
      </c>
      <c r="E29" t="s">
        <v>14290</v>
      </c>
      <c r="F29" t="s">
        <v>14369</v>
      </c>
      <c r="H29">
        <v>93521519</v>
      </c>
      <c r="I29" t="s">
        <v>14292</v>
      </c>
      <c r="L29" t="s">
        <v>14370</v>
      </c>
      <c r="M29">
        <v>211</v>
      </c>
      <c r="N29" t="s">
        <v>14371</v>
      </c>
    </row>
    <row r="30" spans="1:14">
      <c r="A30" t="s">
        <v>9256</v>
      </c>
      <c r="B30">
        <v>21022</v>
      </c>
      <c r="C30">
        <v>21330</v>
      </c>
      <c r="E30" t="s">
        <v>14290</v>
      </c>
      <c r="F30" t="s">
        <v>14372</v>
      </c>
      <c r="H30">
        <v>93521520</v>
      </c>
      <c r="I30" t="s">
        <v>14292</v>
      </c>
      <c r="L30" t="s">
        <v>14373</v>
      </c>
      <c r="M30">
        <v>102</v>
      </c>
      <c r="N30" t="s">
        <v>14374</v>
      </c>
    </row>
    <row r="31" spans="1:14">
      <c r="A31" t="s">
        <v>9256</v>
      </c>
      <c r="B31">
        <v>21392</v>
      </c>
      <c r="C31">
        <v>22495</v>
      </c>
      <c r="E31" t="s">
        <v>14290</v>
      </c>
      <c r="F31" t="s">
        <v>14375</v>
      </c>
      <c r="H31">
        <v>93521521</v>
      </c>
      <c r="I31" t="s">
        <v>14292</v>
      </c>
      <c r="L31" t="s">
        <v>14376</v>
      </c>
      <c r="M31">
        <v>367</v>
      </c>
      <c r="N31" t="s">
        <v>14377</v>
      </c>
    </row>
    <row r="32" spans="1:14">
      <c r="A32" t="s">
        <v>9256</v>
      </c>
      <c r="B32">
        <v>22492</v>
      </c>
      <c r="C32">
        <v>23394</v>
      </c>
      <c r="E32" t="s">
        <v>14290</v>
      </c>
      <c r="F32" t="s">
        <v>14378</v>
      </c>
      <c r="H32">
        <v>93521522</v>
      </c>
      <c r="I32" t="s">
        <v>14292</v>
      </c>
      <c r="L32" t="s">
        <v>14379</v>
      </c>
      <c r="M32">
        <v>300</v>
      </c>
      <c r="N32" t="s">
        <v>14380</v>
      </c>
    </row>
    <row r="33" spans="1:14">
      <c r="A33" t="s">
        <v>9256</v>
      </c>
      <c r="B33">
        <v>23391</v>
      </c>
      <c r="C33">
        <v>24179</v>
      </c>
      <c r="E33" t="s">
        <v>14290</v>
      </c>
      <c r="F33" t="s">
        <v>14381</v>
      </c>
      <c r="H33">
        <v>93521523</v>
      </c>
      <c r="I33" t="s">
        <v>14292</v>
      </c>
      <c r="L33" t="s">
        <v>14382</v>
      </c>
      <c r="M33">
        <v>262</v>
      </c>
      <c r="N33" t="s">
        <v>14383</v>
      </c>
    </row>
    <row r="34" spans="1:14">
      <c r="A34" t="s">
        <v>9256</v>
      </c>
      <c r="B34">
        <v>24199</v>
      </c>
      <c r="C34">
        <v>26550</v>
      </c>
      <c r="E34" t="s">
        <v>14290</v>
      </c>
      <c r="F34" t="s">
        <v>14384</v>
      </c>
      <c r="H34">
        <v>93521524</v>
      </c>
      <c r="I34" t="s">
        <v>14292</v>
      </c>
      <c r="L34" t="s">
        <v>14385</v>
      </c>
      <c r="M34">
        <v>783</v>
      </c>
      <c r="N34" t="s">
        <v>14386</v>
      </c>
    </row>
    <row r="35" spans="1:14">
      <c r="A35" t="s">
        <v>9256</v>
      </c>
      <c r="B35">
        <v>26579</v>
      </c>
      <c r="C35">
        <v>26758</v>
      </c>
      <c r="E35" t="s">
        <v>14290</v>
      </c>
      <c r="F35" t="s">
        <v>14291</v>
      </c>
      <c r="H35">
        <v>93521525</v>
      </c>
      <c r="I35" t="s">
        <v>14292</v>
      </c>
      <c r="L35" t="s">
        <v>14387</v>
      </c>
      <c r="M35">
        <v>59</v>
      </c>
      <c r="N35" t="s">
        <v>14388</v>
      </c>
    </row>
    <row r="36" spans="1:14">
      <c r="A36" t="s">
        <v>9256</v>
      </c>
      <c r="B36">
        <v>26777</v>
      </c>
      <c r="C36">
        <v>30034</v>
      </c>
      <c r="E36" t="s">
        <v>14290</v>
      </c>
      <c r="F36" t="s">
        <v>14389</v>
      </c>
      <c r="H36">
        <v>93521526</v>
      </c>
      <c r="I36" t="s">
        <v>14292</v>
      </c>
      <c r="L36" t="s">
        <v>14390</v>
      </c>
      <c r="M36">
        <v>1085</v>
      </c>
      <c r="N36" t="s">
        <v>14391</v>
      </c>
    </row>
    <row r="37" spans="1:14">
      <c r="A37" t="s">
        <v>9256</v>
      </c>
      <c r="B37">
        <v>30056</v>
      </c>
      <c r="C37">
        <v>32203</v>
      </c>
      <c r="E37" t="s">
        <v>14290</v>
      </c>
      <c r="F37" t="s">
        <v>14291</v>
      </c>
      <c r="H37">
        <v>93521527</v>
      </c>
      <c r="I37" t="s">
        <v>14292</v>
      </c>
      <c r="L37" t="s">
        <v>14392</v>
      </c>
      <c r="M37">
        <v>715</v>
      </c>
      <c r="N37" t="s">
        <v>14393</v>
      </c>
    </row>
    <row r="38" spans="1:14">
      <c r="A38" t="s">
        <v>9256</v>
      </c>
      <c r="B38">
        <v>32241</v>
      </c>
      <c r="C38">
        <v>34838</v>
      </c>
      <c r="E38" t="s">
        <v>14290</v>
      </c>
      <c r="F38" t="s">
        <v>14394</v>
      </c>
      <c r="H38">
        <v>93521528</v>
      </c>
      <c r="I38" t="s">
        <v>14292</v>
      </c>
      <c r="L38" t="s">
        <v>14395</v>
      </c>
      <c r="M38">
        <v>865</v>
      </c>
      <c r="N38" t="s">
        <v>14396</v>
      </c>
    </row>
    <row r="39" spans="1:14">
      <c r="A39" t="s">
        <v>9256</v>
      </c>
      <c r="B39">
        <v>34893</v>
      </c>
      <c r="C39">
        <v>36101</v>
      </c>
      <c r="E39" t="s">
        <v>14290</v>
      </c>
      <c r="F39" t="s">
        <v>14397</v>
      </c>
      <c r="H39">
        <v>93521529</v>
      </c>
      <c r="I39" t="s">
        <v>14292</v>
      </c>
      <c r="L39" t="s">
        <v>14398</v>
      </c>
      <c r="M39">
        <v>402</v>
      </c>
      <c r="N39" t="s">
        <v>14399</v>
      </c>
    </row>
    <row r="40" spans="1:14">
      <c r="A40" t="s">
        <v>9256</v>
      </c>
      <c r="B40">
        <v>36638</v>
      </c>
      <c r="C40">
        <v>37120</v>
      </c>
      <c r="E40" t="s">
        <v>14290</v>
      </c>
      <c r="F40" t="s">
        <v>14400</v>
      </c>
      <c r="H40">
        <v>93521530</v>
      </c>
      <c r="I40" t="s">
        <v>14292</v>
      </c>
      <c r="L40" t="s">
        <v>14401</v>
      </c>
      <c r="M40">
        <v>160</v>
      </c>
      <c r="N40" t="s">
        <v>14402</v>
      </c>
    </row>
    <row r="41" spans="1:14">
      <c r="A41" t="s">
        <v>9256</v>
      </c>
      <c r="B41">
        <v>37129</v>
      </c>
      <c r="C41">
        <v>38820</v>
      </c>
      <c r="E41" t="s">
        <v>14290</v>
      </c>
      <c r="F41" t="s">
        <v>14403</v>
      </c>
      <c r="H41">
        <v>93521531</v>
      </c>
      <c r="I41" t="s">
        <v>14292</v>
      </c>
      <c r="L41" t="s">
        <v>14404</v>
      </c>
      <c r="M41">
        <v>563</v>
      </c>
      <c r="N41" t="s">
        <v>14405</v>
      </c>
    </row>
    <row r="42" spans="1:14">
      <c r="A42" t="s">
        <v>9256</v>
      </c>
      <c r="B42">
        <v>38804</v>
      </c>
      <c r="C42">
        <v>40276</v>
      </c>
      <c r="E42" t="s">
        <v>14290</v>
      </c>
      <c r="F42" t="s">
        <v>14406</v>
      </c>
      <c r="H42">
        <v>93521532</v>
      </c>
      <c r="I42" t="s">
        <v>14292</v>
      </c>
      <c r="L42" t="s">
        <v>14407</v>
      </c>
      <c r="M42">
        <v>490</v>
      </c>
      <c r="N42" t="s">
        <v>14408</v>
      </c>
    </row>
    <row r="43" spans="1:14">
      <c r="A43" t="s">
        <v>9256</v>
      </c>
      <c r="B43">
        <v>40350</v>
      </c>
      <c r="C43">
        <v>41690</v>
      </c>
      <c r="E43" t="s">
        <v>14290</v>
      </c>
      <c r="F43" t="s">
        <v>14409</v>
      </c>
      <c r="H43">
        <v>93521533</v>
      </c>
      <c r="I43" t="s">
        <v>14292</v>
      </c>
      <c r="L43" t="s">
        <v>14410</v>
      </c>
      <c r="M43">
        <v>446</v>
      </c>
      <c r="N43" t="s">
        <v>14411</v>
      </c>
    </row>
    <row r="44" spans="1:14">
      <c r="A44" t="s">
        <v>9256</v>
      </c>
      <c r="B44">
        <v>41717</v>
      </c>
      <c r="C44">
        <v>42100</v>
      </c>
      <c r="E44" t="s">
        <v>14290</v>
      </c>
      <c r="F44" t="s">
        <v>14291</v>
      </c>
      <c r="H44">
        <v>93521534</v>
      </c>
      <c r="I44" t="s">
        <v>14292</v>
      </c>
      <c r="L44" t="s">
        <v>14412</v>
      </c>
      <c r="M44">
        <v>127</v>
      </c>
      <c r="N44" t="s">
        <v>14413</v>
      </c>
    </row>
    <row r="45" spans="1:14">
      <c r="A45" t="s">
        <v>9256</v>
      </c>
      <c r="B45">
        <v>42643</v>
      </c>
      <c r="C45">
        <v>43032</v>
      </c>
      <c r="E45" t="s">
        <v>14314</v>
      </c>
      <c r="F45" t="s">
        <v>14414</v>
      </c>
      <c r="H45">
        <v>93521535</v>
      </c>
      <c r="I45" t="s">
        <v>14415</v>
      </c>
      <c r="N45" t="s">
        <v>14416</v>
      </c>
    </row>
    <row r="46" spans="1:14">
      <c r="A46" t="s">
        <v>9256</v>
      </c>
      <c r="B46">
        <v>43041</v>
      </c>
      <c r="C46">
        <v>43406</v>
      </c>
      <c r="E46" t="s">
        <v>14314</v>
      </c>
      <c r="F46" t="s">
        <v>14417</v>
      </c>
      <c r="H46">
        <v>93521536</v>
      </c>
      <c r="I46" t="s">
        <v>14292</v>
      </c>
      <c r="L46" t="s">
        <v>14418</v>
      </c>
      <c r="M46">
        <v>121</v>
      </c>
      <c r="N46" t="s">
        <v>14419</v>
      </c>
    </row>
    <row r="47" spans="1:14">
      <c r="A47" t="s">
        <v>9256</v>
      </c>
      <c r="B47">
        <v>43567</v>
      </c>
      <c r="C47">
        <v>44022</v>
      </c>
      <c r="E47" t="s">
        <v>14314</v>
      </c>
      <c r="F47" t="s">
        <v>14291</v>
      </c>
      <c r="H47">
        <v>93521537</v>
      </c>
      <c r="I47" t="s">
        <v>14292</v>
      </c>
      <c r="L47" t="s">
        <v>14420</v>
      </c>
      <c r="M47">
        <v>151</v>
      </c>
      <c r="N47" t="s">
        <v>14421</v>
      </c>
    </row>
    <row r="48" spans="1:14">
      <c r="A48" t="s">
        <v>9256</v>
      </c>
      <c r="B48">
        <v>44077</v>
      </c>
      <c r="C48">
        <v>45897</v>
      </c>
      <c r="E48" t="s">
        <v>14314</v>
      </c>
      <c r="F48" t="s">
        <v>14422</v>
      </c>
      <c r="H48">
        <v>93521538</v>
      </c>
      <c r="I48" t="s">
        <v>14292</v>
      </c>
      <c r="L48" t="s">
        <v>14423</v>
      </c>
      <c r="M48">
        <v>606</v>
      </c>
      <c r="N48" t="s">
        <v>14424</v>
      </c>
    </row>
    <row r="49" spans="1:14">
      <c r="A49" t="s">
        <v>9256</v>
      </c>
      <c r="B49">
        <v>45894</v>
      </c>
      <c r="C49">
        <v>46517</v>
      </c>
      <c r="E49" t="s">
        <v>14314</v>
      </c>
      <c r="F49" t="s">
        <v>14425</v>
      </c>
      <c r="H49">
        <v>93521539</v>
      </c>
      <c r="I49" t="s">
        <v>14292</v>
      </c>
      <c r="L49" t="s">
        <v>14426</v>
      </c>
      <c r="M49">
        <v>207</v>
      </c>
      <c r="N49" t="s">
        <v>14427</v>
      </c>
    </row>
    <row r="50" spans="1:14">
      <c r="A50" t="s">
        <v>9256</v>
      </c>
      <c r="B50">
        <v>46529</v>
      </c>
      <c r="C50">
        <v>47845</v>
      </c>
      <c r="E50" t="s">
        <v>14314</v>
      </c>
      <c r="F50" t="s">
        <v>14428</v>
      </c>
      <c r="H50">
        <v>93521540</v>
      </c>
      <c r="I50" t="s">
        <v>14292</v>
      </c>
      <c r="L50" t="s">
        <v>14429</v>
      </c>
      <c r="M50">
        <v>438</v>
      </c>
      <c r="N50" t="s">
        <v>14430</v>
      </c>
    </row>
    <row r="51" spans="1:14">
      <c r="A51" t="s">
        <v>9256</v>
      </c>
      <c r="B51">
        <v>47853</v>
      </c>
      <c r="C51">
        <v>49610</v>
      </c>
      <c r="E51" t="s">
        <v>14314</v>
      </c>
      <c r="F51" t="s">
        <v>14431</v>
      </c>
      <c r="H51">
        <v>93521541</v>
      </c>
      <c r="I51" t="s">
        <v>14292</v>
      </c>
      <c r="L51" t="s">
        <v>14432</v>
      </c>
      <c r="M51">
        <v>585</v>
      </c>
      <c r="N51" t="s">
        <v>14433</v>
      </c>
    </row>
    <row r="52" spans="1:14">
      <c r="A52" t="s">
        <v>9256</v>
      </c>
      <c r="B52">
        <v>49614</v>
      </c>
      <c r="C52">
        <v>50492</v>
      </c>
      <c r="E52" t="s">
        <v>14314</v>
      </c>
      <c r="F52" t="s">
        <v>14434</v>
      </c>
      <c r="H52">
        <v>93521542</v>
      </c>
      <c r="I52" t="s">
        <v>14292</v>
      </c>
      <c r="L52" t="s">
        <v>14435</v>
      </c>
      <c r="M52">
        <v>292</v>
      </c>
      <c r="N52" t="s">
        <v>14436</v>
      </c>
    </row>
    <row r="53" spans="1:14">
      <c r="A53" t="s">
        <v>9256</v>
      </c>
      <c r="B53">
        <v>50494</v>
      </c>
      <c r="C53">
        <v>51084</v>
      </c>
      <c r="E53" t="s">
        <v>14314</v>
      </c>
      <c r="F53" t="s">
        <v>14291</v>
      </c>
      <c r="H53">
        <v>93521543</v>
      </c>
      <c r="I53" t="s">
        <v>14292</v>
      </c>
      <c r="L53" t="s">
        <v>14437</v>
      </c>
      <c r="M53">
        <v>196</v>
      </c>
      <c r="N53" t="s">
        <v>14438</v>
      </c>
    </row>
    <row r="54" spans="1:14">
      <c r="A54" t="s">
        <v>9256</v>
      </c>
      <c r="B54">
        <v>51281</v>
      </c>
      <c r="C54">
        <v>51787</v>
      </c>
      <c r="E54" t="s">
        <v>14290</v>
      </c>
      <c r="F54" t="s">
        <v>14439</v>
      </c>
      <c r="H54">
        <v>93521544</v>
      </c>
      <c r="I54" t="s">
        <v>14292</v>
      </c>
      <c r="L54" t="s">
        <v>14440</v>
      </c>
      <c r="M54">
        <v>168</v>
      </c>
      <c r="N54" t="s">
        <v>14441</v>
      </c>
    </row>
    <row r="55" spans="1:14">
      <c r="A55" t="s">
        <v>9256</v>
      </c>
      <c r="B55">
        <v>51839</v>
      </c>
      <c r="C55">
        <v>51991</v>
      </c>
      <c r="E55" t="s">
        <v>14314</v>
      </c>
      <c r="F55" t="s">
        <v>14291</v>
      </c>
      <c r="H55">
        <v>93521545</v>
      </c>
      <c r="I55" t="s">
        <v>14292</v>
      </c>
      <c r="L55" t="s">
        <v>14442</v>
      </c>
      <c r="M55">
        <v>50</v>
      </c>
      <c r="N55" t="s">
        <v>14443</v>
      </c>
    </row>
    <row r="56" spans="1:14">
      <c r="A56" t="s">
        <v>9256</v>
      </c>
      <c r="B56">
        <v>52025</v>
      </c>
      <c r="C56">
        <v>52939</v>
      </c>
      <c r="E56" t="s">
        <v>14314</v>
      </c>
      <c r="F56" t="s">
        <v>14414</v>
      </c>
      <c r="H56">
        <v>93521546</v>
      </c>
      <c r="I56" t="s">
        <v>14415</v>
      </c>
      <c r="N56" t="s">
        <v>14444</v>
      </c>
    </row>
    <row r="57" spans="1:14">
      <c r="A57" t="s">
        <v>9256</v>
      </c>
      <c r="B57">
        <v>52972</v>
      </c>
      <c r="C57">
        <v>54198</v>
      </c>
      <c r="E57" t="s">
        <v>14314</v>
      </c>
      <c r="F57" t="s">
        <v>14445</v>
      </c>
      <c r="H57">
        <v>93521547</v>
      </c>
      <c r="I57" t="s">
        <v>14292</v>
      </c>
      <c r="L57" t="s">
        <v>14446</v>
      </c>
      <c r="M57">
        <v>408</v>
      </c>
      <c r="N57" t="s">
        <v>14447</v>
      </c>
    </row>
    <row r="58" spans="1:14">
      <c r="A58" t="s">
        <v>9256</v>
      </c>
      <c r="B58">
        <v>54421</v>
      </c>
      <c r="C58">
        <v>55860</v>
      </c>
      <c r="E58" t="s">
        <v>14290</v>
      </c>
      <c r="F58" t="s">
        <v>14448</v>
      </c>
      <c r="H58">
        <v>93521548</v>
      </c>
      <c r="I58" t="s">
        <v>14292</v>
      </c>
      <c r="L58" t="s">
        <v>14449</v>
      </c>
      <c r="M58">
        <v>479</v>
      </c>
      <c r="N58" t="s">
        <v>14450</v>
      </c>
    </row>
    <row r="59" spans="1:14">
      <c r="A59" t="s">
        <v>9256</v>
      </c>
      <c r="B59">
        <v>55936</v>
      </c>
      <c r="C59">
        <v>56901</v>
      </c>
      <c r="E59" t="s">
        <v>14290</v>
      </c>
      <c r="F59" t="s">
        <v>14451</v>
      </c>
      <c r="G59" t="s">
        <v>14452</v>
      </c>
      <c r="H59">
        <v>93521549</v>
      </c>
      <c r="I59" t="s">
        <v>14292</v>
      </c>
      <c r="L59" t="s">
        <v>14453</v>
      </c>
      <c r="M59">
        <v>321</v>
      </c>
      <c r="N59" t="s">
        <v>14454</v>
      </c>
    </row>
    <row r="60" spans="1:14">
      <c r="A60" t="s">
        <v>9256</v>
      </c>
      <c r="B60">
        <v>57012</v>
      </c>
      <c r="C60">
        <v>57995</v>
      </c>
      <c r="E60" t="s">
        <v>14314</v>
      </c>
      <c r="F60" t="s">
        <v>14455</v>
      </c>
      <c r="H60">
        <v>93521550</v>
      </c>
      <c r="I60" t="s">
        <v>14292</v>
      </c>
      <c r="L60" t="s">
        <v>14456</v>
      </c>
      <c r="M60">
        <v>327</v>
      </c>
      <c r="N60" t="s">
        <v>14457</v>
      </c>
    </row>
    <row r="61" spans="1:14">
      <c r="A61" t="s">
        <v>9256</v>
      </c>
      <c r="B61">
        <v>57970</v>
      </c>
      <c r="C61">
        <v>59313</v>
      </c>
      <c r="E61" t="s">
        <v>14314</v>
      </c>
      <c r="F61" t="s">
        <v>14458</v>
      </c>
      <c r="H61">
        <v>93521551</v>
      </c>
      <c r="I61" t="s">
        <v>14292</v>
      </c>
      <c r="L61" t="s">
        <v>14459</v>
      </c>
      <c r="M61">
        <v>447</v>
      </c>
      <c r="N61" t="s">
        <v>14460</v>
      </c>
    </row>
    <row r="62" spans="1:14">
      <c r="A62" t="s">
        <v>9256</v>
      </c>
      <c r="B62">
        <v>59418</v>
      </c>
      <c r="C62">
        <v>61226</v>
      </c>
      <c r="E62" t="s">
        <v>14290</v>
      </c>
      <c r="F62" t="s">
        <v>14461</v>
      </c>
      <c r="H62">
        <v>93521552</v>
      </c>
      <c r="I62" t="s">
        <v>14292</v>
      </c>
      <c r="L62" t="s">
        <v>14462</v>
      </c>
      <c r="M62">
        <v>602</v>
      </c>
      <c r="N62" t="s">
        <v>14463</v>
      </c>
    </row>
    <row r="63" spans="1:14">
      <c r="A63" t="s">
        <v>9256</v>
      </c>
      <c r="B63">
        <v>61232</v>
      </c>
      <c r="C63">
        <v>61909</v>
      </c>
      <c r="E63" t="s">
        <v>14290</v>
      </c>
      <c r="F63" t="s">
        <v>14464</v>
      </c>
      <c r="H63">
        <v>93521553</v>
      </c>
      <c r="I63" t="s">
        <v>14292</v>
      </c>
      <c r="L63" t="s">
        <v>14465</v>
      </c>
      <c r="M63">
        <v>225</v>
      </c>
      <c r="N63" t="s">
        <v>14466</v>
      </c>
    </row>
    <row r="64" spans="1:14">
      <c r="A64" t="s">
        <v>9256</v>
      </c>
      <c r="B64">
        <v>62518</v>
      </c>
      <c r="C64">
        <v>63147</v>
      </c>
      <c r="E64" t="s">
        <v>14290</v>
      </c>
      <c r="F64" t="s">
        <v>14467</v>
      </c>
      <c r="G64" t="s">
        <v>14468</v>
      </c>
      <c r="H64">
        <v>93521554</v>
      </c>
      <c r="I64" t="s">
        <v>14292</v>
      </c>
      <c r="L64" t="s">
        <v>14469</v>
      </c>
      <c r="M64">
        <v>209</v>
      </c>
      <c r="N64" t="s">
        <v>14470</v>
      </c>
    </row>
    <row r="65" spans="1:14">
      <c r="A65" t="s">
        <v>9256</v>
      </c>
      <c r="B65">
        <v>63104</v>
      </c>
      <c r="C65">
        <v>64453</v>
      </c>
      <c r="E65" t="s">
        <v>14314</v>
      </c>
      <c r="F65" t="s">
        <v>14471</v>
      </c>
      <c r="H65">
        <v>93521555</v>
      </c>
      <c r="I65" t="s">
        <v>14292</v>
      </c>
      <c r="L65" t="s">
        <v>14472</v>
      </c>
      <c r="M65">
        <v>449</v>
      </c>
      <c r="N65" t="s">
        <v>14473</v>
      </c>
    </row>
    <row r="66" spans="1:14">
      <c r="A66" t="s">
        <v>9256</v>
      </c>
      <c r="B66">
        <v>64594</v>
      </c>
      <c r="C66">
        <v>66000</v>
      </c>
      <c r="E66" t="s">
        <v>14290</v>
      </c>
      <c r="F66" t="s">
        <v>14474</v>
      </c>
      <c r="H66">
        <v>93521556</v>
      </c>
      <c r="I66" t="s">
        <v>14292</v>
      </c>
      <c r="L66" t="s">
        <v>14475</v>
      </c>
      <c r="M66">
        <v>468</v>
      </c>
      <c r="N66" t="s">
        <v>14476</v>
      </c>
    </row>
    <row r="67" spans="1:14">
      <c r="A67" t="s">
        <v>9256</v>
      </c>
      <c r="B67">
        <v>66010</v>
      </c>
      <c r="C67">
        <v>66831</v>
      </c>
      <c r="E67" t="s">
        <v>14314</v>
      </c>
      <c r="F67" t="s">
        <v>14477</v>
      </c>
      <c r="G67" t="s">
        <v>14478</v>
      </c>
      <c r="H67">
        <v>93521557</v>
      </c>
      <c r="I67" t="s">
        <v>14292</v>
      </c>
      <c r="L67" t="s">
        <v>14479</v>
      </c>
      <c r="M67">
        <v>273</v>
      </c>
      <c r="N67" t="s">
        <v>14480</v>
      </c>
    </row>
    <row r="68" spans="1:14">
      <c r="A68" t="s">
        <v>9256</v>
      </c>
      <c r="B68">
        <v>66877</v>
      </c>
      <c r="C68">
        <v>67323</v>
      </c>
      <c r="E68" t="s">
        <v>14314</v>
      </c>
      <c r="F68" t="s">
        <v>14481</v>
      </c>
      <c r="H68">
        <v>93521558</v>
      </c>
      <c r="I68" t="s">
        <v>14292</v>
      </c>
      <c r="L68" t="s">
        <v>14482</v>
      </c>
      <c r="M68">
        <v>148</v>
      </c>
      <c r="N68" t="s">
        <v>14483</v>
      </c>
    </row>
    <row r="69" spans="1:14">
      <c r="A69" t="s">
        <v>9256</v>
      </c>
      <c r="B69">
        <v>67569</v>
      </c>
      <c r="C69">
        <v>68147</v>
      </c>
      <c r="E69" t="s">
        <v>14290</v>
      </c>
      <c r="F69" t="s">
        <v>14484</v>
      </c>
      <c r="H69">
        <v>93521559</v>
      </c>
      <c r="I69" t="s">
        <v>14292</v>
      </c>
      <c r="L69" t="s">
        <v>14485</v>
      </c>
      <c r="M69">
        <v>192</v>
      </c>
      <c r="N69" t="s">
        <v>14486</v>
      </c>
    </row>
    <row r="70" spans="1:14">
      <c r="A70" t="s">
        <v>9256</v>
      </c>
      <c r="B70">
        <v>68225</v>
      </c>
      <c r="C70">
        <v>69217</v>
      </c>
      <c r="E70" t="s">
        <v>14290</v>
      </c>
      <c r="F70" t="s">
        <v>14487</v>
      </c>
      <c r="H70">
        <v>93521560</v>
      </c>
      <c r="I70" t="s">
        <v>14292</v>
      </c>
      <c r="L70" t="s">
        <v>14488</v>
      </c>
      <c r="M70">
        <v>330</v>
      </c>
      <c r="N70" t="s">
        <v>14489</v>
      </c>
    </row>
    <row r="71" spans="1:14">
      <c r="A71" t="s">
        <v>9256</v>
      </c>
      <c r="B71">
        <v>69398</v>
      </c>
      <c r="C71">
        <v>70084</v>
      </c>
      <c r="E71" t="s">
        <v>14290</v>
      </c>
      <c r="F71" t="s">
        <v>14490</v>
      </c>
      <c r="H71">
        <v>93521561</v>
      </c>
      <c r="I71" t="s">
        <v>14292</v>
      </c>
      <c r="L71" t="s">
        <v>14491</v>
      </c>
      <c r="M71">
        <v>228</v>
      </c>
      <c r="N71" t="s">
        <v>14492</v>
      </c>
    </row>
    <row r="72" spans="1:14">
      <c r="A72" t="s">
        <v>9256</v>
      </c>
      <c r="B72">
        <v>70099</v>
      </c>
      <c r="C72">
        <v>71868</v>
      </c>
      <c r="E72" t="s">
        <v>14290</v>
      </c>
      <c r="F72" t="s">
        <v>14493</v>
      </c>
      <c r="H72">
        <v>93521562</v>
      </c>
      <c r="I72" t="s">
        <v>14292</v>
      </c>
      <c r="L72" t="s">
        <v>14494</v>
      </c>
      <c r="M72">
        <v>589</v>
      </c>
      <c r="N72" t="s">
        <v>14495</v>
      </c>
    </row>
    <row r="73" spans="1:14">
      <c r="A73" t="s">
        <v>9256</v>
      </c>
      <c r="B73">
        <v>71949</v>
      </c>
      <c r="C73">
        <v>74018</v>
      </c>
      <c r="E73" t="s">
        <v>14290</v>
      </c>
      <c r="F73" t="s">
        <v>14493</v>
      </c>
      <c r="H73">
        <v>93521563</v>
      </c>
      <c r="I73" t="s">
        <v>14292</v>
      </c>
      <c r="L73" t="s">
        <v>14496</v>
      </c>
      <c r="M73">
        <v>689</v>
      </c>
      <c r="N73" t="s">
        <v>14497</v>
      </c>
    </row>
    <row r="74" spans="1:14">
      <c r="A74" t="s">
        <v>9256</v>
      </c>
      <c r="B74">
        <v>74013</v>
      </c>
      <c r="C74">
        <v>74777</v>
      </c>
      <c r="E74" t="s">
        <v>14314</v>
      </c>
      <c r="F74" t="s">
        <v>14498</v>
      </c>
      <c r="H74">
        <v>93521564</v>
      </c>
      <c r="I74" t="s">
        <v>14292</v>
      </c>
      <c r="L74" t="s">
        <v>14499</v>
      </c>
      <c r="M74">
        <v>254</v>
      </c>
      <c r="N74" t="s">
        <v>14500</v>
      </c>
    </row>
    <row r="75" spans="1:14">
      <c r="A75" t="s">
        <v>9256</v>
      </c>
      <c r="B75">
        <v>74774</v>
      </c>
      <c r="C75">
        <v>75835</v>
      </c>
      <c r="E75" t="s">
        <v>14314</v>
      </c>
      <c r="F75" t="s">
        <v>14493</v>
      </c>
      <c r="H75">
        <v>93521565</v>
      </c>
      <c r="I75" t="s">
        <v>14292</v>
      </c>
      <c r="L75" t="s">
        <v>14501</v>
      </c>
      <c r="M75">
        <v>353</v>
      </c>
      <c r="N75" t="s">
        <v>14502</v>
      </c>
    </row>
    <row r="76" spans="1:14">
      <c r="A76" t="s">
        <v>9256</v>
      </c>
      <c r="B76">
        <v>75832</v>
      </c>
      <c r="C76">
        <v>76758</v>
      </c>
      <c r="E76" t="s">
        <v>14314</v>
      </c>
      <c r="F76" t="s">
        <v>14503</v>
      </c>
      <c r="H76">
        <v>93521566</v>
      </c>
      <c r="I76" t="s">
        <v>14292</v>
      </c>
      <c r="L76" t="s">
        <v>14504</v>
      </c>
      <c r="M76">
        <v>308</v>
      </c>
      <c r="N76" t="s">
        <v>14505</v>
      </c>
    </row>
    <row r="77" spans="1:14">
      <c r="A77" t="s">
        <v>9256</v>
      </c>
      <c r="B77">
        <v>76777</v>
      </c>
      <c r="C77">
        <v>81087</v>
      </c>
      <c r="E77" t="s">
        <v>14314</v>
      </c>
      <c r="F77" t="s">
        <v>14506</v>
      </c>
      <c r="H77">
        <v>93521567</v>
      </c>
      <c r="I77" t="s">
        <v>14292</v>
      </c>
      <c r="L77" t="s">
        <v>14507</v>
      </c>
      <c r="M77">
        <v>1436</v>
      </c>
      <c r="N77" t="s">
        <v>14508</v>
      </c>
    </row>
    <row r="78" spans="1:14">
      <c r="A78" t="s">
        <v>9256</v>
      </c>
      <c r="B78">
        <v>81302</v>
      </c>
      <c r="C78">
        <v>82195</v>
      </c>
      <c r="E78" t="s">
        <v>14314</v>
      </c>
      <c r="F78" t="s">
        <v>14509</v>
      </c>
      <c r="G78" t="s">
        <v>14510</v>
      </c>
      <c r="H78">
        <v>93521568</v>
      </c>
      <c r="I78" t="s">
        <v>14292</v>
      </c>
      <c r="L78" t="s">
        <v>14511</v>
      </c>
      <c r="M78">
        <v>297</v>
      </c>
      <c r="N78" t="s">
        <v>14512</v>
      </c>
    </row>
    <row r="79" spans="1:14">
      <c r="A79" t="s">
        <v>9256</v>
      </c>
      <c r="B79">
        <v>82248</v>
      </c>
      <c r="C79">
        <v>82769</v>
      </c>
      <c r="E79" t="s">
        <v>14314</v>
      </c>
      <c r="F79" t="s">
        <v>14513</v>
      </c>
      <c r="H79">
        <v>93521569</v>
      </c>
      <c r="I79" t="s">
        <v>14292</v>
      </c>
      <c r="L79" t="s">
        <v>14514</v>
      </c>
      <c r="M79">
        <v>173</v>
      </c>
      <c r="N79" t="s">
        <v>14515</v>
      </c>
    </row>
    <row r="80" spans="1:14">
      <c r="A80" t="s">
        <v>9256</v>
      </c>
      <c r="B80">
        <v>82770</v>
      </c>
      <c r="C80">
        <v>84764</v>
      </c>
      <c r="E80" t="s">
        <v>14314</v>
      </c>
      <c r="F80" t="s">
        <v>14516</v>
      </c>
      <c r="G80" t="s">
        <v>14517</v>
      </c>
      <c r="H80">
        <v>93521570</v>
      </c>
      <c r="I80" t="s">
        <v>14292</v>
      </c>
      <c r="L80" t="s">
        <v>14518</v>
      </c>
      <c r="M80">
        <v>664</v>
      </c>
      <c r="N80" t="s">
        <v>14519</v>
      </c>
    </row>
    <row r="81" spans="1:14">
      <c r="A81" t="s">
        <v>9256</v>
      </c>
      <c r="B81">
        <v>84766</v>
      </c>
      <c r="C81">
        <v>85749</v>
      </c>
      <c r="E81" t="s">
        <v>14314</v>
      </c>
      <c r="F81" t="s">
        <v>14520</v>
      </c>
      <c r="H81">
        <v>93521571</v>
      </c>
      <c r="I81" t="s">
        <v>14292</v>
      </c>
      <c r="L81" t="s">
        <v>14521</v>
      </c>
      <c r="M81">
        <v>327</v>
      </c>
      <c r="N81" t="s">
        <v>14522</v>
      </c>
    </row>
    <row r="82" spans="1:14">
      <c r="A82" t="s">
        <v>9256</v>
      </c>
      <c r="B82">
        <v>85786</v>
      </c>
      <c r="C82">
        <v>86889</v>
      </c>
      <c r="E82" t="s">
        <v>14314</v>
      </c>
      <c r="F82" t="s">
        <v>14523</v>
      </c>
      <c r="H82">
        <v>93521572</v>
      </c>
      <c r="I82" t="s">
        <v>14292</v>
      </c>
      <c r="L82" t="s">
        <v>14524</v>
      </c>
      <c r="M82">
        <v>367</v>
      </c>
      <c r="N82" t="s">
        <v>14525</v>
      </c>
    </row>
    <row r="83" spans="1:14">
      <c r="A83" t="s">
        <v>9256</v>
      </c>
      <c r="B83">
        <v>86893</v>
      </c>
      <c r="C83">
        <v>88335</v>
      </c>
      <c r="E83" t="s">
        <v>14314</v>
      </c>
      <c r="F83" t="s">
        <v>14526</v>
      </c>
      <c r="G83" t="s">
        <v>14527</v>
      </c>
      <c r="H83">
        <v>93521573</v>
      </c>
      <c r="I83" t="s">
        <v>14292</v>
      </c>
      <c r="L83" t="s">
        <v>14528</v>
      </c>
      <c r="M83">
        <v>480</v>
      </c>
      <c r="N83" t="s">
        <v>14529</v>
      </c>
    </row>
    <row r="84" spans="1:14">
      <c r="A84" t="s">
        <v>9256</v>
      </c>
      <c r="B84">
        <v>88348</v>
      </c>
      <c r="C84">
        <v>89256</v>
      </c>
      <c r="E84" t="s">
        <v>14314</v>
      </c>
      <c r="F84" t="s">
        <v>14530</v>
      </c>
      <c r="G84" t="s">
        <v>14531</v>
      </c>
      <c r="H84">
        <v>93521574</v>
      </c>
      <c r="I84" t="s">
        <v>14292</v>
      </c>
      <c r="L84" t="s">
        <v>14532</v>
      </c>
      <c r="M84">
        <v>302</v>
      </c>
      <c r="N84" t="s">
        <v>14533</v>
      </c>
    </row>
    <row r="85" spans="1:14">
      <c r="A85" t="s">
        <v>9256</v>
      </c>
      <c r="B85">
        <v>89265</v>
      </c>
      <c r="C85">
        <v>89876</v>
      </c>
      <c r="E85" t="s">
        <v>14314</v>
      </c>
      <c r="F85" t="s">
        <v>14534</v>
      </c>
      <c r="G85" t="s">
        <v>14535</v>
      </c>
      <c r="H85">
        <v>93521575</v>
      </c>
      <c r="I85" t="s">
        <v>14292</v>
      </c>
      <c r="L85" t="s">
        <v>14536</v>
      </c>
      <c r="M85">
        <v>203</v>
      </c>
      <c r="N85" t="s">
        <v>14537</v>
      </c>
    </row>
    <row r="86" spans="1:14">
      <c r="A86" t="s">
        <v>9256</v>
      </c>
      <c r="B86">
        <v>89864</v>
      </c>
      <c r="C86">
        <v>91417</v>
      </c>
      <c r="E86" t="s">
        <v>14314</v>
      </c>
      <c r="F86" t="s">
        <v>14538</v>
      </c>
      <c r="H86">
        <v>93521576</v>
      </c>
      <c r="I86" t="s">
        <v>14292</v>
      </c>
      <c r="L86" t="s">
        <v>14539</v>
      </c>
      <c r="M86">
        <v>517</v>
      </c>
      <c r="N86" t="s">
        <v>14540</v>
      </c>
    </row>
    <row r="87" spans="1:14">
      <c r="A87" t="s">
        <v>9256</v>
      </c>
      <c r="B87">
        <v>91664</v>
      </c>
      <c r="C87">
        <v>92473</v>
      </c>
      <c r="E87" t="s">
        <v>14314</v>
      </c>
      <c r="F87" t="s">
        <v>14541</v>
      </c>
      <c r="G87" t="s">
        <v>14542</v>
      </c>
      <c r="H87">
        <v>93521577</v>
      </c>
      <c r="I87" t="s">
        <v>14292</v>
      </c>
      <c r="L87" t="s">
        <v>14543</v>
      </c>
      <c r="M87">
        <v>269</v>
      </c>
      <c r="N87" t="s">
        <v>14544</v>
      </c>
    </row>
    <row r="88" spans="1:14">
      <c r="A88" t="s">
        <v>9256</v>
      </c>
      <c r="B88">
        <v>92526</v>
      </c>
      <c r="C88">
        <v>93821</v>
      </c>
      <c r="E88" t="s">
        <v>14314</v>
      </c>
      <c r="F88" t="s">
        <v>14545</v>
      </c>
      <c r="H88">
        <v>93521578</v>
      </c>
      <c r="I88" t="s">
        <v>14292</v>
      </c>
      <c r="L88" t="s">
        <v>14546</v>
      </c>
      <c r="M88">
        <v>431</v>
      </c>
      <c r="N88" t="s">
        <v>14547</v>
      </c>
    </row>
    <row r="89" spans="1:14">
      <c r="A89" t="s">
        <v>9256</v>
      </c>
      <c r="B89">
        <v>93864</v>
      </c>
      <c r="C89">
        <v>96944</v>
      </c>
      <c r="E89" t="s">
        <v>14314</v>
      </c>
      <c r="F89" t="s">
        <v>14548</v>
      </c>
      <c r="H89">
        <v>93521579</v>
      </c>
      <c r="I89" t="s">
        <v>14292</v>
      </c>
      <c r="L89" t="s">
        <v>14549</v>
      </c>
      <c r="M89">
        <v>1026</v>
      </c>
      <c r="N89" t="s">
        <v>14550</v>
      </c>
    </row>
    <row r="90" spans="1:14">
      <c r="A90" t="s">
        <v>9256</v>
      </c>
      <c r="B90">
        <v>96941</v>
      </c>
      <c r="C90">
        <v>97972</v>
      </c>
      <c r="E90" t="s">
        <v>14314</v>
      </c>
      <c r="F90" t="s">
        <v>14503</v>
      </c>
      <c r="H90">
        <v>93521580</v>
      </c>
      <c r="I90" t="s">
        <v>14292</v>
      </c>
      <c r="L90" t="s">
        <v>14551</v>
      </c>
      <c r="M90">
        <v>343</v>
      </c>
      <c r="N90" t="s">
        <v>14552</v>
      </c>
    </row>
    <row r="91" spans="1:14">
      <c r="A91" t="s">
        <v>9256</v>
      </c>
      <c r="B91">
        <v>98118</v>
      </c>
      <c r="C91">
        <v>98996</v>
      </c>
      <c r="E91" t="s">
        <v>14290</v>
      </c>
      <c r="F91" t="s">
        <v>14406</v>
      </c>
      <c r="H91">
        <v>93521581</v>
      </c>
      <c r="I91" t="s">
        <v>14292</v>
      </c>
      <c r="L91" t="s">
        <v>14553</v>
      </c>
      <c r="M91">
        <v>292</v>
      </c>
      <c r="N91" t="s">
        <v>14554</v>
      </c>
    </row>
    <row r="92" spans="1:14">
      <c r="A92" t="s">
        <v>9256</v>
      </c>
      <c r="B92">
        <v>99030</v>
      </c>
      <c r="C92">
        <v>99935</v>
      </c>
      <c r="E92" t="s">
        <v>14314</v>
      </c>
      <c r="F92" t="s">
        <v>14555</v>
      </c>
      <c r="H92">
        <v>93521582</v>
      </c>
      <c r="I92" t="s">
        <v>14292</v>
      </c>
      <c r="L92" t="s">
        <v>14556</v>
      </c>
      <c r="M92">
        <v>301</v>
      </c>
      <c r="N92" t="s">
        <v>14557</v>
      </c>
    </row>
    <row r="93" spans="1:14">
      <c r="A93" t="s">
        <v>9256</v>
      </c>
      <c r="B93">
        <v>99939</v>
      </c>
      <c r="C93">
        <v>102371</v>
      </c>
      <c r="E93" t="s">
        <v>14314</v>
      </c>
      <c r="F93" t="s">
        <v>14558</v>
      </c>
      <c r="G93" t="s">
        <v>14559</v>
      </c>
      <c r="H93">
        <v>93521583</v>
      </c>
      <c r="I93" t="s">
        <v>14292</v>
      </c>
      <c r="L93" t="s">
        <v>14560</v>
      </c>
      <c r="M93">
        <v>810</v>
      </c>
      <c r="N93" t="s">
        <v>14561</v>
      </c>
    </row>
    <row r="94" spans="1:14">
      <c r="A94" t="s">
        <v>9256</v>
      </c>
      <c r="B94">
        <v>102717</v>
      </c>
      <c r="C94">
        <v>105164</v>
      </c>
      <c r="E94" t="s">
        <v>14290</v>
      </c>
      <c r="F94" t="s">
        <v>14562</v>
      </c>
      <c r="H94">
        <v>93521584</v>
      </c>
      <c r="I94" t="s">
        <v>14292</v>
      </c>
      <c r="L94" t="s">
        <v>14563</v>
      </c>
      <c r="M94">
        <v>815</v>
      </c>
      <c r="N94" t="s">
        <v>14564</v>
      </c>
    </row>
    <row r="95" spans="1:14">
      <c r="A95" t="s">
        <v>9256</v>
      </c>
      <c r="B95">
        <v>105239</v>
      </c>
      <c r="C95">
        <v>106786</v>
      </c>
      <c r="E95" t="s">
        <v>14314</v>
      </c>
      <c r="F95" t="s">
        <v>14565</v>
      </c>
      <c r="G95" t="s">
        <v>14566</v>
      </c>
      <c r="H95">
        <v>93521585</v>
      </c>
      <c r="I95" t="s">
        <v>14292</v>
      </c>
      <c r="L95" t="s">
        <v>14567</v>
      </c>
      <c r="M95">
        <v>515</v>
      </c>
      <c r="N95" t="s">
        <v>14568</v>
      </c>
    </row>
    <row r="96" spans="1:14">
      <c r="A96" t="s">
        <v>9256</v>
      </c>
      <c r="B96">
        <v>106883</v>
      </c>
      <c r="C96">
        <v>108211</v>
      </c>
      <c r="E96" t="s">
        <v>14314</v>
      </c>
      <c r="F96" t="s">
        <v>14569</v>
      </c>
      <c r="G96" t="s">
        <v>14570</v>
      </c>
      <c r="H96">
        <v>93521586</v>
      </c>
      <c r="I96" t="s">
        <v>14292</v>
      </c>
      <c r="L96" t="s">
        <v>14571</v>
      </c>
      <c r="M96">
        <v>442</v>
      </c>
      <c r="N96" t="s">
        <v>14572</v>
      </c>
    </row>
    <row r="97" spans="1:14">
      <c r="A97" t="s">
        <v>9256</v>
      </c>
      <c r="B97">
        <v>108247</v>
      </c>
      <c r="C97">
        <v>109731</v>
      </c>
      <c r="E97" t="s">
        <v>14314</v>
      </c>
      <c r="F97" t="s">
        <v>14573</v>
      </c>
      <c r="H97">
        <v>93521587</v>
      </c>
      <c r="I97" t="s">
        <v>14292</v>
      </c>
      <c r="L97" t="s">
        <v>14574</v>
      </c>
      <c r="M97">
        <v>494</v>
      </c>
      <c r="N97" t="s">
        <v>14575</v>
      </c>
    </row>
    <row r="98" spans="1:14">
      <c r="A98" t="s">
        <v>9256</v>
      </c>
      <c r="B98">
        <v>109744</v>
      </c>
      <c r="C98">
        <v>110484</v>
      </c>
      <c r="E98" t="s">
        <v>14314</v>
      </c>
      <c r="F98" t="s">
        <v>14576</v>
      </c>
      <c r="H98">
        <v>93521588</v>
      </c>
      <c r="I98" t="s">
        <v>14292</v>
      </c>
      <c r="L98" t="s">
        <v>14577</v>
      </c>
      <c r="M98">
        <v>246</v>
      </c>
      <c r="N98" t="s">
        <v>14578</v>
      </c>
    </row>
    <row r="99" spans="1:14">
      <c r="A99" t="s">
        <v>9256</v>
      </c>
      <c r="B99">
        <v>110725</v>
      </c>
      <c r="C99">
        <v>112545</v>
      </c>
      <c r="E99" t="s">
        <v>14290</v>
      </c>
      <c r="F99" t="s">
        <v>14579</v>
      </c>
      <c r="H99">
        <v>93521589</v>
      </c>
      <c r="I99" t="s">
        <v>14292</v>
      </c>
      <c r="L99" t="s">
        <v>14580</v>
      </c>
      <c r="M99">
        <v>606</v>
      </c>
      <c r="N99" t="s">
        <v>14581</v>
      </c>
    </row>
    <row r="100" spans="1:14">
      <c r="A100" t="s">
        <v>9256</v>
      </c>
      <c r="B100">
        <v>112558</v>
      </c>
      <c r="C100">
        <v>113244</v>
      </c>
      <c r="E100" t="s">
        <v>14290</v>
      </c>
      <c r="F100" t="s">
        <v>14582</v>
      </c>
      <c r="H100">
        <v>93521590</v>
      </c>
      <c r="I100" t="s">
        <v>14292</v>
      </c>
      <c r="L100" t="s">
        <v>14583</v>
      </c>
      <c r="M100">
        <v>228</v>
      </c>
      <c r="N100" t="s">
        <v>14584</v>
      </c>
    </row>
    <row r="101" spans="1:14">
      <c r="A101" t="s">
        <v>9256</v>
      </c>
      <c r="B101">
        <v>113314</v>
      </c>
      <c r="C101">
        <v>114195</v>
      </c>
      <c r="E101" t="s">
        <v>14314</v>
      </c>
      <c r="F101" t="s">
        <v>14585</v>
      </c>
      <c r="H101">
        <v>93521591</v>
      </c>
      <c r="I101" t="s">
        <v>14292</v>
      </c>
      <c r="L101" t="s">
        <v>14586</v>
      </c>
      <c r="M101">
        <v>293</v>
      </c>
      <c r="N101" t="s">
        <v>14587</v>
      </c>
    </row>
    <row r="102" spans="1:14">
      <c r="A102" t="s">
        <v>9256</v>
      </c>
      <c r="B102">
        <v>114199</v>
      </c>
      <c r="C102">
        <v>114978</v>
      </c>
      <c r="E102" t="s">
        <v>14314</v>
      </c>
      <c r="F102" t="s">
        <v>14291</v>
      </c>
      <c r="H102">
        <v>93521592</v>
      </c>
      <c r="I102" t="s">
        <v>14292</v>
      </c>
      <c r="L102" t="s">
        <v>14588</v>
      </c>
      <c r="M102">
        <v>259</v>
      </c>
      <c r="N102" t="s">
        <v>14589</v>
      </c>
    </row>
    <row r="103" spans="1:14">
      <c r="A103" t="s">
        <v>9256</v>
      </c>
      <c r="B103">
        <v>115215</v>
      </c>
      <c r="C103">
        <v>116147</v>
      </c>
      <c r="E103" t="s">
        <v>14290</v>
      </c>
      <c r="F103" t="s">
        <v>14590</v>
      </c>
      <c r="H103">
        <v>93521593</v>
      </c>
      <c r="I103" t="s">
        <v>14292</v>
      </c>
      <c r="L103" t="s">
        <v>14591</v>
      </c>
      <c r="M103">
        <v>310</v>
      </c>
      <c r="N103" t="s">
        <v>14592</v>
      </c>
    </row>
    <row r="104" spans="1:14">
      <c r="A104" t="s">
        <v>9256</v>
      </c>
      <c r="B104">
        <v>116154</v>
      </c>
      <c r="C104">
        <v>117752</v>
      </c>
      <c r="E104" t="s">
        <v>14290</v>
      </c>
      <c r="F104" t="s">
        <v>14593</v>
      </c>
      <c r="H104">
        <v>93521594</v>
      </c>
      <c r="I104" t="s">
        <v>14292</v>
      </c>
      <c r="L104" t="s">
        <v>14594</v>
      </c>
      <c r="M104">
        <v>532</v>
      </c>
      <c r="N104" t="s">
        <v>14595</v>
      </c>
    </row>
    <row r="105" spans="1:14">
      <c r="A105" t="s">
        <v>9256</v>
      </c>
      <c r="B105">
        <v>117789</v>
      </c>
      <c r="C105">
        <v>118919</v>
      </c>
      <c r="E105" t="s">
        <v>14290</v>
      </c>
      <c r="F105" t="s">
        <v>14596</v>
      </c>
      <c r="G105" t="s">
        <v>14597</v>
      </c>
      <c r="H105">
        <v>93521595</v>
      </c>
      <c r="I105" t="s">
        <v>14292</v>
      </c>
      <c r="L105" t="s">
        <v>14598</v>
      </c>
      <c r="M105">
        <v>376</v>
      </c>
      <c r="N105" t="s">
        <v>14599</v>
      </c>
    </row>
    <row r="106" spans="1:14">
      <c r="A106" t="s">
        <v>9256</v>
      </c>
      <c r="B106">
        <v>118932</v>
      </c>
      <c r="C106">
        <v>120017</v>
      </c>
      <c r="E106" t="s">
        <v>14290</v>
      </c>
      <c r="F106" t="s">
        <v>14600</v>
      </c>
      <c r="H106">
        <v>93521596</v>
      </c>
      <c r="I106" t="s">
        <v>14292</v>
      </c>
      <c r="L106" t="s">
        <v>14601</v>
      </c>
      <c r="M106">
        <v>361</v>
      </c>
      <c r="N106" t="s">
        <v>14602</v>
      </c>
    </row>
    <row r="107" spans="1:14">
      <c r="A107" t="s">
        <v>9256</v>
      </c>
      <c r="B107">
        <v>120109</v>
      </c>
      <c r="C107">
        <v>121113</v>
      </c>
      <c r="E107" t="s">
        <v>14314</v>
      </c>
      <c r="F107" t="s">
        <v>14603</v>
      </c>
      <c r="H107">
        <v>93521597</v>
      </c>
      <c r="I107" t="s">
        <v>14292</v>
      </c>
      <c r="L107" t="s">
        <v>14604</v>
      </c>
      <c r="M107">
        <v>334</v>
      </c>
      <c r="N107" t="s">
        <v>14605</v>
      </c>
    </row>
    <row r="108" spans="1:14">
      <c r="A108" t="s">
        <v>9256</v>
      </c>
      <c r="B108">
        <v>121277</v>
      </c>
      <c r="C108">
        <v>121666</v>
      </c>
      <c r="E108" t="s">
        <v>14290</v>
      </c>
      <c r="F108" t="s">
        <v>14606</v>
      </c>
      <c r="H108">
        <v>93521598</v>
      </c>
      <c r="I108" t="s">
        <v>14292</v>
      </c>
      <c r="L108" t="s">
        <v>14607</v>
      </c>
      <c r="M108">
        <v>129</v>
      </c>
      <c r="N108" t="s">
        <v>14608</v>
      </c>
    </row>
    <row r="109" spans="1:14">
      <c r="A109" t="s">
        <v>9256</v>
      </c>
      <c r="B109">
        <v>121740</v>
      </c>
      <c r="C109">
        <v>123065</v>
      </c>
      <c r="E109" t="s">
        <v>14314</v>
      </c>
      <c r="F109" t="s">
        <v>14609</v>
      </c>
      <c r="H109">
        <v>93521599</v>
      </c>
      <c r="I109" t="s">
        <v>14292</v>
      </c>
      <c r="L109" t="s">
        <v>14610</v>
      </c>
      <c r="M109">
        <v>441</v>
      </c>
      <c r="N109" t="s">
        <v>14611</v>
      </c>
    </row>
    <row r="110" spans="1:14">
      <c r="A110" t="s">
        <v>9256</v>
      </c>
      <c r="B110">
        <v>123233</v>
      </c>
      <c r="C110">
        <v>123844</v>
      </c>
      <c r="E110" t="s">
        <v>14290</v>
      </c>
      <c r="F110" t="s">
        <v>14612</v>
      </c>
      <c r="H110">
        <v>93521600</v>
      </c>
      <c r="I110" t="s">
        <v>14292</v>
      </c>
      <c r="L110" t="s">
        <v>14613</v>
      </c>
      <c r="M110">
        <v>203</v>
      </c>
      <c r="N110" t="s">
        <v>14614</v>
      </c>
    </row>
    <row r="111" spans="1:14">
      <c r="A111" t="s">
        <v>9256</v>
      </c>
      <c r="B111">
        <v>123921</v>
      </c>
      <c r="C111">
        <v>126287</v>
      </c>
      <c r="E111" t="s">
        <v>14314</v>
      </c>
      <c r="F111" t="s">
        <v>14615</v>
      </c>
      <c r="H111">
        <v>93521601</v>
      </c>
      <c r="I111" t="s">
        <v>14292</v>
      </c>
      <c r="L111" t="s">
        <v>14616</v>
      </c>
      <c r="M111">
        <v>788</v>
      </c>
      <c r="N111" t="s">
        <v>14617</v>
      </c>
    </row>
    <row r="112" spans="1:14">
      <c r="A112" t="s">
        <v>9256</v>
      </c>
      <c r="B112">
        <v>126471</v>
      </c>
      <c r="C112">
        <v>126551</v>
      </c>
      <c r="E112" t="s">
        <v>14290</v>
      </c>
      <c r="F112" t="s">
        <v>14414</v>
      </c>
      <c r="H112">
        <v>93525977</v>
      </c>
      <c r="I112" t="s">
        <v>14415</v>
      </c>
      <c r="N112" t="s">
        <v>14618</v>
      </c>
    </row>
    <row r="113" spans="1:14">
      <c r="A113" t="s">
        <v>9256</v>
      </c>
      <c r="B113">
        <v>126847</v>
      </c>
      <c r="C113">
        <v>127728</v>
      </c>
      <c r="E113" t="s">
        <v>14290</v>
      </c>
      <c r="F113" t="s">
        <v>14406</v>
      </c>
      <c r="H113">
        <v>93521602</v>
      </c>
      <c r="I113" t="s">
        <v>14292</v>
      </c>
      <c r="L113" t="s">
        <v>14619</v>
      </c>
      <c r="M113">
        <v>293</v>
      </c>
      <c r="N113" t="s">
        <v>14620</v>
      </c>
    </row>
    <row r="114" spans="1:14">
      <c r="A114" t="s">
        <v>9256</v>
      </c>
      <c r="B114">
        <v>127824</v>
      </c>
      <c r="C114">
        <v>130205</v>
      </c>
      <c r="E114" t="s">
        <v>14290</v>
      </c>
      <c r="F114" t="s">
        <v>14621</v>
      </c>
      <c r="H114">
        <v>93521603</v>
      </c>
      <c r="I114" t="s">
        <v>14292</v>
      </c>
      <c r="L114" t="s">
        <v>14622</v>
      </c>
      <c r="M114">
        <v>793</v>
      </c>
      <c r="N114" t="s">
        <v>14623</v>
      </c>
    </row>
    <row r="115" spans="1:14">
      <c r="A115" t="s">
        <v>9256</v>
      </c>
      <c r="B115">
        <v>130289</v>
      </c>
      <c r="C115">
        <v>131809</v>
      </c>
      <c r="E115" t="s">
        <v>14290</v>
      </c>
      <c r="F115" t="s">
        <v>14493</v>
      </c>
      <c r="H115">
        <v>93521604</v>
      </c>
      <c r="I115" t="s">
        <v>14292</v>
      </c>
      <c r="L115" t="s">
        <v>14624</v>
      </c>
      <c r="M115">
        <v>506</v>
      </c>
      <c r="N115" t="s">
        <v>14625</v>
      </c>
    </row>
    <row r="116" spans="1:14">
      <c r="A116" t="s">
        <v>9256</v>
      </c>
      <c r="B116">
        <v>131834</v>
      </c>
      <c r="C116">
        <v>132517</v>
      </c>
      <c r="E116" t="s">
        <v>14290</v>
      </c>
      <c r="F116" t="s">
        <v>14490</v>
      </c>
      <c r="H116">
        <v>93521605</v>
      </c>
      <c r="I116" t="s">
        <v>14292</v>
      </c>
      <c r="L116" t="s">
        <v>14626</v>
      </c>
      <c r="M116">
        <v>227</v>
      </c>
      <c r="N116" t="s">
        <v>14627</v>
      </c>
    </row>
    <row r="117" spans="1:14">
      <c r="A117" t="s">
        <v>9256</v>
      </c>
      <c r="B117">
        <v>132507</v>
      </c>
      <c r="C117">
        <v>132764</v>
      </c>
      <c r="E117" t="s">
        <v>14314</v>
      </c>
      <c r="F117" t="s">
        <v>14628</v>
      </c>
      <c r="H117">
        <v>93521606</v>
      </c>
      <c r="I117" t="s">
        <v>14292</v>
      </c>
      <c r="L117" t="s">
        <v>14629</v>
      </c>
      <c r="M117">
        <v>85</v>
      </c>
      <c r="N117" t="s">
        <v>14630</v>
      </c>
    </row>
    <row r="118" spans="1:14">
      <c r="A118" t="s">
        <v>9256</v>
      </c>
      <c r="B118">
        <v>132848</v>
      </c>
      <c r="C118">
        <v>134164</v>
      </c>
      <c r="E118" t="s">
        <v>14290</v>
      </c>
      <c r="F118" t="s">
        <v>14631</v>
      </c>
      <c r="H118">
        <v>93521607</v>
      </c>
      <c r="I118" t="s">
        <v>14292</v>
      </c>
      <c r="L118" t="s">
        <v>14632</v>
      </c>
      <c r="M118">
        <v>438</v>
      </c>
      <c r="N118" t="s">
        <v>14633</v>
      </c>
    </row>
    <row r="119" spans="1:14">
      <c r="A119" t="s">
        <v>9256</v>
      </c>
      <c r="B119">
        <v>134188</v>
      </c>
      <c r="C119">
        <v>135603</v>
      </c>
      <c r="E119" t="s">
        <v>14290</v>
      </c>
      <c r="F119" t="s">
        <v>14445</v>
      </c>
      <c r="H119">
        <v>93521608</v>
      </c>
      <c r="I119" t="s">
        <v>14292</v>
      </c>
      <c r="L119" t="s">
        <v>14634</v>
      </c>
      <c r="M119">
        <v>471</v>
      </c>
      <c r="N119" t="s">
        <v>14635</v>
      </c>
    </row>
    <row r="120" spans="1:14">
      <c r="A120" t="s">
        <v>9256</v>
      </c>
      <c r="B120">
        <v>136459</v>
      </c>
      <c r="C120">
        <v>136845</v>
      </c>
      <c r="E120" t="s">
        <v>14290</v>
      </c>
      <c r="F120" t="s">
        <v>14406</v>
      </c>
      <c r="H120">
        <v>93521609</v>
      </c>
      <c r="I120" t="s">
        <v>14292</v>
      </c>
      <c r="L120" t="s">
        <v>14636</v>
      </c>
      <c r="M120">
        <v>128</v>
      </c>
      <c r="N120" t="s">
        <v>14637</v>
      </c>
    </row>
    <row r="121" spans="1:14">
      <c r="A121" t="s">
        <v>9256</v>
      </c>
      <c r="B121">
        <v>137478</v>
      </c>
      <c r="C121">
        <v>138731</v>
      </c>
      <c r="E121" t="s">
        <v>14290</v>
      </c>
      <c r="F121" t="s">
        <v>14638</v>
      </c>
      <c r="H121">
        <v>93525978</v>
      </c>
      <c r="I121" t="s">
        <v>14292</v>
      </c>
      <c r="L121" t="s">
        <v>14639</v>
      </c>
      <c r="M121">
        <v>417</v>
      </c>
      <c r="N121" t="s">
        <v>14640</v>
      </c>
    </row>
    <row r="122" spans="1:14">
      <c r="A122" t="s">
        <v>9256</v>
      </c>
      <c r="B122">
        <v>139119</v>
      </c>
      <c r="C122">
        <v>139934</v>
      </c>
      <c r="E122" t="s">
        <v>14290</v>
      </c>
      <c r="F122" t="s">
        <v>14641</v>
      </c>
      <c r="G122" t="s">
        <v>14642</v>
      </c>
      <c r="H122">
        <v>93521610</v>
      </c>
      <c r="I122" t="s">
        <v>14292</v>
      </c>
      <c r="L122" t="s">
        <v>14643</v>
      </c>
      <c r="M122">
        <v>271</v>
      </c>
      <c r="N122" t="s">
        <v>14644</v>
      </c>
    </row>
    <row r="123" spans="1:14">
      <c r="A123" t="s">
        <v>9256</v>
      </c>
      <c r="B123">
        <v>139931</v>
      </c>
      <c r="C123">
        <v>140512</v>
      </c>
      <c r="E123" t="s">
        <v>14290</v>
      </c>
      <c r="F123" t="s">
        <v>14645</v>
      </c>
      <c r="H123">
        <v>93521611</v>
      </c>
      <c r="I123" t="s">
        <v>14292</v>
      </c>
      <c r="L123" t="s">
        <v>14646</v>
      </c>
      <c r="M123">
        <v>193</v>
      </c>
      <c r="N123" t="s">
        <v>14647</v>
      </c>
    </row>
    <row r="124" spans="1:14">
      <c r="A124" t="s">
        <v>9256</v>
      </c>
      <c r="B124">
        <v>140524</v>
      </c>
      <c r="C124">
        <v>143016</v>
      </c>
      <c r="E124" t="s">
        <v>14290</v>
      </c>
      <c r="F124" t="s">
        <v>14648</v>
      </c>
      <c r="H124">
        <v>93521612</v>
      </c>
      <c r="I124" t="s">
        <v>14292</v>
      </c>
      <c r="L124" t="s">
        <v>14649</v>
      </c>
      <c r="M124">
        <v>830</v>
      </c>
      <c r="N124" t="s">
        <v>14650</v>
      </c>
    </row>
    <row r="125" spans="1:14">
      <c r="A125" t="s">
        <v>9256</v>
      </c>
      <c r="B125">
        <v>143215</v>
      </c>
      <c r="C125">
        <v>143604</v>
      </c>
      <c r="E125" t="s">
        <v>14290</v>
      </c>
      <c r="F125" t="s">
        <v>14606</v>
      </c>
      <c r="H125">
        <v>93521613</v>
      </c>
      <c r="I125" t="s">
        <v>14292</v>
      </c>
      <c r="L125" t="s">
        <v>14651</v>
      </c>
      <c r="M125">
        <v>129</v>
      </c>
      <c r="N125" t="s">
        <v>14652</v>
      </c>
    </row>
    <row r="126" spans="1:14">
      <c r="A126" t="s">
        <v>9256</v>
      </c>
      <c r="B126">
        <v>143689</v>
      </c>
      <c r="C126">
        <v>144690</v>
      </c>
      <c r="E126" t="s">
        <v>14314</v>
      </c>
      <c r="F126" t="s">
        <v>14653</v>
      </c>
      <c r="H126">
        <v>93521614</v>
      </c>
      <c r="I126" t="s">
        <v>14292</v>
      </c>
      <c r="L126" t="s">
        <v>14654</v>
      </c>
      <c r="M126">
        <v>333</v>
      </c>
      <c r="N126" t="s">
        <v>14655</v>
      </c>
    </row>
    <row r="127" spans="1:14">
      <c r="A127" t="s">
        <v>9256</v>
      </c>
      <c r="B127">
        <v>144845</v>
      </c>
      <c r="C127">
        <v>146695</v>
      </c>
      <c r="E127" t="s">
        <v>14290</v>
      </c>
      <c r="F127" t="s">
        <v>14656</v>
      </c>
      <c r="H127">
        <v>93521615</v>
      </c>
      <c r="I127" t="s">
        <v>14292</v>
      </c>
      <c r="L127" t="s">
        <v>14657</v>
      </c>
      <c r="M127">
        <v>616</v>
      </c>
      <c r="N127" t="s">
        <v>14658</v>
      </c>
    </row>
    <row r="128" spans="1:14">
      <c r="A128" t="s">
        <v>9256</v>
      </c>
      <c r="B128">
        <v>146822</v>
      </c>
      <c r="C128">
        <v>147202</v>
      </c>
      <c r="E128" t="s">
        <v>14314</v>
      </c>
      <c r="F128" t="s">
        <v>14659</v>
      </c>
      <c r="H128">
        <v>93521616</v>
      </c>
      <c r="I128" t="s">
        <v>14292</v>
      </c>
      <c r="L128" t="s">
        <v>14660</v>
      </c>
      <c r="M128">
        <v>126</v>
      </c>
      <c r="N128" t="s">
        <v>14661</v>
      </c>
    </row>
    <row r="129" spans="1:14">
      <c r="A129" t="s">
        <v>9256</v>
      </c>
      <c r="B129">
        <v>147230</v>
      </c>
      <c r="C129">
        <v>147976</v>
      </c>
      <c r="E129" t="s">
        <v>14314</v>
      </c>
      <c r="F129" t="s">
        <v>14662</v>
      </c>
      <c r="G129" t="s">
        <v>14663</v>
      </c>
      <c r="H129">
        <v>93521617</v>
      </c>
      <c r="I129" t="s">
        <v>14292</v>
      </c>
      <c r="L129" t="s">
        <v>14664</v>
      </c>
      <c r="M129">
        <v>248</v>
      </c>
      <c r="N129" t="s">
        <v>14665</v>
      </c>
    </row>
    <row r="130" spans="1:14">
      <c r="A130" t="s">
        <v>9256</v>
      </c>
      <c r="B130">
        <v>148026</v>
      </c>
      <c r="C130">
        <v>148616</v>
      </c>
      <c r="E130" t="s">
        <v>14314</v>
      </c>
      <c r="F130" t="s">
        <v>14666</v>
      </c>
      <c r="H130">
        <v>93521618</v>
      </c>
      <c r="I130" t="s">
        <v>14292</v>
      </c>
      <c r="L130" t="s">
        <v>14667</v>
      </c>
      <c r="M130">
        <v>196</v>
      </c>
      <c r="N130" t="s">
        <v>14668</v>
      </c>
    </row>
    <row r="131" spans="1:14">
      <c r="A131" t="s">
        <v>9256</v>
      </c>
      <c r="B131">
        <v>148900</v>
      </c>
      <c r="C131">
        <v>149940</v>
      </c>
      <c r="E131" t="s">
        <v>14290</v>
      </c>
      <c r="F131" t="s">
        <v>14503</v>
      </c>
      <c r="H131">
        <v>93521619</v>
      </c>
      <c r="I131" t="s">
        <v>14292</v>
      </c>
      <c r="L131" t="s">
        <v>14669</v>
      </c>
      <c r="M131">
        <v>346</v>
      </c>
      <c r="N131" t="s">
        <v>14670</v>
      </c>
    </row>
    <row r="132" spans="1:14">
      <c r="A132" t="s">
        <v>9256</v>
      </c>
      <c r="B132">
        <v>149946</v>
      </c>
      <c r="C132">
        <v>152987</v>
      </c>
      <c r="E132" t="s">
        <v>14290</v>
      </c>
      <c r="F132" t="s">
        <v>14548</v>
      </c>
      <c r="H132">
        <v>93521620</v>
      </c>
      <c r="I132" t="s">
        <v>14292</v>
      </c>
      <c r="L132" t="s">
        <v>14671</v>
      </c>
      <c r="M132">
        <v>1013</v>
      </c>
      <c r="N132" t="s">
        <v>14672</v>
      </c>
    </row>
    <row r="133" spans="1:14">
      <c r="A133" t="s">
        <v>9256</v>
      </c>
      <c r="B133">
        <v>152997</v>
      </c>
      <c r="C133">
        <v>154307</v>
      </c>
      <c r="E133" t="s">
        <v>14290</v>
      </c>
      <c r="F133" t="s">
        <v>14545</v>
      </c>
      <c r="H133">
        <v>93521621</v>
      </c>
      <c r="I133" t="s">
        <v>14292</v>
      </c>
      <c r="L133" t="s">
        <v>14673</v>
      </c>
      <c r="M133">
        <v>436</v>
      </c>
      <c r="N133" t="s">
        <v>14674</v>
      </c>
    </row>
    <row r="134" spans="1:14">
      <c r="A134" t="s">
        <v>9256</v>
      </c>
      <c r="B134">
        <v>154311</v>
      </c>
      <c r="C134">
        <v>155351</v>
      </c>
      <c r="E134" t="s">
        <v>14290</v>
      </c>
      <c r="F134" t="s">
        <v>14493</v>
      </c>
      <c r="H134">
        <v>93521622</v>
      </c>
      <c r="I134" t="s">
        <v>14292</v>
      </c>
      <c r="L134" t="s">
        <v>14675</v>
      </c>
      <c r="M134">
        <v>346</v>
      </c>
      <c r="N134" t="s">
        <v>14676</v>
      </c>
    </row>
    <row r="135" spans="1:14">
      <c r="A135" t="s">
        <v>9256</v>
      </c>
      <c r="B135">
        <v>155344</v>
      </c>
      <c r="C135">
        <v>156123</v>
      </c>
      <c r="E135" t="s">
        <v>14290</v>
      </c>
      <c r="F135" t="s">
        <v>14498</v>
      </c>
      <c r="H135">
        <v>93521623</v>
      </c>
      <c r="I135" t="s">
        <v>14292</v>
      </c>
      <c r="L135" t="s">
        <v>14677</v>
      </c>
      <c r="M135">
        <v>259</v>
      </c>
      <c r="N135" t="s">
        <v>14678</v>
      </c>
    </row>
    <row r="136" spans="1:14">
      <c r="A136" t="s">
        <v>9256</v>
      </c>
      <c r="B136">
        <v>156120</v>
      </c>
      <c r="C136">
        <v>156638</v>
      </c>
      <c r="E136" t="s">
        <v>14314</v>
      </c>
      <c r="F136" t="s">
        <v>14291</v>
      </c>
      <c r="H136">
        <v>93521624</v>
      </c>
      <c r="I136" t="s">
        <v>14292</v>
      </c>
      <c r="L136" t="s">
        <v>14679</v>
      </c>
      <c r="M136">
        <v>172</v>
      </c>
      <c r="N136" t="s">
        <v>14680</v>
      </c>
    </row>
    <row r="137" spans="1:14">
      <c r="A137" t="s">
        <v>9256</v>
      </c>
      <c r="B137">
        <v>156828</v>
      </c>
      <c r="C137">
        <v>158492</v>
      </c>
      <c r="E137" t="s">
        <v>14314</v>
      </c>
      <c r="F137" t="s">
        <v>14681</v>
      </c>
      <c r="G137" t="s">
        <v>14682</v>
      </c>
      <c r="H137">
        <v>93521625</v>
      </c>
      <c r="I137" t="s">
        <v>14292</v>
      </c>
      <c r="L137" t="s">
        <v>14683</v>
      </c>
      <c r="M137">
        <v>554</v>
      </c>
      <c r="N137" t="s">
        <v>14684</v>
      </c>
    </row>
    <row r="138" spans="1:14">
      <c r="A138" t="s">
        <v>9256</v>
      </c>
      <c r="B138">
        <v>158500</v>
      </c>
      <c r="C138">
        <v>159411</v>
      </c>
      <c r="E138" t="s">
        <v>14314</v>
      </c>
      <c r="F138" t="s">
        <v>14685</v>
      </c>
      <c r="H138">
        <v>93521626</v>
      </c>
      <c r="I138" t="s">
        <v>14292</v>
      </c>
      <c r="L138" t="s">
        <v>14686</v>
      </c>
      <c r="M138">
        <v>303</v>
      </c>
      <c r="N138" t="s">
        <v>14687</v>
      </c>
    </row>
    <row r="139" spans="1:14">
      <c r="A139" t="s">
        <v>9256</v>
      </c>
      <c r="B139">
        <v>159408</v>
      </c>
      <c r="C139">
        <v>160613</v>
      </c>
      <c r="E139" t="s">
        <v>14314</v>
      </c>
      <c r="F139" t="s">
        <v>14688</v>
      </c>
      <c r="G139" t="s">
        <v>14689</v>
      </c>
      <c r="H139">
        <v>93521627</v>
      </c>
      <c r="I139" t="s">
        <v>14292</v>
      </c>
      <c r="L139" t="s">
        <v>14690</v>
      </c>
      <c r="M139">
        <v>401</v>
      </c>
      <c r="N139" t="s">
        <v>14691</v>
      </c>
    </row>
    <row r="140" spans="1:14">
      <c r="A140" t="s">
        <v>9256</v>
      </c>
      <c r="B140">
        <v>160663</v>
      </c>
      <c r="C140">
        <v>161814</v>
      </c>
      <c r="E140" t="s">
        <v>14314</v>
      </c>
      <c r="F140" t="s">
        <v>14692</v>
      </c>
      <c r="H140">
        <v>93521628</v>
      </c>
      <c r="I140" t="s">
        <v>14292</v>
      </c>
      <c r="L140" t="s">
        <v>14693</v>
      </c>
      <c r="M140">
        <v>383</v>
      </c>
      <c r="N140" t="s">
        <v>14694</v>
      </c>
    </row>
    <row r="141" spans="1:14">
      <c r="A141" t="s">
        <v>9256</v>
      </c>
      <c r="B141">
        <v>161819</v>
      </c>
      <c r="C141">
        <v>162589</v>
      </c>
      <c r="E141" t="s">
        <v>14314</v>
      </c>
      <c r="F141" t="s">
        <v>14484</v>
      </c>
      <c r="H141">
        <v>93521629</v>
      </c>
      <c r="I141" t="s">
        <v>14292</v>
      </c>
      <c r="L141" t="s">
        <v>14695</v>
      </c>
      <c r="M141">
        <v>256</v>
      </c>
      <c r="N141" t="s">
        <v>14696</v>
      </c>
    </row>
    <row r="142" spans="1:14">
      <c r="A142" t="s">
        <v>9256</v>
      </c>
      <c r="B142">
        <v>162600</v>
      </c>
      <c r="C142">
        <v>163724</v>
      </c>
      <c r="E142" t="s">
        <v>14314</v>
      </c>
      <c r="F142" t="s">
        <v>14697</v>
      </c>
      <c r="G142" t="s">
        <v>14698</v>
      </c>
      <c r="H142">
        <v>93521630</v>
      </c>
      <c r="I142" t="s">
        <v>14292</v>
      </c>
      <c r="L142" t="s">
        <v>14699</v>
      </c>
      <c r="M142">
        <v>374</v>
      </c>
      <c r="N142" t="s">
        <v>14700</v>
      </c>
    </row>
    <row r="143" spans="1:14">
      <c r="A143" t="s">
        <v>9256</v>
      </c>
      <c r="B143">
        <v>163944</v>
      </c>
      <c r="C143">
        <v>164096</v>
      </c>
      <c r="E143" t="s">
        <v>14314</v>
      </c>
      <c r="F143" t="s">
        <v>14701</v>
      </c>
      <c r="H143">
        <v>93521631</v>
      </c>
      <c r="I143" t="s">
        <v>14292</v>
      </c>
      <c r="L143" t="s">
        <v>14702</v>
      </c>
      <c r="M143">
        <v>50</v>
      </c>
      <c r="N143" t="s">
        <v>14703</v>
      </c>
    </row>
    <row r="144" spans="1:14">
      <c r="A144" t="s">
        <v>9256</v>
      </c>
      <c r="B144">
        <v>164113</v>
      </c>
      <c r="C144">
        <v>164301</v>
      </c>
      <c r="E144" t="s">
        <v>14314</v>
      </c>
      <c r="F144" t="s">
        <v>14704</v>
      </c>
      <c r="G144" t="s">
        <v>14705</v>
      </c>
      <c r="H144">
        <v>93521632</v>
      </c>
      <c r="I144" t="s">
        <v>14292</v>
      </c>
      <c r="L144" t="s">
        <v>14706</v>
      </c>
      <c r="M144">
        <v>62</v>
      </c>
      <c r="N144" t="s">
        <v>14707</v>
      </c>
    </row>
    <row r="145" spans="1:14">
      <c r="A145" t="s">
        <v>9256</v>
      </c>
      <c r="B145">
        <v>164321</v>
      </c>
      <c r="C145">
        <v>164560</v>
      </c>
      <c r="E145" t="s">
        <v>14314</v>
      </c>
      <c r="F145" t="s">
        <v>14708</v>
      </c>
      <c r="G145" t="s">
        <v>14709</v>
      </c>
      <c r="H145">
        <v>93521633</v>
      </c>
      <c r="I145" t="s">
        <v>14292</v>
      </c>
      <c r="L145" t="s">
        <v>14710</v>
      </c>
      <c r="M145">
        <v>79</v>
      </c>
      <c r="N145" t="s">
        <v>14711</v>
      </c>
    </row>
    <row r="146" spans="1:14">
      <c r="A146" t="s">
        <v>9256</v>
      </c>
      <c r="B146">
        <v>164795</v>
      </c>
      <c r="C146">
        <v>165397</v>
      </c>
      <c r="E146" t="s">
        <v>14290</v>
      </c>
      <c r="F146" t="s">
        <v>14712</v>
      </c>
      <c r="H146">
        <v>93521634</v>
      </c>
      <c r="I146" t="s">
        <v>14292</v>
      </c>
      <c r="L146" t="s">
        <v>14713</v>
      </c>
      <c r="M146">
        <v>200</v>
      </c>
      <c r="N146" t="s">
        <v>14714</v>
      </c>
    </row>
    <row r="147" spans="1:14">
      <c r="A147" t="s">
        <v>9256</v>
      </c>
      <c r="B147">
        <v>165412</v>
      </c>
      <c r="C147">
        <v>166761</v>
      </c>
      <c r="E147" t="s">
        <v>14290</v>
      </c>
      <c r="F147" t="s">
        <v>14715</v>
      </c>
      <c r="G147" t="s">
        <v>14716</v>
      </c>
      <c r="H147">
        <v>93521635</v>
      </c>
      <c r="I147" t="s">
        <v>14292</v>
      </c>
      <c r="L147" t="s">
        <v>14717</v>
      </c>
      <c r="M147">
        <v>449</v>
      </c>
      <c r="N147" t="s">
        <v>14718</v>
      </c>
    </row>
    <row r="148" spans="1:14">
      <c r="A148" t="s">
        <v>9256</v>
      </c>
      <c r="B148">
        <v>166790</v>
      </c>
      <c r="C148">
        <v>167533</v>
      </c>
      <c r="E148" t="s">
        <v>14290</v>
      </c>
      <c r="F148" t="s">
        <v>14719</v>
      </c>
      <c r="H148">
        <v>93521636</v>
      </c>
      <c r="I148" t="s">
        <v>14292</v>
      </c>
      <c r="L148" t="s">
        <v>14720</v>
      </c>
      <c r="M148">
        <v>247</v>
      </c>
      <c r="N148" t="s">
        <v>14721</v>
      </c>
    </row>
    <row r="149" spans="1:14">
      <c r="A149" t="s">
        <v>9256</v>
      </c>
      <c r="B149">
        <v>167638</v>
      </c>
      <c r="C149">
        <v>168972</v>
      </c>
      <c r="E149" t="s">
        <v>14290</v>
      </c>
      <c r="F149" t="s">
        <v>14722</v>
      </c>
      <c r="H149">
        <v>93521637</v>
      </c>
      <c r="I149" t="s">
        <v>14292</v>
      </c>
      <c r="L149" t="s">
        <v>14723</v>
      </c>
      <c r="M149">
        <v>444</v>
      </c>
      <c r="N149" t="s">
        <v>14724</v>
      </c>
    </row>
    <row r="150" spans="1:14">
      <c r="A150" t="s">
        <v>9256</v>
      </c>
      <c r="B150">
        <v>168996</v>
      </c>
      <c r="C150">
        <v>171029</v>
      </c>
      <c r="E150" t="s">
        <v>14290</v>
      </c>
      <c r="F150" t="s">
        <v>14725</v>
      </c>
      <c r="H150">
        <v>93521638</v>
      </c>
      <c r="I150" t="s">
        <v>14292</v>
      </c>
      <c r="L150" t="s">
        <v>14726</v>
      </c>
      <c r="M150">
        <v>677</v>
      </c>
      <c r="N150" t="s">
        <v>14727</v>
      </c>
    </row>
    <row r="151" spans="1:14">
      <c r="A151" t="s">
        <v>9256</v>
      </c>
      <c r="B151">
        <v>171063</v>
      </c>
      <c r="C151">
        <v>171566</v>
      </c>
      <c r="E151" t="s">
        <v>14290</v>
      </c>
      <c r="F151" t="s">
        <v>14728</v>
      </c>
      <c r="H151">
        <v>93521639</v>
      </c>
      <c r="I151" t="s">
        <v>14292</v>
      </c>
      <c r="L151" t="s">
        <v>14729</v>
      </c>
      <c r="M151">
        <v>167</v>
      </c>
      <c r="N151" t="s">
        <v>14730</v>
      </c>
    </row>
    <row r="152" spans="1:14">
      <c r="A152" t="s">
        <v>9256</v>
      </c>
      <c r="B152">
        <v>171891</v>
      </c>
      <c r="C152">
        <v>172331</v>
      </c>
      <c r="E152" t="s">
        <v>14290</v>
      </c>
      <c r="F152" t="s">
        <v>14731</v>
      </c>
      <c r="H152">
        <v>93521640</v>
      </c>
      <c r="I152" t="s">
        <v>14292</v>
      </c>
      <c r="L152" t="s">
        <v>14732</v>
      </c>
      <c r="M152">
        <v>146</v>
      </c>
      <c r="N152" t="s">
        <v>14733</v>
      </c>
    </row>
    <row r="153" spans="1:14">
      <c r="A153" t="s">
        <v>9256</v>
      </c>
      <c r="B153">
        <v>172312</v>
      </c>
      <c r="C153">
        <v>173631</v>
      </c>
      <c r="E153" t="s">
        <v>14290</v>
      </c>
      <c r="F153" t="s">
        <v>14545</v>
      </c>
      <c r="H153">
        <v>93521641</v>
      </c>
      <c r="I153" t="s">
        <v>14292</v>
      </c>
      <c r="L153" t="s">
        <v>14734</v>
      </c>
      <c r="M153">
        <v>439</v>
      </c>
      <c r="N153" t="s">
        <v>14735</v>
      </c>
    </row>
    <row r="154" spans="1:14">
      <c r="A154" t="s">
        <v>9256</v>
      </c>
      <c r="B154">
        <v>173647</v>
      </c>
      <c r="C154">
        <v>174717</v>
      </c>
      <c r="E154" t="s">
        <v>14290</v>
      </c>
      <c r="F154" t="s">
        <v>14736</v>
      </c>
      <c r="H154">
        <v>93521642</v>
      </c>
      <c r="I154" t="s">
        <v>14292</v>
      </c>
      <c r="L154" t="s">
        <v>14737</v>
      </c>
      <c r="M154">
        <v>356</v>
      </c>
      <c r="N154" t="s">
        <v>14738</v>
      </c>
    </row>
    <row r="155" spans="1:14">
      <c r="A155" t="s">
        <v>9256</v>
      </c>
      <c r="B155">
        <v>174714</v>
      </c>
      <c r="C155">
        <v>176318</v>
      </c>
      <c r="E155" t="s">
        <v>14290</v>
      </c>
      <c r="F155" t="s">
        <v>14445</v>
      </c>
      <c r="H155">
        <v>93521643</v>
      </c>
      <c r="I155" t="s">
        <v>14292</v>
      </c>
      <c r="L155" t="s">
        <v>14739</v>
      </c>
      <c r="M155">
        <v>534</v>
      </c>
      <c r="N155" t="s">
        <v>14740</v>
      </c>
    </row>
    <row r="156" spans="1:14">
      <c r="A156" t="s">
        <v>9256</v>
      </c>
      <c r="B156">
        <v>176483</v>
      </c>
      <c r="C156">
        <v>178537</v>
      </c>
      <c r="E156" t="s">
        <v>14290</v>
      </c>
      <c r="F156" t="s">
        <v>14741</v>
      </c>
      <c r="G156" t="s">
        <v>14742</v>
      </c>
      <c r="H156">
        <v>93521644</v>
      </c>
      <c r="I156" t="s">
        <v>14292</v>
      </c>
      <c r="L156" t="s">
        <v>14743</v>
      </c>
      <c r="M156">
        <v>684</v>
      </c>
      <c r="N156" t="s">
        <v>14744</v>
      </c>
    </row>
    <row r="157" spans="1:14">
      <c r="A157" t="s">
        <v>9256</v>
      </c>
      <c r="B157">
        <v>178595</v>
      </c>
      <c r="C157">
        <v>178918</v>
      </c>
      <c r="E157" t="s">
        <v>14314</v>
      </c>
      <c r="F157" t="s">
        <v>14745</v>
      </c>
      <c r="H157">
        <v>93521645</v>
      </c>
      <c r="I157" t="s">
        <v>14292</v>
      </c>
      <c r="L157" t="s">
        <v>14746</v>
      </c>
      <c r="M157">
        <v>107</v>
      </c>
      <c r="N157" t="s">
        <v>14747</v>
      </c>
    </row>
    <row r="158" spans="1:14">
      <c r="A158" t="s">
        <v>9256</v>
      </c>
      <c r="B158">
        <v>179031</v>
      </c>
      <c r="C158">
        <v>181349</v>
      </c>
      <c r="E158" t="s">
        <v>14290</v>
      </c>
      <c r="F158" t="s">
        <v>14748</v>
      </c>
      <c r="H158">
        <v>93521646</v>
      </c>
      <c r="I158" t="s">
        <v>14292</v>
      </c>
      <c r="L158" t="s">
        <v>14749</v>
      </c>
      <c r="M158">
        <v>772</v>
      </c>
      <c r="N158" t="s">
        <v>14750</v>
      </c>
    </row>
    <row r="159" spans="1:14">
      <c r="A159" t="s">
        <v>9256</v>
      </c>
      <c r="B159">
        <v>181426</v>
      </c>
      <c r="C159">
        <v>181502</v>
      </c>
      <c r="E159" t="s">
        <v>14290</v>
      </c>
      <c r="F159" t="s">
        <v>14751</v>
      </c>
      <c r="H159">
        <v>93521647</v>
      </c>
      <c r="I159" t="s">
        <v>13638</v>
      </c>
      <c r="N159" t="s">
        <v>14752</v>
      </c>
    </row>
    <row r="160" spans="1:14">
      <c r="A160" t="s">
        <v>9256</v>
      </c>
      <c r="B160">
        <v>181530</v>
      </c>
      <c r="C160">
        <v>181603</v>
      </c>
      <c r="E160" t="s">
        <v>14290</v>
      </c>
      <c r="F160" t="s">
        <v>14751</v>
      </c>
      <c r="H160">
        <v>93521648</v>
      </c>
      <c r="I160" t="s">
        <v>13638</v>
      </c>
      <c r="N160" t="s">
        <v>14753</v>
      </c>
    </row>
    <row r="161" spans="1:14">
      <c r="A161" t="s">
        <v>9256</v>
      </c>
      <c r="B161">
        <v>181632</v>
      </c>
      <c r="C161">
        <v>181705</v>
      </c>
      <c r="E161" t="s">
        <v>14290</v>
      </c>
      <c r="F161" t="s">
        <v>14751</v>
      </c>
      <c r="H161">
        <v>93521649</v>
      </c>
      <c r="I161" t="s">
        <v>13638</v>
      </c>
      <c r="N161" t="s">
        <v>14754</v>
      </c>
    </row>
    <row r="162" spans="1:14">
      <c r="A162" t="s">
        <v>9256</v>
      </c>
      <c r="B162">
        <v>181845</v>
      </c>
      <c r="C162">
        <v>183305</v>
      </c>
      <c r="E162" t="s">
        <v>14290</v>
      </c>
      <c r="F162" t="s">
        <v>14755</v>
      </c>
      <c r="G162" t="s">
        <v>14756</v>
      </c>
      <c r="H162">
        <v>93521650</v>
      </c>
      <c r="I162" t="s">
        <v>14292</v>
      </c>
      <c r="L162" t="s">
        <v>14757</v>
      </c>
      <c r="M162">
        <v>486</v>
      </c>
      <c r="N162" t="s">
        <v>14758</v>
      </c>
    </row>
    <row r="163" spans="1:14">
      <c r="A163" t="s">
        <v>9256</v>
      </c>
      <c r="B163">
        <v>183302</v>
      </c>
      <c r="C163">
        <v>185617</v>
      </c>
      <c r="E163" t="s">
        <v>14314</v>
      </c>
      <c r="F163" t="s">
        <v>14493</v>
      </c>
      <c r="H163">
        <v>93521651</v>
      </c>
      <c r="I163" t="s">
        <v>14292</v>
      </c>
      <c r="L163" t="s">
        <v>14759</v>
      </c>
      <c r="M163">
        <v>771</v>
      </c>
      <c r="N163" t="s">
        <v>14760</v>
      </c>
    </row>
    <row r="164" spans="1:14">
      <c r="A164" t="s">
        <v>9256</v>
      </c>
      <c r="B164">
        <v>185718</v>
      </c>
      <c r="C164">
        <v>186179</v>
      </c>
      <c r="E164" t="s">
        <v>14290</v>
      </c>
      <c r="F164" t="s">
        <v>14291</v>
      </c>
      <c r="H164">
        <v>93521652</v>
      </c>
      <c r="I164" t="s">
        <v>14292</v>
      </c>
      <c r="L164" t="s">
        <v>14761</v>
      </c>
      <c r="M164">
        <v>153</v>
      </c>
      <c r="N164" t="s">
        <v>14762</v>
      </c>
    </row>
    <row r="165" spans="1:14">
      <c r="A165" t="s">
        <v>9256</v>
      </c>
      <c r="B165">
        <v>186277</v>
      </c>
      <c r="C165">
        <v>187548</v>
      </c>
      <c r="E165" t="s">
        <v>14290</v>
      </c>
      <c r="F165" t="s">
        <v>14763</v>
      </c>
      <c r="H165">
        <v>93521653</v>
      </c>
      <c r="I165" t="s">
        <v>14292</v>
      </c>
      <c r="L165" t="s">
        <v>14764</v>
      </c>
      <c r="M165">
        <v>423</v>
      </c>
      <c r="N165" t="s">
        <v>14765</v>
      </c>
    </row>
    <row r="166" spans="1:14">
      <c r="A166" t="s">
        <v>9256</v>
      </c>
      <c r="B166">
        <v>187639</v>
      </c>
      <c r="C166">
        <v>189636</v>
      </c>
      <c r="E166" t="s">
        <v>14314</v>
      </c>
      <c r="F166" t="s">
        <v>14766</v>
      </c>
      <c r="G166" t="s">
        <v>14767</v>
      </c>
      <c r="H166">
        <v>93521654</v>
      </c>
      <c r="I166" t="s">
        <v>14292</v>
      </c>
      <c r="L166" t="s">
        <v>14768</v>
      </c>
      <c r="M166">
        <v>665</v>
      </c>
      <c r="N166" t="s">
        <v>14769</v>
      </c>
    </row>
    <row r="167" spans="1:14">
      <c r="A167" t="s">
        <v>9256</v>
      </c>
      <c r="B167">
        <v>189766</v>
      </c>
      <c r="C167">
        <v>191283</v>
      </c>
      <c r="E167" t="s">
        <v>14314</v>
      </c>
      <c r="F167" t="s">
        <v>14770</v>
      </c>
      <c r="G167" t="s">
        <v>14771</v>
      </c>
      <c r="H167">
        <v>93521655</v>
      </c>
      <c r="I167" t="s">
        <v>14292</v>
      </c>
      <c r="L167" t="s">
        <v>14772</v>
      </c>
      <c r="M167">
        <v>505</v>
      </c>
      <c r="N167" t="s">
        <v>14773</v>
      </c>
    </row>
    <row r="168" spans="1:14">
      <c r="A168" t="s">
        <v>9256</v>
      </c>
      <c r="B168">
        <v>191374</v>
      </c>
      <c r="C168">
        <v>192561</v>
      </c>
      <c r="E168" t="s">
        <v>14290</v>
      </c>
      <c r="F168" t="s">
        <v>14774</v>
      </c>
      <c r="H168">
        <v>93521656</v>
      </c>
      <c r="I168" t="s">
        <v>14292</v>
      </c>
      <c r="L168" t="s">
        <v>14775</v>
      </c>
      <c r="M168">
        <v>395</v>
      </c>
      <c r="N168" t="s">
        <v>14776</v>
      </c>
    </row>
    <row r="169" spans="1:14">
      <c r="A169" t="s">
        <v>9256</v>
      </c>
      <c r="B169">
        <v>192887</v>
      </c>
      <c r="C169">
        <v>193813</v>
      </c>
      <c r="E169" t="s">
        <v>14290</v>
      </c>
      <c r="F169" t="s">
        <v>14777</v>
      </c>
      <c r="H169">
        <v>93521657</v>
      </c>
      <c r="I169" t="s">
        <v>14292</v>
      </c>
      <c r="L169" t="s">
        <v>14778</v>
      </c>
      <c r="M169">
        <v>308</v>
      </c>
      <c r="N169" t="s">
        <v>14779</v>
      </c>
    </row>
    <row r="170" spans="1:14">
      <c r="A170" t="s">
        <v>9256</v>
      </c>
      <c r="B170">
        <v>193907</v>
      </c>
      <c r="C170">
        <v>196150</v>
      </c>
      <c r="E170" t="s">
        <v>14314</v>
      </c>
      <c r="F170" t="s">
        <v>14780</v>
      </c>
      <c r="H170">
        <v>93521658</v>
      </c>
      <c r="I170" t="s">
        <v>14292</v>
      </c>
      <c r="L170" t="s">
        <v>14781</v>
      </c>
      <c r="M170">
        <v>747</v>
      </c>
      <c r="N170" t="s">
        <v>14782</v>
      </c>
    </row>
    <row r="171" spans="1:14">
      <c r="A171" t="s">
        <v>9256</v>
      </c>
      <c r="B171">
        <v>196191</v>
      </c>
      <c r="C171">
        <v>198368</v>
      </c>
      <c r="E171" t="s">
        <v>14314</v>
      </c>
      <c r="F171" t="s">
        <v>14783</v>
      </c>
      <c r="H171">
        <v>93521659</v>
      </c>
      <c r="I171" t="s">
        <v>14292</v>
      </c>
      <c r="L171" t="s">
        <v>14784</v>
      </c>
      <c r="M171">
        <v>725</v>
      </c>
      <c r="N171" t="s">
        <v>14785</v>
      </c>
    </row>
    <row r="172" spans="1:14">
      <c r="A172" t="s">
        <v>9256</v>
      </c>
      <c r="B172">
        <v>198496</v>
      </c>
      <c r="C172">
        <v>198741</v>
      </c>
      <c r="E172" t="s">
        <v>14314</v>
      </c>
      <c r="F172" t="s">
        <v>14786</v>
      </c>
      <c r="H172">
        <v>93521660</v>
      </c>
      <c r="I172" t="s">
        <v>14292</v>
      </c>
      <c r="L172" t="s">
        <v>14787</v>
      </c>
      <c r="M172">
        <v>81</v>
      </c>
      <c r="N172" t="s">
        <v>14788</v>
      </c>
    </row>
    <row r="173" spans="1:14">
      <c r="A173" t="s">
        <v>9256</v>
      </c>
      <c r="B173">
        <v>199346</v>
      </c>
      <c r="C173">
        <v>199690</v>
      </c>
      <c r="E173" t="s">
        <v>14314</v>
      </c>
      <c r="F173" t="s">
        <v>14789</v>
      </c>
      <c r="G173" t="s">
        <v>14790</v>
      </c>
      <c r="H173">
        <v>93521661</v>
      </c>
      <c r="I173" t="s">
        <v>14292</v>
      </c>
      <c r="L173" t="s">
        <v>14791</v>
      </c>
      <c r="M173">
        <v>114</v>
      </c>
      <c r="N173" t="s">
        <v>14792</v>
      </c>
    </row>
    <row r="174" spans="1:14">
      <c r="A174" t="s">
        <v>9256</v>
      </c>
      <c r="B174">
        <v>199797</v>
      </c>
      <c r="C174">
        <v>199994</v>
      </c>
      <c r="E174" t="s">
        <v>14314</v>
      </c>
      <c r="F174" t="s">
        <v>14793</v>
      </c>
      <c r="G174" t="s">
        <v>14794</v>
      </c>
      <c r="H174">
        <v>93521662</v>
      </c>
      <c r="I174" t="s">
        <v>14292</v>
      </c>
      <c r="L174" t="s">
        <v>14795</v>
      </c>
      <c r="M174">
        <v>65</v>
      </c>
      <c r="N174" t="s">
        <v>14796</v>
      </c>
    </row>
    <row r="175" spans="1:14">
      <c r="A175" t="s">
        <v>9256</v>
      </c>
      <c r="B175">
        <v>200050</v>
      </c>
      <c r="C175">
        <v>200676</v>
      </c>
      <c r="E175" t="s">
        <v>14314</v>
      </c>
      <c r="F175" t="s">
        <v>14797</v>
      </c>
      <c r="G175" t="s">
        <v>14798</v>
      </c>
      <c r="H175">
        <v>93521663</v>
      </c>
      <c r="I175" t="s">
        <v>14292</v>
      </c>
      <c r="L175" t="s">
        <v>14799</v>
      </c>
      <c r="M175">
        <v>208</v>
      </c>
      <c r="N175" t="s">
        <v>14800</v>
      </c>
    </row>
    <row r="176" spans="1:14">
      <c r="A176" t="s">
        <v>9256</v>
      </c>
      <c r="B176">
        <v>200717</v>
      </c>
      <c r="C176">
        <v>202666</v>
      </c>
      <c r="E176" t="s">
        <v>14314</v>
      </c>
      <c r="F176" t="s">
        <v>14801</v>
      </c>
      <c r="G176" t="s">
        <v>14802</v>
      </c>
      <c r="H176">
        <v>93521664</v>
      </c>
      <c r="I176" t="s">
        <v>14292</v>
      </c>
      <c r="L176" t="s">
        <v>14803</v>
      </c>
      <c r="M176">
        <v>649</v>
      </c>
      <c r="N176" t="s">
        <v>14804</v>
      </c>
    </row>
    <row r="177" spans="1:14">
      <c r="A177" t="s">
        <v>9256</v>
      </c>
      <c r="B177">
        <v>202757</v>
      </c>
      <c r="C177">
        <v>204880</v>
      </c>
      <c r="E177" t="s">
        <v>14314</v>
      </c>
      <c r="F177" t="s">
        <v>14805</v>
      </c>
      <c r="H177">
        <v>93521665</v>
      </c>
      <c r="I177" t="s">
        <v>14292</v>
      </c>
      <c r="L177" t="s">
        <v>14806</v>
      </c>
      <c r="M177">
        <v>707</v>
      </c>
      <c r="N177" t="s">
        <v>14807</v>
      </c>
    </row>
    <row r="178" spans="1:14">
      <c r="A178" t="s">
        <v>9256</v>
      </c>
      <c r="B178">
        <v>204922</v>
      </c>
      <c r="C178">
        <v>205254</v>
      </c>
      <c r="E178" t="s">
        <v>14314</v>
      </c>
      <c r="F178" t="s">
        <v>14808</v>
      </c>
      <c r="H178">
        <v>93521666</v>
      </c>
      <c r="I178" t="s">
        <v>14292</v>
      </c>
      <c r="L178" t="s">
        <v>14809</v>
      </c>
      <c r="M178">
        <v>110</v>
      </c>
      <c r="N178" t="s">
        <v>14810</v>
      </c>
    </row>
    <row r="179" spans="1:14">
      <c r="A179" t="s">
        <v>9256</v>
      </c>
      <c r="B179">
        <v>205267</v>
      </c>
      <c r="C179">
        <v>206814</v>
      </c>
      <c r="E179" t="s">
        <v>14314</v>
      </c>
      <c r="F179" t="s">
        <v>14811</v>
      </c>
      <c r="H179">
        <v>93521667</v>
      </c>
      <c r="I179" t="s">
        <v>14292</v>
      </c>
      <c r="L179" t="s">
        <v>14812</v>
      </c>
      <c r="M179">
        <v>515</v>
      </c>
      <c r="N179" t="s">
        <v>14813</v>
      </c>
    </row>
    <row r="180" spans="1:14">
      <c r="A180" t="s">
        <v>9256</v>
      </c>
      <c r="B180">
        <v>206835</v>
      </c>
      <c r="C180">
        <v>207392</v>
      </c>
      <c r="E180" t="s">
        <v>14314</v>
      </c>
      <c r="F180" t="s">
        <v>14814</v>
      </c>
      <c r="G180" t="s">
        <v>14815</v>
      </c>
      <c r="H180">
        <v>93521668</v>
      </c>
      <c r="I180" t="s">
        <v>14292</v>
      </c>
      <c r="L180" t="s">
        <v>14816</v>
      </c>
      <c r="M180">
        <v>185</v>
      </c>
      <c r="N180" t="s">
        <v>14817</v>
      </c>
    </row>
    <row r="181" spans="1:14">
      <c r="A181" t="s">
        <v>9256</v>
      </c>
      <c r="B181">
        <v>207396</v>
      </c>
      <c r="C181">
        <v>207818</v>
      </c>
      <c r="E181" t="s">
        <v>14314</v>
      </c>
      <c r="F181" t="s">
        <v>14818</v>
      </c>
      <c r="G181" t="s">
        <v>14819</v>
      </c>
      <c r="H181">
        <v>93521669</v>
      </c>
      <c r="I181" t="s">
        <v>14292</v>
      </c>
      <c r="L181" t="s">
        <v>14820</v>
      </c>
      <c r="M181">
        <v>140</v>
      </c>
      <c r="N181" t="s">
        <v>14821</v>
      </c>
    </row>
    <row r="182" spans="1:14">
      <c r="A182" t="s">
        <v>9256</v>
      </c>
      <c r="B182">
        <v>207888</v>
      </c>
      <c r="C182">
        <v>209285</v>
      </c>
      <c r="E182" t="s">
        <v>14314</v>
      </c>
      <c r="F182" t="s">
        <v>14822</v>
      </c>
      <c r="H182">
        <v>93521670</v>
      </c>
      <c r="I182" t="s">
        <v>14292</v>
      </c>
      <c r="L182" t="s">
        <v>14823</v>
      </c>
      <c r="M182">
        <v>465</v>
      </c>
      <c r="N182" t="s">
        <v>14824</v>
      </c>
    </row>
    <row r="183" spans="1:14">
      <c r="A183" t="s">
        <v>9256</v>
      </c>
      <c r="B183">
        <v>209383</v>
      </c>
      <c r="C183">
        <v>210528</v>
      </c>
      <c r="E183" t="s">
        <v>14314</v>
      </c>
      <c r="F183" t="s">
        <v>14397</v>
      </c>
      <c r="H183">
        <v>93521671</v>
      </c>
      <c r="I183" t="s">
        <v>14292</v>
      </c>
      <c r="L183" t="s">
        <v>14825</v>
      </c>
      <c r="M183">
        <v>381</v>
      </c>
      <c r="N183" t="s">
        <v>14826</v>
      </c>
    </row>
    <row r="184" spans="1:14">
      <c r="A184" t="s">
        <v>9256</v>
      </c>
      <c r="B184">
        <v>210636</v>
      </c>
      <c r="C184">
        <v>211787</v>
      </c>
      <c r="E184" t="s">
        <v>14314</v>
      </c>
      <c r="F184" t="s">
        <v>14827</v>
      </c>
      <c r="G184" t="s">
        <v>14828</v>
      </c>
      <c r="H184">
        <v>93521672</v>
      </c>
      <c r="I184" t="s">
        <v>14292</v>
      </c>
      <c r="L184" t="s">
        <v>14829</v>
      </c>
      <c r="M184">
        <v>383</v>
      </c>
      <c r="N184" t="s">
        <v>14830</v>
      </c>
    </row>
    <row r="185" spans="1:14">
      <c r="A185" t="s">
        <v>9256</v>
      </c>
      <c r="B185">
        <v>211813</v>
      </c>
      <c r="C185">
        <v>212889</v>
      </c>
      <c r="E185" t="s">
        <v>14314</v>
      </c>
      <c r="F185" t="s">
        <v>14831</v>
      </c>
      <c r="H185">
        <v>93521673</v>
      </c>
      <c r="I185" t="s">
        <v>14292</v>
      </c>
      <c r="L185" t="s">
        <v>14832</v>
      </c>
      <c r="M185">
        <v>358</v>
      </c>
      <c r="N185" t="s">
        <v>14833</v>
      </c>
    </row>
    <row r="186" spans="1:14">
      <c r="A186" t="s">
        <v>9256</v>
      </c>
      <c r="B186">
        <v>212915</v>
      </c>
      <c r="C186">
        <v>213790</v>
      </c>
      <c r="E186" t="s">
        <v>14314</v>
      </c>
      <c r="F186" t="s">
        <v>14834</v>
      </c>
      <c r="G186" t="s">
        <v>14835</v>
      </c>
      <c r="H186">
        <v>93521674</v>
      </c>
      <c r="I186" t="s">
        <v>14292</v>
      </c>
      <c r="L186" t="s">
        <v>14836</v>
      </c>
      <c r="M186">
        <v>291</v>
      </c>
      <c r="N186" t="s">
        <v>14837</v>
      </c>
    </row>
    <row r="187" spans="1:14">
      <c r="A187" t="s">
        <v>9256</v>
      </c>
      <c r="B187">
        <v>213879</v>
      </c>
      <c r="C187">
        <v>214403</v>
      </c>
      <c r="E187" t="s">
        <v>14314</v>
      </c>
      <c r="F187" t="s">
        <v>14838</v>
      </c>
      <c r="H187">
        <v>93521675</v>
      </c>
      <c r="I187" t="s">
        <v>14292</v>
      </c>
      <c r="L187" t="s">
        <v>14839</v>
      </c>
      <c r="M187">
        <v>174</v>
      </c>
      <c r="N187" t="s">
        <v>14840</v>
      </c>
    </row>
    <row r="188" spans="1:14">
      <c r="A188" t="s">
        <v>9256</v>
      </c>
      <c r="B188">
        <v>214653</v>
      </c>
      <c r="C188">
        <v>215354</v>
      </c>
      <c r="E188" t="s">
        <v>14314</v>
      </c>
      <c r="F188" t="s">
        <v>14841</v>
      </c>
      <c r="G188" t="s">
        <v>14842</v>
      </c>
      <c r="H188">
        <v>93521676</v>
      </c>
      <c r="I188" t="s">
        <v>14292</v>
      </c>
      <c r="L188" t="s">
        <v>14843</v>
      </c>
      <c r="M188">
        <v>233</v>
      </c>
      <c r="N188" t="s">
        <v>14844</v>
      </c>
    </row>
    <row r="189" spans="1:14">
      <c r="A189" t="s">
        <v>9256</v>
      </c>
      <c r="B189">
        <v>215359</v>
      </c>
      <c r="C189">
        <v>216825</v>
      </c>
      <c r="E189" t="s">
        <v>14314</v>
      </c>
      <c r="F189" t="s">
        <v>14845</v>
      </c>
      <c r="G189" t="s">
        <v>14846</v>
      </c>
      <c r="H189">
        <v>93521677</v>
      </c>
      <c r="I189" t="s">
        <v>14292</v>
      </c>
      <c r="L189" t="s">
        <v>14847</v>
      </c>
      <c r="M189">
        <v>488</v>
      </c>
      <c r="N189" t="s">
        <v>14848</v>
      </c>
    </row>
    <row r="190" spans="1:14">
      <c r="A190" t="s">
        <v>9256</v>
      </c>
      <c r="B190">
        <v>216830</v>
      </c>
      <c r="C190">
        <v>218290</v>
      </c>
      <c r="E190" t="s">
        <v>14314</v>
      </c>
      <c r="F190" t="s">
        <v>14849</v>
      </c>
      <c r="G190" t="s">
        <v>14850</v>
      </c>
      <c r="H190">
        <v>93521678</v>
      </c>
      <c r="I190" t="s">
        <v>14292</v>
      </c>
      <c r="L190" t="s">
        <v>14851</v>
      </c>
      <c r="M190">
        <v>486</v>
      </c>
      <c r="N190" t="s">
        <v>14852</v>
      </c>
    </row>
    <row r="191" spans="1:14">
      <c r="A191" t="s">
        <v>9256</v>
      </c>
      <c r="B191">
        <v>218301</v>
      </c>
      <c r="C191">
        <v>219680</v>
      </c>
      <c r="E191" t="s">
        <v>14314</v>
      </c>
      <c r="F191" t="s">
        <v>14853</v>
      </c>
      <c r="H191">
        <v>93521679</v>
      </c>
      <c r="I191" t="s">
        <v>14292</v>
      </c>
      <c r="L191" t="s">
        <v>14854</v>
      </c>
      <c r="M191">
        <v>459</v>
      </c>
      <c r="N191" t="s">
        <v>14855</v>
      </c>
    </row>
    <row r="192" spans="1:14">
      <c r="A192" t="s">
        <v>9256</v>
      </c>
      <c r="B192">
        <v>220057</v>
      </c>
      <c r="C192">
        <v>220974</v>
      </c>
      <c r="E192" t="s">
        <v>14290</v>
      </c>
      <c r="F192" t="s">
        <v>14856</v>
      </c>
      <c r="H192">
        <v>93521680</v>
      </c>
      <c r="I192" t="s">
        <v>14292</v>
      </c>
      <c r="L192" t="s">
        <v>14857</v>
      </c>
      <c r="M192">
        <v>305</v>
      </c>
      <c r="N192" t="s">
        <v>14858</v>
      </c>
    </row>
    <row r="193" spans="1:14">
      <c r="A193" t="s">
        <v>9256</v>
      </c>
      <c r="B193">
        <v>220978</v>
      </c>
      <c r="C193">
        <v>221940</v>
      </c>
      <c r="E193" t="s">
        <v>14290</v>
      </c>
      <c r="F193" t="s">
        <v>14439</v>
      </c>
      <c r="H193">
        <v>93521681</v>
      </c>
      <c r="I193" t="s">
        <v>14292</v>
      </c>
      <c r="L193" t="s">
        <v>14859</v>
      </c>
      <c r="M193">
        <v>320</v>
      </c>
      <c r="N193" t="s">
        <v>14860</v>
      </c>
    </row>
    <row r="194" spans="1:14">
      <c r="A194" t="s">
        <v>9256</v>
      </c>
      <c r="B194">
        <v>222008</v>
      </c>
      <c r="C194">
        <v>224251</v>
      </c>
      <c r="E194" t="s">
        <v>14314</v>
      </c>
      <c r="F194" t="s">
        <v>14861</v>
      </c>
      <c r="H194">
        <v>93521682</v>
      </c>
      <c r="I194" t="s">
        <v>14292</v>
      </c>
      <c r="L194" t="s">
        <v>14862</v>
      </c>
      <c r="M194">
        <v>747</v>
      </c>
      <c r="N194" t="s">
        <v>14863</v>
      </c>
    </row>
    <row r="195" spans="1:14">
      <c r="A195" t="s">
        <v>9256</v>
      </c>
      <c r="B195">
        <v>225175</v>
      </c>
      <c r="C195">
        <v>226494</v>
      </c>
      <c r="E195" t="s">
        <v>14314</v>
      </c>
      <c r="F195" t="s">
        <v>14864</v>
      </c>
      <c r="H195">
        <v>93521683</v>
      </c>
      <c r="I195" t="s">
        <v>14292</v>
      </c>
      <c r="L195" t="s">
        <v>14865</v>
      </c>
      <c r="M195">
        <v>439</v>
      </c>
      <c r="N195" t="s">
        <v>14866</v>
      </c>
    </row>
    <row r="196" spans="1:14">
      <c r="A196" t="s">
        <v>9256</v>
      </c>
      <c r="B196">
        <v>226545</v>
      </c>
      <c r="C196">
        <v>227717</v>
      </c>
      <c r="E196" t="s">
        <v>14314</v>
      </c>
      <c r="F196" t="s">
        <v>14867</v>
      </c>
      <c r="H196">
        <v>93521684</v>
      </c>
      <c r="I196" t="s">
        <v>14292</v>
      </c>
      <c r="L196" t="s">
        <v>14868</v>
      </c>
      <c r="M196">
        <v>390</v>
      </c>
      <c r="N196" t="s">
        <v>14869</v>
      </c>
    </row>
    <row r="197" spans="1:14">
      <c r="A197" t="s">
        <v>9256</v>
      </c>
      <c r="B197">
        <v>228088</v>
      </c>
      <c r="C197">
        <v>230574</v>
      </c>
      <c r="E197" t="s">
        <v>14314</v>
      </c>
      <c r="F197" t="s">
        <v>14870</v>
      </c>
      <c r="H197">
        <v>93521685</v>
      </c>
      <c r="I197" t="s">
        <v>14292</v>
      </c>
      <c r="L197" t="s">
        <v>14871</v>
      </c>
      <c r="M197">
        <v>828</v>
      </c>
      <c r="N197" t="s">
        <v>14872</v>
      </c>
    </row>
    <row r="198" spans="1:14">
      <c r="A198" t="s">
        <v>9256</v>
      </c>
      <c r="B198">
        <v>230592</v>
      </c>
      <c r="C198">
        <v>232311</v>
      </c>
      <c r="E198" t="s">
        <v>14314</v>
      </c>
      <c r="F198" t="s">
        <v>14414</v>
      </c>
      <c r="H198">
        <v>93521686</v>
      </c>
      <c r="I198" t="s">
        <v>14415</v>
      </c>
      <c r="N198" t="s">
        <v>14873</v>
      </c>
    </row>
    <row r="199" spans="1:14">
      <c r="A199" t="s">
        <v>9256</v>
      </c>
      <c r="B199">
        <v>232448</v>
      </c>
      <c r="C199">
        <v>234124</v>
      </c>
      <c r="E199" t="s">
        <v>14314</v>
      </c>
      <c r="F199" t="s">
        <v>14874</v>
      </c>
      <c r="H199">
        <v>93521687</v>
      </c>
      <c r="I199" t="s">
        <v>14292</v>
      </c>
      <c r="L199" t="s">
        <v>14875</v>
      </c>
      <c r="M199">
        <v>558</v>
      </c>
      <c r="N199" t="s">
        <v>14876</v>
      </c>
    </row>
    <row r="200" spans="1:14">
      <c r="A200" t="s">
        <v>9256</v>
      </c>
      <c r="B200">
        <v>234274</v>
      </c>
      <c r="C200">
        <v>234615</v>
      </c>
      <c r="E200" t="s">
        <v>14314</v>
      </c>
      <c r="F200" t="s">
        <v>14291</v>
      </c>
      <c r="H200">
        <v>93521688</v>
      </c>
      <c r="I200" t="s">
        <v>14292</v>
      </c>
      <c r="L200" t="s">
        <v>14877</v>
      </c>
      <c r="M200">
        <v>113</v>
      </c>
      <c r="N200" t="s">
        <v>14878</v>
      </c>
    </row>
    <row r="201" spans="1:14">
      <c r="A201" t="s">
        <v>9256</v>
      </c>
      <c r="B201">
        <v>234735</v>
      </c>
      <c r="C201">
        <v>235733</v>
      </c>
      <c r="E201" t="s">
        <v>14314</v>
      </c>
      <c r="F201" t="s">
        <v>14879</v>
      </c>
      <c r="H201">
        <v>93521689</v>
      </c>
      <c r="I201" t="s">
        <v>14292</v>
      </c>
      <c r="L201" t="s">
        <v>14880</v>
      </c>
      <c r="M201">
        <v>332</v>
      </c>
      <c r="N201" t="s">
        <v>14881</v>
      </c>
    </row>
    <row r="202" spans="1:14">
      <c r="A202" t="s">
        <v>9256</v>
      </c>
      <c r="B202">
        <v>235753</v>
      </c>
      <c r="C202">
        <v>237072</v>
      </c>
      <c r="E202" t="s">
        <v>14314</v>
      </c>
      <c r="F202" t="s">
        <v>14445</v>
      </c>
      <c r="H202">
        <v>93521690</v>
      </c>
      <c r="I202" t="s">
        <v>14292</v>
      </c>
      <c r="L202" t="s">
        <v>14882</v>
      </c>
      <c r="M202">
        <v>439</v>
      </c>
      <c r="N202" t="s">
        <v>14883</v>
      </c>
    </row>
    <row r="203" spans="1:14">
      <c r="A203" t="s">
        <v>9256</v>
      </c>
      <c r="B203">
        <v>237125</v>
      </c>
      <c r="C203">
        <v>238009</v>
      </c>
      <c r="E203" t="s">
        <v>14314</v>
      </c>
      <c r="F203" t="s">
        <v>14291</v>
      </c>
      <c r="H203">
        <v>93521691</v>
      </c>
      <c r="I203" t="s">
        <v>14292</v>
      </c>
      <c r="L203" t="s">
        <v>14884</v>
      </c>
      <c r="M203">
        <v>294</v>
      </c>
      <c r="N203" t="s">
        <v>14885</v>
      </c>
    </row>
    <row r="204" spans="1:14">
      <c r="A204" t="s">
        <v>9256</v>
      </c>
      <c r="B204">
        <v>238157</v>
      </c>
      <c r="C204">
        <v>239029</v>
      </c>
      <c r="E204" t="s">
        <v>14314</v>
      </c>
      <c r="F204" t="s">
        <v>14886</v>
      </c>
      <c r="G204" t="s">
        <v>14887</v>
      </c>
      <c r="H204">
        <v>93521692</v>
      </c>
      <c r="I204" t="s">
        <v>14292</v>
      </c>
      <c r="L204" t="s">
        <v>14888</v>
      </c>
      <c r="M204">
        <v>290</v>
      </c>
      <c r="N204" t="s">
        <v>14889</v>
      </c>
    </row>
    <row r="205" spans="1:14">
      <c r="A205" t="s">
        <v>9256</v>
      </c>
      <c r="B205">
        <v>239099</v>
      </c>
      <c r="C205">
        <v>239713</v>
      </c>
      <c r="E205" t="s">
        <v>14314</v>
      </c>
      <c r="F205" t="s">
        <v>14890</v>
      </c>
      <c r="H205">
        <v>93521693</v>
      </c>
      <c r="I205" t="s">
        <v>14292</v>
      </c>
      <c r="L205" t="s">
        <v>14891</v>
      </c>
      <c r="M205">
        <v>204</v>
      </c>
      <c r="N205" t="s">
        <v>14892</v>
      </c>
    </row>
    <row r="206" spans="1:14">
      <c r="A206" t="s">
        <v>9256</v>
      </c>
      <c r="B206">
        <v>239723</v>
      </c>
      <c r="C206">
        <v>240739</v>
      </c>
      <c r="E206" t="s">
        <v>14314</v>
      </c>
      <c r="F206" t="s">
        <v>14893</v>
      </c>
      <c r="H206">
        <v>93521694</v>
      </c>
      <c r="I206" t="s">
        <v>14292</v>
      </c>
      <c r="L206" t="s">
        <v>14894</v>
      </c>
      <c r="M206">
        <v>338</v>
      </c>
      <c r="N206" t="s">
        <v>14895</v>
      </c>
    </row>
    <row r="207" spans="1:14">
      <c r="A207" t="s">
        <v>9256</v>
      </c>
      <c r="B207">
        <v>240781</v>
      </c>
      <c r="C207">
        <v>241095</v>
      </c>
      <c r="E207" t="s">
        <v>14314</v>
      </c>
      <c r="F207" t="s">
        <v>14291</v>
      </c>
      <c r="H207">
        <v>93521695</v>
      </c>
      <c r="I207" t="s">
        <v>14292</v>
      </c>
      <c r="L207" t="s">
        <v>14896</v>
      </c>
      <c r="M207">
        <v>104</v>
      </c>
      <c r="N207" t="s">
        <v>14897</v>
      </c>
    </row>
    <row r="208" spans="1:14">
      <c r="A208" t="s">
        <v>9256</v>
      </c>
      <c r="B208">
        <v>241114</v>
      </c>
      <c r="C208">
        <v>243561</v>
      </c>
      <c r="E208" t="s">
        <v>14314</v>
      </c>
      <c r="F208" t="s">
        <v>14898</v>
      </c>
      <c r="G208" t="s">
        <v>14899</v>
      </c>
      <c r="H208">
        <v>93521696</v>
      </c>
      <c r="I208" t="s">
        <v>14292</v>
      </c>
      <c r="L208" t="s">
        <v>14900</v>
      </c>
      <c r="M208">
        <v>815</v>
      </c>
      <c r="N208" t="s">
        <v>14901</v>
      </c>
    </row>
    <row r="209" spans="1:14">
      <c r="A209" t="s">
        <v>9256</v>
      </c>
      <c r="B209">
        <v>243678</v>
      </c>
      <c r="C209">
        <v>247664</v>
      </c>
      <c r="E209" t="s">
        <v>14314</v>
      </c>
      <c r="F209" t="s">
        <v>14902</v>
      </c>
      <c r="H209">
        <v>93521697</v>
      </c>
      <c r="I209" t="s">
        <v>14292</v>
      </c>
      <c r="L209" t="s">
        <v>14903</v>
      </c>
      <c r="M209">
        <v>1328</v>
      </c>
      <c r="N209" t="s">
        <v>14904</v>
      </c>
    </row>
    <row r="210" spans="1:14">
      <c r="A210" t="s">
        <v>9256</v>
      </c>
      <c r="B210">
        <v>247775</v>
      </c>
      <c r="C210">
        <v>248533</v>
      </c>
      <c r="E210" t="s">
        <v>14314</v>
      </c>
      <c r="F210" t="s">
        <v>14291</v>
      </c>
      <c r="H210">
        <v>93521698</v>
      </c>
      <c r="I210" t="s">
        <v>14292</v>
      </c>
      <c r="L210" t="s">
        <v>14905</v>
      </c>
      <c r="M210">
        <v>252</v>
      </c>
      <c r="N210" t="s">
        <v>14906</v>
      </c>
    </row>
    <row r="211" spans="1:14">
      <c r="A211" t="s">
        <v>9256</v>
      </c>
      <c r="B211">
        <v>248568</v>
      </c>
      <c r="C211">
        <v>249662</v>
      </c>
      <c r="E211" t="s">
        <v>14314</v>
      </c>
      <c r="F211" t="s">
        <v>14907</v>
      </c>
      <c r="H211">
        <v>93521699</v>
      </c>
      <c r="I211" t="s">
        <v>14292</v>
      </c>
      <c r="L211" t="s">
        <v>14908</v>
      </c>
      <c r="M211">
        <v>364</v>
      </c>
      <c r="N211" t="s">
        <v>14909</v>
      </c>
    </row>
    <row r="212" spans="1:14">
      <c r="A212" t="s">
        <v>9256</v>
      </c>
      <c r="B212">
        <v>249674</v>
      </c>
      <c r="C212">
        <v>251449</v>
      </c>
      <c r="E212" t="s">
        <v>14314</v>
      </c>
      <c r="F212" t="s">
        <v>14910</v>
      </c>
      <c r="H212">
        <v>93521700</v>
      </c>
      <c r="I212" t="s">
        <v>14292</v>
      </c>
      <c r="L212" t="s">
        <v>14911</v>
      </c>
      <c r="M212">
        <v>591</v>
      </c>
      <c r="N212" t="s">
        <v>14912</v>
      </c>
    </row>
    <row r="213" spans="1:14">
      <c r="A213" t="s">
        <v>9256</v>
      </c>
      <c r="B213">
        <v>251467</v>
      </c>
      <c r="C213">
        <v>252264</v>
      </c>
      <c r="E213" t="s">
        <v>14314</v>
      </c>
      <c r="F213" t="s">
        <v>14913</v>
      </c>
      <c r="H213">
        <v>93521701</v>
      </c>
      <c r="I213" t="s">
        <v>14292</v>
      </c>
      <c r="L213" t="s">
        <v>14914</v>
      </c>
      <c r="M213">
        <v>265</v>
      </c>
      <c r="N213" t="s">
        <v>14915</v>
      </c>
    </row>
    <row r="214" spans="1:14">
      <c r="A214" t="s">
        <v>9256</v>
      </c>
      <c r="B214">
        <v>252430</v>
      </c>
      <c r="C214">
        <v>252918</v>
      </c>
      <c r="E214" t="s">
        <v>14314</v>
      </c>
      <c r="F214" t="s">
        <v>14916</v>
      </c>
      <c r="H214">
        <v>93521702</v>
      </c>
      <c r="I214" t="s">
        <v>14292</v>
      </c>
      <c r="L214" t="s">
        <v>14917</v>
      </c>
      <c r="M214">
        <v>162</v>
      </c>
      <c r="N214" t="s">
        <v>14918</v>
      </c>
    </row>
    <row r="215" spans="1:14">
      <c r="A215" t="s">
        <v>9256</v>
      </c>
      <c r="B215">
        <v>253073</v>
      </c>
      <c r="C215">
        <v>253756</v>
      </c>
      <c r="E215" t="s">
        <v>14314</v>
      </c>
      <c r="F215" t="s">
        <v>14919</v>
      </c>
      <c r="H215">
        <v>93521703</v>
      </c>
      <c r="I215" t="s">
        <v>14292</v>
      </c>
      <c r="L215" t="s">
        <v>14920</v>
      </c>
      <c r="M215">
        <v>227</v>
      </c>
      <c r="N215" t="s">
        <v>14921</v>
      </c>
    </row>
    <row r="216" spans="1:14">
      <c r="A216" t="s">
        <v>9256</v>
      </c>
      <c r="B216">
        <v>253892</v>
      </c>
      <c r="C216">
        <v>254380</v>
      </c>
      <c r="E216" t="s">
        <v>14314</v>
      </c>
      <c r="F216" t="s">
        <v>14916</v>
      </c>
      <c r="H216">
        <v>93521704</v>
      </c>
      <c r="I216" t="s">
        <v>14292</v>
      </c>
      <c r="L216" t="s">
        <v>14922</v>
      </c>
      <c r="M216">
        <v>162</v>
      </c>
      <c r="N216" t="s">
        <v>14923</v>
      </c>
    </row>
    <row r="217" spans="1:14">
      <c r="A217" t="s">
        <v>9256</v>
      </c>
      <c r="B217">
        <v>254862</v>
      </c>
      <c r="C217">
        <v>258224</v>
      </c>
      <c r="E217" t="s">
        <v>14290</v>
      </c>
      <c r="F217" t="s">
        <v>14924</v>
      </c>
      <c r="G217" t="s">
        <v>14925</v>
      </c>
      <c r="H217">
        <v>93521705</v>
      </c>
      <c r="I217" t="s">
        <v>14292</v>
      </c>
      <c r="L217" t="s">
        <v>14926</v>
      </c>
      <c r="M217">
        <v>1120</v>
      </c>
      <c r="N217" t="s">
        <v>14927</v>
      </c>
    </row>
    <row r="218" spans="1:14">
      <c r="A218" t="s">
        <v>9256</v>
      </c>
      <c r="B218">
        <v>258252</v>
      </c>
      <c r="C218">
        <v>260153</v>
      </c>
      <c r="E218" t="s">
        <v>14290</v>
      </c>
      <c r="F218" t="s">
        <v>14928</v>
      </c>
      <c r="H218">
        <v>93521706</v>
      </c>
      <c r="I218" t="s">
        <v>14292</v>
      </c>
      <c r="L218" t="s">
        <v>14929</v>
      </c>
      <c r="M218">
        <v>633</v>
      </c>
      <c r="N218" t="s">
        <v>14930</v>
      </c>
    </row>
    <row r="219" spans="1:14">
      <c r="A219" t="s">
        <v>9256</v>
      </c>
      <c r="B219">
        <v>260178</v>
      </c>
      <c r="C219">
        <v>260333</v>
      </c>
      <c r="E219" t="s">
        <v>14290</v>
      </c>
      <c r="F219" t="s">
        <v>14291</v>
      </c>
      <c r="H219">
        <v>93521707</v>
      </c>
      <c r="I219" t="s">
        <v>14292</v>
      </c>
      <c r="L219" t="s">
        <v>14931</v>
      </c>
      <c r="M219">
        <v>51</v>
      </c>
      <c r="N219" t="s">
        <v>14932</v>
      </c>
    </row>
    <row r="220" spans="1:14">
      <c r="A220" t="s">
        <v>9256</v>
      </c>
      <c r="B220">
        <v>260722</v>
      </c>
      <c r="C220">
        <v>261549</v>
      </c>
      <c r="E220" t="s">
        <v>14290</v>
      </c>
      <c r="F220" t="s">
        <v>14933</v>
      </c>
      <c r="H220">
        <v>93521708</v>
      </c>
      <c r="I220" t="s">
        <v>14292</v>
      </c>
      <c r="L220" t="s">
        <v>14934</v>
      </c>
      <c r="M220">
        <v>275</v>
      </c>
      <c r="N220" t="s">
        <v>14935</v>
      </c>
    </row>
    <row r="221" spans="1:14">
      <c r="A221" t="s">
        <v>9256</v>
      </c>
      <c r="B221">
        <v>261729</v>
      </c>
      <c r="C221">
        <v>264317</v>
      </c>
      <c r="E221" t="s">
        <v>14290</v>
      </c>
      <c r="F221" t="s">
        <v>14936</v>
      </c>
      <c r="H221">
        <v>93521709</v>
      </c>
      <c r="I221" t="s">
        <v>14292</v>
      </c>
      <c r="L221" t="s">
        <v>14937</v>
      </c>
      <c r="M221">
        <v>862</v>
      </c>
      <c r="N221" t="s">
        <v>14938</v>
      </c>
    </row>
    <row r="222" spans="1:14">
      <c r="A222" t="s">
        <v>9256</v>
      </c>
      <c r="B222">
        <v>264374</v>
      </c>
      <c r="C222">
        <v>265669</v>
      </c>
      <c r="E222" t="s">
        <v>14290</v>
      </c>
      <c r="F222" t="s">
        <v>14939</v>
      </c>
      <c r="H222">
        <v>93521710</v>
      </c>
      <c r="I222" t="s">
        <v>14292</v>
      </c>
      <c r="L222" t="s">
        <v>14940</v>
      </c>
      <c r="M222">
        <v>431</v>
      </c>
      <c r="N222" t="s">
        <v>14941</v>
      </c>
    </row>
    <row r="223" spans="1:14">
      <c r="A223" t="s">
        <v>9256</v>
      </c>
      <c r="B223">
        <v>265726</v>
      </c>
      <c r="C223">
        <v>265968</v>
      </c>
      <c r="E223" t="s">
        <v>14290</v>
      </c>
      <c r="F223" t="s">
        <v>14291</v>
      </c>
      <c r="H223">
        <v>93521711</v>
      </c>
      <c r="I223" t="s">
        <v>14292</v>
      </c>
      <c r="L223" t="s">
        <v>14942</v>
      </c>
      <c r="M223">
        <v>80</v>
      </c>
      <c r="N223" t="s">
        <v>14943</v>
      </c>
    </row>
    <row r="224" spans="1:14">
      <c r="A224" t="s">
        <v>9256</v>
      </c>
      <c r="B224">
        <v>266234</v>
      </c>
      <c r="C224">
        <v>267202</v>
      </c>
      <c r="E224" t="s">
        <v>14314</v>
      </c>
      <c r="F224" t="s">
        <v>14291</v>
      </c>
      <c r="H224">
        <v>93521712</v>
      </c>
      <c r="I224" t="s">
        <v>14292</v>
      </c>
      <c r="L224" t="s">
        <v>14944</v>
      </c>
      <c r="M224">
        <v>322</v>
      </c>
      <c r="N224" t="s">
        <v>14945</v>
      </c>
    </row>
    <row r="225" spans="1:14">
      <c r="A225" t="s">
        <v>9256</v>
      </c>
      <c r="B225">
        <v>267209</v>
      </c>
      <c r="C225">
        <v>267751</v>
      </c>
      <c r="E225" t="s">
        <v>14314</v>
      </c>
      <c r="F225" t="s">
        <v>14946</v>
      </c>
      <c r="H225">
        <v>93521713</v>
      </c>
      <c r="I225" t="s">
        <v>14292</v>
      </c>
      <c r="L225" t="s">
        <v>14947</v>
      </c>
      <c r="M225">
        <v>180</v>
      </c>
      <c r="N225" t="s">
        <v>14948</v>
      </c>
    </row>
    <row r="226" spans="1:14">
      <c r="A226" t="s">
        <v>9256</v>
      </c>
      <c r="B226">
        <v>267823</v>
      </c>
      <c r="C226">
        <v>269937</v>
      </c>
      <c r="E226" t="s">
        <v>14314</v>
      </c>
      <c r="F226" t="s">
        <v>14949</v>
      </c>
      <c r="H226">
        <v>93521714</v>
      </c>
      <c r="I226" t="s">
        <v>14292</v>
      </c>
      <c r="L226" t="s">
        <v>14950</v>
      </c>
      <c r="M226">
        <v>704</v>
      </c>
      <c r="N226" t="s">
        <v>14951</v>
      </c>
    </row>
    <row r="227" spans="1:14">
      <c r="A227" t="s">
        <v>9256</v>
      </c>
      <c r="B227">
        <v>270061</v>
      </c>
      <c r="C227">
        <v>270456</v>
      </c>
      <c r="E227" t="s">
        <v>14314</v>
      </c>
      <c r="F227" t="s">
        <v>14952</v>
      </c>
      <c r="H227">
        <v>93521715</v>
      </c>
      <c r="I227" t="s">
        <v>14292</v>
      </c>
      <c r="L227" t="s">
        <v>14953</v>
      </c>
      <c r="M227">
        <v>131</v>
      </c>
      <c r="N227" t="s">
        <v>14954</v>
      </c>
    </row>
    <row r="228" spans="1:14">
      <c r="A228" t="s">
        <v>9256</v>
      </c>
      <c r="B228">
        <v>270588</v>
      </c>
      <c r="C228">
        <v>272471</v>
      </c>
      <c r="E228" t="s">
        <v>14314</v>
      </c>
      <c r="F228" t="s">
        <v>14955</v>
      </c>
      <c r="H228">
        <v>93521716</v>
      </c>
      <c r="I228" t="s">
        <v>14292</v>
      </c>
      <c r="L228" t="s">
        <v>14956</v>
      </c>
      <c r="M228">
        <v>627</v>
      </c>
      <c r="N228" t="s">
        <v>14957</v>
      </c>
    </row>
    <row r="229" spans="1:14">
      <c r="A229" t="s">
        <v>9256</v>
      </c>
      <c r="B229">
        <v>272564</v>
      </c>
      <c r="C229">
        <v>272965</v>
      </c>
      <c r="E229" t="s">
        <v>14314</v>
      </c>
      <c r="F229" t="s">
        <v>14958</v>
      </c>
      <c r="G229" t="s">
        <v>14959</v>
      </c>
      <c r="H229">
        <v>93521717</v>
      </c>
      <c r="I229" t="s">
        <v>14292</v>
      </c>
      <c r="L229" t="s">
        <v>14960</v>
      </c>
      <c r="M229">
        <v>133</v>
      </c>
      <c r="N229" t="s">
        <v>14961</v>
      </c>
    </row>
    <row r="230" spans="1:14">
      <c r="A230" t="s">
        <v>9256</v>
      </c>
      <c r="B230">
        <v>273055</v>
      </c>
      <c r="C230">
        <v>274650</v>
      </c>
      <c r="E230" t="s">
        <v>14314</v>
      </c>
      <c r="F230" t="s">
        <v>14962</v>
      </c>
      <c r="H230">
        <v>93521718</v>
      </c>
      <c r="I230" t="s">
        <v>14292</v>
      </c>
      <c r="L230" t="s">
        <v>14963</v>
      </c>
      <c r="M230">
        <v>531</v>
      </c>
      <c r="N230" t="s">
        <v>14964</v>
      </c>
    </row>
    <row r="231" spans="1:14">
      <c r="A231" t="s">
        <v>9256</v>
      </c>
      <c r="B231">
        <v>274655</v>
      </c>
      <c r="C231">
        <v>277960</v>
      </c>
      <c r="E231" t="s">
        <v>14314</v>
      </c>
      <c r="F231" t="s">
        <v>14965</v>
      </c>
      <c r="H231">
        <v>93521719</v>
      </c>
      <c r="I231" t="s">
        <v>14292</v>
      </c>
      <c r="L231" t="s">
        <v>14966</v>
      </c>
      <c r="M231">
        <v>1101</v>
      </c>
      <c r="N231" t="s">
        <v>14967</v>
      </c>
    </row>
    <row r="232" spans="1:14">
      <c r="A232" t="s">
        <v>9256</v>
      </c>
      <c r="B232">
        <v>278133</v>
      </c>
      <c r="C232">
        <v>279797</v>
      </c>
      <c r="E232" t="s">
        <v>14314</v>
      </c>
      <c r="F232" t="s">
        <v>14962</v>
      </c>
      <c r="H232">
        <v>93521720</v>
      </c>
      <c r="I232" t="s">
        <v>14292</v>
      </c>
      <c r="L232" t="s">
        <v>14968</v>
      </c>
      <c r="M232">
        <v>554</v>
      </c>
      <c r="N232" t="s">
        <v>14969</v>
      </c>
    </row>
    <row r="233" spans="1:14">
      <c r="A233" t="s">
        <v>9256</v>
      </c>
      <c r="B233">
        <v>279827</v>
      </c>
      <c r="C233">
        <v>283009</v>
      </c>
      <c r="E233" t="s">
        <v>14314</v>
      </c>
      <c r="F233" t="s">
        <v>14965</v>
      </c>
      <c r="H233">
        <v>93521721</v>
      </c>
      <c r="I233" t="s">
        <v>14292</v>
      </c>
      <c r="L233" t="s">
        <v>14970</v>
      </c>
      <c r="M233">
        <v>1060</v>
      </c>
      <c r="N233" t="s">
        <v>14971</v>
      </c>
    </row>
    <row r="234" spans="1:14">
      <c r="A234" t="s">
        <v>9256</v>
      </c>
      <c r="B234">
        <v>283175</v>
      </c>
      <c r="C234">
        <v>284194</v>
      </c>
      <c r="E234" t="s">
        <v>14314</v>
      </c>
      <c r="F234" t="s">
        <v>14972</v>
      </c>
      <c r="H234">
        <v>93521722</v>
      </c>
      <c r="I234" t="s">
        <v>14292</v>
      </c>
      <c r="L234" t="s">
        <v>14973</v>
      </c>
      <c r="M234">
        <v>339</v>
      </c>
      <c r="N234" t="s">
        <v>14974</v>
      </c>
    </row>
    <row r="235" spans="1:14">
      <c r="A235" t="s">
        <v>9256</v>
      </c>
      <c r="B235">
        <v>284355</v>
      </c>
      <c r="C235">
        <v>284723</v>
      </c>
      <c r="E235" t="s">
        <v>14290</v>
      </c>
      <c r="F235" t="s">
        <v>14975</v>
      </c>
      <c r="H235">
        <v>93521723</v>
      </c>
      <c r="I235" t="s">
        <v>14292</v>
      </c>
      <c r="L235" t="s">
        <v>14976</v>
      </c>
      <c r="M235">
        <v>122</v>
      </c>
      <c r="N235" t="s">
        <v>14977</v>
      </c>
    </row>
    <row r="236" spans="1:14">
      <c r="A236" t="s">
        <v>9256</v>
      </c>
      <c r="B236">
        <v>284738</v>
      </c>
      <c r="C236">
        <v>285484</v>
      </c>
      <c r="E236" t="s">
        <v>14290</v>
      </c>
      <c r="F236" t="s">
        <v>14978</v>
      </c>
      <c r="G236" t="s">
        <v>14979</v>
      </c>
      <c r="H236">
        <v>93521724</v>
      </c>
      <c r="I236" t="s">
        <v>14292</v>
      </c>
      <c r="L236" t="s">
        <v>14980</v>
      </c>
      <c r="M236">
        <v>248</v>
      </c>
      <c r="N236" t="s">
        <v>14981</v>
      </c>
    </row>
    <row r="237" spans="1:14">
      <c r="A237" t="s">
        <v>9256</v>
      </c>
      <c r="B237">
        <v>285551</v>
      </c>
      <c r="C237">
        <v>286123</v>
      </c>
      <c r="E237" t="s">
        <v>14290</v>
      </c>
      <c r="F237" t="s">
        <v>14982</v>
      </c>
      <c r="H237">
        <v>93521725</v>
      </c>
      <c r="I237" t="s">
        <v>14292</v>
      </c>
      <c r="L237" t="s">
        <v>14983</v>
      </c>
      <c r="M237">
        <v>190</v>
      </c>
      <c r="N237" t="s">
        <v>14984</v>
      </c>
    </row>
    <row r="238" spans="1:14">
      <c r="A238" t="s">
        <v>9256</v>
      </c>
      <c r="B238">
        <v>286174</v>
      </c>
      <c r="C238">
        <v>287109</v>
      </c>
      <c r="E238" t="s">
        <v>14314</v>
      </c>
      <c r="F238" t="s">
        <v>14985</v>
      </c>
      <c r="H238">
        <v>93521726</v>
      </c>
      <c r="I238" t="s">
        <v>14292</v>
      </c>
      <c r="L238" t="s">
        <v>14986</v>
      </c>
      <c r="M238">
        <v>311</v>
      </c>
      <c r="N238" t="s">
        <v>14987</v>
      </c>
    </row>
    <row r="239" spans="1:14">
      <c r="A239" t="s">
        <v>9256</v>
      </c>
      <c r="B239">
        <v>287229</v>
      </c>
      <c r="C239">
        <v>288662</v>
      </c>
      <c r="E239" t="s">
        <v>14314</v>
      </c>
      <c r="F239" t="s">
        <v>14988</v>
      </c>
      <c r="H239">
        <v>93521727</v>
      </c>
      <c r="I239" t="s">
        <v>14292</v>
      </c>
      <c r="L239" t="s">
        <v>14989</v>
      </c>
      <c r="M239">
        <v>477</v>
      </c>
      <c r="N239" t="s">
        <v>14990</v>
      </c>
    </row>
    <row r="240" spans="1:14">
      <c r="A240" t="s">
        <v>9256</v>
      </c>
      <c r="B240">
        <v>289114</v>
      </c>
      <c r="C240">
        <v>290298</v>
      </c>
      <c r="E240" t="s">
        <v>14290</v>
      </c>
      <c r="F240" t="s">
        <v>14991</v>
      </c>
      <c r="G240" t="s">
        <v>14992</v>
      </c>
      <c r="H240">
        <v>93521728</v>
      </c>
      <c r="I240" t="s">
        <v>14292</v>
      </c>
      <c r="L240" t="s">
        <v>14993</v>
      </c>
      <c r="M240">
        <v>394</v>
      </c>
      <c r="N240" t="s">
        <v>14994</v>
      </c>
    </row>
    <row r="241" spans="1:14">
      <c r="A241" t="s">
        <v>9256</v>
      </c>
      <c r="B241">
        <v>290295</v>
      </c>
      <c r="C241">
        <v>291698</v>
      </c>
      <c r="E241" t="s">
        <v>14290</v>
      </c>
      <c r="F241" t="s">
        <v>14995</v>
      </c>
      <c r="H241">
        <v>93521729</v>
      </c>
      <c r="I241" t="s">
        <v>14292</v>
      </c>
      <c r="L241" t="s">
        <v>14996</v>
      </c>
      <c r="M241">
        <v>467</v>
      </c>
      <c r="N241" t="s">
        <v>14997</v>
      </c>
    </row>
    <row r="242" spans="1:14">
      <c r="A242" t="s">
        <v>9256</v>
      </c>
      <c r="B242">
        <v>291821</v>
      </c>
      <c r="C242">
        <v>292387</v>
      </c>
      <c r="E242" t="s">
        <v>14290</v>
      </c>
      <c r="F242" t="s">
        <v>14998</v>
      </c>
      <c r="H242">
        <v>93521730</v>
      </c>
      <c r="I242" t="s">
        <v>14292</v>
      </c>
      <c r="L242" t="s">
        <v>14999</v>
      </c>
      <c r="M242">
        <v>188</v>
      </c>
      <c r="N242" t="s">
        <v>15000</v>
      </c>
    </row>
    <row r="243" spans="1:14">
      <c r="A243" t="s">
        <v>9256</v>
      </c>
      <c r="B243">
        <v>292557</v>
      </c>
      <c r="C243">
        <v>293555</v>
      </c>
      <c r="E243" t="s">
        <v>14290</v>
      </c>
      <c r="F243" t="s">
        <v>15001</v>
      </c>
      <c r="G243" t="s">
        <v>15002</v>
      </c>
      <c r="H243">
        <v>93521731</v>
      </c>
      <c r="I243" t="s">
        <v>14292</v>
      </c>
      <c r="L243" t="s">
        <v>15003</v>
      </c>
      <c r="M243">
        <v>332</v>
      </c>
      <c r="N243" t="s">
        <v>15004</v>
      </c>
    </row>
    <row r="244" spans="1:14">
      <c r="A244" t="s">
        <v>9256</v>
      </c>
      <c r="B244">
        <v>293569</v>
      </c>
      <c r="C244">
        <v>294363</v>
      </c>
      <c r="E244" t="s">
        <v>14290</v>
      </c>
      <c r="F244" t="s">
        <v>15005</v>
      </c>
      <c r="G244" t="s">
        <v>15006</v>
      </c>
      <c r="H244">
        <v>93521732</v>
      </c>
      <c r="I244" t="s">
        <v>14292</v>
      </c>
      <c r="L244" t="s">
        <v>15007</v>
      </c>
      <c r="M244">
        <v>264</v>
      </c>
      <c r="N244" t="s">
        <v>15008</v>
      </c>
    </row>
    <row r="245" spans="1:14">
      <c r="A245" t="s">
        <v>9256</v>
      </c>
      <c r="B245">
        <v>294360</v>
      </c>
      <c r="C245">
        <v>295073</v>
      </c>
      <c r="E245" t="s">
        <v>14290</v>
      </c>
      <c r="F245" t="s">
        <v>15009</v>
      </c>
      <c r="H245">
        <v>93521733</v>
      </c>
      <c r="I245" t="s">
        <v>14292</v>
      </c>
      <c r="L245" t="s">
        <v>15010</v>
      </c>
      <c r="M245">
        <v>237</v>
      </c>
      <c r="N245" t="s">
        <v>15011</v>
      </c>
    </row>
    <row r="246" spans="1:14">
      <c r="A246" t="s">
        <v>9256</v>
      </c>
      <c r="B246">
        <v>295099</v>
      </c>
      <c r="C246">
        <v>295872</v>
      </c>
      <c r="E246" t="s">
        <v>14290</v>
      </c>
      <c r="F246" t="s">
        <v>15012</v>
      </c>
      <c r="G246" t="s">
        <v>15013</v>
      </c>
      <c r="H246">
        <v>93521734</v>
      </c>
      <c r="I246" t="s">
        <v>14292</v>
      </c>
      <c r="L246" t="s">
        <v>15014</v>
      </c>
      <c r="M246">
        <v>257</v>
      </c>
      <c r="N246" t="s">
        <v>15015</v>
      </c>
    </row>
    <row r="247" spans="1:14">
      <c r="A247" t="s">
        <v>9256</v>
      </c>
      <c r="B247">
        <v>295915</v>
      </c>
      <c r="C247">
        <v>297057</v>
      </c>
      <c r="E247" t="s">
        <v>14290</v>
      </c>
      <c r="F247" t="s">
        <v>14692</v>
      </c>
      <c r="H247">
        <v>93521735</v>
      </c>
      <c r="I247" t="s">
        <v>14292</v>
      </c>
      <c r="L247" t="s">
        <v>15016</v>
      </c>
      <c r="M247">
        <v>380</v>
      </c>
      <c r="N247" t="s">
        <v>15017</v>
      </c>
    </row>
    <row r="248" spans="1:14">
      <c r="A248" t="s">
        <v>9256</v>
      </c>
      <c r="B248">
        <v>297116</v>
      </c>
      <c r="C248">
        <v>297694</v>
      </c>
      <c r="E248" t="s">
        <v>14314</v>
      </c>
      <c r="F248" t="s">
        <v>15018</v>
      </c>
      <c r="H248">
        <v>93521736</v>
      </c>
      <c r="I248" t="s">
        <v>14292</v>
      </c>
      <c r="L248" t="s">
        <v>15019</v>
      </c>
      <c r="M248">
        <v>192</v>
      </c>
      <c r="N248" t="s">
        <v>15020</v>
      </c>
    </row>
    <row r="249" spans="1:14">
      <c r="A249" t="s">
        <v>9256</v>
      </c>
      <c r="B249">
        <v>297694</v>
      </c>
      <c r="C249">
        <v>299061</v>
      </c>
      <c r="E249" t="s">
        <v>14314</v>
      </c>
      <c r="F249" t="s">
        <v>15021</v>
      </c>
      <c r="H249">
        <v>93521737</v>
      </c>
      <c r="I249" t="s">
        <v>14292</v>
      </c>
      <c r="L249" t="s">
        <v>15022</v>
      </c>
      <c r="M249">
        <v>455</v>
      </c>
      <c r="N249" t="s">
        <v>15023</v>
      </c>
    </row>
    <row r="250" spans="1:14">
      <c r="A250" t="s">
        <v>9256</v>
      </c>
      <c r="B250">
        <v>299058</v>
      </c>
      <c r="C250">
        <v>299798</v>
      </c>
      <c r="E250" t="s">
        <v>14314</v>
      </c>
      <c r="F250" t="s">
        <v>15024</v>
      </c>
      <c r="H250">
        <v>93521738</v>
      </c>
      <c r="I250" t="s">
        <v>14292</v>
      </c>
      <c r="L250" t="s">
        <v>15025</v>
      </c>
      <c r="M250">
        <v>246</v>
      </c>
      <c r="N250" t="s">
        <v>15026</v>
      </c>
    </row>
    <row r="251" spans="1:14">
      <c r="A251" t="s">
        <v>9256</v>
      </c>
      <c r="B251">
        <v>299858</v>
      </c>
      <c r="C251">
        <v>300439</v>
      </c>
      <c r="E251" t="s">
        <v>14314</v>
      </c>
      <c r="F251" t="s">
        <v>15027</v>
      </c>
      <c r="H251">
        <v>93521739</v>
      </c>
      <c r="I251" t="s">
        <v>14292</v>
      </c>
      <c r="L251" t="s">
        <v>15028</v>
      </c>
      <c r="M251">
        <v>193</v>
      </c>
      <c r="N251" t="s">
        <v>15029</v>
      </c>
    </row>
    <row r="252" spans="1:14">
      <c r="A252" t="s">
        <v>9256</v>
      </c>
      <c r="B252">
        <v>300512</v>
      </c>
      <c r="C252">
        <v>303739</v>
      </c>
      <c r="E252" t="s">
        <v>14314</v>
      </c>
      <c r="F252" t="s">
        <v>15030</v>
      </c>
      <c r="G252" t="s">
        <v>15031</v>
      </c>
      <c r="H252">
        <v>93521740</v>
      </c>
      <c r="I252" t="s">
        <v>14292</v>
      </c>
      <c r="L252" t="s">
        <v>15032</v>
      </c>
      <c r="M252">
        <v>1075</v>
      </c>
      <c r="N252" t="s">
        <v>15033</v>
      </c>
    </row>
    <row r="253" spans="1:14">
      <c r="A253" t="s">
        <v>9256</v>
      </c>
      <c r="B253">
        <v>303858</v>
      </c>
      <c r="C253">
        <v>305039</v>
      </c>
      <c r="E253" t="s">
        <v>14314</v>
      </c>
      <c r="F253" t="s">
        <v>15034</v>
      </c>
      <c r="G253" t="s">
        <v>15035</v>
      </c>
      <c r="H253">
        <v>93521741</v>
      </c>
      <c r="I253" t="s">
        <v>14292</v>
      </c>
      <c r="L253" t="s">
        <v>15036</v>
      </c>
      <c r="M253">
        <v>393</v>
      </c>
      <c r="N253" t="s">
        <v>15037</v>
      </c>
    </row>
    <row r="254" spans="1:14">
      <c r="A254" t="s">
        <v>9256</v>
      </c>
      <c r="B254">
        <v>305036</v>
      </c>
      <c r="C254">
        <v>306922</v>
      </c>
      <c r="E254" t="s">
        <v>14314</v>
      </c>
      <c r="F254" t="s">
        <v>15038</v>
      </c>
      <c r="H254">
        <v>93521742</v>
      </c>
      <c r="I254" t="s">
        <v>14292</v>
      </c>
      <c r="L254" t="s">
        <v>15039</v>
      </c>
      <c r="M254">
        <v>628</v>
      </c>
      <c r="N254" t="s">
        <v>15040</v>
      </c>
    </row>
    <row r="255" spans="1:14">
      <c r="A255" t="s">
        <v>9256</v>
      </c>
      <c r="B255">
        <v>307273</v>
      </c>
      <c r="C255">
        <v>308433</v>
      </c>
      <c r="E255" t="s">
        <v>14290</v>
      </c>
      <c r="F255" t="s">
        <v>14870</v>
      </c>
      <c r="H255">
        <v>93521743</v>
      </c>
      <c r="I255" t="s">
        <v>14292</v>
      </c>
      <c r="L255" t="s">
        <v>15041</v>
      </c>
      <c r="M255">
        <v>386</v>
      </c>
      <c r="N255" t="s">
        <v>15042</v>
      </c>
    </row>
    <row r="256" spans="1:14">
      <c r="A256" t="s">
        <v>9256</v>
      </c>
      <c r="B256">
        <v>308550</v>
      </c>
      <c r="C256">
        <v>309605</v>
      </c>
      <c r="E256" t="s">
        <v>14314</v>
      </c>
      <c r="F256" t="s">
        <v>15043</v>
      </c>
      <c r="H256">
        <v>93521744</v>
      </c>
      <c r="I256" t="s">
        <v>14292</v>
      </c>
      <c r="L256" t="s">
        <v>15044</v>
      </c>
      <c r="M256">
        <v>351</v>
      </c>
      <c r="N256" t="s">
        <v>15045</v>
      </c>
    </row>
    <row r="257" spans="1:14">
      <c r="A257" t="s">
        <v>9256</v>
      </c>
      <c r="B257">
        <v>309640</v>
      </c>
      <c r="C257">
        <v>310392</v>
      </c>
      <c r="E257" t="s">
        <v>14314</v>
      </c>
      <c r="F257" t="s">
        <v>14335</v>
      </c>
      <c r="H257">
        <v>93521745</v>
      </c>
      <c r="I257" t="s">
        <v>14292</v>
      </c>
      <c r="L257" t="s">
        <v>15046</v>
      </c>
      <c r="M257">
        <v>250</v>
      </c>
      <c r="N257" t="s">
        <v>15047</v>
      </c>
    </row>
    <row r="258" spans="1:14">
      <c r="A258" t="s">
        <v>9256</v>
      </c>
      <c r="B258">
        <v>310472</v>
      </c>
      <c r="C258">
        <v>311413</v>
      </c>
      <c r="E258" t="s">
        <v>14314</v>
      </c>
      <c r="F258" t="s">
        <v>14831</v>
      </c>
      <c r="H258">
        <v>93521746</v>
      </c>
      <c r="I258" t="s">
        <v>14292</v>
      </c>
      <c r="L258" t="s">
        <v>15048</v>
      </c>
      <c r="M258">
        <v>313</v>
      </c>
      <c r="N258" t="s">
        <v>15049</v>
      </c>
    </row>
    <row r="259" spans="1:14">
      <c r="A259" t="s">
        <v>9256</v>
      </c>
      <c r="B259">
        <v>311415</v>
      </c>
      <c r="C259">
        <v>312509</v>
      </c>
      <c r="E259" t="s">
        <v>14314</v>
      </c>
      <c r="F259" t="s">
        <v>14827</v>
      </c>
      <c r="G259" t="s">
        <v>14828</v>
      </c>
      <c r="H259">
        <v>93521747</v>
      </c>
      <c r="I259" t="s">
        <v>14292</v>
      </c>
      <c r="L259" t="s">
        <v>15050</v>
      </c>
      <c r="M259">
        <v>364</v>
      </c>
      <c r="N259" t="s">
        <v>15051</v>
      </c>
    </row>
    <row r="260" spans="1:14">
      <c r="A260" t="s">
        <v>9256</v>
      </c>
      <c r="B260">
        <v>312565</v>
      </c>
      <c r="C260">
        <v>313464</v>
      </c>
      <c r="E260" t="s">
        <v>14314</v>
      </c>
      <c r="F260" t="s">
        <v>15052</v>
      </c>
      <c r="H260">
        <v>93521748</v>
      </c>
      <c r="I260" t="s">
        <v>14292</v>
      </c>
      <c r="L260" t="s">
        <v>15053</v>
      </c>
      <c r="M260">
        <v>299</v>
      </c>
      <c r="N260" t="s">
        <v>15054</v>
      </c>
    </row>
    <row r="261" spans="1:14">
      <c r="A261" t="s">
        <v>9256</v>
      </c>
      <c r="B261">
        <v>313510</v>
      </c>
      <c r="C261">
        <v>314574</v>
      </c>
      <c r="E261" t="s">
        <v>14314</v>
      </c>
      <c r="F261" t="s">
        <v>14364</v>
      </c>
      <c r="H261">
        <v>93521749</v>
      </c>
      <c r="I261" t="s">
        <v>14292</v>
      </c>
      <c r="L261" t="s">
        <v>15055</v>
      </c>
      <c r="M261">
        <v>354</v>
      </c>
      <c r="N261" t="s">
        <v>15056</v>
      </c>
    </row>
    <row r="262" spans="1:14">
      <c r="A262" t="s">
        <v>9256</v>
      </c>
      <c r="B262">
        <v>314636</v>
      </c>
      <c r="C262">
        <v>315205</v>
      </c>
      <c r="E262" t="s">
        <v>14314</v>
      </c>
      <c r="F262" t="s">
        <v>15057</v>
      </c>
      <c r="H262">
        <v>93521750</v>
      </c>
      <c r="I262" t="s">
        <v>14292</v>
      </c>
      <c r="L262" t="s">
        <v>15058</v>
      </c>
      <c r="M262">
        <v>189</v>
      </c>
      <c r="N262" t="s">
        <v>15059</v>
      </c>
    </row>
    <row r="263" spans="1:14">
      <c r="A263" t="s">
        <v>9256</v>
      </c>
      <c r="B263">
        <v>315207</v>
      </c>
      <c r="C263">
        <v>316196</v>
      </c>
      <c r="E263" t="s">
        <v>14314</v>
      </c>
      <c r="F263" t="s">
        <v>15060</v>
      </c>
      <c r="H263">
        <v>93521751</v>
      </c>
      <c r="I263" t="s">
        <v>14292</v>
      </c>
      <c r="L263" t="s">
        <v>15061</v>
      </c>
      <c r="M263">
        <v>329</v>
      </c>
      <c r="N263" t="s">
        <v>15062</v>
      </c>
    </row>
    <row r="264" spans="1:14">
      <c r="A264" t="s">
        <v>9256</v>
      </c>
      <c r="B264">
        <v>316211</v>
      </c>
      <c r="C264">
        <v>317461</v>
      </c>
      <c r="E264" t="s">
        <v>14314</v>
      </c>
      <c r="F264" t="s">
        <v>15063</v>
      </c>
      <c r="H264">
        <v>93521752</v>
      </c>
      <c r="I264" t="s">
        <v>14292</v>
      </c>
      <c r="L264" t="s">
        <v>15064</v>
      </c>
      <c r="M264">
        <v>416</v>
      </c>
      <c r="N264" t="s">
        <v>15065</v>
      </c>
    </row>
    <row r="265" spans="1:14">
      <c r="A265" t="s">
        <v>9256</v>
      </c>
      <c r="B265">
        <v>317458</v>
      </c>
      <c r="C265">
        <v>318393</v>
      </c>
      <c r="E265" t="s">
        <v>14314</v>
      </c>
      <c r="F265" t="s">
        <v>15066</v>
      </c>
      <c r="H265">
        <v>93521753</v>
      </c>
      <c r="I265" t="s">
        <v>14292</v>
      </c>
      <c r="L265" t="s">
        <v>15067</v>
      </c>
      <c r="M265">
        <v>311</v>
      </c>
      <c r="N265" t="s">
        <v>15068</v>
      </c>
    </row>
    <row r="266" spans="1:14">
      <c r="A266" t="s">
        <v>9256</v>
      </c>
      <c r="B266">
        <v>318390</v>
      </c>
      <c r="C266">
        <v>319373</v>
      </c>
      <c r="E266" t="s">
        <v>14314</v>
      </c>
      <c r="F266" t="s">
        <v>14364</v>
      </c>
      <c r="H266">
        <v>93521754</v>
      </c>
      <c r="I266" t="s">
        <v>14292</v>
      </c>
      <c r="L266" t="s">
        <v>15069</v>
      </c>
      <c r="M266">
        <v>327</v>
      </c>
      <c r="N266" t="s">
        <v>15070</v>
      </c>
    </row>
    <row r="267" spans="1:14">
      <c r="A267" t="s">
        <v>9256</v>
      </c>
      <c r="B267">
        <v>319418</v>
      </c>
      <c r="C267">
        <v>320614</v>
      </c>
      <c r="E267" t="s">
        <v>14314</v>
      </c>
      <c r="F267" t="s">
        <v>15071</v>
      </c>
      <c r="H267">
        <v>93521755</v>
      </c>
      <c r="I267" t="s">
        <v>14292</v>
      </c>
      <c r="L267" t="s">
        <v>15072</v>
      </c>
      <c r="M267">
        <v>398</v>
      </c>
      <c r="N267" t="s">
        <v>15073</v>
      </c>
    </row>
    <row r="268" spans="1:14">
      <c r="A268" t="s">
        <v>9256</v>
      </c>
      <c r="B268">
        <v>320741</v>
      </c>
      <c r="C268">
        <v>321526</v>
      </c>
      <c r="E268" t="s">
        <v>14314</v>
      </c>
      <c r="F268" t="s">
        <v>15074</v>
      </c>
      <c r="H268">
        <v>93521756</v>
      </c>
      <c r="I268" t="s">
        <v>14292</v>
      </c>
      <c r="L268" t="s">
        <v>15075</v>
      </c>
      <c r="M268">
        <v>261</v>
      </c>
      <c r="N268" t="s">
        <v>15076</v>
      </c>
    </row>
    <row r="269" spans="1:14">
      <c r="A269" t="s">
        <v>9256</v>
      </c>
      <c r="B269">
        <v>321534</v>
      </c>
      <c r="C269">
        <v>322685</v>
      </c>
      <c r="E269" t="s">
        <v>14314</v>
      </c>
      <c r="F269" t="s">
        <v>15077</v>
      </c>
      <c r="G269" t="s">
        <v>15078</v>
      </c>
      <c r="H269">
        <v>93521757</v>
      </c>
      <c r="I269" t="s">
        <v>14292</v>
      </c>
      <c r="L269" t="s">
        <v>15079</v>
      </c>
      <c r="M269">
        <v>383</v>
      </c>
      <c r="N269" t="s">
        <v>15080</v>
      </c>
    </row>
    <row r="270" spans="1:14">
      <c r="A270" t="s">
        <v>9256</v>
      </c>
      <c r="B270">
        <v>322717</v>
      </c>
      <c r="C270">
        <v>323031</v>
      </c>
      <c r="E270" t="s">
        <v>14314</v>
      </c>
      <c r="F270" t="s">
        <v>15081</v>
      </c>
      <c r="H270">
        <v>93521758</v>
      </c>
      <c r="I270" t="s">
        <v>14292</v>
      </c>
      <c r="L270" t="s">
        <v>15082</v>
      </c>
      <c r="M270">
        <v>104</v>
      </c>
      <c r="N270" t="s">
        <v>15083</v>
      </c>
    </row>
    <row r="271" spans="1:14">
      <c r="A271" t="s">
        <v>9256</v>
      </c>
      <c r="B271">
        <v>323280</v>
      </c>
      <c r="C271">
        <v>324455</v>
      </c>
      <c r="E271" t="s">
        <v>14314</v>
      </c>
      <c r="F271" t="s">
        <v>14329</v>
      </c>
      <c r="H271">
        <v>93521759</v>
      </c>
      <c r="I271" t="s">
        <v>14292</v>
      </c>
      <c r="L271" t="s">
        <v>15084</v>
      </c>
      <c r="M271">
        <v>391</v>
      </c>
      <c r="N271" t="s">
        <v>15085</v>
      </c>
    </row>
    <row r="272" spans="1:14">
      <c r="A272" t="s">
        <v>9256</v>
      </c>
      <c r="B272">
        <v>324457</v>
      </c>
      <c r="C272">
        <v>325572</v>
      </c>
      <c r="E272" t="s">
        <v>14314</v>
      </c>
      <c r="F272" t="s">
        <v>14332</v>
      </c>
      <c r="H272">
        <v>93521760</v>
      </c>
      <c r="I272" t="s">
        <v>14292</v>
      </c>
      <c r="L272" t="s">
        <v>15086</v>
      </c>
      <c r="M272">
        <v>371</v>
      </c>
      <c r="N272" t="s">
        <v>15087</v>
      </c>
    </row>
    <row r="273" spans="1:14">
      <c r="A273" t="s">
        <v>9256</v>
      </c>
      <c r="B273">
        <v>325565</v>
      </c>
      <c r="C273">
        <v>327109</v>
      </c>
      <c r="E273" t="s">
        <v>14314</v>
      </c>
      <c r="F273" t="s">
        <v>14326</v>
      </c>
      <c r="H273">
        <v>93521761</v>
      </c>
      <c r="I273" t="s">
        <v>14292</v>
      </c>
      <c r="L273" t="s">
        <v>15088</v>
      </c>
      <c r="M273">
        <v>514</v>
      </c>
      <c r="N273" t="s">
        <v>15089</v>
      </c>
    </row>
    <row r="274" spans="1:14">
      <c r="A274" t="s">
        <v>9256</v>
      </c>
      <c r="B274">
        <v>327277</v>
      </c>
      <c r="C274">
        <v>327768</v>
      </c>
      <c r="E274" t="s">
        <v>14314</v>
      </c>
      <c r="F274" t="s">
        <v>14291</v>
      </c>
      <c r="H274">
        <v>93521762</v>
      </c>
      <c r="I274" t="s">
        <v>14292</v>
      </c>
      <c r="L274" t="s">
        <v>15090</v>
      </c>
      <c r="M274">
        <v>163</v>
      </c>
      <c r="N274" t="s">
        <v>15091</v>
      </c>
    </row>
    <row r="275" spans="1:14">
      <c r="A275" t="s">
        <v>9256</v>
      </c>
      <c r="B275">
        <v>327786</v>
      </c>
      <c r="C275">
        <v>327923</v>
      </c>
      <c r="E275" t="s">
        <v>14290</v>
      </c>
      <c r="F275" t="s">
        <v>14291</v>
      </c>
      <c r="H275">
        <v>93521763</v>
      </c>
      <c r="I275" t="s">
        <v>14292</v>
      </c>
      <c r="L275" t="s">
        <v>15092</v>
      </c>
      <c r="M275">
        <v>45</v>
      </c>
      <c r="N275" t="s">
        <v>15093</v>
      </c>
    </row>
    <row r="276" spans="1:14">
      <c r="A276" t="s">
        <v>9256</v>
      </c>
      <c r="B276">
        <v>327952</v>
      </c>
      <c r="C276">
        <v>328521</v>
      </c>
      <c r="E276" t="s">
        <v>14290</v>
      </c>
      <c r="F276" t="s">
        <v>15094</v>
      </c>
      <c r="H276">
        <v>93521764</v>
      </c>
      <c r="I276" t="s">
        <v>14292</v>
      </c>
      <c r="L276" t="s">
        <v>15095</v>
      </c>
      <c r="M276">
        <v>189</v>
      </c>
      <c r="N276" t="s">
        <v>15096</v>
      </c>
    </row>
    <row r="277" spans="1:14">
      <c r="A277" t="s">
        <v>9256</v>
      </c>
      <c r="B277">
        <v>328583</v>
      </c>
      <c r="C277">
        <v>330388</v>
      </c>
      <c r="E277" t="s">
        <v>14290</v>
      </c>
      <c r="F277" t="s">
        <v>15097</v>
      </c>
      <c r="H277">
        <v>93521765</v>
      </c>
      <c r="I277" t="s">
        <v>14292</v>
      </c>
      <c r="L277" t="s">
        <v>15098</v>
      </c>
      <c r="M277">
        <v>601</v>
      </c>
      <c r="N277" t="s">
        <v>15099</v>
      </c>
    </row>
    <row r="278" spans="1:14">
      <c r="A278" t="s">
        <v>9256</v>
      </c>
      <c r="B278">
        <v>330507</v>
      </c>
      <c r="C278">
        <v>330713</v>
      </c>
      <c r="E278" t="s">
        <v>14290</v>
      </c>
      <c r="F278" t="s">
        <v>15100</v>
      </c>
      <c r="H278">
        <v>93521766</v>
      </c>
      <c r="I278" t="s">
        <v>14292</v>
      </c>
      <c r="L278" t="s">
        <v>15101</v>
      </c>
      <c r="M278">
        <v>68</v>
      </c>
      <c r="N278" t="s">
        <v>15102</v>
      </c>
    </row>
    <row r="279" spans="1:14">
      <c r="A279" t="s">
        <v>9256</v>
      </c>
      <c r="B279">
        <v>331019</v>
      </c>
      <c r="C279">
        <v>331480</v>
      </c>
      <c r="E279" t="s">
        <v>14290</v>
      </c>
      <c r="F279" t="s">
        <v>15103</v>
      </c>
      <c r="H279">
        <v>93521767</v>
      </c>
      <c r="I279" t="s">
        <v>14292</v>
      </c>
      <c r="L279" t="s">
        <v>15104</v>
      </c>
      <c r="M279">
        <v>153</v>
      </c>
      <c r="N279" t="s">
        <v>15105</v>
      </c>
    </row>
    <row r="280" spans="1:14">
      <c r="A280" t="s">
        <v>9256</v>
      </c>
      <c r="B280">
        <v>331733</v>
      </c>
      <c r="C280">
        <v>331828</v>
      </c>
      <c r="E280" t="s">
        <v>14290</v>
      </c>
      <c r="F280" t="s">
        <v>15106</v>
      </c>
      <c r="H280">
        <v>93521768</v>
      </c>
      <c r="I280" t="s">
        <v>14292</v>
      </c>
      <c r="L280" t="s">
        <v>15107</v>
      </c>
      <c r="M280">
        <v>31</v>
      </c>
      <c r="N280" t="s">
        <v>15108</v>
      </c>
    </row>
    <row r="281" spans="1:14">
      <c r="A281" t="s">
        <v>9256</v>
      </c>
      <c r="B281">
        <v>331861</v>
      </c>
      <c r="C281">
        <v>332307</v>
      </c>
      <c r="E281" t="s">
        <v>14290</v>
      </c>
      <c r="F281" t="s">
        <v>14487</v>
      </c>
      <c r="H281">
        <v>93521769</v>
      </c>
      <c r="I281" t="s">
        <v>14292</v>
      </c>
      <c r="L281" t="s">
        <v>15109</v>
      </c>
      <c r="M281">
        <v>148</v>
      </c>
      <c r="N281" t="s">
        <v>15110</v>
      </c>
    </row>
    <row r="282" spans="1:14">
      <c r="A282" t="s">
        <v>9256</v>
      </c>
      <c r="B282">
        <v>332357</v>
      </c>
      <c r="C282">
        <v>333496</v>
      </c>
      <c r="E282" t="s">
        <v>14314</v>
      </c>
      <c r="F282" t="s">
        <v>15111</v>
      </c>
      <c r="H282">
        <v>93521770</v>
      </c>
      <c r="I282" t="s">
        <v>14292</v>
      </c>
      <c r="L282" t="s">
        <v>15112</v>
      </c>
      <c r="M282">
        <v>379</v>
      </c>
      <c r="N282" t="s">
        <v>15113</v>
      </c>
    </row>
    <row r="283" spans="1:14">
      <c r="A283" t="s">
        <v>9256</v>
      </c>
      <c r="B283">
        <v>333511</v>
      </c>
      <c r="C283">
        <v>335976</v>
      </c>
      <c r="E283" t="s">
        <v>14314</v>
      </c>
      <c r="F283" t="s">
        <v>14384</v>
      </c>
      <c r="H283">
        <v>93521771</v>
      </c>
      <c r="I283" t="s">
        <v>14292</v>
      </c>
      <c r="L283" t="s">
        <v>15114</v>
      </c>
      <c r="M283">
        <v>821</v>
      </c>
      <c r="N283" t="s">
        <v>15115</v>
      </c>
    </row>
    <row r="284" spans="1:14">
      <c r="A284" t="s">
        <v>9256</v>
      </c>
      <c r="B284">
        <v>336014</v>
      </c>
      <c r="C284">
        <v>336811</v>
      </c>
      <c r="E284" t="s">
        <v>14314</v>
      </c>
      <c r="F284" t="s">
        <v>14381</v>
      </c>
      <c r="H284">
        <v>93521772</v>
      </c>
      <c r="I284" t="s">
        <v>14292</v>
      </c>
      <c r="L284" t="s">
        <v>15116</v>
      </c>
      <c r="M284">
        <v>265</v>
      </c>
      <c r="N284" t="s">
        <v>15117</v>
      </c>
    </row>
    <row r="285" spans="1:14">
      <c r="A285" t="s">
        <v>9256</v>
      </c>
      <c r="B285">
        <v>336859</v>
      </c>
      <c r="C285">
        <v>337287</v>
      </c>
      <c r="E285" t="s">
        <v>14314</v>
      </c>
      <c r="F285" t="s">
        <v>14323</v>
      </c>
      <c r="H285">
        <v>93521773</v>
      </c>
      <c r="I285" t="s">
        <v>14292</v>
      </c>
      <c r="L285" t="s">
        <v>15118</v>
      </c>
      <c r="M285">
        <v>142</v>
      </c>
      <c r="N285" t="s">
        <v>15119</v>
      </c>
    </row>
    <row r="286" spans="1:14">
      <c r="A286" t="s">
        <v>9256</v>
      </c>
      <c r="B286">
        <v>337461</v>
      </c>
      <c r="C286">
        <v>337865</v>
      </c>
      <c r="E286" t="s">
        <v>14314</v>
      </c>
      <c r="F286" t="s">
        <v>14291</v>
      </c>
      <c r="H286">
        <v>93521774</v>
      </c>
      <c r="I286" t="s">
        <v>14292</v>
      </c>
      <c r="L286" t="s">
        <v>15120</v>
      </c>
      <c r="M286">
        <v>134</v>
      </c>
      <c r="N286" t="s">
        <v>15121</v>
      </c>
    </row>
    <row r="287" spans="1:14">
      <c r="A287" t="s">
        <v>9256</v>
      </c>
      <c r="B287">
        <v>337871</v>
      </c>
      <c r="C287">
        <v>338983</v>
      </c>
      <c r="E287" t="s">
        <v>14314</v>
      </c>
      <c r="F287" t="s">
        <v>15122</v>
      </c>
      <c r="G287" t="s">
        <v>15123</v>
      </c>
      <c r="H287">
        <v>93521775</v>
      </c>
      <c r="I287" t="s">
        <v>14292</v>
      </c>
      <c r="L287" t="s">
        <v>15124</v>
      </c>
      <c r="M287">
        <v>370</v>
      </c>
      <c r="N287" t="s">
        <v>15125</v>
      </c>
    </row>
    <row r="288" spans="1:14">
      <c r="A288" t="s">
        <v>9256</v>
      </c>
      <c r="B288">
        <v>339512</v>
      </c>
      <c r="C288">
        <v>340444</v>
      </c>
      <c r="E288" t="s">
        <v>14314</v>
      </c>
      <c r="F288" t="s">
        <v>15126</v>
      </c>
      <c r="H288">
        <v>93521776</v>
      </c>
      <c r="I288" t="s">
        <v>14292</v>
      </c>
      <c r="L288" t="s">
        <v>15127</v>
      </c>
      <c r="M288">
        <v>310</v>
      </c>
      <c r="N288" t="s">
        <v>15128</v>
      </c>
    </row>
    <row r="289" spans="1:14">
      <c r="A289" t="s">
        <v>9256</v>
      </c>
      <c r="B289">
        <v>340562</v>
      </c>
      <c r="C289">
        <v>342721</v>
      </c>
      <c r="E289" t="s">
        <v>14314</v>
      </c>
      <c r="F289" t="s">
        <v>15129</v>
      </c>
      <c r="H289">
        <v>93521777</v>
      </c>
      <c r="I289" t="s">
        <v>14292</v>
      </c>
      <c r="L289" t="s">
        <v>15130</v>
      </c>
      <c r="M289">
        <v>719</v>
      </c>
      <c r="N289" t="s">
        <v>15131</v>
      </c>
    </row>
    <row r="290" spans="1:14">
      <c r="A290" t="s">
        <v>9256</v>
      </c>
      <c r="B290">
        <v>342772</v>
      </c>
      <c r="C290">
        <v>344892</v>
      </c>
      <c r="E290" t="s">
        <v>14314</v>
      </c>
      <c r="F290" t="s">
        <v>15129</v>
      </c>
      <c r="H290">
        <v>93521778</v>
      </c>
      <c r="I290" t="s">
        <v>14292</v>
      </c>
      <c r="L290" t="s">
        <v>15132</v>
      </c>
      <c r="M290">
        <v>706</v>
      </c>
      <c r="N290" t="s">
        <v>15133</v>
      </c>
    </row>
    <row r="291" spans="1:14">
      <c r="A291" t="s">
        <v>9256</v>
      </c>
      <c r="B291">
        <v>345057</v>
      </c>
      <c r="C291">
        <v>345236</v>
      </c>
      <c r="E291" t="s">
        <v>14314</v>
      </c>
      <c r="F291" t="s">
        <v>14291</v>
      </c>
      <c r="H291">
        <v>93521779</v>
      </c>
      <c r="I291" t="s">
        <v>14292</v>
      </c>
      <c r="L291" t="s">
        <v>15134</v>
      </c>
      <c r="M291">
        <v>59</v>
      </c>
      <c r="N291" t="s">
        <v>15135</v>
      </c>
    </row>
    <row r="292" spans="1:14">
      <c r="A292" t="s">
        <v>9256</v>
      </c>
      <c r="B292">
        <v>345345</v>
      </c>
      <c r="C292">
        <v>346292</v>
      </c>
      <c r="E292" t="s">
        <v>14290</v>
      </c>
      <c r="F292" t="s">
        <v>15136</v>
      </c>
      <c r="H292">
        <v>93521780</v>
      </c>
      <c r="I292" t="s">
        <v>14292</v>
      </c>
      <c r="L292" t="s">
        <v>15137</v>
      </c>
      <c r="M292">
        <v>315</v>
      </c>
      <c r="N292" t="s">
        <v>15138</v>
      </c>
    </row>
    <row r="293" spans="1:14">
      <c r="A293" t="s">
        <v>9256</v>
      </c>
      <c r="B293">
        <v>346359</v>
      </c>
      <c r="C293">
        <v>347543</v>
      </c>
      <c r="E293" t="s">
        <v>14314</v>
      </c>
      <c r="F293" t="s">
        <v>14545</v>
      </c>
      <c r="H293">
        <v>93521781</v>
      </c>
      <c r="I293" t="s">
        <v>14292</v>
      </c>
      <c r="L293" t="s">
        <v>15139</v>
      </c>
      <c r="M293">
        <v>394</v>
      </c>
      <c r="N293" t="s">
        <v>15140</v>
      </c>
    </row>
    <row r="294" spans="1:14">
      <c r="A294" t="s">
        <v>9256</v>
      </c>
      <c r="B294">
        <v>347549</v>
      </c>
      <c r="C294">
        <v>350632</v>
      </c>
      <c r="E294" t="s">
        <v>14314</v>
      </c>
      <c r="F294" t="s">
        <v>14548</v>
      </c>
      <c r="H294">
        <v>93521782</v>
      </c>
      <c r="I294" t="s">
        <v>14292</v>
      </c>
      <c r="L294" t="s">
        <v>15141</v>
      </c>
      <c r="M294">
        <v>1027</v>
      </c>
      <c r="N294" t="s">
        <v>15142</v>
      </c>
    </row>
    <row r="295" spans="1:14">
      <c r="A295" t="s">
        <v>9256</v>
      </c>
      <c r="B295">
        <v>350648</v>
      </c>
      <c r="C295">
        <v>351877</v>
      </c>
      <c r="E295" t="s">
        <v>14314</v>
      </c>
      <c r="F295" t="s">
        <v>14503</v>
      </c>
      <c r="H295">
        <v>93521783</v>
      </c>
      <c r="I295" t="s">
        <v>14292</v>
      </c>
      <c r="L295" t="s">
        <v>15143</v>
      </c>
      <c r="M295">
        <v>409</v>
      </c>
      <c r="N295" t="s">
        <v>15144</v>
      </c>
    </row>
    <row r="296" spans="1:14">
      <c r="A296" t="s">
        <v>9256</v>
      </c>
      <c r="B296">
        <v>351956</v>
      </c>
      <c r="C296">
        <v>352360</v>
      </c>
      <c r="E296" t="s">
        <v>14314</v>
      </c>
      <c r="F296" t="s">
        <v>15145</v>
      </c>
      <c r="H296">
        <v>93521784</v>
      </c>
      <c r="I296" t="s">
        <v>14292</v>
      </c>
      <c r="L296" t="s">
        <v>15146</v>
      </c>
      <c r="M296">
        <v>134</v>
      </c>
      <c r="N296" t="s">
        <v>15147</v>
      </c>
    </row>
    <row r="297" spans="1:14">
      <c r="A297" t="s">
        <v>9256</v>
      </c>
      <c r="B297">
        <v>352431</v>
      </c>
      <c r="C297">
        <v>352850</v>
      </c>
      <c r="E297" t="s">
        <v>14290</v>
      </c>
      <c r="F297" t="s">
        <v>14291</v>
      </c>
      <c r="H297">
        <v>93521785</v>
      </c>
      <c r="I297" t="s">
        <v>14292</v>
      </c>
      <c r="L297" t="s">
        <v>15148</v>
      </c>
      <c r="M297">
        <v>139</v>
      </c>
      <c r="N297" t="s">
        <v>15149</v>
      </c>
    </row>
    <row r="298" spans="1:14">
      <c r="A298" t="s">
        <v>9256</v>
      </c>
      <c r="B298">
        <v>352907</v>
      </c>
      <c r="C298">
        <v>353677</v>
      </c>
      <c r="E298" t="s">
        <v>14314</v>
      </c>
      <c r="F298" t="s">
        <v>15150</v>
      </c>
      <c r="H298">
        <v>93521786</v>
      </c>
      <c r="I298" t="s">
        <v>14292</v>
      </c>
      <c r="L298" t="s">
        <v>15151</v>
      </c>
      <c r="M298">
        <v>256</v>
      </c>
      <c r="N298" t="s">
        <v>15152</v>
      </c>
    </row>
    <row r="299" spans="1:14">
      <c r="A299" t="s">
        <v>9256</v>
      </c>
      <c r="B299">
        <v>353927</v>
      </c>
      <c r="C299">
        <v>354451</v>
      </c>
      <c r="E299" t="s">
        <v>14314</v>
      </c>
      <c r="F299" t="s">
        <v>15153</v>
      </c>
      <c r="H299">
        <v>93521787</v>
      </c>
      <c r="I299" t="s">
        <v>14292</v>
      </c>
      <c r="L299" t="s">
        <v>15154</v>
      </c>
      <c r="M299">
        <v>174</v>
      </c>
      <c r="N299" t="s">
        <v>15155</v>
      </c>
    </row>
    <row r="300" spans="1:14">
      <c r="A300" t="s">
        <v>9256</v>
      </c>
      <c r="B300">
        <v>354435</v>
      </c>
      <c r="C300">
        <v>355736</v>
      </c>
      <c r="E300" t="s">
        <v>14314</v>
      </c>
      <c r="F300" t="s">
        <v>15156</v>
      </c>
      <c r="H300">
        <v>93521788</v>
      </c>
      <c r="I300" t="s">
        <v>14292</v>
      </c>
      <c r="L300" t="s">
        <v>15157</v>
      </c>
      <c r="M300">
        <v>433</v>
      </c>
      <c r="N300" t="s">
        <v>15158</v>
      </c>
    </row>
    <row r="301" spans="1:14">
      <c r="A301" t="s">
        <v>9256</v>
      </c>
      <c r="B301">
        <v>355733</v>
      </c>
      <c r="C301">
        <v>356137</v>
      </c>
      <c r="E301" t="s">
        <v>14314</v>
      </c>
      <c r="F301" t="s">
        <v>14291</v>
      </c>
      <c r="H301">
        <v>93521789</v>
      </c>
      <c r="I301" t="s">
        <v>14292</v>
      </c>
      <c r="L301" t="s">
        <v>15159</v>
      </c>
      <c r="M301">
        <v>134</v>
      </c>
      <c r="N301" t="s">
        <v>15160</v>
      </c>
    </row>
    <row r="302" spans="1:14">
      <c r="A302" t="s">
        <v>9256</v>
      </c>
      <c r="B302">
        <v>356223</v>
      </c>
      <c r="C302">
        <v>356576</v>
      </c>
      <c r="E302" t="s">
        <v>14314</v>
      </c>
      <c r="F302" t="s">
        <v>15161</v>
      </c>
      <c r="H302">
        <v>93525921</v>
      </c>
      <c r="I302" t="s">
        <v>14292</v>
      </c>
      <c r="L302" t="s">
        <v>15162</v>
      </c>
      <c r="M302">
        <v>117</v>
      </c>
      <c r="N302" t="s">
        <v>15163</v>
      </c>
    </row>
    <row r="303" spans="1:14">
      <c r="A303" t="s">
        <v>9256</v>
      </c>
      <c r="B303">
        <v>356776</v>
      </c>
      <c r="C303">
        <v>357384</v>
      </c>
      <c r="E303" t="s">
        <v>14314</v>
      </c>
      <c r="F303" t="s">
        <v>14291</v>
      </c>
      <c r="H303">
        <v>93525922</v>
      </c>
      <c r="I303" t="s">
        <v>14292</v>
      </c>
      <c r="L303" t="s">
        <v>15164</v>
      </c>
      <c r="M303">
        <v>202</v>
      </c>
      <c r="N303" t="s">
        <v>15165</v>
      </c>
    </row>
    <row r="304" spans="1:14">
      <c r="A304" t="s">
        <v>9256</v>
      </c>
      <c r="B304">
        <v>357443</v>
      </c>
      <c r="C304">
        <v>358090</v>
      </c>
      <c r="E304" t="s">
        <v>14314</v>
      </c>
      <c r="F304" t="s">
        <v>15166</v>
      </c>
      <c r="H304">
        <v>93521790</v>
      </c>
      <c r="I304" t="s">
        <v>14292</v>
      </c>
      <c r="L304" t="s">
        <v>15167</v>
      </c>
      <c r="M304">
        <v>215</v>
      </c>
      <c r="N304" t="s">
        <v>15168</v>
      </c>
    </row>
    <row r="305" spans="1:14">
      <c r="A305" t="s">
        <v>9256</v>
      </c>
      <c r="B305">
        <v>358236</v>
      </c>
      <c r="C305">
        <v>360776</v>
      </c>
      <c r="E305" t="s">
        <v>14290</v>
      </c>
      <c r="F305" t="s">
        <v>14621</v>
      </c>
      <c r="H305">
        <v>93521791</v>
      </c>
      <c r="I305" t="s">
        <v>14292</v>
      </c>
      <c r="L305" t="s">
        <v>15169</v>
      </c>
      <c r="M305">
        <v>846</v>
      </c>
      <c r="N305" t="s">
        <v>15170</v>
      </c>
    </row>
    <row r="306" spans="1:14">
      <c r="A306" t="s">
        <v>9256</v>
      </c>
      <c r="B306">
        <v>360815</v>
      </c>
      <c r="C306">
        <v>363091</v>
      </c>
      <c r="E306" t="s">
        <v>14314</v>
      </c>
      <c r="F306" t="s">
        <v>14780</v>
      </c>
      <c r="H306">
        <v>93521792</v>
      </c>
      <c r="I306" t="s">
        <v>14292</v>
      </c>
      <c r="L306" t="s">
        <v>15171</v>
      </c>
      <c r="M306">
        <v>758</v>
      </c>
      <c r="N306" t="s">
        <v>15172</v>
      </c>
    </row>
    <row r="307" spans="1:14">
      <c r="A307" t="s">
        <v>9256</v>
      </c>
      <c r="B307">
        <v>363179</v>
      </c>
      <c r="C307">
        <v>365449</v>
      </c>
      <c r="E307" t="s">
        <v>14314</v>
      </c>
      <c r="F307" t="s">
        <v>14780</v>
      </c>
      <c r="H307">
        <v>93521793</v>
      </c>
      <c r="I307" t="s">
        <v>14292</v>
      </c>
      <c r="L307" t="s">
        <v>15173</v>
      </c>
      <c r="M307">
        <v>756</v>
      </c>
      <c r="N307" t="s">
        <v>15174</v>
      </c>
    </row>
    <row r="308" spans="1:14">
      <c r="A308" t="s">
        <v>9256</v>
      </c>
      <c r="B308">
        <v>365459</v>
      </c>
      <c r="C308">
        <v>367813</v>
      </c>
      <c r="E308" t="s">
        <v>14314</v>
      </c>
      <c r="F308" t="s">
        <v>14780</v>
      </c>
      <c r="H308">
        <v>93521794</v>
      </c>
      <c r="I308" t="s">
        <v>14292</v>
      </c>
      <c r="L308" t="s">
        <v>15175</v>
      </c>
      <c r="M308">
        <v>784</v>
      </c>
      <c r="N308" t="s">
        <v>15176</v>
      </c>
    </row>
    <row r="309" spans="1:14">
      <c r="A309" t="s">
        <v>9256</v>
      </c>
      <c r="B309">
        <v>368172</v>
      </c>
      <c r="C309">
        <v>371318</v>
      </c>
      <c r="E309" t="s">
        <v>14290</v>
      </c>
      <c r="F309" t="s">
        <v>14965</v>
      </c>
      <c r="H309">
        <v>93521795</v>
      </c>
      <c r="I309" t="s">
        <v>14292</v>
      </c>
      <c r="L309" t="s">
        <v>15177</v>
      </c>
      <c r="M309">
        <v>1048</v>
      </c>
      <c r="N309" t="s">
        <v>15178</v>
      </c>
    </row>
    <row r="310" spans="1:14">
      <c r="A310" t="s">
        <v>9256</v>
      </c>
      <c r="B310">
        <v>371346</v>
      </c>
      <c r="C310">
        <v>372920</v>
      </c>
      <c r="E310" t="s">
        <v>14290</v>
      </c>
      <c r="F310" t="s">
        <v>15179</v>
      </c>
      <c r="H310">
        <v>93521796</v>
      </c>
      <c r="I310" t="s">
        <v>14292</v>
      </c>
      <c r="L310" t="s">
        <v>15180</v>
      </c>
      <c r="M310">
        <v>524</v>
      </c>
      <c r="N310" t="s">
        <v>15181</v>
      </c>
    </row>
    <row r="311" spans="1:14">
      <c r="A311" t="s">
        <v>9256</v>
      </c>
      <c r="B311">
        <v>374233</v>
      </c>
      <c r="C311">
        <v>375894</v>
      </c>
      <c r="E311" t="s">
        <v>14314</v>
      </c>
      <c r="F311" t="s">
        <v>15182</v>
      </c>
      <c r="H311">
        <v>93521797</v>
      </c>
      <c r="I311" t="s">
        <v>14292</v>
      </c>
      <c r="L311" t="s">
        <v>15183</v>
      </c>
      <c r="M311">
        <v>553</v>
      </c>
      <c r="N311" t="s">
        <v>15184</v>
      </c>
    </row>
    <row r="312" spans="1:14">
      <c r="A312" t="s">
        <v>9256</v>
      </c>
      <c r="B312">
        <v>375879</v>
      </c>
      <c r="C312">
        <v>377924</v>
      </c>
      <c r="E312" t="s">
        <v>14314</v>
      </c>
      <c r="F312" t="s">
        <v>15166</v>
      </c>
      <c r="H312">
        <v>93521798</v>
      </c>
      <c r="I312" t="s">
        <v>14292</v>
      </c>
      <c r="L312" t="s">
        <v>15185</v>
      </c>
      <c r="M312">
        <v>681</v>
      </c>
      <c r="N312" t="s">
        <v>15186</v>
      </c>
    </row>
    <row r="313" spans="1:14">
      <c r="A313" t="s">
        <v>9256</v>
      </c>
      <c r="B313">
        <v>378751</v>
      </c>
      <c r="C313">
        <v>378966</v>
      </c>
      <c r="E313" t="s">
        <v>14290</v>
      </c>
      <c r="F313" t="s">
        <v>14291</v>
      </c>
      <c r="H313">
        <v>93521799</v>
      </c>
      <c r="I313" t="s">
        <v>14292</v>
      </c>
      <c r="L313" t="s">
        <v>15187</v>
      </c>
      <c r="M313">
        <v>71</v>
      </c>
      <c r="N313" t="s">
        <v>15188</v>
      </c>
    </row>
    <row r="314" spans="1:14">
      <c r="A314" t="s">
        <v>9256</v>
      </c>
      <c r="B314">
        <v>378978</v>
      </c>
      <c r="C314">
        <v>379199</v>
      </c>
      <c r="E314" t="s">
        <v>14290</v>
      </c>
      <c r="F314" t="s">
        <v>14291</v>
      </c>
      <c r="H314">
        <v>93521800</v>
      </c>
      <c r="I314" t="s">
        <v>14292</v>
      </c>
      <c r="L314" t="s">
        <v>15189</v>
      </c>
      <c r="M314">
        <v>73</v>
      </c>
      <c r="N314" t="s">
        <v>15190</v>
      </c>
    </row>
    <row r="315" spans="1:14">
      <c r="A315" t="s">
        <v>9256</v>
      </c>
      <c r="B315">
        <v>379212</v>
      </c>
      <c r="C315">
        <v>379622</v>
      </c>
      <c r="E315" t="s">
        <v>14290</v>
      </c>
      <c r="F315" t="s">
        <v>15191</v>
      </c>
      <c r="H315">
        <v>93521801</v>
      </c>
      <c r="I315" t="s">
        <v>14292</v>
      </c>
      <c r="L315" t="s">
        <v>15192</v>
      </c>
      <c r="M315">
        <v>136</v>
      </c>
      <c r="N315" t="s">
        <v>15193</v>
      </c>
    </row>
    <row r="316" spans="1:14">
      <c r="A316" t="s">
        <v>9256</v>
      </c>
      <c r="B316">
        <v>379625</v>
      </c>
      <c r="C316">
        <v>380908</v>
      </c>
      <c r="E316" t="s">
        <v>14290</v>
      </c>
      <c r="F316" t="s">
        <v>15194</v>
      </c>
      <c r="H316">
        <v>93521802</v>
      </c>
      <c r="I316" t="s">
        <v>14292</v>
      </c>
      <c r="L316" t="s">
        <v>15195</v>
      </c>
      <c r="M316">
        <v>427</v>
      </c>
      <c r="N316" t="s">
        <v>15196</v>
      </c>
    </row>
    <row r="317" spans="1:14">
      <c r="A317" t="s">
        <v>9256</v>
      </c>
      <c r="B317">
        <v>380933</v>
      </c>
      <c r="C317">
        <v>381190</v>
      </c>
      <c r="E317" t="s">
        <v>14290</v>
      </c>
      <c r="F317" t="s">
        <v>14291</v>
      </c>
      <c r="H317">
        <v>93521803</v>
      </c>
      <c r="I317" t="s">
        <v>14292</v>
      </c>
      <c r="L317" t="s">
        <v>15197</v>
      </c>
      <c r="M317">
        <v>85</v>
      </c>
      <c r="N317" t="s">
        <v>15198</v>
      </c>
    </row>
    <row r="318" spans="1:14">
      <c r="A318" t="s">
        <v>9256</v>
      </c>
      <c r="B318">
        <v>381211</v>
      </c>
      <c r="C318">
        <v>381444</v>
      </c>
      <c r="E318" t="s">
        <v>14290</v>
      </c>
      <c r="F318" t="s">
        <v>15199</v>
      </c>
      <c r="H318">
        <v>93521804</v>
      </c>
      <c r="I318" t="s">
        <v>14292</v>
      </c>
      <c r="L318" t="s">
        <v>15200</v>
      </c>
      <c r="M318">
        <v>77</v>
      </c>
      <c r="N318" t="s">
        <v>15201</v>
      </c>
    </row>
    <row r="319" spans="1:14">
      <c r="A319" t="s">
        <v>9256</v>
      </c>
      <c r="B319">
        <v>381441</v>
      </c>
      <c r="C319">
        <v>381689</v>
      </c>
      <c r="E319" t="s">
        <v>14290</v>
      </c>
      <c r="F319" t="s">
        <v>15202</v>
      </c>
      <c r="H319">
        <v>93521805</v>
      </c>
      <c r="I319" t="s">
        <v>14292</v>
      </c>
      <c r="L319" t="s">
        <v>15203</v>
      </c>
      <c r="M319">
        <v>82</v>
      </c>
      <c r="N319" t="s">
        <v>15204</v>
      </c>
    </row>
    <row r="320" spans="1:14">
      <c r="A320" t="s">
        <v>9256</v>
      </c>
      <c r="B320">
        <v>381743</v>
      </c>
      <c r="C320">
        <v>382051</v>
      </c>
      <c r="E320" t="s">
        <v>14290</v>
      </c>
      <c r="F320" t="s">
        <v>14291</v>
      </c>
      <c r="H320">
        <v>93521806</v>
      </c>
      <c r="I320" t="s">
        <v>14292</v>
      </c>
      <c r="L320" t="s">
        <v>15205</v>
      </c>
      <c r="M320">
        <v>102</v>
      </c>
      <c r="N320" t="s">
        <v>15206</v>
      </c>
    </row>
    <row r="321" spans="1:14">
      <c r="A321" t="s">
        <v>9256</v>
      </c>
      <c r="B321">
        <v>382183</v>
      </c>
      <c r="C321">
        <v>383292</v>
      </c>
      <c r="E321" t="s">
        <v>14314</v>
      </c>
      <c r="F321" t="s">
        <v>15207</v>
      </c>
      <c r="H321">
        <v>93521807</v>
      </c>
      <c r="I321" t="s">
        <v>14292</v>
      </c>
      <c r="L321" t="s">
        <v>15208</v>
      </c>
      <c r="M321">
        <v>369</v>
      </c>
      <c r="N321" t="s">
        <v>15209</v>
      </c>
    </row>
    <row r="322" spans="1:14">
      <c r="A322" t="s">
        <v>9256</v>
      </c>
      <c r="B322">
        <v>383379</v>
      </c>
      <c r="C322">
        <v>383906</v>
      </c>
      <c r="E322" t="s">
        <v>14314</v>
      </c>
      <c r="F322" t="s">
        <v>15210</v>
      </c>
      <c r="H322">
        <v>93521808</v>
      </c>
      <c r="I322" t="s">
        <v>14292</v>
      </c>
      <c r="L322" t="s">
        <v>15211</v>
      </c>
      <c r="M322">
        <v>175</v>
      </c>
      <c r="N322" t="s">
        <v>15212</v>
      </c>
    </row>
    <row r="323" spans="1:14">
      <c r="A323" t="s">
        <v>9256</v>
      </c>
      <c r="B323">
        <v>383903</v>
      </c>
      <c r="C323">
        <v>384403</v>
      </c>
      <c r="E323" t="s">
        <v>14314</v>
      </c>
      <c r="F323" t="s">
        <v>15213</v>
      </c>
      <c r="H323">
        <v>93521809</v>
      </c>
      <c r="I323" t="s">
        <v>14292</v>
      </c>
      <c r="L323" t="s">
        <v>15214</v>
      </c>
      <c r="M323">
        <v>166</v>
      </c>
      <c r="N323" t="s">
        <v>15215</v>
      </c>
    </row>
    <row r="324" spans="1:14">
      <c r="A324" t="s">
        <v>9256</v>
      </c>
      <c r="B324">
        <v>384422</v>
      </c>
      <c r="C324">
        <v>385300</v>
      </c>
      <c r="E324" t="s">
        <v>14314</v>
      </c>
      <c r="F324" t="s">
        <v>15216</v>
      </c>
      <c r="H324">
        <v>93521810</v>
      </c>
      <c r="I324" t="s">
        <v>14292</v>
      </c>
      <c r="L324" t="s">
        <v>15217</v>
      </c>
      <c r="M324">
        <v>292</v>
      </c>
      <c r="N324" t="s">
        <v>15218</v>
      </c>
    </row>
    <row r="325" spans="1:14">
      <c r="A325" t="s">
        <v>9256</v>
      </c>
      <c r="B325">
        <v>385309</v>
      </c>
      <c r="C325">
        <v>385884</v>
      </c>
      <c r="E325" t="s">
        <v>14314</v>
      </c>
      <c r="F325" t="s">
        <v>15219</v>
      </c>
      <c r="H325">
        <v>93521811</v>
      </c>
      <c r="I325" t="s">
        <v>14292</v>
      </c>
      <c r="L325" t="s">
        <v>15220</v>
      </c>
      <c r="M325">
        <v>191</v>
      </c>
      <c r="N325" t="s">
        <v>15221</v>
      </c>
    </row>
    <row r="326" spans="1:14">
      <c r="A326" t="s">
        <v>9256</v>
      </c>
      <c r="B326">
        <v>385887</v>
      </c>
      <c r="C326">
        <v>386873</v>
      </c>
      <c r="E326" t="s">
        <v>14314</v>
      </c>
      <c r="F326" t="s">
        <v>15222</v>
      </c>
      <c r="G326" t="s">
        <v>15223</v>
      </c>
      <c r="H326">
        <v>93521812</v>
      </c>
      <c r="I326" t="s">
        <v>14292</v>
      </c>
      <c r="L326" t="s">
        <v>15224</v>
      </c>
      <c r="M326">
        <v>328</v>
      </c>
      <c r="N326" t="s">
        <v>15225</v>
      </c>
    </row>
    <row r="327" spans="1:14">
      <c r="A327" t="s">
        <v>9256</v>
      </c>
      <c r="B327">
        <v>386942</v>
      </c>
      <c r="C327">
        <v>388297</v>
      </c>
      <c r="E327" t="s">
        <v>14314</v>
      </c>
      <c r="F327" t="s">
        <v>15226</v>
      </c>
      <c r="G327" t="s">
        <v>15227</v>
      </c>
      <c r="H327">
        <v>93521813</v>
      </c>
      <c r="I327" t="s">
        <v>14292</v>
      </c>
      <c r="L327" t="s">
        <v>15228</v>
      </c>
      <c r="M327">
        <v>451</v>
      </c>
      <c r="N327" t="s">
        <v>15229</v>
      </c>
    </row>
    <row r="328" spans="1:14">
      <c r="A328" t="s">
        <v>9256</v>
      </c>
      <c r="B328">
        <v>388278</v>
      </c>
      <c r="C328">
        <v>388586</v>
      </c>
      <c r="E328" t="s">
        <v>14314</v>
      </c>
      <c r="F328" t="s">
        <v>15230</v>
      </c>
      <c r="H328">
        <v>93521814</v>
      </c>
      <c r="I328" t="s">
        <v>14292</v>
      </c>
      <c r="L328" t="s">
        <v>15231</v>
      </c>
      <c r="M328">
        <v>102</v>
      </c>
      <c r="N328" t="s">
        <v>15232</v>
      </c>
    </row>
    <row r="329" spans="1:14">
      <c r="A329" t="s">
        <v>9256</v>
      </c>
      <c r="B329">
        <v>388592</v>
      </c>
      <c r="C329">
        <v>389215</v>
      </c>
      <c r="E329" t="s">
        <v>14314</v>
      </c>
      <c r="F329" t="s">
        <v>15233</v>
      </c>
      <c r="G329" t="s">
        <v>15234</v>
      </c>
      <c r="H329">
        <v>93521815</v>
      </c>
      <c r="I329" t="s">
        <v>14292</v>
      </c>
      <c r="L329" t="s">
        <v>15235</v>
      </c>
      <c r="M329">
        <v>207</v>
      </c>
      <c r="N329" t="s">
        <v>15236</v>
      </c>
    </row>
    <row r="330" spans="1:14">
      <c r="A330" t="s">
        <v>9256</v>
      </c>
      <c r="B330">
        <v>389247</v>
      </c>
      <c r="C330">
        <v>390251</v>
      </c>
      <c r="E330" t="s">
        <v>14314</v>
      </c>
      <c r="F330" t="s">
        <v>15237</v>
      </c>
      <c r="G330" t="s">
        <v>15238</v>
      </c>
      <c r="H330">
        <v>93521816</v>
      </c>
      <c r="I330" t="s">
        <v>14292</v>
      </c>
      <c r="L330" t="s">
        <v>15239</v>
      </c>
      <c r="M330">
        <v>334</v>
      </c>
      <c r="N330" t="s">
        <v>15240</v>
      </c>
    </row>
    <row r="331" spans="1:14">
      <c r="A331" t="s">
        <v>9256</v>
      </c>
      <c r="B331">
        <v>390255</v>
      </c>
      <c r="C331">
        <v>390884</v>
      </c>
      <c r="E331" t="s">
        <v>14314</v>
      </c>
      <c r="F331" t="s">
        <v>15241</v>
      </c>
      <c r="H331">
        <v>93521817</v>
      </c>
      <c r="I331" t="s">
        <v>14292</v>
      </c>
      <c r="L331" t="s">
        <v>15242</v>
      </c>
      <c r="M331">
        <v>209</v>
      </c>
      <c r="N331" t="s">
        <v>15243</v>
      </c>
    </row>
    <row r="332" spans="1:14">
      <c r="A332" t="s">
        <v>9256</v>
      </c>
      <c r="B332">
        <v>390911</v>
      </c>
      <c r="C332">
        <v>391294</v>
      </c>
      <c r="E332" t="s">
        <v>14314</v>
      </c>
      <c r="F332" t="s">
        <v>15244</v>
      </c>
      <c r="H332">
        <v>93521818</v>
      </c>
      <c r="I332" t="s">
        <v>14292</v>
      </c>
      <c r="L332" t="s">
        <v>15245</v>
      </c>
      <c r="M332">
        <v>127</v>
      </c>
      <c r="N332" t="s">
        <v>15246</v>
      </c>
    </row>
    <row r="333" spans="1:14">
      <c r="A333" t="s">
        <v>9256</v>
      </c>
      <c r="B333">
        <v>391552</v>
      </c>
      <c r="C333">
        <v>393375</v>
      </c>
      <c r="E333" t="s">
        <v>14314</v>
      </c>
      <c r="F333" t="s">
        <v>15247</v>
      </c>
      <c r="H333">
        <v>93521819</v>
      </c>
      <c r="I333" t="s">
        <v>14292</v>
      </c>
      <c r="L333" t="s">
        <v>15248</v>
      </c>
      <c r="M333">
        <v>607</v>
      </c>
      <c r="N333" t="s">
        <v>15249</v>
      </c>
    </row>
    <row r="334" spans="1:14">
      <c r="A334" t="s">
        <v>9256</v>
      </c>
      <c r="B334">
        <v>393944</v>
      </c>
      <c r="C334">
        <v>395542</v>
      </c>
      <c r="E334" t="s">
        <v>14314</v>
      </c>
      <c r="F334" t="s">
        <v>14414</v>
      </c>
      <c r="H334">
        <v>93521820</v>
      </c>
      <c r="I334" t="s">
        <v>14415</v>
      </c>
      <c r="N334" t="s">
        <v>15250</v>
      </c>
    </row>
    <row r="335" spans="1:14">
      <c r="A335" t="s">
        <v>9256</v>
      </c>
      <c r="B335">
        <v>395544</v>
      </c>
      <c r="C335">
        <v>397679</v>
      </c>
      <c r="E335" t="s">
        <v>14314</v>
      </c>
      <c r="F335" t="s">
        <v>14414</v>
      </c>
      <c r="H335">
        <v>93521821</v>
      </c>
      <c r="I335" t="s">
        <v>14415</v>
      </c>
      <c r="N335" t="s">
        <v>15251</v>
      </c>
    </row>
    <row r="336" spans="1:14">
      <c r="A336" t="s">
        <v>9256</v>
      </c>
      <c r="B336">
        <v>397676</v>
      </c>
      <c r="C336">
        <v>398008</v>
      </c>
      <c r="E336" t="s">
        <v>14314</v>
      </c>
      <c r="F336" t="s">
        <v>15252</v>
      </c>
      <c r="H336">
        <v>93521822</v>
      </c>
      <c r="I336" t="s">
        <v>14292</v>
      </c>
      <c r="L336" t="s">
        <v>15253</v>
      </c>
      <c r="M336">
        <v>110</v>
      </c>
      <c r="N336" t="s">
        <v>15254</v>
      </c>
    </row>
    <row r="337" spans="1:14">
      <c r="A337" t="s">
        <v>9256</v>
      </c>
      <c r="B337">
        <v>398019</v>
      </c>
      <c r="C337">
        <v>398330</v>
      </c>
      <c r="E337" t="s">
        <v>14314</v>
      </c>
      <c r="F337" t="s">
        <v>15255</v>
      </c>
      <c r="H337">
        <v>93521823</v>
      </c>
      <c r="I337" t="s">
        <v>14292</v>
      </c>
      <c r="L337" t="s">
        <v>15256</v>
      </c>
      <c r="M337">
        <v>103</v>
      </c>
      <c r="N337" t="s">
        <v>15257</v>
      </c>
    </row>
    <row r="338" spans="1:14">
      <c r="A338" t="s">
        <v>9256</v>
      </c>
      <c r="B338">
        <v>398532</v>
      </c>
      <c r="C338">
        <v>399272</v>
      </c>
      <c r="E338" t="s">
        <v>14314</v>
      </c>
      <c r="F338" t="s">
        <v>14291</v>
      </c>
      <c r="H338">
        <v>93521824</v>
      </c>
      <c r="I338" t="s">
        <v>14292</v>
      </c>
      <c r="L338" t="s">
        <v>15258</v>
      </c>
      <c r="M338">
        <v>246</v>
      </c>
      <c r="N338" t="s">
        <v>15259</v>
      </c>
    </row>
    <row r="339" spans="1:14">
      <c r="A339" t="s">
        <v>9256</v>
      </c>
      <c r="B339">
        <v>399269</v>
      </c>
      <c r="C339">
        <v>399658</v>
      </c>
      <c r="E339" t="s">
        <v>14314</v>
      </c>
      <c r="F339" t="s">
        <v>15260</v>
      </c>
      <c r="H339">
        <v>93521825</v>
      </c>
      <c r="I339" t="s">
        <v>14292</v>
      </c>
      <c r="L339" t="s">
        <v>15261</v>
      </c>
      <c r="M339">
        <v>129</v>
      </c>
      <c r="N339" t="s">
        <v>15262</v>
      </c>
    </row>
    <row r="340" spans="1:14">
      <c r="A340" t="s">
        <v>9256</v>
      </c>
      <c r="B340">
        <v>399655</v>
      </c>
      <c r="C340">
        <v>400104</v>
      </c>
      <c r="E340" t="s">
        <v>14314</v>
      </c>
      <c r="F340" t="s">
        <v>15260</v>
      </c>
      <c r="H340">
        <v>93521826</v>
      </c>
      <c r="I340" t="s">
        <v>14292</v>
      </c>
      <c r="L340" t="s">
        <v>15263</v>
      </c>
      <c r="M340">
        <v>149</v>
      </c>
      <c r="N340" t="s">
        <v>15264</v>
      </c>
    </row>
    <row r="341" spans="1:14">
      <c r="A341" t="s">
        <v>9256</v>
      </c>
      <c r="B341">
        <v>400110</v>
      </c>
      <c r="C341">
        <v>400865</v>
      </c>
      <c r="E341" t="s">
        <v>14314</v>
      </c>
      <c r="F341" t="s">
        <v>15265</v>
      </c>
      <c r="H341">
        <v>93521827</v>
      </c>
      <c r="I341" t="s">
        <v>14292</v>
      </c>
      <c r="L341" t="s">
        <v>15266</v>
      </c>
      <c r="M341">
        <v>251</v>
      </c>
      <c r="N341" t="s">
        <v>15267</v>
      </c>
    </row>
    <row r="342" spans="1:14">
      <c r="A342" t="s">
        <v>9256</v>
      </c>
      <c r="B342">
        <v>401012</v>
      </c>
      <c r="C342">
        <v>401227</v>
      </c>
      <c r="E342" t="s">
        <v>14290</v>
      </c>
      <c r="F342" t="s">
        <v>14291</v>
      </c>
      <c r="H342">
        <v>301046715</v>
      </c>
      <c r="I342" t="s">
        <v>14292</v>
      </c>
      <c r="L342" t="s">
        <v>15268</v>
      </c>
      <c r="M342">
        <v>71</v>
      </c>
      <c r="N342" t="s">
        <v>15269</v>
      </c>
    </row>
    <row r="343" spans="1:14">
      <c r="A343" t="s">
        <v>9256</v>
      </c>
      <c r="B343">
        <v>401549</v>
      </c>
      <c r="C343">
        <v>401974</v>
      </c>
      <c r="E343" t="s">
        <v>14290</v>
      </c>
      <c r="F343" t="s">
        <v>15270</v>
      </c>
      <c r="G343" t="s">
        <v>15271</v>
      </c>
      <c r="H343">
        <v>93521828</v>
      </c>
      <c r="I343" t="s">
        <v>14292</v>
      </c>
      <c r="L343" t="s">
        <v>15272</v>
      </c>
      <c r="M343">
        <v>141</v>
      </c>
      <c r="N343" t="s">
        <v>15273</v>
      </c>
    </row>
    <row r="344" spans="1:14">
      <c r="A344" t="s">
        <v>9256</v>
      </c>
      <c r="B344">
        <v>401953</v>
      </c>
      <c r="C344">
        <v>403203</v>
      </c>
      <c r="E344" t="s">
        <v>14290</v>
      </c>
      <c r="F344" t="s">
        <v>15274</v>
      </c>
      <c r="G344" t="s">
        <v>15275</v>
      </c>
      <c r="H344">
        <v>93521829</v>
      </c>
      <c r="I344" t="s">
        <v>14292</v>
      </c>
      <c r="L344" t="s">
        <v>15276</v>
      </c>
      <c r="M344">
        <v>416</v>
      </c>
      <c r="N344" t="s">
        <v>15277</v>
      </c>
    </row>
    <row r="345" spans="1:14">
      <c r="A345" t="s">
        <v>9256</v>
      </c>
      <c r="B345">
        <v>403236</v>
      </c>
      <c r="C345">
        <v>405245</v>
      </c>
      <c r="E345" t="s">
        <v>14290</v>
      </c>
      <c r="F345" t="s">
        <v>15278</v>
      </c>
      <c r="G345" t="s">
        <v>15279</v>
      </c>
      <c r="H345">
        <v>93521830</v>
      </c>
      <c r="I345" t="s">
        <v>14292</v>
      </c>
      <c r="L345" t="s">
        <v>15280</v>
      </c>
      <c r="M345">
        <v>669</v>
      </c>
      <c r="N345" t="s">
        <v>15281</v>
      </c>
    </row>
    <row r="346" spans="1:14">
      <c r="A346" t="s">
        <v>9256</v>
      </c>
      <c r="B346">
        <v>405359</v>
      </c>
      <c r="C346">
        <v>407353</v>
      </c>
      <c r="E346" t="s">
        <v>14314</v>
      </c>
      <c r="F346" t="s">
        <v>14870</v>
      </c>
      <c r="H346">
        <v>93521831</v>
      </c>
      <c r="I346" t="s">
        <v>14292</v>
      </c>
      <c r="L346" t="s">
        <v>15282</v>
      </c>
      <c r="M346">
        <v>664</v>
      </c>
      <c r="N346" t="s">
        <v>15283</v>
      </c>
    </row>
    <row r="347" spans="1:14">
      <c r="A347" t="s">
        <v>9256</v>
      </c>
      <c r="B347">
        <v>407356</v>
      </c>
      <c r="C347">
        <v>408813</v>
      </c>
      <c r="E347" t="s">
        <v>14314</v>
      </c>
      <c r="F347" t="s">
        <v>14870</v>
      </c>
      <c r="H347">
        <v>93521832</v>
      </c>
      <c r="I347" t="s">
        <v>14292</v>
      </c>
      <c r="L347" t="s">
        <v>15284</v>
      </c>
      <c r="M347">
        <v>485</v>
      </c>
      <c r="N347" t="s">
        <v>15285</v>
      </c>
    </row>
    <row r="348" spans="1:14">
      <c r="A348" t="s">
        <v>9256</v>
      </c>
      <c r="B348">
        <v>408963</v>
      </c>
      <c r="C348">
        <v>409580</v>
      </c>
      <c r="E348" t="s">
        <v>14314</v>
      </c>
      <c r="F348" t="s">
        <v>15286</v>
      </c>
      <c r="H348">
        <v>93521833</v>
      </c>
      <c r="I348" t="s">
        <v>14292</v>
      </c>
      <c r="L348" t="s">
        <v>15287</v>
      </c>
      <c r="M348">
        <v>205</v>
      </c>
      <c r="N348" t="s">
        <v>15288</v>
      </c>
    </row>
    <row r="349" spans="1:14">
      <c r="A349" t="s">
        <v>9256</v>
      </c>
      <c r="B349">
        <v>409791</v>
      </c>
      <c r="C349">
        <v>410204</v>
      </c>
      <c r="E349" t="s">
        <v>14314</v>
      </c>
      <c r="F349" t="s">
        <v>15289</v>
      </c>
      <c r="H349">
        <v>93521834</v>
      </c>
      <c r="I349" t="s">
        <v>14292</v>
      </c>
      <c r="L349" t="s">
        <v>15290</v>
      </c>
      <c r="M349">
        <v>137</v>
      </c>
      <c r="N349" t="s">
        <v>15291</v>
      </c>
    </row>
    <row r="350" spans="1:14">
      <c r="A350" t="s">
        <v>9256</v>
      </c>
      <c r="B350">
        <v>410484</v>
      </c>
      <c r="C350">
        <v>411806</v>
      </c>
      <c r="E350" t="s">
        <v>14314</v>
      </c>
      <c r="F350" t="s">
        <v>14864</v>
      </c>
      <c r="H350">
        <v>93521835</v>
      </c>
      <c r="I350" t="s">
        <v>14292</v>
      </c>
      <c r="L350" t="s">
        <v>15292</v>
      </c>
      <c r="M350">
        <v>440</v>
      </c>
      <c r="N350" t="s">
        <v>15293</v>
      </c>
    </row>
    <row r="351" spans="1:14">
      <c r="A351" t="s">
        <v>9256</v>
      </c>
      <c r="B351">
        <v>411799</v>
      </c>
      <c r="C351">
        <v>414117</v>
      </c>
      <c r="E351" t="s">
        <v>14314</v>
      </c>
      <c r="F351" t="s">
        <v>14621</v>
      </c>
      <c r="H351">
        <v>93521836</v>
      </c>
      <c r="I351" t="s">
        <v>14292</v>
      </c>
      <c r="L351" t="s">
        <v>15294</v>
      </c>
      <c r="M351">
        <v>772</v>
      </c>
      <c r="N351" t="s">
        <v>15295</v>
      </c>
    </row>
    <row r="352" spans="1:14">
      <c r="A352" t="s">
        <v>9256</v>
      </c>
      <c r="B352">
        <v>414117</v>
      </c>
      <c r="C352">
        <v>416042</v>
      </c>
      <c r="E352" t="s">
        <v>14314</v>
      </c>
      <c r="F352" t="s">
        <v>15296</v>
      </c>
      <c r="G352" t="s">
        <v>15297</v>
      </c>
      <c r="H352">
        <v>93521837</v>
      </c>
      <c r="I352" t="s">
        <v>14292</v>
      </c>
      <c r="L352" t="s">
        <v>15298</v>
      </c>
      <c r="M352">
        <v>641</v>
      </c>
      <c r="N352" t="s">
        <v>15299</v>
      </c>
    </row>
    <row r="353" spans="1:14">
      <c r="A353" t="s">
        <v>9256</v>
      </c>
      <c r="B353">
        <v>416329</v>
      </c>
      <c r="C353">
        <v>417124</v>
      </c>
      <c r="E353" t="s">
        <v>14314</v>
      </c>
      <c r="F353" t="s">
        <v>14414</v>
      </c>
      <c r="G353" t="s">
        <v>15300</v>
      </c>
      <c r="H353">
        <v>93521838</v>
      </c>
      <c r="I353" t="s">
        <v>14415</v>
      </c>
      <c r="N353" t="s">
        <v>15301</v>
      </c>
    </row>
    <row r="354" spans="1:14">
      <c r="A354" t="s">
        <v>9256</v>
      </c>
      <c r="B354">
        <v>417164</v>
      </c>
      <c r="C354">
        <v>418144</v>
      </c>
      <c r="E354" t="s">
        <v>14290</v>
      </c>
      <c r="F354" t="s">
        <v>15302</v>
      </c>
      <c r="H354">
        <v>93521839</v>
      </c>
      <c r="I354" t="s">
        <v>14292</v>
      </c>
      <c r="L354" t="s">
        <v>15303</v>
      </c>
      <c r="M354">
        <v>326</v>
      </c>
      <c r="N354" t="s">
        <v>15304</v>
      </c>
    </row>
    <row r="355" spans="1:14">
      <c r="A355" t="s">
        <v>9256</v>
      </c>
      <c r="B355">
        <v>418619</v>
      </c>
      <c r="C355">
        <v>419476</v>
      </c>
      <c r="E355" t="s">
        <v>14314</v>
      </c>
      <c r="F355" t="s">
        <v>14439</v>
      </c>
      <c r="H355">
        <v>93521840</v>
      </c>
      <c r="I355" t="s">
        <v>14292</v>
      </c>
      <c r="L355" t="s">
        <v>15305</v>
      </c>
      <c r="M355">
        <v>285</v>
      </c>
      <c r="N355" t="s">
        <v>15306</v>
      </c>
    </row>
    <row r="356" spans="1:14">
      <c r="A356" t="s">
        <v>9256</v>
      </c>
      <c r="B356">
        <v>419488</v>
      </c>
      <c r="C356">
        <v>419865</v>
      </c>
      <c r="E356" t="s">
        <v>14314</v>
      </c>
      <c r="F356" t="s">
        <v>15307</v>
      </c>
      <c r="H356">
        <v>93521841</v>
      </c>
      <c r="I356" t="s">
        <v>14292</v>
      </c>
      <c r="L356" t="s">
        <v>15308</v>
      </c>
      <c r="M356">
        <v>125</v>
      </c>
      <c r="N356" t="s">
        <v>15309</v>
      </c>
    </row>
    <row r="357" spans="1:14">
      <c r="A357" t="s">
        <v>9256</v>
      </c>
      <c r="B357">
        <v>419984</v>
      </c>
      <c r="C357">
        <v>420262</v>
      </c>
      <c r="E357" t="s">
        <v>14290</v>
      </c>
      <c r="F357" t="s">
        <v>14414</v>
      </c>
      <c r="H357">
        <v>93521842</v>
      </c>
      <c r="I357" t="s">
        <v>14415</v>
      </c>
      <c r="N357" t="s">
        <v>15310</v>
      </c>
    </row>
    <row r="358" spans="1:14">
      <c r="A358" t="s">
        <v>9256</v>
      </c>
      <c r="B358">
        <v>420449</v>
      </c>
      <c r="C358">
        <v>426289</v>
      </c>
      <c r="E358" t="s">
        <v>14314</v>
      </c>
      <c r="F358" t="s">
        <v>15311</v>
      </c>
      <c r="H358">
        <v>93521843</v>
      </c>
      <c r="I358" t="s">
        <v>14292</v>
      </c>
      <c r="L358" t="s">
        <v>15312</v>
      </c>
      <c r="M358">
        <v>1946</v>
      </c>
      <c r="N358" t="s">
        <v>15313</v>
      </c>
    </row>
    <row r="359" spans="1:14">
      <c r="A359" t="s">
        <v>9256</v>
      </c>
      <c r="B359">
        <v>426279</v>
      </c>
      <c r="C359">
        <v>426866</v>
      </c>
      <c r="E359" t="s">
        <v>14314</v>
      </c>
      <c r="F359" t="s">
        <v>15314</v>
      </c>
      <c r="H359">
        <v>93521844</v>
      </c>
      <c r="I359" t="s">
        <v>14292</v>
      </c>
      <c r="L359" t="s">
        <v>15315</v>
      </c>
      <c r="M359">
        <v>195</v>
      </c>
      <c r="N359" t="s">
        <v>15316</v>
      </c>
    </row>
    <row r="360" spans="1:14">
      <c r="A360" t="s">
        <v>9256</v>
      </c>
      <c r="B360">
        <v>426894</v>
      </c>
      <c r="C360">
        <v>428984</v>
      </c>
      <c r="E360" t="s">
        <v>14314</v>
      </c>
      <c r="F360" t="s">
        <v>15317</v>
      </c>
      <c r="H360">
        <v>93521845</v>
      </c>
      <c r="I360" t="s">
        <v>14292</v>
      </c>
      <c r="L360" t="s">
        <v>15318</v>
      </c>
      <c r="M360">
        <v>696</v>
      </c>
      <c r="N360" t="s">
        <v>15319</v>
      </c>
    </row>
    <row r="361" spans="1:14">
      <c r="A361" t="s">
        <v>9256</v>
      </c>
      <c r="B361">
        <v>429044</v>
      </c>
      <c r="C361">
        <v>430621</v>
      </c>
      <c r="E361" t="s">
        <v>14314</v>
      </c>
      <c r="F361" t="s">
        <v>15320</v>
      </c>
      <c r="H361">
        <v>93521846</v>
      </c>
      <c r="I361" t="s">
        <v>14292</v>
      </c>
      <c r="L361" t="s">
        <v>15321</v>
      </c>
      <c r="M361">
        <v>525</v>
      </c>
      <c r="N361" t="s">
        <v>15322</v>
      </c>
    </row>
    <row r="362" spans="1:14">
      <c r="A362" t="s">
        <v>9256</v>
      </c>
      <c r="B362">
        <v>430641</v>
      </c>
      <c r="C362">
        <v>430991</v>
      </c>
      <c r="E362" t="s">
        <v>14314</v>
      </c>
      <c r="F362" t="s">
        <v>14406</v>
      </c>
      <c r="H362">
        <v>93521847</v>
      </c>
      <c r="I362" t="s">
        <v>14292</v>
      </c>
      <c r="L362" t="s">
        <v>15323</v>
      </c>
      <c r="M362">
        <v>116</v>
      </c>
      <c r="N362" t="s">
        <v>15324</v>
      </c>
    </row>
    <row r="363" spans="1:14">
      <c r="A363" t="s">
        <v>9256</v>
      </c>
      <c r="B363">
        <v>430995</v>
      </c>
      <c r="C363">
        <v>431387</v>
      </c>
      <c r="E363" t="s">
        <v>14314</v>
      </c>
      <c r="F363" t="s">
        <v>14406</v>
      </c>
      <c r="H363">
        <v>93521848</v>
      </c>
      <c r="I363" t="s">
        <v>14292</v>
      </c>
      <c r="L363" t="s">
        <v>15325</v>
      </c>
      <c r="M363">
        <v>130</v>
      </c>
      <c r="N363" t="s">
        <v>15326</v>
      </c>
    </row>
    <row r="364" spans="1:14">
      <c r="A364" t="s">
        <v>9256</v>
      </c>
      <c r="B364">
        <v>431638</v>
      </c>
      <c r="C364">
        <v>431931</v>
      </c>
      <c r="E364" t="s">
        <v>14290</v>
      </c>
      <c r="F364" t="s">
        <v>14406</v>
      </c>
      <c r="H364">
        <v>93521849</v>
      </c>
      <c r="I364" t="s">
        <v>14292</v>
      </c>
      <c r="L364" t="s">
        <v>15327</v>
      </c>
      <c r="M364">
        <v>97</v>
      </c>
      <c r="N364" t="s">
        <v>15328</v>
      </c>
    </row>
    <row r="365" spans="1:14">
      <c r="A365" t="s">
        <v>9256</v>
      </c>
      <c r="B365">
        <v>431971</v>
      </c>
      <c r="C365">
        <v>432276</v>
      </c>
      <c r="E365" t="s">
        <v>14290</v>
      </c>
      <c r="F365" t="s">
        <v>14406</v>
      </c>
      <c r="H365">
        <v>93521850</v>
      </c>
      <c r="I365" t="s">
        <v>14292</v>
      </c>
      <c r="L365" t="s">
        <v>15329</v>
      </c>
      <c r="M365">
        <v>101</v>
      </c>
      <c r="N365" t="s">
        <v>15330</v>
      </c>
    </row>
    <row r="366" spans="1:14">
      <c r="A366" t="s">
        <v>9256</v>
      </c>
      <c r="B366">
        <v>432356</v>
      </c>
      <c r="C366">
        <v>432718</v>
      </c>
      <c r="E366" t="s">
        <v>14314</v>
      </c>
      <c r="F366" t="s">
        <v>14291</v>
      </c>
      <c r="H366">
        <v>93521851</v>
      </c>
      <c r="I366" t="s">
        <v>14292</v>
      </c>
      <c r="L366" t="s">
        <v>15331</v>
      </c>
      <c r="M366">
        <v>120</v>
      </c>
      <c r="N366" t="s">
        <v>15332</v>
      </c>
    </row>
    <row r="367" spans="1:14">
      <c r="A367" t="s">
        <v>9256</v>
      </c>
      <c r="B367">
        <v>432730</v>
      </c>
      <c r="C367">
        <v>433965</v>
      </c>
      <c r="E367" t="s">
        <v>14314</v>
      </c>
      <c r="F367" t="s">
        <v>15333</v>
      </c>
      <c r="H367">
        <v>93521852</v>
      </c>
      <c r="I367" t="s">
        <v>14292</v>
      </c>
      <c r="L367" t="s">
        <v>15334</v>
      </c>
      <c r="M367">
        <v>411</v>
      </c>
      <c r="N367" t="s">
        <v>15335</v>
      </c>
    </row>
    <row r="368" spans="1:14">
      <c r="A368" t="s">
        <v>9256</v>
      </c>
      <c r="B368">
        <v>434316</v>
      </c>
      <c r="C368">
        <v>435230</v>
      </c>
      <c r="E368" t="s">
        <v>14290</v>
      </c>
      <c r="F368" t="s">
        <v>15336</v>
      </c>
      <c r="H368">
        <v>93521853</v>
      </c>
      <c r="I368" t="s">
        <v>14292</v>
      </c>
      <c r="L368" t="s">
        <v>15337</v>
      </c>
      <c r="M368">
        <v>304</v>
      </c>
      <c r="N368" t="s">
        <v>15338</v>
      </c>
    </row>
    <row r="369" spans="1:14">
      <c r="A369" t="s">
        <v>9256</v>
      </c>
      <c r="B369">
        <v>435263</v>
      </c>
      <c r="C369">
        <v>436744</v>
      </c>
      <c r="E369" t="s">
        <v>14290</v>
      </c>
      <c r="F369" t="s">
        <v>15339</v>
      </c>
      <c r="H369">
        <v>93521854</v>
      </c>
      <c r="I369" t="s">
        <v>14292</v>
      </c>
      <c r="L369" t="s">
        <v>15340</v>
      </c>
      <c r="M369">
        <v>493</v>
      </c>
      <c r="N369" t="s">
        <v>15341</v>
      </c>
    </row>
    <row r="370" spans="1:14">
      <c r="A370" t="s">
        <v>9256</v>
      </c>
      <c r="B370">
        <v>436747</v>
      </c>
      <c r="C370">
        <v>437562</v>
      </c>
      <c r="E370" t="s">
        <v>14290</v>
      </c>
      <c r="F370" t="s">
        <v>14985</v>
      </c>
      <c r="H370">
        <v>93521855</v>
      </c>
      <c r="I370" t="s">
        <v>14292</v>
      </c>
      <c r="L370" t="s">
        <v>15342</v>
      </c>
      <c r="M370">
        <v>271</v>
      </c>
      <c r="N370" t="s">
        <v>15343</v>
      </c>
    </row>
    <row r="371" spans="1:14">
      <c r="A371" t="s">
        <v>9256</v>
      </c>
      <c r="B371">
        <v>437700</v>
      </c>
      <c r="C371">
        <v>440171</v>
      </c>
      <c r="E371" t="s">
        <v>14314</v>
      </c>
      <c r="F371" t="s">
        <v>15344</v>
      </c>
      <c r="G371" t="s">
        <v>15345</v>
      </c>
      <c r="H371">
        <v>93521856</v>
      </c>
      <c r="I371" t="s">
        <v>14292</v>
      </c>
      <c r="L371" t="s">
        <v>15346</v>
      </c>
      <c r="M371">
        <v>823</v>
      </c>
      <c r="N371" t="s">
        <v>15347</v>
      </c>
    </row>
    <row r="372" spans="1:14">
      <c r="A372" t="s">
        <v>9256</v>
      </c>
      <c r="B372">
        <v>440260</v>
      </c>
      <c r="C372">
        <v>440973</v>
      </c>
      <c r="E372" t="s">
        <v>14290</v>
      </c>
      <c r="F372" t="s">
        <v>15348</v>
      </c>
      <c r="H372">
        <v>93521857</v>
      </c>
      <c r="I372" t="s">
        <v>14292</v>
      </c>
      <c r="L372" t="s">
        <v>15349</v>
      </c>
      <c r="M372">
        <v>237</v>
      </c>
      <c r="N372" t="s">
        <v>15350</v>
      </c>
    </row>
    <row r="373" spans="1:14">
      <c r="A373" t="s">
        <v>9256</v>
      </c>
      <c r="B373">
        <v>440958</v>
      </c>
      <c r="C373">
        <v>441929</v>
      </c>
      <c r="E373" t="s">
        <v>14314</v>
      </c>
      <c r="F373" t="s">
        <v>15351</v>
      </c>
      <c r="H373">
        <v>93521858</v>
      </c>
      <c r="I373" t="s">
        <v>14292</v>
      </c>
      <c r="L373" t="s">
        <v>15352</v>
      </c>
      <c r="M373">
        <v>323</v>
      </c>
      <c r="N373" t="s">
        <v>15353</v>
      </c>
    </row>
    <row r="374" spans="1:14">
      <c r="A374" t="s">
        <v>9256</v>
      </c>
      <c r="B374">
        <v>442128</v>
      </c>
      <c r="C374">
        <v>443315</v>
      </c>
      <c r="E374" t="s">
        <v>14290</v>
      </c>
      <c r="F374" t="s">
        <v>15354</v>
      </c>
      <c r="G374" t="s">
        <v>15355</v>
      </c>
      <c r="H374">
        <v>93521859</v>
      </c>
      <c r="I374" t="s">
        <v>14292</v>
      </c>
      <c r="L374" t="s">
        <v>15356</v>
      </c>
      <c r="M374">
        <v>395</v>
      </c>
      <c r="N374" t="s">
        <v>15357</v>
      </c>
    </row>
    <row r="375" spans="1:14">
      <c r="A375" t="s">
        <v>9256</v>
      </c>
      <c r="B375">
        <v>443490</v>
      </c>
      <c r="C375">
        <v>445004</v>
      </c>
      <c r="E375" t="s">
        <v>14290</v>
      </c>
      <c r="F375" t="s">
        <v>15358</v>
      </c>
      <c r="H375">
        <v>93521860</v>
      </c>
      <c r="I375" t="s">
        <v>14292</v>
      </c>
      <c r="L375" t="s">
        <v>15359</v>
      </c>
      <c r="M375">
        <v>504</v>
      </c>
      <c r="N375" t="s">
        <v>15360</v>
      </c>
    </row>
    <row r="376" spans="1:14">
      <c r="A376" t="s">
        <v>9256</v>
      </c>
      <c r="B376">
        <v>444925</v>
      </c>
      <c r="C376">
        <v>445497</v>
      </c>
      <c r="E376" t="s">
        <v>14290</v>
      </c>
      <c r="F376" t="s">
        <v>15361</v>
      </c>
      <c r="H376">
        <v>93521861</v>
      </c>
      <c r="I376" t="s">
        <v>14292</v>
      </c>
      <c r="L376" t="s">
        <v>15362</v>
      </c>
      <c r="M376">
        <v>190</v>
      </c>
      <c r="N376" t="s">
        <v>15363</v>
      </c>
    </row>
    <row r="377" spans="1:14">
      <c r="A377" t="s">
        <v>9256</v>
      </c>
      <c r="B377">
        <v>445457</v>
      </c>
      <c r="C377">
        <v>446902</v>
      </c>
      <c r="E377" t="s">
        <v>14314</v>
      </c>
      <c r="F377" t="s">
        <v>15364</v>
      </c>
      <c r="G377" t="s">
        <v>15365</v>
      </c>
      <c r="H377">
        <v>93521862</v>
      </c>
      <c r="I377" t="s">
        <v>14292</v>
      </c>
      <c r="L377" t="s">
        <v>15366</v>
      </c>
      <c r="M377">
        <v>481</v>
      </c>
      <c r="N377" t="s">
        <v>15367</v>
      </c>
    </row>
    <row r="378" spans="1:14">
      <c r="A378" t="s">
        <v>9256</v>
      </c>
      <c r="B378">
        <v>446892</v>
      </c>
      <c r="C378">
        <v>448760</v>
      </c>
      <c r="E378" t="s">
        <v>14314</v>
      </c>
      <c r="F378" t="s">
        <v>15368</v>
      </c>
      <c r="G378" t="s">
        <v>15369</v>
      </c>
      <c r="H378">
        <v>93521863</v>
      </c>
      <c r="I378" t="s">
        <v>14292</v>
      </c>
      <c r="L378" t="s">
        <v>15370</v>
      </c>
      <c r="M378">
        <v>622</v>
      </c>
      <c r="N378" t="s">
        <v>15371</v>
      </c>
    </row>
    <row r="379" spans="1:14">
      <c r="A379" t="s">
        <v>9256</v>
      </c>
      <c r="B379">
        <v>448750</v>
      </c>
      <c r="C379">
        <v>449268</v>
      </c>
      <c r="E379" t="s">
        <v>14314</v>
      </c>
      <c r="F379" t="s">
        <v>15372</v>
      </c>
      <c r="G379" t="s">
        <v>15373</v>
      </c>
      <c r="H379">
        <v>93521864</v>
      </c>
      <c r="I379" t="s">
        <v>14292</v>
      </c>
      <c r="L379" t="s">
        <v>15374</v>
      </c>
      <c r="M379">
        <v>172</v>
      </c>
      <c r="N379" t="s">
        <v>15375</v>
      </c>
    </row>
    <row r="380" spans="1:14">
      <c r="A380" t="s">
        <v>9256</v>
      </c>
      <c r="B380">
        <v>449261</v>
      </c>
      <c r="C380">
        <v>450115</v>
      </c>
      <c r="E380" t="s">
        <v>14314</v>
      </c>
      <c r="F380" t="s">
        <v>15376</v>
      </c>
      <c r="G380" t="s">
        <v>15377</v>
      </c>
      <c r="H380">
        <v>93521865</v>
      </c>
      <c r="I380" t="s">
        <v>14292</v>
      </c>
      <c r="L380" t="s">
        <v>15378</v>
      </c>
      <c r="M380">
        <v>284</v>
      </c>
      <c r="N380" t="s">
        <v>15379</v>
      </c>
    </row>
    <row r="381" spans="1:14">
      <c r="A381" t="s">
        <v>9256</v>
      </c>
      <c r="B381">
        <v>450218</v>
      </c>
      <c r="C381">
        <v>451237</v>
      </c>
      <c r="E381" t="s">
        <v>14314</v>
      </c>
      <c r="F381" t="s">
        <v>15380</v>
      </c>
      <c r="H381">
        <v>93521866</v>
      </c>
      <c r="I381" t="s">
        <v>14292</v>
      </c>
      <c r="L381" t="s">
        <v>15381</v>
      </c>
      <c r="M381">
        <v>339</v>
      </c>
      <c r="N381" t="s">
        <v>15382</v>
      </c>
    </row>
    <row r="382" spans="1:14">
      <c r="A382" t="s">
        <v>9256</v>
      </c>
      <c r="B382">
        <v>451249</v>
      </c>
      <c r="C382">
        <v>452772</v>
      </c>
      <c r="E382" t="s">
        <v>14314</v>
      </c>
      <c r="F382" t="s">
        <v>15383</v>
      </c>
      <c r="G382" t="s">
        <v>15384</v>
      </c>
      <c r="H382">
        <v>93521867</v>
      </c>
      <c r="I382" t="s">
        <v>14292</v>
      </c>
      <c r="L382" t="s">
        <v>15385</v>
      </c>
      <c r="M382">
        <v>507</v>
      </c>
      <c r="N382" t="s">
        <v>15386</v>
      </c>
    </row>
    <row r="383" spans="1:14">
      <c r="A383" t="s">
        <v>9256</v>
      </c>
      <c r="B383">
        <v>453845</v>
      </c>
      <c r="C383">
        <v>454588</v>
      </c>
      <c r="E383" t="s">
        <v>14314</v>
      </c>
      <c r="F383" t="s">
        <v>14338</v>
      </c>
      <c r="H383">
        <v>93521868</v>
      </c>
      <c r="I383" t="s">
        <v>14292</v>
      </c>
      <c r="L383" t="s">
        <v>15387</v>
      </c>
      <c r="M383">
        <v>247</v>
      </c>
      <c r="N383" t="s">
        <v>15388</v>
      </c>
    </row>
    <row r="384" spans="1:14">
      <c r="A384" t="s">
        <v>9256</v>
      </c>
      <c r="B384">
        <v>455203</v>
      </c>
      <c r="C384">
        <v>455553</v>
      </c>
      <c r="E384" t="s">
        <v>14314</v>
      </c>
      <c r="F384" t="s">
        <v>15389</v>
      </c>
      <c r="H384">
        <v>93521869</v>
      </c>
      <c r="I384" t="s">
        <v>14292</v>
      </c>
      <c r="L384" t="s">
        <v>15390</v>
      </c>
      <c r="M384">
        <v>116</v>
      </c>
      <c r="N384" t="s">
        <v>15391</v>
      </c>
    </row>
    <row r="385" spans="1:14">
      <c r="A385" t="s">
        <v>9256</v>
      </c>
      <c r="B385">
        <v>455546</v>
      </c>
      <c r="C385">
        <v>455842</v>
      </c>
      <c r="E385" t="s">
        <v>14314</v>
      </c>
      <c r="F385" t="s">
        <v>15392</v>
      </c>
      <c r="H385">
        <v>93521870</v>
      </c>
      <c r="I385" t="s">
        <v>14292</v>
      </c>
      <c r="L385" t="s">
        <v>15393</v>
      </c>
      <c r="M385">
        <v>98</v>
      </c>
      <c r="N385" t="s">
        <v>15394</v>
      </c>
    </row>
    <row r="386" spans="1:14">
      <c r="A386" t="s">
        <v>9256</v>
      </c>
      <c r="B386">
        <v>456039</v>
      </c>
      <c r="C386">
        <v>456533</v>
      </c>
      <c r="E386" t="s">
        <v>14290</v>
      </c>
      <c r="F386" t="s">
        <v>14414</v>
      </c>
      <c r="H386">
        <v>93521871</v>
      </c>
      <c r="I386" t="s">
        <v>14415</v>
      </c>
      <c r="N386" t="s">
        <v>15395</v>
      </c>
    </row>
    <row r="387" spans="1:14">
      <c r="A387" t="s">
        <v>9256</v>
      </c>
      <c r="B387">
        <v>456694</v>
      </c>
      <c r="C387">
        <v>458310</v>
      </c>
      <c r="E387" t="s">
        <v>14290</v>
      </c>
      <c r="F387" t="s">
        <v>15396</v>
      </c>
      <c r="H387">
        <v>93521872</v>
      </c>
      <c r="I387" t="s">
        <v>14292</v>
      </c>
      <c r="L387" t="s">
        <v>15397</v>
      </c>
      <c r="M387">
        <v>538</v>
      </c>
      <c r="N387" t="s">
        <v>15398</v>
      </c>
    </row>
    <row r="388" spans="1:14">
      <c r="A388" t="s">
        <v>9256</v>
      </c>
      <c r="B388">
        <v>458307</v>
      </c>
      <c r="C388">
        <v>460175</v>
      </c>
      <c r="E388" t="s">
        <v>14290</v>
      </c>
      <c r="F388" t="s">
        <v>15399</v>
      </c>
      <c r="H388">
        <v>93521873</v>
      </c>
      <c r="I388" t="s">
        <v>14292</v>
      </c>
      <c r="L388" t="s">
        <v>15400</v>
      </c>
      <c r="M388">
        <v>622</v>
      </c>
      <c r="N388" t="s">
        <v>15401</v>
      </c>
    </row>
    <row r="389" spans="1:14">
      <c r="A389" t="s">
        <v>9256</v>
      </c>
      <c r="B389">
        <v>460239</v>
      </c>
      <c r="C389">
        <v>461777</v>
      </c>
      <c r="E389" t="s">
        <v>14314</v>
      </c>
      <c r="F389" t="s">
        <v>15402</v>
      </c>
      <c r="G389" t="s">
        <v>15403</v>
      </c>
      <c r="H389">
        <v>93521874</v>
      </c>
      <c r="I389" t="s">
        <v>14292</v>
      </c>
      <c r="L389" t="s">
        <v>15404</v>
      </c>
      <c r="M389">
        <v>512</v>
      </c>
      <c r="N389" t="s">
        <v>15405</v>
      </c>
    </row>
    <row r="390" spans="1:14">
      <c r="A390" t="s">
        <v>9256</v>
      </c>
      <c r="B390">
        <v>461885</v>
      </c>
      <c r="C390">
        <v>462175</v>
      </c>
      <c r="E390" t="s">
        <v>14314</v>
      </c>
      <c r="F390" t="s">
        <v>15406</v>
      </c>
      <c r="H390">
        <v>93521875</v>
      </c>
      <c r="I390" t="s">
        <v>14292</v>
      </c>
      <c r="L390" t="s">
        <v>15407</v>
      </c>
      <c r="M390">
        <v>96</v>
      </c>
      <c r="N390" t="s">
        <v>15408</v>
      </c>
    </row>
    <row r="391" spans="1:14">
      <c r="A391" t="s">
        <v>9256</v>
      </c>
      <c r="B391">
        <v>462181</v>
      </c>
      <c r="C391">
        <v>462474</v>
      </c>
      <c r="E391" t="s">
        <v>14314</v>
      </c>
      <c r="F391" t="s">
        <v>14291</v>
      </c>
      <c r="H391">
        <v>93521876</v>
      </c>
      <c r="I391" t="s">
        <v>14292</v>
      </c>
      <c r="L391" t="s">
        <v>15409</v>
      </c>
      <c r="M391">
        <v>97</v>
      </c>
      <c r="N391" t="s">
        <v>15410</v>
      </c>
    </row>
    <row r="392" spans="1:14">
      <c r="A392" t="s">
        <v>9256</v>
      </c>
      <c r="B392">
        <v>462625</v>
      </c>
      <c r="C392">
        <v>462825</v>
      </c>
      <c r="E392" t="s">
        <v>14314</v>
      </c>
      <c r="F392" t="s">
        <v>15411</v>
      </c>
      <c r="H392">
        <v>93521877</v>
      </c>
      <c r="I392" t="s">
        <v>14292</v>
      </c>
      <c r="L392" t="s">
        <v>15412</v>
      </c>
      <c r="M392">
        <v>66</v>
      </c>
      <c r="N392" t="s">
        <v>15413</v>
      </c>
    </row>
    <row r="393" spans="1:14">
      <c r="A393" t="s">
        <v>9256</v>
      </c>
      <c r="B393">
        <v>462948</v>
      </c>
      <c r="C393">
        <v>463637</v>
      </c>
      <c r="E393" t="s">
        <v>14314</v>
      </c>
      <c r="F393" t="s">
        <v>15414</v>
      </c>
      <c r="H393">
        <v>93521878</v>
      </c>
      <c r="I393" t="s">
        <v>14292</v>
      </c>
      <c r="L393" t="s">
        <v>15415</v>
      </c>
      <c r="M393">
        <v>229</v>
      </c>
      <c r="N393" t="s">
        <v>15416</v>
      </c>
    </row>
    <row r="394" spans="1:14">
      <c r="A394" t="s">
        <v>9256</v>
      </c>
      <c r="B394">
        <v>463665</v>
      </c>
      <c r="C394">
        <v>464492</v>
      </c>
      <c r="E394" t="s">
        <v>14314</v>
      </c>
      <c r="F394" t="s">
        <v>15417</v>
      </c>
      <c r="G394" t="s">
        <v>15418</v>
      </c>
      <c r="H394">
        <v>93521879</v>
      </c>
      <c r="I394" t="s">
        <v>14292</v>
      </c>
      <c r="L394" t="s">
        <v>15419</v>
      </c>
      <c r="M394">
        <v>275</v>
      </c>
      <c r="N394" t="s">
        <v>15420</v>
      </c>
    </row>
    <row r="395" spans="1:14">
      <c r="A395" t="s">
        <v>9256</v>
      </c>
      <c r="B395">
        <v>464464</v>
      </c>
      <c r="C395">
        <v>465624</v>
      </c>
      <c r="E395" t="s">
        <v>14314</v>
      </c>
      <c r="F395" t="s">
        <v>15421</v>
      </c>
      <c r="G395" t="s">
        <v>15422</v>
      </c>
      <c r="H395">
        <v>93521880</v>
      </c>
      <c r="I395" t="s">
        <v>14292</v>
      </c>
      <c r="L395" t="s">
        <v>15423</v>
      </c>
      <c r="M395">
        <v>386</v>
      </c>
      <c r="N395" t="s">
        <v>15424</v>
      </c>
    </row>
    <row r="396" spans="1:14">
      <c r="A396" t="s">
        <v>9256</v>
      </c>
      <c r="B396">
        <v>465640</v>
      </c>
      <c r="C396">
        <v>466212</v>
      </c>
      <c r="E396" t="s">
        <v>14314</v>
      </c>
      <c r="F396" t="s">
        <v>15425</v>
      </c>
      <c r="H396">
        <v>93521881</v>
      </c>
      <c r="I396" t="s">
        <v>14292</v>
      </c>
      <c r="L396" t="s">
        <v>15426</v>
      </c>
      <c r="M396">
        <v>190</v>
      </c>
      <c r="N396" t="s">
        <v>15427</v>
      </c>
    </row>
    <row r="397" spans="1:14">
      <c r="A397" t="s">
        <v>9256</v>
      </c>
      <c r="B397">
        <v>466249</v>
      </c>
      <c r="C397">
        <v>466785</v>
      </c>
      <c r="E397" t="s">
        <v>14314</v>
      </c>
      <c r="F397" t="s">
        <v>15428</v>
      </c>
      <c r="G397" t="s">
        <v>15429</v>
      </c>
      <c r="H397">
        <v>93521882</v>
      </c>
      <c r="I397" t="s">
        <v>14292</v>
      </c>
      <c r="L397" t="s">
        <v>15430</v>
      </c>
      <c r="M397">
        <v>178</v>
      </c>
      <c r="N397" t="s">
        <v>15431</v>
      </c>
    </row>
    <row r="398" spans="1:14">
      <c r="A398" t="s">
        <v>9256</v>
      </c>
      <c r="B398">
        <v>466909</v>
      </c>
      <c r="C398">
        <v>468420</v>
      </c>
      <c r="E398" t="s">
        <v>14290</v>
      </c>
      <c r="F398" t="s">
        <v>15432</v>
      </c>
      <c r="H398">
        <v>93521883</v>
      </c>
      <c r="I398" t="s">
        <v>14292</v>
      </c>
      <c r="L398" t="s">
        <v>15433</v>
      </c>
      <c r="M398">
        <v>503</v>
      </c>
      <c r="N398" t="s">
        <v>15434</v>
      </c>
    </row>
    <row r="399" spans="1:14">
      <c r="A399" t="s">
        <v>9256</v>
      </c>
      <c r="B399">
        <v>468959</v>
      </c>
      <c r="C399">
        <v>470227</v>
      </c>
      <c r="E399" t="s">
        <v>14290</v>
      </c>
      <c r="F399" t="s">
        <v>15435</v>
      </c>
      <c r="H399">
        <v>93521884</v>
      </c>
      <c r="I399" t="s">
        <v>14292</v>
      </c>
      <c r="L399" t="s">
        <v>15436</v>
      </c>
      <c r="M399">
        <v>422</v>
      </c>
      <c r="N399" t="s">
        <v>15437</v>
      </c>
    </row>
    <row r="400" spans="1:14">
      <c r="A400" t="s">
        <v>9256</v>
      </c>
      <c r="B400">
        <v>470257</v>
      </c>
      <c r="C400">
        <v>471771</v>
      </c>
      <c r="E400" t="s">
        <v>14290</v>
      </c>
      <c r="F400" t="s">
        <v>15339</v>
      </c>
      <c r="H400">
        <v>93521885</v>
      </c>
      <c r="I400" t="s">
        <v>14292</v>
      </c>
      <c r="L400" t="s">
        <v>15438</v>
      </c>
      <c r="M400">
        <v>504</v>
      </c>
      <c r="N400" t="s">
        <v>15439</v>
      </c>
    </row>
    <row r="401" spans="1:14">
      <c r="A401" t="s">
        <v>9256</v>
      </c>
      <c r="B401">
        <v>471793</v>
      </c>
      <c r="C401">
        <v>472647</v>
      </c>
      <c r="E401" t="s">
        <v>14290</v>
      </c>
      <c r="F401" t="s">
        <v>14985</v>
      </c>
      <c r="H401">
        <v>93521886</v>
      </c>
      <c r="I401" t="s">
        <v>14292</v>
      </c>
      <c r="L401" t="s">
        <v>15440</v>
      </c>
      <c r="M401">
        <v>284</v>
      </c>
      <c r="N401" t="s">
        <v>15441</v>
      </c>
    </row>
    <row r="402" spans="1:14">
      <c r="A402" t="s">
        <v>9256</v>
      </c>
      <c r="B402">
        <v>472745</v>
      </c>
      <c r="C402">
        <v>473035</v>
      </c>
      <c r="E402" t="s">
        <v>14290</v>
      </c>
      <c r="F402" t="s">
        <v>15442</v>
      </c>
      <c r="H402">
        <v>93521887</v>
      </c>
      <c r="I402" t="s">
        <v>14292</v>
      </c>
      <c r="L402" t="s">
        <v>15443</v>
      </c>
      <c r="M402">
        <v>96</v>
      </c>
      <c r="N402" t="s">
        <v>15444</v>
      </c>
    </row>
    <row r="403" spans="1:14">
      <c r="A403" t="s">
        <v>9256</v>
      </c>
      <c r="B403">
        <v>473152</v>
      </c>
      <c r="C403">
        <v>474021</v>
      </c>
      <c r="E403" t="s">
        <v>14314</v>
      </c>
      <c r="F403" t="s">
        <v>14972</v>
      </c>
      <c r="H403">
        <v>93521888</v>
      </c>
      <c r="I403" t="s">
        <v>14292</v>
      </c>
      <c r="L403" t="s">
        <v>15445</v>
      </c>
      <c r="M403">
        <v>289</v>
      </c>
      <c r="N403" t="s">
        <v>15446</v>
      </c>
    </row>
    <row r="404" spans="1:14">
      <c r="A404" t="s">
        <v>9256</v>
      </c>
      <c r="B404">
        <v>474104</v>
      </c>
      <c r="C404">
        <v>474361</v>
      </c>
      <c r="E404" t="s">
        <v>14314</v>
      </c>
      <c r="F404" t="s">
        <v>15447</v>
      </c>
      <c r="H404">
        <v>93521889</v>
      </c>
      <c r="I404" t="s">
        <v>14292</v>
      </c>
      <c r="L404" t="s">
        <v>15448</v>
      </c>
      <c r="M404">
        <v>85</v>
      </c>
      <c r="N404" t="s">
        <v>15449</v>
      </c>
    </row>
    <row r="405" spans="1:14">
      <c r="A405" t="s">
        <v>9256</v>
      </c>
      <c r="B405">
        <v>474443</v>
      </c>
      <c r="C405">
        <v>477844</v>
      </c>
      <c r="E405" t="s">
        <v>14290</v>
      </c>
      <c r="F405" t="s">
        <v>15450</v>
      </c>
      <c r="H405">
        <v>93521890</v>
      </c>
      <c r="I405" t="s">
        <v>14292</v>
      </c>
      <c r="L405" t="s">
        <v>15451</v>
      </c>
      <c r="M405">
        <v>1133</v>
      </c>
      <c r="N405" t="s">
        <v>15452</v>
      </c>
    </row>
    <row r="406" spans="1:14">
      <c r="A406" t="s">
        <v>9256</v>
      </c>
      <c r="B406">
        <v>477862</v>
      </c>
      <c r="C406">
        <v>479508</v>
      </c>
      <c r="E406" t="s">
        <v>14290</v>
      </c>
      <c r="F406" t="s">
        <v>15179</v>
      </c>
      <c r="H406">
        <v>93521891</v>
      </c>
      <c r="I406" t="s">
        <v>14292</v>
      </c>
      <c r="L406" t="s">
        <v>15453</v>
      </c>
      <c r="M406">
        <v>548</v>
      </c>
      <c r="N406" t="s">
        <v>15454</v>
      </c>
    </row>
    <row r="407" spans="1:14">
      <c r="A407" t="s">
        <v>9256</v>
      </c>
      <c r="B407">
        <v>479597</v>
      </c>
      <c r="C407">
        <v>480337</v>
      </c>
      <c r="E407" t="s">
        <v>14290</v>
      </c>
      <c r="F407" t="s">
        <v>15336</v>
      </c>
      <c r="H407">
        <v>93521892</v>
      </c>
      <c r="I407" t="s">
        <v>14292</v>
      </c>
      <c r="L407" t="s">
        <v>15455</v>
      </c>
      <c r="M407">
        <v>246</v>
      </c>
      <c r="N407" t="s">
        <v>15456</v>
      </c>
    </row>
    <row r="408" spans="1:14">
      <c r="A408" t="s">
        <v>9256</v>
      </c>
      <c r="B408">
        <v>480498</v>
      </c>
      <c r="C408">
        <v>481565</v>
      </c>
      <c r="E408" t="s">
        <v>14290</v>
      </c>
      <c r="F408" t="s">
        <v>15457</v>
      </c>
      <c r="H408">
        <v>93521893</v>
      </c>
      <c r="I408" t="s">
        <v>14292</v>
      </c>
      <c r="L408" t="s">
        <v>15458</v>
      </c>
      <c r="M408">
        <v>355</v>
      </c>
      <c r="N408" t="s">
        <v>15459</v>
      </c>
    </row>
    <row r="409" spans="1:14">
      <c r="A409" t="s">
        <v>9256</v>
      </c>
      <c r="B409">
        <v>481592</v>
      </c>
      <c r="C409">
        <v>483247</v>
      </c>
      <c r="E409" t="s">
        <v>14290</v>
      </c>
      <c r="F409" t="s">
        <v>15460</v>
      </c>
      <c r="H409">
        <v>93521894</v>
      </c>
      <c r="I409" t="s">
        <v>14292</v>
      </c>
      <c r="L409" t="s">
        <v>15461</v>
      </c>
      <c r="M409">
        <v>551</v>
      </c>
      <c r="N409" t="s">
        <v>15462</v>
      </c>
    </row>
    <row r="410" spans="1:14">
      <c r="A410" t="s">
        <v>9256</v>
      </c>
      <c r="B410">
        <v>483279</v>
      </c>
      <c r="C410">
        <v>483743</v>
      </c>
      <c r="E410" t="s">
        <v>14290</v>
      </c>
      <c r="F410" t="s">
        <v>14291</v>
      </c>
      <c r="H410">
        <v>93521895</v>
      </c>
      <c r="I410" t="s">
        <v>14292</v>
      </c>
      <c r="L410" t="s">
        <v>15463</v>
      </c>
      <c r="M410">
        <v>154</v>
      </c>
      <c r="N410" t="s">
        <v>15464</v>
      </c>
    </row>
    <row r="411" spans="1:14">
      <c r="A411" t="s">
        <v>9256</v>
      </c>
      <c r="B411">
        <v>483750</v>
      </c>
      <c r="C411">
        <v>484733</v>
      </c>
      <c r="E411" t="s">
        <v>14290</v>
      </c>
      <c r="F411" t="s">
        <v>15465</v>
      </c>
      <c r="G411" t="s">
        <v>15466</v>
      </c>
      <c r="H411">
        <v>93521896</v>
      </c>
      <c r="I411" t="s">
        <v>14292</v>
      </c>
      <c r="L411" t="s">
        <v>15467</v>
      </c>
      <c r="M411">
        <v>327</v>
      </c>
      <c r="N411" t="s">
        <v>15468</v>
      </c>
    </row>
    <row r="412" spans="1:14">
      <c r="A412" t="s">
        <v>9256</v>
      </c>
      <c r="B412">
        <v>484730</v>
      </c>
      <c r="C412">
        <v>486010</v>
      </c>
      <c r="E412" t="s">
        <v>14290</v>
      </c>
      <c r="F412" t="s">
        <v>15469</v>
      </c>
      <c r="G412" t="s">
        <v>15470</v>
      </c>
      <c r="H412">
        <v>93521897</v>
      </c>
      <c r="I412" t="s">
        <v>14292</v>
      </c>
      <c r="L412" t="s">
        <v>15471</v>
      </c>
      <c r="M412">
        <v>426</v>
      </c>
      <c r="N412" t="s">
        <v>15472</v>
      </c>
    </row>
    <row r="413" spans="1:14">
      <c r="A413" t="s">
        <v>9256</v>
      </c>
      <c r="B413">
        <v>486041</v>
      </c>
      <c r="C413">
        <v>487204</v>
      </c>
      <c r="E413" t="s">
        <v>14290</v>
      </c>
      <c r="F413" t="s">
        <v>15473</v>
      </c>
      <c r="H413">
        <v>93521898</v>
      </c>
      <c r="I413" t="s">
        <v>14292</v>
      </c>
      <c r="L413" t="s">
        <v>15474</v>
      </c>
      <c r="M413">
        <v>387</v>
      </c>
      <c r="N413" t="s">
        <v>15475</v>
      </c>
    </row>
    <row r="414" spans="1:14">
      <c r="A414" t="s">
        <v>9256</v>
      </c>
      <c r="B414">
        <v>487249</v>
      </c>
      <c r="C414">
        <v>487914</v>
      </c>
      <c r="E414" t="s">
        <v>14290</v>
      </c>
      <c r="F414" t="s">
        <v>15476</v>
      </c>
      <c r="H414">
        <v>93521899</v>
      </c>
      <c r="I414" t="s">
        <v>14292</v>
      </c>
      <c r="L414" t="s">
        <v>15477</v>
      </c>
      <c r="M414">
        <v>221</v>
      </c>
      <c r="N414" t="s">
        <v>15478</v>
      </c>
    </row>
    <row r="415" spans="1:14">
      <c r="A415" t="s">
        <v>9256</v>
      </c>
      <c r="B415">
        <v>487905</v>
      </c>
      <c r="C415">
        <v>488666</v>
      </c>
      <c r="E415" t="s">
        <v>14290</v>
      </c>
      <c r="F415" t="s">
        <v>15479</v>
      </c>
      <c r="G415" t="s">
        <v>15480</v>
      </c>
      <c r="H415">
        <v>93521900</v>
      </c>
      <c r="I415" t="s">
        <v>14292</v>
      </c>
      <c r="L415" t="s">
        <v>15481</v>
      </c>
      <c r="M415">
        <v>253</v>
      </c>
      <c r="N415" t="s">
        <v>15482</v>
      </c>
    </row>
    <row r="416" spans="1:14">
      <c r="A416" t="s">
        <v>9256</v>
      </c>
      <c r="B416">
        <v>488886</v>
      </c>
      <c r="C416">
        <v>489566</v>
      </c>
      <c r="E416" t="s">
        <v>14290</v>
      </c>
      <c r="F416" t="s">
        <v>15483</v>
      </c>
      <c r="G416" t="s">
        <v>15484</v>
      </c>
      <c r="H416">
        <v>93521901</v>
      </c>
      <c r="I416" t="s">
        <v>14292</v>
      </c>
      <c r="L416" t="s">
        <v>15485</v>
      </c>
      <c r="M416">
        <v>226</v>
      </c>
      <c r="N416" t="s">
        <v>15486</v>
      </c>
    </row>
    <row r="417" spans="1:14">
      <c r="A417" t="s">
        <v>9256</v>
      </c>
      <c r="B417">
        <v>489574</v>
      </c>
      <c r="C417">
        <v>489966</v>
      </c>
      <c r="E417" t="s">
        <v>14314</v>
      </c>
      <c r="F417" t="s">
        <v>15487</v>
      </c>
      <c r="H417">
        <v>93521902</v>
      </c>
      <c r="I417" t="s">
        <v>14292</v>
      </c>
      <c r="L417" t="s">
        <v>15488</v>
      </c>
      <c r="M417">
        <v>130</v>
      </c>
      <c r="N417" t="s">
        <v>15489</v>
      </c>
    </row>
    <row r="418" spans="1:14">
      <c r="A418" t="s">
        <v>9256</v>
      </c>
      <c r="B418">
        <v>490204</v>
      </c>
      <c r="C418">
        <v>493290</v>
      </c>
      <c r="E418" t="s">
        <v>14290</v>
      </c>
      <c r="F418" t="s">
        <v>14965</v>
      </c>
      <c r="H418">
        <v>93521903</v>
      </c>
      <c r="I418" t="s">
        <v>14292</v>
      </c>
      <c r="L418" t="s">
        <v>15490</v>
      </c>
      <c r="M418">
        <v>1028</v>
      </c>
      <c r="N418" t="s">
        <v>15491</v>
      </c>
    </row>
    <row r="419" spans="1:14">
      <c r="A419" t="s">
        <v>9256</v>
      </c>
      <c r="B419">
        <v>493324</v>
      </c>
      <c r="C419">
        <v>494811</v>
      </c>
      <c r="E419" t="s">
        <v>14290</v>
      </c>
      <c r="F419" t="s">
        <v>15179</v>
      </c>
      <c r="H419">
        <v>93521904</v>
      </c>
      <c r="I419" t="s">
        <v>14292</v>
      </c>
      <c r="L419" t="s">
        <v>15492</v>
      </c>
      <c r="M419">
        <v>495</v>
      </c>
      <c r="N419" t="s">
        <v>15493</v>
      </c>
    </row>
    <row r="420" spans="1:14">
      <c r="A420" t="s">
        <v>9256</v>
      </c>
      <c r="B420">
        <v>494866</v>
      </c>
      <c r="C420">
        <v>495447</v>
      </c>
      <c r="E420" t="s">
        <v>14314</v>
      </c>
      <c r="F420" t="s">
        <v>15494</v>
      </c>
      <c r="H420">
        <v>93521905</v>
      </c>
      <c r="I420" t="s">
        <v>14292</v>
      </c>
      <c r="L420" t="s">
        <v>15495</v>
      </c>
      <c r="M420">
        <v>193</v>
      </c>
      <c r="N420" t="s">
        <v>15496</v>
      </c>
    </row>
    <row r="421" spans="1:14">
      <c r="A421" t="s">
        <v>9256</v>
      </c>
      <c r="B421">
        <v>495541</v>
      </c>
      <c r="C421">
        <v>496377</v>
      </c>
      <c r="E421" t="s">
        <v>14314</v>
      </c>
      <c r="F421" t="s">
        <v>14406</v>
      </c>
      <c r="H421">
        <v>93521906</v>
      </c>
      <c r="I421" t="s">
        <v>14292</v>
      </c>
      <c r="L421" t="s">
        <v>15497</v>
      </c>
      <c r="M421">
        <v>278</v>
      </c>
      <c r="N421" t="s">
        <v>15498</v>
      </c>
    </row>
    <row r="422" spans="1:14">
      <c r="A422" t="s">
        <v>9256</v>
      </c>
      <c r="B422">
        <v>496497</v>
      </c>
      <c r="C422">
        <v>496967</v>
      </c>
      <c r="E422" t="s">
        <v>14314</v>
      </c>
      <c r="F422" t="s">
        <v>15499</v>
      </c>
      <c r="G422" t="s">
        <v>15500</v>
      </c>
      <c r="H422">
        <v>93521907</v>
      </c>
      <c r="I422" t="s">
        <v>14292</v>
      </c>
      <c r="L422" t="s">
        <v>15501</v>
      </c>
      <c r="M422">
        <v>156</v>
      </c>
      <c r="N422" t="s">
        <v>15502</v>
      </c>
    </row>
    <row r="423" spans="1:14">
      <c r="A423" t="s">
        <v>9256</v>
      </c>
      <c r="B423">
        <v>497186</v>
      </c>
      <c r="C423">
        <v>498091</v>
      </c>
      <c r="E423" t="s">
        <v>14314</v>
      </c>
      <c r="F423" t="s">
        <v>14919</v>
      </c>
      <c r="H423">
        <v>93521908</v>
      </c>
      <c r="I423" t="s">
        <v>14292</v>
      </c>
      <c r="L423" t="s">
        <v>15503</v>
      </c>
      <c r="M423">
        <v>301</v>
      </c>
      <c r="N423" t="s">
        <v>15504</v>
      </c>
    </row>
    <row r="424" spans="1:14">
      <c r="A424" t="s">
        <v>9256</v>
      </c>
      <c r="B424">
        <v>498113</v>
      </c>
      <c r="C424">
        <v>498577</v>
      </c>
      <c r="E424" t="s">
        <v>14314</v>
      </c>
      <c r="F424" t="s">
        <v>14291</v>
      </c>
      <c r="H424">
        <v>93521909</v>
      </c>
      <c r="I424" t="s">
        <v>14292</v>
      </c>
      <c r="L424" t="s">
        <v>15505</v>
      </c>
      <c r="M424">
        <v>154</v>
      </c>
      <c r="N424" t="s">
        <v>15506</v>
      </c>
    </row>
    <row r="425" spans="1:14">
      <c r="A425" t="s">
        <v>9256</v>
      </c>
      <c r="B425">
        <v>498591</v>
      </c>
      <c r="C425">
        <v>499136</v>
      </c>
      <c r="E425" t="s">
        <v>14314</v>
      </c>
      <c r="F425" t="s">
        <v>14291</v>
      </c>
      <c r="H425">
        <v>93521910</v>
      </c>
      <c r="I425" t="s">
        <v>14292</v>
      </c>
      <c r="L425" t="s">
        <v>15507</v>
      </c>
      <c r="M425">
        <v>181</v>
      </c>
      <c r="N425" t="s">
        <v>15508</v>
      </c>
    </row>
    <row r="426" spans="1:14">
      <c r="A426" t="s">
        <v>9256</v>
      </c>
      <c r="B426">
        <v>499127</v>
      </c>
      <c r="C426">
        <v>499678</v>
      </c>
      <c r="E426" t="s">
        <v>14314</v>
      </c>
      <c r="F426" t="s">
        <v>15442</v>
      </c>
      <c r="H426">
        <v>93521911</v>
      </c>
      <c r="I426" t="s">
        <v>14292</v>
      </c>
      <c r="L426" t="s">
        <v>15509</v>
      </c>
      <c r="M426">
        <v>183</v>
      </c>
      <c r="N426" t="s">
        <v>15510</v>
      </c>
    </row>
    <row r="427" spans="1:14">
      <c r="A427" t="s">
        <v>9256</v>
      </c>
      <c r="B427">
        <v>499748</v>
      </c>
      <c r="C427">
        <v>500200</v>
      </c>
      <c r="E427" t="s">
        <v>14290</v>
      </c>
      <c r="F427" t="s">
        <v>15511</v>
      </c>
      <c r="H427">
        <v>93521912</v>
      </c>
      <c r="I427" t="s">
        <v>14292</v>
      </c>
      <c r="L427" t="s">
        <v>15512</v>
      </c>
      <c r="M427">
        <v>150</v>
      </c>
      <c r="N427" t="s">
        <v>15513</v>
      </c>
    </row>
    <row r="428" spans="1:14">
      <c r="A428" t="s">
        <v>9256</v>
      </c>
      <c r="B428">
        <v>500278</v>
      </c>
      <c r="C428">
        <v>500958</v>
      </c>
      <c r="E428" t="s">
        <v>14290</v>
      </c>
      <c r="F428" t="s">
        <v>14490</v>
      </c>
      <c r="H428">
        <v>93521913</v>
      </c>
      <c r="I428" t="s">
        <v>14292</v>
      </c>
      <c r="L428" t="s">
        <v>15514</v>
      </c>
      <c r="M428">
        <v>226</v>
      </c>
      <c r="N428" t="s">
        <v>15515</v>
      </c>
    </row>
    <row r="429" spans="1:14">
      <c r="A429" t="s">
        <v>9256</v>
      </c>
      <c r="B429">
        <v>500961</v>
      </c>
      <c r="C429">
        <v>502232</v>
      </c>
      <c r="E429" t="s">
        <v>14290</v>
      </c>
      <c r="F429" t="s">
        <v>14493</v>
      </c>
      <c r="H429">
        <v>93521914</v>
      </c>
      <c r="I429" t="s">
        <v>14292</v>
      </c>
      <c r="L429" t="s">
        <v>15516</v>
      </c>
      <c r="M429">
        <v>423</v>
      </c>
      <c r="N429" t="s">
        <v>15517</v>
      </c>
    </row>
    <row r="430" spans="1:14">
      <c r="A430" t="s">
        <v>9256</v>
      </c>
      <c r="B430">
        <v>502300</v>
      </c>
      <c r="C430">
        <v>502743</v>
      </c>
      <c r="E430" t="s">
        <v>14290</v>
      </c>
      <c r="F430" t="s">
        <v>15511</v>
      </c>
      <c r="H430">
        <v>93521915</v>
      </c>
      <c r="I430" t="s">
        <v>14292</v>
      </c>
      <c r="L430" t="s">
        <v>15518</v>
      </c>
      <c r="M430">
        <v>147</v>
      </c>
      <c r="N430" t="s">
        <v>15519</v>
      </c>
    </row>
    <row r="431" spans="1:14">
      <c r="A431" t="s">
        <v>9256</v>
      </c>
      <c r="B431">
        <v>502793</v>
      </c>
      <c r="C431">
        <v>503635</v>
      </c>
      <c r="E431" t="s">
        <v>14290</v>
      </c>
      <c r="F431" t="s">
        <v>15511</v>
      </c>
      <c r="H431">
        <v>93521916</v>
      </c>
      <c r="I431" t="s">
        <v>14292</v>
      </c>
      <c r="L431" t="s">
        <v>15520</v>
      </c>
      <c r="M431">
        <v>280</v>
      </c>
      <c r="N431" t="s">
        <v>15521</v>
      </c>
    </row>
    <row r="432" spans="1:14">
      <c r="A432" t="s">
        <v>9256</v>
      </c>
      <c r="B432">
        <v>503745</v>
      </c>
      <c r="C432">
        <v>504374</v>
      </c>
      <c r="E432" t="s">
        <v>14314</v>
      </c>
      <c r="F432" t="s">
        <v>15522</v>
      </c>
      <c r="H432">
        <v>93521917</v>
      </c>
      <c r="I432" t="s">
        <v>14292</v>
      </c>
      <c r="L432" t="s">
        <v>15523</v>
      </c>
      <c r="M432">
        <v>209</v>
      </c>
      <c r="N432" t="s">
        <v>15524</v>
      </c>
    </row>
    <row r="433" spans="1:14">
      <c r="A433" t="s">
        <v>9256</v>
      </c>
      <c r="B433">
        <v>504386</v>
      </c>
      <c r="C433">
        <v>505282</v>
      </c>
      <c r="E433" t="s">
        <v>14314</v>
      </c>
      <c r="F433" t="s">
        <v>15525</v>
      </c>
      <c r="H433">
        <v>93521918</v>
      </c>
      <c r="I433" t="s">
        <v>14292</v>
      </c>
      <c r="L433" t="s">
        <v>15526</v>
      </c>
      <c r="M433">
        <v>298</v>
      </c>
      <c r="N433" t="s">
        <v>15527</v>
      </c>
    </row>
    <row r="434" spans="1:14">
      <c r="A434" t="s">
        <v>9256</v>
      </c>
      <c r="B434">
        <v>505286</v>
      </c>
      <c r="C434">
        <v>506044</v>
      </c>
      <c r="E434" t="s">
        <v>14314</v>
      </c>
      <c r="F434" t="s">
        <v>15528</v>
      </c>
      <c r="G434" t="s">
        <v>15529</v>
      </c>
      <c r="H434">
        <v>93521919</v>
      </c>
      <c r="I434" t="s">
        <v>14292</v>
      </c>
      <c r="L434" t="s">
        <v>15530</v>
      </c>
      <c r="M434">
        <v>252</v>
      </c>
      <c r="N434" t="s">
        <v>15531</v>
      </c>
    </row>
    <row r="435" spans="1:14">
      <c r="A435" t="s">
        <v>9256</v>
      </c>
      <c r="B435">
        <v>506175</v>
      </c>
      <c r="C435">
        <v>507773</v>
      </c>
      <c r="E435" t="s">
        <v>14290</v>
      </c>
      <c r="F435" t="s">
        <v>15532</v>
      </c>
      <c r="H435">
        <v>93521920</v>
      </c>
      <c r="I435" t="s">
        <v>14292</v>
      </c>
      <c r="L435" t="s">
        <v>15533</v>
      </c>
      <c r="M435">
        <v>532</v>
      </c>
      <c r="N435" t="s">
        <v>15534</v>
      </c>
    </row>
    <row r="436" spans="1:14">
      <c r="A436" t="s">
        <v>9256</v>
      </c>
      <c r="B436">
        <v>507801</v>
      </c>
      <c r="C436">
        <v>509768</v>
      </c>
      <c r="E436" t="s">
        <v>14290</v>
      </c>
      <c r="F436" t="s">
        <v>15535</v>
      </c>
      <c r="H436">
        <v>93521921</v>
      </c>
      <c r="I436" t="s">
        <v>14292</v>
      </c>
      <c r="L436" t="s">
        <v>15536</v>
      </c>
      <c r="M436">
        <v>655</v>
      </c>
      <c r="N436" t="s">
        <v>15537</v>
      </c>
    </row>
    <row r="437" spans="1:14">
      <c r="A437" t="s">
        <v>9256</v>
      </c>
      <c r="B437">
        <v>509790</v>
      </c>
      <c r="C437">
        <v>510152</v>
      </c>
      <c r="E437" t="s">
        <v>14290</v>
      </c>
      <c r="F437" t="s">
        <v>15538</v>
      </c>
      <c r="H437">
        <v>93521922</v>
      </c>
      <c r="I437" t="s">
        <v>14292</v>
      </c>
      <c r="L437" t="s">
        <v>15539</v>
      </c>
      <c r="M437">
        <v>120</v>
      </c>
      <c r="N437" t="s">
        <v>15540</v>
      </c>
    </row>
    <row r="438" spans="1:14">
      <c r="A438" t="s">
        <v>9256</v>
      </c>
      <c r="B438">
        <v>510245</v>
      </c>
      <c r="C438">
        <v>512389</v>
      </c>
      <c r="E438" t="s">
        <v>14290</v>
      </c>
      <c r="F438" t="s">
        <v>15541</v>
      </c>
      <c r="H438">
        <v>93521923</v>
      </c>
      <c r="I438" t="s">
        <v>14292</v>
      </c>
      <c r="L438" t="s">
        <v>15542</v>
      </c>
      <c r="M438">
        <v>714</v>
      </c>
      <c r="N438" t="s">
        <v>15543</v>
      </c>
    </row>
    <row r="439" spans="1:14">
      <c r="A439" t="s">
        <v>9256</v>
      </c>
      <c r="B439">
        <v>512360</v>
      </c>
      <c r="C439">
        <v>513727</v>
      </c>
      <c r="E439" t="s">
        <v>14314</v>
      </c>
      <c r="F439" t="s">
        <v>14445</v>
      </c>
      <c r="H439">
        <v>93521924</v>
      </c>
      <c r="I439" t="s">
        <v>14292</v>
      </c>
      <c r="L439" t="s">
        <v>15544</v>
      </c>
      <c r="M439">
        <v>455</v>
      </c>
      <c r="N439" t="s">
        <v>15545</v>
      </c>
    </row>
    <row r="440" spans="1:14">
      <c r="A440" t="s">
        <v>9256</v>
      </c>
      <c r="B440">
        <v>513734</v>
      </c>
      <c r="C440">
        <v>514357</v>
      </c>
      <c r="E440" t="s">
        <v>14314</v>
      </c>
      <c r="F440" t="s">
        <v>15546</v>
      </c>
      <c r="H440">
        <v>93521925</v>
      </c>
      <c r="I440" t="s">
        <v>14292</v>
      </c>
      <c r="L440" t="s">
        <v>15547</v>
      </c>
      <c r="M440">
        <v>207</v>
      </c>
      <c r="N440" t="s">
        <v>15548</v>
      </c>
    </row>
    <row r="441" spans="1:14">
      <c r="A441" t="s">
        <v>9256</v>
      </c>
      <c r="B441">
        <v>514447</v>
      </c>
      <c r="C441">
        <v>516453</v>
      </c>
      <c r="E441" t="s">
        <v>14290</v>
      </c>
      <c r="F441" t="s">
        <v>14291</v>
      </c>
      <c r="H441">
        <v>93521926</v>
      </c>
      <c r="I441" t="s">
        <v>14292</v>
      </c>
      <c r="L441" t="s">
        <v>15549</v>
      </c>
      <c r="M441">
        <v>668</v>
      </c>
      <c r="N441" t="s">
        <v>15550</v>
      </c>
    </row>
    <row r="442" spans="1:14">
      <c r="A442" t="s">
        <v>9256</v>
      </c>
      <c r="B442">
        <v>516524</v>
      </c>
      <c r="C442">
        <v>517522</v>
      </c>
      <c r="E442" t="s">
        <v>14314</v>
      </c>
      <c r="F442" t="s">
        <v>15551</v>
      </c>
      <c r="H442">
        <v>93521927</v>
      </c>
      <c r="I442" t="s">
        <v>14292</v>
      </c>
      <c r="L442" t="s">
        <v>15552</v>
      </c>
      <c r="M442">
        <v>332</v>
      </c>
      <c r="N442" t="s">
        <v>15553</v>
      </c>
    </row>
    <row r="443" spans="1:14">
      <c r="A443" t="s">
        <v>9256</v>
      </c>
      <c r="B443">
        <v>517746</v>
      </c>
      <c r="C443">
        <v>518000</v>
      </c>
      <c r="E443" t="s">
        <v>14290</v>
      </c>
      <c r="F443" t="s">
        <v>15554</v>
      </c>
      <c r="H443">
        <v>93521928</v>
      </c>
      <c r="I443" t="s">
        <v>14292</v>
      </c>
      <c r="L443" t="s">
        <v>15555</v>
      </c>
      <c r="M443">
        <v>84</v>
      </c>
      <c r="N443" t="s">
        <v>15556</v>
      </c>
    </row>
    <row r="444" spans="1:14">
      <c r="A444" t="s">
        <v>9256</v>
      </c>
      <c r="B444">
        <v>518090</v>
      </c>
      <c r="C444">
        <v>519187</v>
      </c>
      <c r="E444" t="s">
        <v>14290</v>
      </c>
      <c r="F444" t="s">
        <v>15557</v>
      </c>
      <c r="H444">
        <v>93521929</v>
      </c>
      <c r="I444" t="s">
        <v>14292</v>
      </c>
      <c r="L444" t="s">
        <v>15558</v>
      </c>
      <c r="M444">
        <v>365</v>
      </c>
      <c r="N444" t="s">
        <v>15559</v>
      </c>
    </row>
    <row r="445" spans="1:14">
      <c r="A445" t="s">
        <v>9256</v>
      </c>
      <c r="B445">
        <v>519253</v>
      </c>
      <c r="C445">
        <v>519645</v>
      </c>
      <c r="E445" t="s">
        <v>14314</v>
      </c>
      <c r="F445" t="s">
        <v>15560</v>
      </c>
      <c r="H445">
        <v>93521930</v>
      </c>
      <c r="I445" t="s">
        <v>14292</v>
      </c>
      <c r="L445" t="s">
        <v>15561</v>
      </c>
      <c r="M445">
        <v>130</v>
      </c>
      <c r="N445" t="s">
        <v>15562</v>
      </c>
    </row>
    <row r="446" spans="1:14">
      <c r="A446" t="s">
        <v>9256</v>
      </c>
      <c r="B446">
        <v>519959</v>
      </c>
      <c r="C446">
        <v>521260</v>
      </c>
      <c r="E446" t="s">
        <v>14314</v>
      </c>
      <c r="F446" t="s">
        <v>14493</v>
      </c>
      <c r="H446">
        <v>93521931</v>
      </c>
      <c r="I446" t="s">
        <v>14292</v>
      </c>
      <c r="L446" t="s">
        <v>15563</v>
      </c>
      <c r="M446">
        <v>433</v>
      </c>
      <c r="N446" t="s">
        <v>15564</v>
      </c>
    </row>
    <row r="447" spans="1:14">
      <c r="A447" t="s">
        <v>9256</v>
      </c>
      <c r="B447">
        <v>521273</v>
      </c>
      <c r="C447">
        <v>522643</v>
      </c>
      <c r="E447" t="s">
        <v>14314</v>
      </c>
      <c r="F447" t="s">
        <v>14864</v>
      </c>
      <c r="H447">
        <v>93521932</v>
      </c>
      <c r="I447" t="s">
        <v>14292</v>
      </c>
      <c r="L447" t="s">
        <v>15565</v>
      </c>
      <c r="M447">
        <v>456</v>
      </c>
      <c r="N447" t="s">
        <v>15566</v>
      </c>
    </row>
    <row r="448" spans="1:14">
      <c r="A448" t="s">
        <v>9256</v>
      </c>
      <c r="B448">
        <v>522653</v>
      </c>
      <c r="C448">
        <v>524137</v>
      </c>
      <c r="E448" t="s">
        <v>14314</v>
      </c>
      <c r="F448" t="s">
        <v>14545</v>
      </c>
      <c r="H448">
        <v>93521933</v>
      </c>
      <c r="I448" t="s">
        <v>14292</v>
      </c>
      <c r="L448" t="s">
        <v>15567</v>
      </c>
      <c r="M448">
        <v>494</v>
      </c>
      <c r="N448" t="s">
        <v>15568</v>
      </c>
    </row>
    <row r="449" spans="1:14">
      <c r="A449" t="s">
        <v>9256</v>
      </c>
      <c r="B449">
        <v>524263</v>
      </c>
      <c r="C449">
        <v>524967</v>
      </c>
      <c r="E449" t="s">
        <v>14314</v>
      </c>
      <c r="F449" t="s">
        <v>14498</v>
      </c>
      <c r="H449">
        <v>93521934</v>
      </c>
      <c r="I449" t="s">
        <v>14292</v>
      </c>
      <c r="L449" t="s">
        <v>15569</v>
      </c>
      <c r="M449">
        <v>234</v>
      </c>
      <c r="N449" t="s">
        <v>15570</v>
      </c>
    </row>
    <row r="450" spans="1:14">
      <c r="A450" t="s">
        <v>9256</v>
      </c>
      <c r="B450">
        <v>524969</v>
      </c>
      <c r="C450">
        <v>526009</v>
      </c>
      <c r="E450" t="s">
        <v>14314</v>
      </c>
      <c r="F450" t="s">
        <v>14493</v>
      </c>
      <c r="H450">
        <v>93521935</v>
      </c>
      <c r="I450" t="s">
        <v>14292</v>
      </c>
      <c r="L450" t="s">
        <v>15571</v>
      </c>
      <c r="M450">
        <v>346</v>
      </c>
      <c r="N450" t="s">
        <v>15572</v>
      </c>
    </row>
    <row r="451" spans="1:14">
      <c r="A451" t="s">
        <v>9256</v>
      </c>
      <c r="B451">
        <v>526228</v>
      </c>
      <c r="C451">
        <v>526605</v>
      </c>
      <c r="E451" t="s">
        <v>14290</v>
      </c>
      <c r="F451" t="s">
        <v>15573</v>
      </c>
      <c r="H451">
        <v>93521936</v>
      </c>
      <c r="I451" t="s">
        <v>14292</v>
      </c>
      <c r="L451" t="s">
        <v>15574</v>
      </c>
      <c r="M451">
        <v>125</v>
      </c>
      <c r="N451" t="s">
        <v>15575</v>
      </c>
    </row>
    <row r="452" spans="1:14">
      <c r="A452" t="s">
        <v>9256</v>
      </c>
      <c r="B452">
        <v>526610</v>
      </c>
      <c r="C452">
        <v>527167</v>
      </c>
      <c r="E452" t="s">
        <v>14290</v>
      </c>
      <c r="F452" t="s">
        <v>14474</v>
      </c>
      <c r="H452">
        <v>93521937</v>
      </c>
      <c r="I452" t="s">
        <v>14292</v>
      </c>
      <c r="L452" t="s">
        <v>15576</v>
      </c>
      <c r="M452">
        <v>185</v>
      </c>
      <c r="N452" t="s">
        <v>15577</v>
      </c>
    </row>
    <row r="453" spans="1:14">
      <c r="A453" t="s">
        <v>9256</v>
      </c>
      <c r="B453">
        <v>527266</v>
      </c>
      <c r="C453">
        <v>528528</v>
      </c>
      <c r="E453" t="s">
        <v>14314</v>
      </c>
      <c r="F453" t="s">
        <v>14562</v>
      </c>
      <c r="H453">
        <v>93521938</v>
      </c>
      <c r="I453" t="s">
        <v>14292</v>
      </c>
      <c r="L453" t="s">
        <v>15578</v>
      </c>
      <c r="M453">
        <v>420</v>
      </c>
      <c r="N453" t="s">
        <v>15579</v>
      </c>
    </row>
    <row r="454" spans="1:14">
      <c r="A454" t="s">
        <v>9256</v>
      </c>
      <c r="B454">
        <v>528572</v>
      </c>
      <c r="C454">
        <v>529861</v>
      </c>
      <c r="E454" t="s">
        <v>14314</v>
      </c>
      <c r="F454" t="s">
        <v>14562</v>
      </c>
      <c r="H454">
        <v>93521939</v>
      </c>
      <c r="I454" t="s">
        <v>14292</v>
      </c>
      <c r="L454" t="s">
        <v>15580</v>
      </c>
      <c r="M454">
        <v>429</v>
      </c>
      <c r="N454" t="s">
        <v>15581</v>
      </c>
    </row>
    <row r="455" spans="1:14">
      <c r="A455" t="s">
        <v>9256</v>
      </c>
      <c r="B455">
        <v>529937</v>
      </c>
      <c r="C455">
        <v>531235</v>
      </c>
      <c r="E455" t="s">
        <v>14314</v>
      </c>
      <c r="F455" t="s">
        <v>14562</v>
      </c>
      <c r="H455">
        <v>93521940</v>
      </c>
      <c r="I455" t="s">
        <v>14292</v>
      </c>
      <c r="L455" t="s">
        <v>15582</v>
      </c>
      <c r="M455">
        <v>432</v>
      </c>
      <c r="N455" t="s">
        <v>15583</v>
      </c>
    </row>
    <row r="456" spans="1:14">
      <c r="A456" t="s">
        <v>9256</v>
      </c>
      <c r="B456">
        <v>531253</v>
      </c>
      <c r="C456">
        <v>532572</v>
      </c>
      <c r="E456" t="s">
        <v>14314</v>
      </c>
      <c r="F456" t="s">
        <v>14562</v>
      </c>
      <c r="H456">
        <v>93521941</v>
      </c>
      <c r="I456" t="s">
        <v>14292</v>
      </c>
      <c r="L456" t="s">
        <v>15584</v>
      </c>
      <c r="M456">
        <v>439</v>
      </c>
      <c r="N456" t="s">
        <v>15585</v>
      </c>
    </row>
    <row r="457" spans="1:14">
      <c r="A457" t="s">
        <v>9256</v>
      </c>
      <c r="B457">
        <v>532649</v>
      </c>
      <c r="C457">
        <v>533917</v>
      </c>
      <c r="E457" t="s">
        <v>14314</v>
      </c>
      <c r="F457" t="s">
        <v>14562</v>
      </c>
      <c r="H457">
        <v>93521942</v>
      </c>
      <c r="I457" t="s">
        <v>14292</v>
      </c>
      <c r="L457" t="s">
        <v>15586</v>
      </c>
      <c r="M457">
        <v>422</v>
      </c>
      <c r="N457" t="s">
        <v>15587</v>
      </c>
    </row>
    <row r="458" spans="1:14">
      <c r="A458" t="s">
        <v>9256</v>
      </c>
      <c r="B458">
        <v>533927</v>
      </c>
      <c r="C458">
        <v>535228</v>
      </c>
      <c r="E458" t="s">
        <v>14314</v>
      </c>
      <c r="F458" t="s">
        <v>14562</v>
      </c>
      <c r="H458">
        <v>93521943</v>
      </c>
      <c r="I458" t="s">
        <v>14292</v>
      </c>
      <c r="L458" t="s">
        <v>15588</v>
      </c>
      <c r="M458">
        <v>433</v>
      </c>
      <c r="N458" t="s">
        <v>15589</v>
      </c>
    </row>
    <row r="459" spans="1:14">
      <c r="A459" t="s">
        <v>9256</v>
      </c>
      <c r="B459">
        <v>535370</v>
      </c>
      <c r="C459">
        <v>535705</v>
      </c>
      <c r="E459" t="s">
        <v>14290</v>
      </c>
      <c r="F459" t="s">
        <v>15590</v>
      </c>
      <c r="H459">
        <v>93521944</v>
      </c>
      <c r="I459" t="s">
        <v>14292</v>
      </c>
      <c r="L459" t="s">
        <v>15591</v>
      </c>
      <c r="M459">
        <v>111</v>
      </c>
      <c r="N459" t="s">
        <v>15592</v>
      </c>
    </row>
    <row r="460" spans="1:14">
      <c r="A460" t="s">
        <v>9256</v>
      </c>
      <c r="B460">
        <v>535827</v>
      </c>
      <c r="C460">
        <v>536492</v>
      </c>
      <c r="E460" t="s">
        <v>14314</v>
      </c>
      <c r="F460" t="s">
        <v>14403</v>
      </c>
      <c r="H460">
        <v>93521945</v>
      </c>
      <c r="I460" t="s">
        <v>14292</v>
      </c>
      <c r="L460" t="s">
        <v>15593</v>
      </c>
      <c r="M460">
        <v>221</v>
      </c>
      <c r="N460" t="s">
        <v>15594</v>
      </c>
    </row>
    <row r="461" spans="1:14">
      <c r="A461" t="s">
        <v>9256</v>
      </c>
      <c r="B461">
        <v>536720</v>
      </c>
      <c r="C461">
        <v>537991</v>
      </c>
      <c r="E461" t="s">
        <v>14314</v>
      </c>
      <c r="F461" t="s">
        <v>14562</v>
      </c>
      <c r="H461">
        <v>93521946</v>
      </c>
      <c r="I461" t="s">
        <v>14292</v>
      </c>
      <c r="L461" t="s">
        <v>15595</v>
      </c>
      <c r="M461">
        <v>423</v>
      </c>
      <c r="N461" t="s">
        <v>15596</v>
      </c>
    </row>
    <row r="462" spans="1:14">
      <c r="A462" t="s">
        <v>9256</v>
      </c>
      <c r="B462">
        <v>537996</v>
      </c>
      <c r="C462">
        <v>539258</v>
      </c>
      <c r="E462" t="s">
        <v>14314</v>
      </c>
      <c r="F462" t="s">
        <v>14562</v>
      </c>
      <c r="H462">
        <v>93521947</v>
      </c>
      <c r="I462" t="s">
        <v>14292</v>
      </c>
      <c r="L462" t="s">
        <v>15597</v>
      </c>
      <c r="M462">
        <v>420</v>
      </c>
      <c r="N462" t="s">
        <v>15598</v>
      </c>
    </row>
    <row r="463" spans="1:14">
      <c r="A463" t="s">
        <v>9256</v>
      </c>
      <c r="B463">
        <v>539457</v>
      </c>
      <c r="C463">
        <v>539735</v>
      </c>
      <c r="E463" t="s">
        <v>14314</v>
      </c>
      <c r="F463" t="s">
        <v>14291</v>
      </c>
      <c r="H463">
        <v>93521948</v>
      </c>
      <c r="I463" t="s">
        <v>14292</v>
      </c>
      <c r="L463" t="s">
        <v>15599</v>
      </c>
      <c r="M463">
        <v>92</v>
      </c>
      <c r="N463" t="s">
        <v>15600</v>
      </c>
    </row>
    <row r="464" spans="1:14">
      <c r="A464" t="s">
        <v>9256</v>
      </c>
      <c r="B464">
        <v>539797</v>
      </c>
      <c r="C464">
        <v>540078</v>
      </c>
      <c r="E464" t="s">
        <v>14314</v>
      </c>
      <c r="F464" t="s">
        <v>14291</v>
      </c>
      <c r="H464">
        <v>93521949</v>
      </c>
      <c r="I464" t="s">
        <v>14292</v>
      </c>
      <c r="L464" t="s">
        <v>15601</v>
      </c>
      <c r="M464">
        <v>93</v>
      </c>
      <c r="N464" t="s">
        <v>15602</v>
      </c>
    </row>
    <row r="465" spans="1:14">
      <c r="A465" t="s">
        <v>9256</v>
      </c>
      <c r="B465">
        <v>540129</v>
      </c>
      <c r="C465">
        <v>541397</v>
      </c>
      <c r="E465" t="s">
        <v>14314</v>
      </c>
      <c r="F465" t="s">
        <v>14562</v>
      </c>
      <c r="H465">
        <v>93521950</v>
      </c>
      <c r="I465" t="s">
        <v>14292</v>
      </c>
      <c r="L465" t="s">
        <v>15603</v>
      </c>
      <c r="M465">
        <v>422</v>
      </c>
      <c r="N465" t="s">
        <v>15604</v>
      </c>
    </row>
    <row r="466" spans="1:14">
      <c r="A466" t="s">
        <v>9256</v>
      </c>
      <c r="B466">
        <v>541460</v>
      </c>
      <c r="C466">
        <v>542731</v>
      </c>
      <c r="E466" t="s">
        <v>14314</v>
      </c>
      <c r="F466" t="s">
        <v>14562</v>
      </c>
      <c r="H466">
        <v>93521951</v>
      </c>
      <c r="I466" t="s">
        <v>14292</v>
      </c>
      <c r="L466" t="s">
        <v>15605</v>
      </c>
      <c r="M466">
        <v>423</v>
      </c>
      <c r="N466" t="s">
        <v>15606</v>
      </c>
    </row>
    <row r="467" spans="1:14">
      <c r="A467" t="s">
        <v>9256</v>
      </c>
      <c r="B467">
        <v>542762</v>
      </c>
      <c r="C467">
        <v>544015</v>
      </c>
      <c r="E467" t="s">
        <v>14314</v>
      </c>
      <c r="F467" t="s">
        <v>14562</v>
      </c>
      <c r="H467">
        <v>93521952</v>
      </c>
      <c r="I467" t="s">
        <v>14292</v>
      </c>
      <c r="L467" t="s">
        <v>15607</v>
      </c>
      <c r="M467">
        <v>417</v>
      </c>
      <c r="N467" t="s">
        <v>15608</v>
      </c>
    </row>
    <row r="468" spans="1:14">
      <c r="A468" t="s">
        <v>9256</v>
      </c>
      <c r="B468">
        <v>544041</v>
      </c>
      <c r="C468">
        <v>545312</v>
      </c>
      <c r="E468" t="s">
        <v>14314</v>
      </c>
      <c r="F468" t="s">
        <v>14562</v>
      </c>
      <c r="H468">
        <v>93521953</v>
      </c>
      <c r="I468" t="s">
        <v>14292</v>
      </c>
      <c r="L468" t="s">
        <v>15609</v>
      </c>
      <c r="M468">
        <v>423</v>
      </c>
      <c r="N468" t="s">
        <v>15610</v>
      </c>
    </row>
    <row r="469" spans="1:14">
      <c r="A469" t="s">
        <v>9256</v>
      </c>
      <c r="B469">
        <v>545316</v>
      </c>
      <c r="C469">
        <v>546560</v>
      </c>
      <c r="E469" t="s">
        <v>14314</v>
      </c>
      <c r="F469" t="s">
        <v>14503</v>
      </c>
      <c r="H469">
        <v>93521954</v>
      </c>
      <c r="I469" t="s">
        <v>14292</v>
      </c>
      <c r="L469" t="s">
        <v>15611</v>
      </c>
      <c r="M469">
        <v>414</v>
      </c>
      <c r="N469" t="s">
        <v>15612</v>
      </c>
    </row>
    <row r="470" spans="1:14">
      <c r="A470" t="s">
        <v>9256</v>
      </c>
      <c r="B470">
        <v>546744</v>
      </c>
      <c r="C470">
        <v>547586</v>
      </c>
      <c r="E470" t="s">
        <v>14290</v>
      </c>
      <c r="F470" t="s">
        <v>15511</v>
      </c>
      <c r="H470">
        <v>93521955</v>
      </c>
      <c r="I470" t="s">
        <v>14292</v>
      </c>
      <c r="L470" t="s">
        <v>15613</v>
      </c>
      <c r="M470">
        <v>280</v>
      </c>
      <c r="N470" t="s">
        <v>15614</v>
      </c>
    </row>
    <row r="471" spans="1:14">
      <c r="A471" t="s">
        <v>9256</v>
      </c>
      <c r="B471">
        <v>547681</v>
      </c>
      <c r="C471">
        <v>550185</v>
      </c>
      <c r="E471" t="s">
        <v>14314</v>
      </c>
      <c r="F471" t="s">
        <v>15615</v>
      </c>
      <c r="G471" t="s">
        <v>15616</v>
      </c>
      <c r="H471">
        <v>93521956</v>
      </c>
      <c r="I471" t="s">
        <v>14292</v>
      </c>
      <c r="L471" t="s">
        <v>15617</v>
      </c>
      <c r="M471">
        <v>834</v>
      </c>
      <c r="N471" t="s">
        <v>15618</v>
      </c>
    </row>
    <row r="472" spans="1:14">
      <c r="A472" t="s">
        <v>9256</v>
      </c>
      <c r="B472">
        <v>550273</v>
      </c>
      <c r="C472">
        <v>551583</v>
      </c>
      <c r="E472" t="s">
        <v>14290</v>
      </c>
      <c r="F472" t="s">
        <v>15619</v>
      </c>
      <c r="H472">
        <v>93521957</v>
      </c>
      <c r="I472" t="s">
        <v>14292</v>
      </c>
      <c r="L472" t="s">
        <v>15620</v>
      </c>
      <c r="M472">
        <v>436</v>
      </c>
      <c r="N472" t="s">
        <v>15621</v>
      </c>
    </row>
    <row r="473" spans="1:14">
      <c r="A473" t="s">
        <v>9256</v>
      </c>
      <c r="B473">
        <v>551654</v>
      </c>
      <c r="C473">
        <v>552013</v>
      </c>
      <c r="E473" t="s">
        <v>14314</v>
      </c>
      <c r="F473" t="s">
        <v>15622</v>
      </c>
      <c r="H473">
        <v>93521958</v>
      </c>
      <c r="I473" t="s">
        <v>14292</v>
      </c>
      <c r="L473" t="s">
        <v>15623</v>
      </c>
      <c r="M473">
        <v>119</v>
      </c>
      <c r="N473" t="s">
        <v>15624</v>
      </c>
    </row>
    <row r="474" spans="1:14">
      <c r="A474" t="s">
        <v>9256</v>
      </c>
      <c r="B474">
        <v>552111</v>
      </c>
      <c r="C474">
        <v>553310</v>
      </c>
      <c r="E474" t="s">
        <v>14290</v>
      </c>
      <c r="F474" t="s">
        <v>15625</v>
      </c>
      <c r="G474" t="s">
        <v>15626</v>
      </c>
      <c r="H474">
        <v>93521959</v>
      </c>
      <c r="I474" t="s">
        <v>14292</v>
      </c>
      <c r="L474" t="s">
        <v>15627</v>
      </c>
      <c r="M474">
        <v>399</v>
      </c>
      <c r="N474" t="s">
        <v>15628</v>
      </c>
    </row>
    <row r="475" spans="1:14">
      <c r="A475" t="s">
        <v>9256</v>
      </c>
      <c r="B475">
        <v>553473</v>
      </c>
      <c r="C475">
        <v>553757</v>
      </c>
      <c r="E475" t="s">
        <v>14314</v>
      </c>
      <c r="F475" t="s">
        <v>15411</v>
      </c>
      <c r="H475">
        <v>93521960</v>
      </c>
      <c r="I475" t="s">
        <v>14292</v>
      </c>
      <c r="L475" t="s">
        <v>15629</v>
      </c>
      <c r="M475">
        <v>94</v>
      </c>
      <c r="N475" t="s">
        <v>15630</v>
      </c>
    </row>
    <row r="476" spans="1:14">
      <c r="A476" t="s">
        <v>9256</v>
      </c>
      <c r="B476">
        <v>553742</v>
      </c>
      <c r="C476">
        <v>554371</v>
      </c>
      <c r="E476" t="s">
        <v>14314</v>
      </c>
      <c r="F476" t="s">
        <v>14291</v>
      </c>
      <c r="H476">
        <v>93521961</v>
      </c>
      <c r="I476" t="s">
        <v>14292</v>
      </c>
      <c r="L476" t="s">
        <v>15631</v>
      </c>
      <c r="M476">
        <v>209</v>
      </c>
      <c r="N476" t="s">
        <v>15632</v>
      </c>
    </row>
    <row r="477" spans="1:14">
      <c r="A477" t="s">
        <v>9256</v>
      </c>
      <c r="B477">
        <v>554390</v>
      </c>
      <c r="C477">
        <v>556768</v>
      </c>
      <c r="E477" t="s">
        <v>14314</v>
      </c>
      <c r="F477" t="s">
        <v>14919</v>
      </c>
      <c r="H477">
        <v>93521962</v>
      </c>
      <c r="I477" t="s">
        <v>14292</v>
      </c>
      <c r="L477" t="s">
        <v>15633</v>
      </c>
      <c r="M477">
        <v>792</v>
      </c>
      <c r="N477" t="s">
        <v>15634</v>
      </c>
    </row>
    <row r="478" spans="1:14">
      <c r="A478" t="s">
        <v>9256</v>
      </c>
      <c r="B478">
        <v>556773</v>
      </c>
      <c r="C478">
        <v>557144</v>
      </c>
      <c r="E478" t="s">
        <v>14314</v>
      </c>
      <c r="F478" t="s">
        <v>15635</v>
      </c>
      <c r="H478">
        <v>93521963</v>
      </c>
      <c r="I478" t="s">
        <v>14292</v>
      </c>
      <c r="L478" t="s">
        <v>15636</v>
      </c>
      <c r="M478">
        <v>123</v>
      </c>
      <c r="N478" t="s">
        <v>15637</v>
      </c>
    </row>
    <row r="479" spans="1:14">
      <c r="A479" t="s">
        <v>9256</v>
      </c>
      <c r="B479">
        <v>557479</v>
      </c>
      <c r="C479">
        <v>558006</v>
      </c>
      <c r="E479" t="s">
        <v>14290</v>
      </c>
      <c r="F479" t="s">
        <v>15638</v>
      </c>
      <c r="H479">
        <v>93521964</v>
      </c>
      <c r="I479" t="s">
        <v>14292</v>
      </c>
      <c r="L479" t="s">
        <v>15639</v>
      </c>
      <c r="M479">
        <v>175</v>
      </c>
      <c r="N479" t="s">
        <v>15640</v>
      </c>
    </row>
    <row r="480" spans="1:14">
      <c r="A480" t="s">
        <v>9256</v>
      </c>
      <c r="B480">
        <v>557987</v>
      </c>
      <c r="C480">
        <v>558646</v>
      </c>
      <c r="E480" t="s">
        <v>14314</v>
      </c>
      <c r="F480" t="s">
        <v>15641</v>
      </c>
      <c r="H480">
        <v>93521965</v>
      </c>
      <c r="I480" t="s">
        <v>14292</v>
      </c>
      <c r="L480" t="s">
        <v>15642</v>
      </c>
      <c r="M480">
        <v>219</v>
      </c>
      <c r="N480" t="s">
        <v>15643</v>
      </c>
    </row>
    <row r="481" spans="1:14">
      <c r="A481" t="s">
        <v>9256</v>
      </c>
      <c r="B481">
        <v>558873</v>
      </c>
      <c r="C481">
        <v>559865</v>
      </c>
      <c r="E481" t="s">
        <v>14290</v>
      </c>
      <c r="F481" t="s">
        <v>14609</v>
      </c>
      <c r="H481">
        <v>93521966</v>
      </c>
      <c r="I481" t="s">
        <v>14292</v>
      </c>
      <c r="L481" t="s">
        <v>15644</v>
      </c>
      <c r="M481">
        <v>330</v>
      </c>
      <c r="N481" t="s">
        <v>15645</v>
      </c>
    </row>
    <row r="482" spans="1:14">
      <c r="A482" t="s">
        <v>9256</v>
      </c>
      <c r="B482">
        <v>559877</v>
      </c>
      <c r="C482">
        <v>560827</v>
      </c>
      <c r="E482" t="s">
        <v>14290</v>
      </c>
      <c r="F482" t="s">
        <v>15646</v>
      </c>
      <c r="H482">
        <v>93521967</v>
      </c>
      <c r="I482" t="s">
        <v>14292</v>
      </c>
      <c r="L482" t="s">
        <v>15647</v>
      </c>
      <c r="M482">
        <v>316</v>
      </c>
      <c r="N482" t="s">
        <v>15648</v>
      </c>
    </row>
    <row r="483" spans="1:14">
      <c r="A483" t="s">
        <v>9256</v>
      </c>
      <c r="B483">
        <v>560838</v>
      </c>
      <c r="C483">
        <v>561581</v>
      </c>
      <c r="E483" t="s">
        <v>14290</v>
      </c>
      <c r="F483" t="s">
        <v>15649</v>
      </c>
      <c r="G483" t="s">
        <v>15650</v>
      </c>
      <c r="H483">
        <v>93521968</v>
      </c>
      <c r="I483" t="s">
        <v>14292</v>
      </c>
      <c r="L483" t="s">
        <v>15651</v>
      </c>
      <c r="M483">
        <v>247</v>
      </c>
      <c r="N483" t="s">
        <v>15652</v>
      </c>
    </row>
    <row r="484" spans="1:14">
      <c r="A484" t="s">
        <v>9256</v>
      </c>
      <c r="B484">
        <v>561596</v>
      </c>
      <c r="C484">
        <v>562339</v>
      </c>
      <c r="E484" t="s">
        <v>14290</v>
      </c>
      <c r="F484" t="s">
        <v>15653</v>
      </c>
      <c r="H484">
        <v>93521969</v>
      </c>
      <c r="I484" t="s">
        <v>14292</v>
      </c>
      <c r="L484" t="s">
        <v>15654</v>
      </c>
      <c r="M484">
        <v>247</v>
      </c>
      <c r="N484" t="s">
        <v>15655</v>
      </c>
    </row>
    <row r="485" spans="1:14">
      <c r="A485" t="s">
        <v>9256</v>
      </c>
      <c r="B485">
        <v>562427</v>
      </c>
      <c r="C485">
        <v>563044</v>
      </c>
      <c r="E485" t="s">
        <v>14314</v>
      </c>
      <c r="F485" t="s">
        <v>15656</v>
      </c>
      <c r="H485">
        <v>93521970</v>
      </c>
      <c r="I485" t="s">
        <v>14292</v>
      </c>
      <c r="L485" t="s">
        <v>15657</v>
      </c>
      <c r="M485">
        <v>205</v>
      </c>
      <c r="N485" t="s">
        <v>15658</v>
      </c>
    </row>
    <row r="486" spans="1:14">
      <c r="A486" t="s">
        <v>9256</v>
      </c>
      <c r="B486">
        <v>563046</v>
      </c>
      <c r="C486">
        <v>563627</v>
      </c>
      <c r="E486" t="s">
        <v>14314</v>
      </c>
      <c r="F486" t="s">
        <v>15659</v>
      </c>
      <c r="H486">
        <v>93521971</v>
      </c>
      <c r="I486" t="s">
        <v>14292</v>
      </c>
      <c r="L486" t="s">
        <v>15660</v>
      </c>
      <c r="M486">
        <v>193</v>
      </c>
      <c r="N486" t="s">
        <v>15661</v>
      </c>
    </row>
    <row r="487" spans="1:14">
      <c r="A487" t="s">
        <v>9256</v>
      </c>
      <c r="B487">
        <v>563634</v>
      </c>
      <c r="C487">
        <v>564986</v>
      </c>
      <c r="E487" t="s">
        <v>14314</v>
      </c>
      <c r="F487" t="s">
        <v>15662</v>
      </c>
      <c r="G487" t="s">
        <v>15663</v>
      </c>
      <c r="H487">
        <v>93521972</v>
      </c>
      <c r="I487" t="s">
        <v>14292</v>
      </c>
      <c r="L487" t="s">
        <v>15664</v>
      </c>
      <c r="M487">
        <v>450</v>
      </c>
      <c r="N487" t="s">
        <v>15665</v>
      </c>
    </row>
    <row r="488" spans="1:14">
      <c r="A488" t="s">
        <v>9256</v>
      </c>
      <c r="B488">
        <v>565012</v>
      </c>
      <c r="C488">
        <v>565521</v>
      </c>
      <c r="E488" t="s">
        <v>14314</v>
      </c>
      <c r="F488" t="s">
        <v>15666</v>
      </c>
      <c r="H488">
        <v>93521973</v>
      </c>
      <c r="I488" t="s">
        <v>14292</v>
      </c>
      <c r="L488" t="s">
        <v>15667</v>
      </c>
      <c r="M488">
        <v>169</v>
      </c>
      <c r="N488" t="s">
        <v>15668</v>
      </c>
    </row>
    <row r="489" spans="1:14">
      <c r="A489" t="s">
        <v>9256</v>
      </c>
      <c r="B489">
        <v>565570</v>
      </c>
      <c r="C489">
        <v>566649</v>
      </c>
      <c r="E489" t="s">
        <v>14314</v>
      </c>
      <c r="F489" t="s">
        <v>15669</v>
      </c>
      <c r="G489" t="s">
        <v>15670</v>
      </c>
      <c r="H489">
        <v>93521974</v>
      </c>
      <c r="I489" t="s">
        <v>14292</v>
      </c>
      <c r="L489" t="s">
        <v>15671</v>
      </c>
      <c r="M489">
        <v>359</v>
      </c>
      <c r="N489" t="s">
        <v>15672</v>
      </c>
    </row>
    <row r="490" spans="1:14">
      <c r="A490" t="s">
        <v>9256</v>
      </c>
      <c r="B490">
        <v>566839</v>
      </c>
      <c r="C490">
        <v>567111</v>
      </c>
      <c r="E490" t="s">
        <v>14290</v>
      </c>
      <c r="F490" t="s">
        <v>15103</v>
      </c>
      <c r="H490">
        <v>93521975</v>
      </c>
      <c r="I490" t="s">
        <v>14292</v>
      </c>
      <c r="L490" t="s">
        <v>15673</v>
      </c>
      <c r="M490">
        <v>90</v>
      </c>
      <c r="N490" t="s">
        <v>15674</v>
      </c>
    </row>
    <row r="491" spans="1:14">
      <c r="A491" t="s">
        <v>9256</v>
      </c>
      <c r="B491">
        <v>567336</v>
      </c>
      <c r="C491">
        <v>568913</v>
      </c>
      <c r="E491" t="s">
        <v>14290</v>
      </c>
      <c r="F491" t="s">
        <v>15675</v>
      </c>
      <c r="H491">
        <v>93521976</v>
      </c>
      <c r="I491" t="s">
        <v>14292</v>
      </c>
      <c r="L491" t="s">
        <v>15676</v>
      </c>
      <c r="M491">
        <v>525</v>
      </c>
      <c r="N491" t="s">
        <v>15677</v>
      </c>
    </row>
    <row r="492" spans="1:14">
      <c r="A492" t="s">
        <v>9256</v>
      </c>
      <c r="B492">
        <v>569115</v>
      </c>
      <c r="C492">
        <v>571046</v>
      </c>
      <c r="E492" t="s">
        <v>14290</v>
      </c>
      <c r="F492" t="s">
        <v>15678</v>
      </c>
      <c r="G492" t="s">
        <v>15679</v>
      </c>
      <c r="H492">
        <v>93521977</v>
      </c>
      <c r="I492" t="s">
        <v>14292</v>
      </c>
      <c r="L492" t="s">
        <v>15680</v>
      </c>
      <c r="M492">
        <v>643</v>
      </c>
      <c r="N492" t="s">
        <v>15681</v>
      </c>
    </row>
    <row r="493" spans="1:14">
      <c r="A493" t="s">
        <v>9256</v>
      </c>
      <c r="B493">
        <v>571254</v>
      </c>
      <c r="C493">
        <v>573170</v>
      </c>
      <c r="E493" t="s">
        <v>14290</v>
      </c>
      <c r="F493" t="s">
        <v>14493</v>
      </c>
      <c r="H493">
        <v>93521978</v>
      </c>
      <c r="I493" t="s">
        <v>14292</v>
      </c>
      <c r="L493" t="s">
        <v>15682</v>
      </c>
      <c r="M493">
        <v>638</v>
      </c>
      <c r="N493" t="s">
        <v>15683</v>
      </c>
    </row>
    <row r="494" spans="1:14">
      <c r="A494" t="s">
        <v>9256</v>
      </c>
      <c r="B494">
        <v>573264</v>
      </c>
      <c r="C494">
        <v>575570</v>
      </c>
      <c r="E494" t="s">
        <v>14290</v>
      </c>
      <c r="F494" t="s">
        <v>14493</v>
      </c>
      <c r="H494">
        <v>93521979</v>
      </c>
      <c r="I494" t="s">
        <v>14292</v>
      </c>
      <c r="L494" t="s">
        <v>15684</v>
      </c>
      <c r="M494">
        <v>768</v>
      </c>
      <c r="N494" t="s">
        <v>15685</v>
      </c>
    </row>
    <row r="495" spans="1:14">
      <c r="A495" t="s">
        <v>9256</v>
      </c>
      <c r="B495">
        <v>575573</v>
      </c>
      <c r="C495">
        <v>576823</v>
      </c>
      <c r="E495" t="s">
        <v>14314</v>
      </c>
      <c r="F495" t="s">
        <v>14445</v>
      </c>
      <c r="H495">
        <v>93521980</v>
      </c>
      <c r="I495" t="s">
        <v>14292</v>
      </c>
      <c r="L495" t="s">
        <v>15686</v>
      </c>
      <c r="M495">
        <v>416</v>
      </c>
      <c r="N495" t="s">
        <v>15687</v>
      </c>
    </row>
    <row r="496" spans="1:14">
      <c r="A496" t="s">
        <v>9256</v>
      </c>
      <c r="B496">
        <v>576844</v>
      </c>
      <c r="C496">
        <v>577629</v>
      </c>
      <c r="E496" t="s">
        <v>14314</v>
      </c>
      <c r="F496" t="s">
        <v>15688</v>
      </c>
      <c r="H496">
        <v>93521981</v>
      </c>
      <c r="I496" t="s">
        <v>14292</v>
      </c>
      <c r="L496" t="s">
        <v>15689</v>
      </c>
      <c r="M496">
        <v>261</v>
      </c>
      <c r="N496" t="s">
        <v>15690</v>
      </c>
    </row>
    <row r="497" spans="1:14">
      <c r="A497" t="s">
        <v>9256</v>
      </c>
      <c r="B497">
        <v>577765</v>
      </c>
      <c r="C497">
        <v>578313</v>
      </c>
      <c r="E497" t="s">
        <v>14314</v>
      </c>
      <c r="F497" t="s">
        <v>15691</v>
      </c>
      <c r="H497">
        <v>93521982</v>
      </c>
      <c r="I497" t="s">
        <v>14292</v>
      </c>
      <c r="L497" t="s">
        <v>15692</v>
      </c>
      <c r="M497">
        <v>182</v>
      </c>
      <c r="N497" t="s">
        <v>15693</v>
      </c>
    </row>
    <row r="498" spans="1:14">
      <c r="A498" t="s">
        <v>9256</v>
      </c>
      <c r="B498">
        <v>578316</v>
      </c>
      <c r="C498">
        <v>578606</v>
      </c>
      <c r="E498" t="s">
        <v>14314</v>
      </c>
      <c r="F498" t="s">
        <v>14291</v>
      </c>
      <c r="H498">
        <v>93521983</v>
      </c>
      <c r="I498" t="s">
        <v>14292</v>
      </c>
      <c r="L498" t="s">
        <v>15694</v>
      </c>
      <c r="M498">
        <v>96</v>
      </c>
      <c r="N498" t="s">
        <v>15695</v>
      </c>
    </row>
    <row r="499" spans="1:14">
      <c r="A499" t="s">
        <v>9256</v>
      </c>
      <c r="B499">
        <v>578855</v>
      </c>
      <c r="C499">
        <v>579835</v>
      </c>
      <c r="E499" t="s">
        <v>14290</v>
      </c>
      <c r="F499" t="s">
        <v>15696</v>
      </c>
      <c r="H499">
        <v>93521984</v>
      </c>
      <c r="I499" t="s">
        <v>14292</v>
      </c>
      <c r="L499" t="s">
        <v>15697</v>
      </c>
      <c r="M499">
        <v>326</v>
      </c>
      <c r="N499" t="s">
        <v>15698</v>
      </c>
    </row>
    <row r="500" spans="1:14">
      <c r="A500" t="s">
        <v>9256</v>
      </c>
      <c r="B500">
        <v>579893</v>
      </c>
      <c r="C500">
        <v>581551</v>
      </c>
      <c r="E500" t="s">
        <v>14290</v>
      </c>
      <c r="F500" t="s">
        <v>14364</v>
      </c>
      <c r="H500">
        <v>93521985</v>
      </c>
      <c r="I500" t="s">
        <v>14292</v>
      </c>
      <c r="L500" t="s">
        <v>15699</v>
      </c>
      <c r="M500">
        <v>552</v>
      </c>
      <c r="N500" t="s">
        <v>15700</v>
      </c>
    </row>
    <row r="501" spans="1:14">
      <c r="A501" t="s">
        <v>9256</v>
      </c>
      <c r="B501">
        <v>581625</v>
      </c>
      <c r="C501">
        <v>584195</v>
      </c>
      <c r="E501" t="s">
        <v>14290</v>
      </c>
      <c r="F501" t="s">
        <v>15701</v>
      </c>
      <c r="G501" t="s">
        <v>15702</v>
      </c>
      <c r="H501">
        <v>93521986</v>
      </c>
      <c r="I501" t="s">
        <v>14292</v>
      </c>
      <c r="L501" t="s">
        <v>15703</v>
      </c>
      <c r="M501">
        <v>856</v>
      </c>
      <c r="N501" t="s">
        <v>15704</v>
      </c>
    </row>
    <row r="502" spans="1:14">
      <c r="A502" t="s">
        <v>9256</v>
      </c>
      <c r="B502">
        <v>584408</v>
      </c>
      <c r="C502">
        <v>585790</v>
      </c>
      <c r="E502" t="s">
        <v>14314</v>
      </c>
      <c r="F502" t="s">
        <v>15705</v>
      </c>
      <c r="H502">
        <v>93521987</v>
      </c>
      <c r="I502" t="s">
        <v>14292</v>
      </c>
      <c r="L502" t="s">
        <v>15706</v>
      </c>
      <c r="M502">
        <v>460</v>
      </c>
      <c r="N502" t="s">
        <v>15707</v>
      </c>
    </row>
    <row r="503" spans="1:14">
      <c r="A503" t="s">
        <v>9256</v>
      </c>
      <c r="B503">
        <v>586138</v>
      </c>
      <c r="C503">
        <v>587307</v>
      </c>
      <c r="E503" t="s">
        <v>14290</v>
      </c>
      <c r="F503" t="s">
        <v>15708</v>
      </c>
      <c r="H503">
        <v>93521988</v>
      </c>
      <c r="I503" t="s">
        <v>14292</v>
      </c>
      <c r="L503" t="s">
        <v>15709</v>
      </c>
      <c r="M503">
        <v>389</v>
      </c>
      <c r="N503" t="s">
        <v>15710</v>
      </c>
    </row>
    <row r="504" spans="1:14">
      <c r="A504" t="s">
        <v>9256</v>
      </c>
      <c r="B504">
        <v>587321</v>
      </c>
      <c r="C504">
        <v>588199</v>
      </c>
      <c r="E504" t="s">
        <v>14290</v>
      </c>
      <c r="F504" t="s">
        <v>15711</v>
      </c>
      <c r="H504">
        <v>93521989</v>
      </c>
      <c r="I504" t="s">
        <v>14292</v>
      </c>
      <c r="L504" t="s">
        <v>15712</v>
      </c>
      <c r="M504">
        <v>292</v>
      </c>
      <c r="N504" t="s">
        <v>15713</v>
      </c>
    </row>
    <row r="505" spans="1:14">
      <c r="A505" t="s">
        <v>9256</v>
      </c>
      <c r="B505">
        <v>588283</v>
      </c>
      <c r="C505">
        <v>588747</v>
      </c>
      <c r="E505" t="s">
        <v>14290</v>
      </c>
      <c r="F505" t="s">
        <v>15714</v>
      </c>
      <c r="H505">
        <v>93521990</v>
      </c>
      <c r="I505" t="s">
        <v>14292</v>
      </c>
      <c r="L505" t="s">
        <v>15715</v>
      </c>
      <c r="M505">
        <v>154</v>
      </c>
      <c r="N505" t="s">
        <v>15716</v>
      </c>
    </row>
    <row r="506" spans="1:14">
      <c r="A506" t="s">
        <v>9256</v>
      </c>
      <c r="B506">
        <v>588791</v>
      </c>
      <c r="C506">
        <v>589780</v>
      </c>
      <c r="E506" t="s">
        <v>14290</v>
      </c>
      <c r="F506" t="s">
        <v>15717</v>
      </c>
      <c r="H506">
        <v>93521991</v>
      </c>
      <c r="I506" t="s">
        <v>14292</v>
      </c>
      <c r="L506" t="s">
        <v>15718</v>
      </c>
      <c r="M506">
        <v>329</v>
      </c>
      <c r="N506" t="s">
        <v>15719</v>
      </c>
    </row>
    <row r="507" spans="1:14">
      <c r="A507" t="s">
        <v>9256</v>
      </c>
      <c r="B507">
        <v>589868</v>
      </c>
      <c r="C507">
        <v>590695</v>
      </c>
      <c r="E507" t="s">
        <v>14290</v>
      </c>
      <c r="F507" t="s">
        <v>15720</v>
      </c>
      <c r="H507">
        <v>93521992</v>
      </c>
      <c r="I507" t="s">
        <v>14292</v>
      </c>
      <c r="L507" t="s">
        <v>15721</v>
      </c>
      <c r="M507">
        <v>275</v>
      </c>
      <c r="N507" t="s">
        <v>15722</v>
      </c>
    </row>
    <row r="508" spans="1:14">
      <c r="A508" t="s">
        <v>9256</v>
      </c>
      <c r="B508">
        <v>591344</v>
      </c>
      <c r="C508">
        <v>591417</v>
      </c>
      <c r="E508" t="s">
        <v>14314</v>
      </c>
      <c r="F508" t="s">
        <v>15723</v>
      </c>
      <c r="H508">
        <v>93521993</v>
      </c>
      <c r="I508" t="s">
        <v>13638</v>
      </c>
      <c r="N508" t="s">
        <v>15724</v>
      </c>
    </row>
    <row r="509" spans="1:14">
      <c r="A509" t="s">
        <v>9256</v>
      </c>
      <c r="B509">
        <v>591451</v>
      </c>
      <c r="C509">
        <v>591524</v>
      </c>
      <c r="E509" t="s">
        <v>14314</v>
      </c>
      <c r="F509" t="s">
        <v>15723</v>
      </c>
      <c r="H509">
        <v>93521994</v>
      </c>
      <c r="I509" t="s">
        <v>13638</v>
      </c>
      <c r="N509" t="s">
        <v>15725</v>
      </c>
    </row>
    <row r="510" spans="1:14">
      <c r="A510" t="s">
        <v>9256</v>
      </c>
      <c r="B510">
        <v>591793</v>
      </c>
      <c r="C510">
        <v>592383</v>
      </c>
      <c r="E510" t="s">
        <v>14290</v>
      </c>
      <c r="F510" t="s">
        <v>15726</v>
      </c>
      <c r="G510" t="s">
        <v>15727</v>
      </c>
      <c r="H510">
        <v>93521995</v>
      </c>
      <c r="I510" t="s">
        <v>14292</v>
      </c>
      <c r="L510" t="s">
        <v>15728</v>
      </c>
      <c r="M510">
        <v>196</v>
      </c>
      <c r="N510" t="s">
        <v>15729</v>
      </c>
    </row>
    <row r="511" spans="1:14">
      <c r="A511" t="s">
        <v>9256</v>
      </c>
      <c r="B511">
        <v>592380</v>
      </c>
      <c r="C511">
        <v>593099</v>
      </c>
      <c r="E511" t="s">
        <v>14290</v>
      </c>
      <c r="F511" t="s">
        <v>15730</v>
      </c>
      <c r="G511" t="s">
        <v>15731</v>
      </c>
      <c r="H511">
        <v>93521996</v>
      </c>
      <c r="I511" t="s">
        <v>14292</v>
      </c>
      <c r="L511" t="s">
        <v>15732</v>
      </c>
      <c r="M511">
        <v>239</v>
      </c>
      <c r="N511" t="s">
        <v>15733</v>
      </c>
    </row>
    <row r="512" spans="1:14">
      <c r="A512" t="s">
        <v>9256</v>
      </c>
      <c r="B512">
        <v>593117</v>
      </c>
      <c r="C512">
        <v>593872</v>
      </c>
      <c r="E512" t="s">
        <v>14290</v>
      </c>
      <c r="F512" t="s">
        <v>15734</v>
      </c>
      <c r="G512" t="s">
        <v>15735</v>
      </c>
      <c r="H512">
        <v>93521997</v>
      </c>
      <c r="I512" t="s">
        <v>14292</v>
      </c>
      <c r="L512" t="s">
        <v>15736</v>
      </c>
      <c r="M512">
        <v>251</v>
      </c>
      <c r="N512" t="s">
        <v>15737</v>
      </c>
    </row>
    <row r="513" spans="1:14">
      <c r="A513" t="s">
        <v>9256</v>
      </c>
      <c r="B513">
        <v>593889</v>
      </c>
      <c r="C513">
        <v>594485</v>
      </c>
      <c r="E513" t="s">
        <v>14290</v>
      </c>
      <c r="F513" t="s">
        <v>15738</v>
      </c>
      <c r="G513" t="s">
        <v>15739</v>
      </c>
      <c r="H513">
        <v>93521998</v>
      </c>
      <c r="I513" t="s">
        <v>14292</v>
      </c>
      <c r="L513" t="s">
        <v>15740</v>
      </c>
      <c r="M513">
        <v>198</v>
      </c>
      <c r="N513" t="s">
        <v>15741</v>
      </c>
    </row>
    <row r="514" spans="1:14">
      <c r="A514" t="s">
        <v>9256</v>
      </c>
      <c r="B514">
        <v>594494</v>
      </c>
      <c r="C514">
        <v>595171</v>
      </c>
      <c r="E514" t="s">
        <v>14290</v>
      </c>
      <c r="F514" t="s">
        <v>15742</v>
      </c>
      <c r="H514">
        <v>93521999</v>
      </c>
      <c r="I514" t="s">
        <v>14292</v>
      </c>
      <c r="L514" t="s">
        <v>15743</v>
      </c>
      <c r="M514">
        <v>225</v>
      </c>
      <c r="N514" t="s">
        <v>15744</v>
      </c>
    </row>
    <row r="515" spans="1:14">
      <c r="A515" t="s">
        <v>9256</v>
      </c>
      <c r="B515">
        <v>595238</v>
      </c>
      <c r="C515">
        <v>596554</v>
      </c>
      <c r="E515" t="s">
        <v>14290</v>
      </c>
      <c r="F515" t="s">
        <v>15745</v>
      </c>
      <c r="H515">
        <v>93522000</v>
      </c>
      <c r="I515" t="s">
        <v>14292</v>
      </c>
      <c r="L515" t="s">
        <v>15746</v>
      </c>
      <c r="M515">
        <v>438</v>
      </c>
      <c r="N515" t="s">
        <v>15747</v>
      </c>
    </row>
    <row r="516" spans="1:14">
      <c r="A516" t="s">
        <v>9256</v>
      </c>
      <c r="B516">
        <v>596617</v>
      </c>
      <c r="C516">
        <v>597777</v>
      </c>
      <c r="E516" t="s">
        <v>14290</v>
      </c>
      <c r="F516" t="s">
        <v>15748</v>
      </c>
      <c r="G516" t="s">
        <v>15749</v>
      </c>
      <c r="H516">
        <v>93522001</v>
      </c>
      <c r="I516" t="s">
        <v>14292</v>
      </c>
      <c r="L516" t="s">
        <v>15750</v>
      </c>
      <c r="M516">
        <v>386</v>
      </c>
      <c r="N516" t="s">
        <v>15751</v>
      </c>
    </row>
    <row r="517" spans="1:14">
      <c r="A517" t="s">
        <v>9256</v>
      </c>
      <c r="B517">
        <v>597912</v>
      </c>
      <c r="C517">
        <v>599072</v>
      </c>
      <c r="E517" t="s">
        <v>14290</v>
      </c>
      <c r="F517" t="s">
        <v>14364</v>
      </c>
      <c r="H517">
        <v>93522002</v>
      </c>
      <c r="I517" t="s">
        <v>14292</v>
      </c>
      <c r="L517" t="s">
        <v>15752</v>
      </c>
      <c r="M517">
        <v>386</v>
      </c>
      <c r="N517" t="s">
        <v>15753</v>
      </c>
    </row>
    <row r="518" spans="1:14">
      <c r="A518" t="s">
        <v>9256</v>
      </c>
      <c r="B518">
        <v>600140</v>
      </c>
      <c r="C518">
        <v>600955</v>
      </c>
      <c r="E518" t="s">
        <v>14290</v>
      </c>
      <c r="F518" t="s">
        <v>14291</v>
      </c>
      <c r="H518">
        <v>93522003</v>
      </c>
      <c r="I518" t="s">
        <v>14292</v>
      </c>
      <c r="L518" t="s">
        <v>15754</v>
      </c>
      <c r="M518">
        <v>271</v>
      </c>
      <c r="N518" t="s">
        <v>15755</v>
      </c>
    </row>
    <row r="519" spans="1:14">
      <c r="A519" t="s">
        <v>9256</v>
      </c>
      <c r="B519">
        <v>600963</v>
      </c>
      <c r="C519">
        <v>601943</v>
      </c>
      <c r="E519" t="s">
        <v>14290</v>
      </c>
      <c r="F519" t="s">
        <v>15756</v>
      </c>
      <c r="H519">
        <v>93522004</v>
      </c>
      <c r="I519" t="s">
        <v>14292</v>
      </c>
      <c r="L519" t="s">
        <v>15757</v>
      </c>
      <c r="M519">
        <v>326</v>
      </c>
      <c r="N519" t="s">
        <v>15758</v>
      </c>
    </row>
    <row r="520" spans="1:14">
      <c r="A520" t="s">
        <v>9256</v>
      </c>
      <c r="B520">
        <v>602021</v>
      </c>
      <c r="C520">
        <v>602428</v>
      </c>
      <c r="E520" t="s">
        <v>14290</v>
      </c>
      <c r="F520" t="s">
        <v>15759</v>
      </c>
      <c r="H520">
        <v>93522005</v>
      </c>
      <c r="I520" t="s">
        <v>14292</v>
      </c>
      <c r="L520" t="s">
        <v>15760</v>
      </c>
      <c r="M520">
        <v>135</v>
      </c>
      <c r="N520" t="s">
        <v>15761</v>
      </c>
    </row>
    <row r="521" spans="1:14">
      <c r="A521" t="s">
        <v>9256</v>
      </c>
      <c r="B521">
        <v>602461</v>
      </c>
      <c r="C521">
        <v>603288</v>
      </c>
      <c r="E521" t="s">
        <v>14290</v>
      </c>
      <c r="F521" t="s">
        <v>15762</v>
      </c>
      <c r="H521">
        <v>93522006</v>
      </c>
      <c r="I521" t="s">
        <v>14292</v>
      </c>
      <c r="L521" t="s">
        <v>15763</v>
      </c>
      <c r="M521">
        <v>275</v>
      </c>
      <c r="N521" t="s">
        <v>15764</v>
      </c>
    </row>
    <row r="522" spans="1:14">
      <c r="A522" t="s">
        <v>9256</v>
      </c>
      <c r="B522">
        <v>603681</v>
      </c>
      <c r="C522">
        <v>605414</v>
      </c>
      <c r="E522" t="s">
        <v>14290</v>
      </c>
      <c r="F522" t="s">
        <v>14870</v>
      </c>
      <c r="H522">
        <v>93522007</v>
      </c>
      <c r="I522" t="s">
        <v>14292</v>
      </c>
      <c r="L522" t="s">
        <v>15765</v>
      </c>
      <c r="M522">
        <v>577</v>
      </c>
      <c r="N522" t="s">
        <v>15766</v>
      </c>
    </row>
    <row r="523" spans="1:14">
      <c r="A523" t="s">
        <v>9256</v>
      </c>
      <c r="B523">
        <v>605470</v>
      </c>
      <c r="C523">
        <v>606741</v>
      </c>
      <c r="E523" t="s">
        <v>14290</v>
      </c>
      <c r="F523" t="s">
        <v>14291</v>
      </c>
      <c r="H523">
        <v>93522008</v>
      </c>
      <c r="I523" t="s">
        <v>14292</v>
      </c>
      <c r="L523" t="s">
        <v>15767</v>
      </c>
      <c r="M523">
        <v>423</v>
      </c>
      <c r="N523" t="s">
        <v>15768</v>
      </c>
    </row>
    <row r="524" spans="1:14">
      <c r="A524" t="s">
        <v>9256</v>
      </c>
      <c r="B524">
        <v>606809</v>
      </c>
      <c r="C524">
        <v>607339</v>
      </c>
      <c r="E524" t="s">
        <v>14314</v>
      </c>
      <c r="F524" t="s">
        <v>15769</v>
      </c>
      <c r="H524">
        <v>93522009</v>
      </c>
      <c r="I524" t="s">
        <v>14292</v>
      </c>
      <c r="L524" t="s">
        <v>15770</v>
      </c>
      <c r="M524">
        <v>176</v>
      </c>
      <c r="N524" t="s">
        <v>15771</v>
      </c>
    </row>
    <row r="525" spans="1:14">
      <c r="A525" t="s">
        <v>9256</v>
      </c>
      <c r="B525">
        <v>607382</v>
      </c>
      <c r="C525">
        <v>608626</v>
      </c>
      <c r="E525" t="s">
        <v>14314</v>
      </c>
      <c r="F525" t="s">
        <v>14562</v>
      </c>
      <c r="H525">
        <v>93522010</v>
      </c>
      <c r="I525" t="s">
        <v>14292</v>
      </c>
      <c r="L525" t="s">
        <v>15772</v>
      </c>
      <c r="M525">
        <v>414</v>
      </c>
      <c r="N525" t="s">
        <v>15773</v>
      </c>
    </row>
    <row r="526" spans="1:14">
      <c r="A526" t="s">
        <v>9256</v>
      </c>
      <c r="B526">
        <v>608627</v>
      </c>
      <c r="C526">
        <v>609826</v>
      </c>
      <c r="E526" t="s">
        <v>14314</v>
      </c>
      <c r="F526" t="s">
        <v>15774</v>
      </c>
      <c r="H526">
        <v>93522011</v>
      </c>
      <c r="I526" t="s">
        <v>14292</v>
      </c>
      <c r="L526" t="s">
        <v>15775</v>
      </c>
      <c r="M526">
        <v>399</v>
      </c>
      <c r="N526" t="s">
        <v>15776</v>
      </c>
    </row>
    <row r="527" spans="1:14">
      <c r="A527" t="s">
        <v>9256</v>
      </c>
      <c r="B527">
        <v>609878</v>
      </c>
      <c r="C527">
        <v>610777</v>
      </c>
      <c r="E527" t="s">
        <v>14314</v>
      </c>
      <c r="F527" t="s">
        <v>15777</v>
      </c>
      <c r="H527">
        <v>93522012</v>
      </c>
      <c r="I527" t="s">
        <v>14292</v>
      </c>
      <c r="L527" t="s">
        <v>15778</v>
      </c>
      <c r="M527">
        <v>299</v>
      </c>
      <c r="N527" t="s">
        <v>15779</v>
      </c>
    </row>
    <row r="528" spans="1:14">
      <c r="A528" t="s">
        <v>9256</v>
      </c>
      <c r="B528">
        <v>610919</v>
      </c>
      <c r="C528">
        <v>611311</v>
      </c>
      <c r="E528" t="s">
        <v>14314</v>
      </c>
      <c r="F528" t="s">
        <v>14291</v>
      </c>
      <c r="H528">
        <v>93522013</v>
      </c>
      <c r="I528" t="s">
        <v>14292</v>
      </c>
      <c r="L528" t="s">
        <v>15780</v>
      </c>
      <c r="M528">
        <v>130</v>
      </c>
      <c r="N528" t="s">
        <v>15781</v>
      </c>
    </row>
    <row r="529" spans="1:14">
      <c r="A529" t="s">
        <v>9256</v>
      </c>
      <c r="B529">
        <v>611386</v>
      </c>
      <c r="C529">
        <v>611769</v>
      </c>
      <c r="E529" t="s">
        <v>14314</v>
      </c>
      <c r="F529" t="s">
        <v>14291</v>
      </c>
      <c r="H529">
        <v>93522014</v>
      </c>
      <c r="I529" t="s">
        <v>14292</v>
      </c>
      <c r="L529" t="s">
        <v>15782</v>
      </c>
      <c r="M529">
        <v>127</v>
      </c>
      <c r="N529" t="s">
        <v>15783</v>
      </c>
    </row>
    <row r="530" spans="1:14">
      <c r="A530" t="s">
        <v>9256</v>
      </c>
      <c r="B530">
        <v>612226</v>
      </c>
      <c r="C530">
        <v>612609</v>
      </c>
      <c r="E530" t="s">
        <v>14314</v>
      </c>
      <c r="F530" t="s">
        <v>14291</v>
      </c>
      <c r="H530">
        <v>93522015</v>
      </c>
      <c r="I530" t="s">
        <v>14292</v>
      </c>
      <c r="L530" t="s">
        <v>15784</v>
      </c>
      <c r="M530">
        <v>127</v>
      </c>
      <c r="N530" t="s">
        <v>15785</v>
      </c>
    </row>
    <row r="531" spans="1:14">
      <c r="A531" t="s">
        <v>9256</v>
      </c>
      <c r="B531">
        <v>612754</v>
      </c>
      <c r="C531">
        <v>613929</v>
      </c>
      <c r="E531" t="s">
        <v>14314</v>
      </c>
      <c r="F531" t="s">
        <v>14445</v>
      </c>
      <c r="H531">
        <v>93522016</v>
      </c>
      <c r="I531" t="s">
        <v>14292</v>
      </c>
      <c r="L531" t="s">
        <v>15786</v>
      </c>
      <c r="M531">
        <v>391</v>
      </c>
      <c r="N531" t="s">
        <v>15787</v>
      </c>
    </row>
    <row r="532" spans="1:14">
      <c r="A532" t="s">
        <v>9256</v>
      </c>
      <c r="B532">
        <v>613943</v>
      </c>
      <c r="C532">
        <v>615826</v>
      </c>
      <c r="E532" t="s">
        <v>14314</v>
      </c>
      <c r="F532" t="s">
        <v>15396</v>
      </c>
      <c r="H532">
        <v>93522017</v>
      </c>
      <c r="I532" t="s">
        <v>14292</v>
      </c>
      <c r="L532" t="s">
        <v>15788</v>
      </c>
      <c r="M532">
        <v>627</v>
      </c>
      <c r="N532" t="s">
        <v>15789</v>
      </c>
    </row>
    <row r="533" spans="1:14">
      <c r="A533" t="s">
        <v>9256</v>
      </c>
      <c r="B533">
        <v>615926</v>
      </c>
      <c r="C533">
        <v>616588</v>
      </c>
      <c r="E533" t="s">
        <v>14290</v>
      </c>
      <c r="F533" t="s">
        <v>15790</v>
      </c>
      <c r="G533" t="s">
        <v>15791</v>
      </c>
      <c r="H533">
        <v>93522018</v>
      </c>
      <c r="I533" t="s">
        <v>14292</v>
      </c>
      <c r="L533" t="s">
        <v>15792</v>
      </c>
      <c r="M533">
        <v>220</v>
      </c>
      <c r="N533" t="s">
        <v>15793</v>
      </c>
    </row>
    <row r="534" spans="1:14">
      <c r="A534" t="s">
        <v>9256</v>
      </c>
      <c r="B534">
        <v>616616</v>
      </c>
      <c r="C534">
        <v>617161</v>
      </c>
      <c r="E534" t="s">
        <v>14290</v>
      </c>
      <c r="F534" t="s">
        <v>15794</v>
      </c>
      <c r="H534">
        <v>93522019</v>
      </c>
      <c r="I534" t="s">
        <v>14292</v>
      </c>
      <c r="L534" t="s">
        <v>15795</v>
      </c>
      <c r="M534">
        <v>181</v>
      </c>
      <c r="N534" t="s">
        <v>15796</v>
      </c>
    </row>
    <row r="535" spans="1:14">
      <c r="A535" t="s">
        <v>9256</v>
      </c>
      <c r="B535">
        <v>617151</v>
      </c>
      <c r="C535">
        <v>617462</v>
      </c>
      <c r="E535" t="s">
        <v>14290</v>
      </c>
      <c r="F535" t="s">
        <v>15797</v>
      </c>
      <c r="H535">
        <v>93522020</v>
      </c>
      <c r="I535" t="s">
        <v>14292</v>
      </c>
      <c r="L535" t="s">
        <v>15798</v>
      </c>
      <c r="M535">
        <v>103</v>
      </c>
      <c r="N535" t="s">
        <v>15799</v>
      </c>
    </row>
    <row r="536" spans="1:14">
      <c r="A536" t="s">
        <v>9256</v>
      </c>
      <c r="B536">
        <v>617515</v>
      </c>
      <c r="C536">
        <v>618573</v>
      </c>
      <c r="E536" t="s">
        <v>14314</v>
      </c>
      <c r="F536" t="s">
        <v>15800</v>
      </c>
      <c r="H536">
        <v>93522021</v>
      </c>
      <c r="I536" t="s">
        <v>14292</v>
      </c>
      <c r="L536" t="s">
        <v>15801</v>
      </c>
      <c r="M536">
        <v>352</v>
      </c>
      <c r="N536" t="s">
        <v>15802</v>
      </c>
    </row>
    <row r="537" spans="1:14">
      <c r="A537" t="s">
        <v>9256</v>
      </c>
      <c r="B537">
        <v>618585</v>
      </c>
      <c r="C537">
        <v>619736</v>
      </c>
      <c r="E537" t="s">
        <v>14314</v>
      </c>
      <c r="F537" t="s">
        <v>15803</v>
      </c>
      <c r="H537">
        <v>93522022</v>
      </c>
      <c r="I537" t="s">
        <v>14292</v>
      </c>
      <c r="L537" t="s">
        <v>15804</v>
      </c>
      <c r="M537">
        <v>383</v>
      </c>
      <c r="N537" t="s">
        <v>15805</v>
      </c>
    </row>
    <row r="538" spans="1:14">
      <c r="A538" t="s">
        <v>9256</v>
      </c>
      <c r="B538">
        <v>619749</v>
      </c>
      <c r="C538">
        <v>620201</v>
      </c>
      <c r="E538" t="s">
        <v>14314</v>
      </c>
      <c r="F538" t="s">
        <v>15307</v>
      </c>
      <c r="H538">
        <v>93522023</v>
      </c>
      <c r="I538" t="s">
        <v>14292</v>
      </c>
      <c r="L538" t="s">
        <v>15806</v>
      </c>
      <c r="M538">
        <v>150</v>
      </c>
      <c r="N538" t="s">
        <v>15807</v>
      </c>
    </row>
    <row r="539" spans="1:14">
      <c r="A539" t="s">
        <v>9256</v>
      </c>
      <c r="B539">
        <v>620382</v>
      </c>
      <c r="C539">
        <v>621191</v>
      </c>
      <c r="E539" t="s">
        <v>14314</v>
      </c>
      <c r="F539" t="s">
        <v>15711</v>
      </c>
      <c r="H539">
        <v>93522024</v>
      </c>
      <c r="I539" t="s">
        <v>14292</v>
      </c>
      <c r="L539" t="s">
        <v>15808</v>
      </c>
      <c r="M539">
        <v>269</v>
      </c>
      <c r="N539" t="s">
        <v>15809</v>
      </c>
    </row>
    <row r="540" spans="1:14">
      <c r="A540" t="s">
        <v>9256</v>
      </c>
      <c r="B540">
        <v>621228</v>
      </c>
      <c r="C540">
        <v>622262</v>
      </c>
      <c r="E540" t="s">
        <v>14314</v>
      </c>
      <c r="F540" t="s">
        <v>15800</v>
      </c>
      <c r="H540">
        <v>93522025</v>
      </c>
      <c r="I540" t="s">
        <v>14292</v>
      </c>
      <c r="L540" t="s">
        <v>15810</v>
      </c>
      <c r="M540">
        <v>344</v>
      </c>
      <c r="N540" t="s">
        <v>15811</v>
      </c>
    </row>
    <row r="541" spans="1:14">
      <c r="A541" t="s">
        <v>9256</v>
      </c>
      <c r="B541">
        <v>622443</v>
      </c>
      <c r="C541">
        <v>623468</v>
      </c>
      <c r="E541" t="s">
        <v>14290</v>
      </c>
      <c r="F541" t="s">
        <v>15812</v>
      </c>
      <c r="H541">
        <v>93522026</v>
      </c>
      <c r="I541" t="s">
        <v>14292</v>
      </c>
      <c r="L541" t="s">
        <v>15813</v>
      </c>
      <c r="M541">
        <v>341</v>
      </c>
      <c r="N541" t="s">
        <v>15814</v>
      </c>
    </row>
    <row r="542" spans="1:14">
      <c r="A542" t="s">
        <v>9256</v>
      </c>
      <c r="B542">
        <v>623528</v>
      </c>
      <c r="C542">
        <v>624610</v>
      </c>
      <c r="E542" t="s">
        <v>14290</v>
      </c>
      <c r="F542" t="s">
        <v>15815</v>
      </c>
      <c r="G542" t="s">
        <v>15816</v>
      </c>
      <c r="H542">
        <v>93522027</v>
      </c>
      <c r="I542" t="s">
        <v>14292</v>
      </c>
      <c r="L542" t="s">
        <v>15817</v>
      </c>
      <c r="M542">
        <v>360</v>
      </c>
      <c r="N542" t="s">
        <v>15818</v>
      </c>
    </row>
    <row r="543" spans="1:14">
      <c r="A543" t="s">
        <v>9256</v>
      </c>
      <c r="B543">
        <v>624749</v>
      </c>
      <c r="C543">
        <v>625558</v>
      </c>
      <c r="E543" t="s">
        <v>14290</v>
      </c>
      <c r="F543" t="s">
        <v>14406</v>
      </c>
      <c r="H543">
        <v>93522028</v>
      </c>
      <c r="I543" t="s">
        <v>14292</v>
      </c>
      <c r="L543" t="s">
        <v>15819</v>
      </c>
      <c r="M543">
        <v>269</v>
      </c>
      <c r="N543" t="s">
        <v>15820</v>
      </c>
    </row>
    <row r="544" spans="1:14">
      <c r="A544" t="s">
        <v>9256</v>
      </c>
      <c r="B544">
        <v>625669</v>
      </c>
      <c r="C544">
        <v>626106</v>
      </c>
      <c r="E544" t="s">
        <v>14290</v>
      </c>
      <c r="F544" t="s">
        <v>14414</v>
      </c>
      <c r="H544">
        <v>93525923</v>
      </c>
      <c r="I544" t="s">
        <v>14415</v>
      </c>
      <c r="N544" t="s">
        <v>15821</v>
      </c>
    </row>
    <row r="545" spans="1:14">
      <c r="A545" t="s">
        <v>9256</v>
      </c>
      <c r="B545">
        <v>626122</v>
      </c>
      <c r="C545">
        <v>626538</v>
      </c>
      <c r="E545" t="s">
        <v>14290</v>
      </c>
      <c r="F545" t="s">
        <v>15822</v>
      </c>
      <c r="H545">
        <v>93525924</v>
      </c>
      <c r="I545" t="s">
        <v>14292</v>
      </c>
      <c r="L545" t="s">
        <v>15823</v>
      </c>
      <c r="M545">
        <v>138</v>
      </c>
      <c r="N545" t="s">
        <v>15824</v>
      </c>
    </row>
    <row r="546" spans="1:14">
      <c r="A546" t="s">
        <v>9256</v>
      </c>
      <c r="B546">
        <v>626655</v>
      </c>
      <c r="C546">
        <v>627512</v>
      </c>
      <c r="E546" t="s">
        <v>14314</v>
      </c>
      <c r="F546" t="s">
        <v>15711</v>
      </c>
      <c r="H546">
        <v>93522029</v>
      </c>
      <c r="I546" t="s">
        <v>14292</v>
      </c>
      <c r="L546" t="s">
        <v>15825</v>
      </c>
      <c r="M546">
        <v>285</v>
      </c>
      <c r="N546" t="s">
        <v>15826</v>
      </c>
    </row>
    <row r="547" spans="1:14">
      <c r="A547" t="s">
        <v>9256</v>
      </c>
      <c r="B547">
        <v>627660</v>
      </c>
      <c r="C547">
        <v>628310</v>
      </c>
      <c r="E547" t="s">
        <v>14290</v>
      </c>
      <c r="F547" t="s">
        <v>15827</v>
      </c>
      <c r="H547">
        <v>93522030</v>
      </c>
      <c r="I547" t="s">
        <v>14292</v>
      </c>
      <c r="L547" t="s">
        <v>15828</v>
      </c>
      <c r="M547">
        <v>216</v>
      </c>
      <c r="N547" t="s">
        <v>15829</v>
      </c>
    </row>
    <row r="548" spans="1:14">
      <c r="A548" t="s">
        <v>9256</v>
      </c>
      <c r="B548">
        <v>628307</v>
      </c>
      <c r="C548">
        <v>628567</v>
      </c>
      <c r="E548" t="s">
        <v>14314</v>
      </c>
      <c r="F548" t="s">
        <v>14439</v>
      </c>
      <c r="H548">
        <v>93522031</v>
      </c>
      <c r="I548" t="s">
        <v>14292</v>
      </c>
      <c r="L548" t="s">
        <v>15830</v>
      </c>
      <c r="M548">
        <v>86</v>
      </c>
      <c r="N548" t="s">
        <v>15831</v>
      </c>
    </row>
    <row r="549" spans="1:14">
      <c r="A549" t="s">
        <v>9256</v>
      </c>
      <c r="B549">
        <v>628571</v>
      </c>
      <c r="C549">
        <v>631810</v>
      </c>
      <c r="E549" t="s">
        <v>14314</v>
      </c>
      <c r="F549" t="s">
        <v>14291</v>
      </c>
      <c r="H549">
        <v>93522032</v>
      </c>
      <c r="I549" t="s">
        <v>14292</v>
      </c>
      <c r="L549" t="s">
        <v>15832</v>
      </c>
      <c r="M549">
        <v>1079</v>
      </c>
      <c r="N549" t="s">
        <v>15833</v>
      </c>
    </row>
    <row r="550" spans="1:14">
      <c r="A550" t="s">
        <v>9256</v>
      </c>
      <c r="B550">
        <v>631942</v>
      </c>
      <c r="C550">
        <v>632946</v>
      </c>
      <c r="E550" t="s">
        <v>14314</v>
      </c>
      <c r="F550" t="s">
        <v>14985</v>
      </c>
      <c r="H550">
        <v>93522033</v>
      </c>
      <c r="I550" t="s">
        <v>14292</v>
      </c>
      <c r="L550" t="s">
        <v>15834</v>
      </c>
      <c r="M550">
        <v>334</v>
      </c>
      <c r="N550" t="s">
        <v>15835</v>
      </c>
    </row>
    <row r="551" spans="1:14">
      <c r="A551" t="s">
        <v>9256</v>
      </c>
      <c r="B551">
        <v>632970</v>
      </c>
      <c r="C551">
        <v>634418</v>
      </c>
      <c r="E551" t="s">
        <v>14314</v>
      </c>
      <c r="F551" t="s">
        <v>15836</v>
      </c>
      <c r="H551">
        <v>93522034</v>
      </c>
      <c r="I551" t="s">
        <v>14292</v>
      </c>
      <c r="L551" t="s">
        <v>15837</v>
      </c>
      <c r="M551">
        <v>482</v>
      </c>
      <c r="N551" t="s">
        <v>15838</v>
      </c>
    </row>
    <row r="552" spans="1:14">
      <c r="A552" t="s">
        <v>9256</v>
      </c>
      <c r="B552">
        <v>634569</v>
      </c>
      <c r="C552">
        <v>635351</v>
      </c>
      <c r="E552" t="s">
        <v>14314</v>
      </c>
      <c r="F552" t="s">
        <v>14464</v>
      </c>
      <c r="H552">
        <v>93522035</v>
      </c>
      <c r="I552" t="s">
        <v>14292</v>
      </c>
      <c r="L552" t="s">
        <v>15839</v>
      </c>
      <c r="M552">
        <v>260</v>
      </c>
      <c r="N552" t="s">
        <v>15840</v>
      </c>
    </row>
    <row r="553" spans="1:14">
      <c r="A553" t="s">
        <v>9256</v>
      </c>
      <c r="B553">
        <v>635365</v>
      </c>
      <c r="C553">
        <v>636459</v>
      </c>
      <c r="E553" t="s">
        <v>14314</v>
      </c>
      <c r="F553" t="s">
        <v>14520</v>
      </c>
      <c r="H553">
        <v>93522036</v>
      </c>
      <c r="I553" t="s">
        <v>14292</v>
      </c>
      <c r="L553" t="s">
        <v>15841</v>
      </c>
      <c r="M553">
        <v>364</v>
      </c>
      <c r="N553" t="s">
        <v>15842</v>
      </c>
    </row>
    <row r="554" spans="1:14">
      <c r="A554" t="s">
        <v>9256</v>
      </c>
      <c r="B554">
        <v>636942</v>
      </c>
      <c r="C554">
        <v>637667</v>
      </c>
      <c r="E554" t="s">
        <v>14290</v>
      </c>
      <c r="F554" t="s">
        <v>14291</v>
      </c>
      <c r="H554">
        <v>93522037</v>
      </c>
      <c r="I554" t="s">
        <v>14292</v>
      </c>
      <c r="L554" t="s">
        <v>15843</v>
      </c>
      <c r="M554">
        <v>241</v>
      </c>
      <c r="N554" t="s">
        <v>15844</v>
      </c>
    </row>
    <row r="555" spans="1:14">
      <c r="A555" t="s">
        <v>9256</v>
      </c>
      <c r="B555">
        <v>637671</v>
      </c>
      <c r="C555">
        <v>638054</v>
      </c>
      <c r="E555" t="s">
        <v>14290</v>
      </c>
      <c r="F555" t="s">
        <v>14291</v>
      </c>
      <c r="H555">
        <v>93522038</v>
      </c>
      <c r="I555" t="s">
        <v>14292</v>
      </c>
      <c r="L555" t="s">
        <v>15845</v>
      </c>
      <c r="M555">
        <v>127</v>
      </c>
      <c r="N555" t="s">
        <v>15846</v>
      </c>
    </row>
    <row r="556" spans="1:14">
      <c r="A556" t="s">
        <v>9256</v>
      </c>
      <c r="B556">
        <v>638087</v>
      </c>
      <c r="C556">
        <v>639376</v>
      </c>
      <c r="E556" t="s">
        <v>14290</v>
      </c>
      <c r="F556" t="s">
        <v>15847</v>
      </c>
      <c r="H556">
        <v>93522039</v>
      </c>
      <c r="I556" t="s">
        <v>14292</v>
      </c>
      <c r="L556" t="s">
        <v>15848</v>
      </c>
      <c r="M556">
        <v>429</v>
      </c>
      <c r="N556" t="s">
        <v>15849</v>
      </c>
    </row>
    <row r="557" spans="1:14">
      <c r="A557" t="s">
        <v>9256</v>
      </c>
      <c r="B557">
        <v>639652</v>
      </c>
      <c r="C557">
        <v>640965</v>
      </c>
      <c r="E557" t="s">
        <v>14290</v>
      </c>
      <c r="F557" t="s">
        <v>15836</v>
      </c>
      <c r="H557">
        <v>93522040</v>
      </c>
      <c r="I557" t="s">
        <v>14292</v>
      </c>
      <c r="L557" t="s">
        <v>15850</v>
      </c>
      <c r="M557">
        <v>437</v>
      </c>
      <c r="N557" t="s">
        <v>15851</v>
      </c>
    </row>
    <row r="558" spans="1:14">
      <c r="A558" t="s">
        <v>9256</v>
      </c>
      <c r="B558">
        <v>641014</v>
      </c>
      <c r="C558">
        <v>642534</v>
      </c>
      <c r="E558" t="s">
        <v>14314</v>
      </c>
      <c r="F558" t="s">
        <v>15852</v>
      </c>
      <c r="H558">
        <v>93522041</v>
      </c>
      <c r="I558" t="s">
        <v>14292</v>
      </c>
      <c r="L558" t="s">
        <v>15853</v>
      </c>
      <c r="M558">
        <v>506</v>
      </c>
      <c r="N558" t="s">
        <v>15854</v>
      </c>
    </row>
    <row r="559" spans="1:14">
      <c r="A559" t="s">
        <v>9256</v>
      </c>
      <c r="B559">
        <v>642711</v>
      </c>
      <c r="C559">
        <v>644924</v>
      </c>
      <c r="E559" t="s">
        <v>14290</v>
      </c>
      <c r="F559" t="s">
        <v>15855</v>
      </c>
      <c r="H559">
        <v>93522042</v>
      </c>
      <c r="I559" t="s">
        <v>14292</v>
      </c>
      <c r="L559" t="s">
        <v>15856</v>
      </c>
      <c r="M559">
        <v>737</v>
      </c>
      <c r="N559" t="s">
        <v>15857</v>
      </c>
    </row>
    <row r="560" spans="1:14">
      <c r="A560" t="s">
        <v>9256</v>
      </c>
      <c r="B560">
        <v>645052</v>
      </c>
      <c r="C560">
        <v>646482</v>
      </c>
      <c r="E560" t="s">
        <v>14314</v>
      </c>
      <c r="F560" t="s">
        <v>15858</v>
      </c>
      <c r="H560">
        <v>93522043</v>
      </c>
      <c r="I560" t="s">
        <v>14292</v>
      </c>
      <c r="L560" t="s">
        <v>15859</v>
      </c>
      <c r="M560">
        <v>476</v>
      </c>
      <c r="N560" t="s">
        <v>15860</v>
      </c>
    </row>
    <row r="561" spans="1:14">
      <c r="A561" t="s">
        <v>9256</v>
      </c>
      <c r="B561">
        <v>646571</v>
      </c>
      <c r="C561">
        <v>647395</v>
      </c>
      <c r="E561" t="s">
        <v>14290</v>
      </c>
      <c r="F561" t="s">
        <v>14291</v>
      </c>
      <c r="H561">
        <v>93522044</v>
      </c>
      <c r="I561" t="s">
        <v>14292</v>
      </c>
      <c r="L561" t="s">
        <v>15861</v>
      </c>
      <c r="M561">
        <v>274</v>
      </c>
      <c r="N561" t="s">
        <v>15862</v>
      </c>
    </row>
    <row r="562" spans="1:14">
      <c r="A562" t="s">
        <v>9256</v>
      </c>
      <c r="B562">
        <v>647503</v>
      </c>
      <c r="C562">
        <v>650157</v>
      </c>
      <c r="E562" t="s">
        <v>14314</v>
      </c>
      <c r="F562" t="s">
        <v>15863</v>
      </c>
      <c r="H562">
        <v>93522045</v>
      </c>
      <c r="I562" t="s">
        <v>14292</v>
      </c>
      <c r="L562" t="s">
        <v>15864</v>
      </c>
      <c r="M562">
        <v>884</v>
      </c>
      <c r="N562" t="s">
        <v>15865</v>
      </c>
    </row>
    <row r="563" spans="1:14">
      <c r="A563" t="s">
        <v>9256</v>
      </c>
      <c r="B563">
        <v>650424</v>
      </c>
      <c r="C563">
        <v>650753</v>
      </c>
      <c r="E563" t="s">
        <v>14314</v>
      </c>
      <c r="F563" t="s">
        <v>14291</v>
      </c>
      <c r="H563">
        <v>93522046</v>
      </c>
      <c r="I563" t="s">
        <v>14292</v>
      </c>
      <c r="L563" t="s">
        <v>15866</v>
      </c>
      <c r="M563">
        <v>109</v>
      </c>
      <c r="N563" t="s">
        <v>15867</v>
      </c>
    </row>
    <row r="564" spans="1:14">
      <c r="A564" t="s">
        <v>9256</v>
      </c>
      <c r="B564">
        <v>651238</v>
      </c>
      <c r="C564">
        <v>652083</v>
      </c>
      <c r="E564" t="s">
        <v>14314</v>
      </c>
      <c r="F564" t="s">
        <v>15868</v>
      </c>
      <c r="H564">
        <v>93522047</v>
      </c>
      <c r="I564" t="s">
        <v>14292</v>
      </c>
      <c r="L564" t="s">
        <v>15869</v>
      </c>
      <c r="M564">
        <v>281</v>
      </c>
      <c r="N564" t="s">
        <v>15870</v>
      </c>
    </row>
    <row r="565" spans="1:14">
      <c r="A565" t="s">
        <v>9256</v>
      </c>
      <c r="B565">
        <v>652242</v>
      </c>
      <c r="C565">
        <v>653063</v>
      </c>
      <c r="E565" t="s">
        <v>14290</v>
      </c>
      <c r="F565" t="s">
        <v>14805</v>
      </c>
      <c r="H565">
        <v>93522048</v>
      </c>
      <c r="I565" t="s">
        <v>14292</v>
      </c>
      <c r="L565" t="s">
        <v>15871</v>
      </c>
      <c r="M565">
        <v>273</v>
      </c>
      <c r="N565" t="s">
        <v>15872</v>
      </c>
    </row>
    <row r="566" spans="1:14">
      <c r="A566" t="s">
        <v>9256</v>
      </c>
      <c r="B566">
        <v>653196</v>
      </c>
      <c r="C566">
        <v>654257</v>
      </c>
      <c r="E566" t="s">
        <v>14314</v>
      </c>
      <c r="F566" t="s">
        <v>15873</v>
      </c>
      <c r="G566" t="s">
        <v>15874</v>
      </c>
      <c r="H566">
        <v>93522049</v>
      </c>
      <c r="I566" t="s">
        <v>14292</v>
      </c>
      <c r="L566" t="s">
        <v>15875</v>
      </c>
      <c r="M566">
        <v>353</v>
      </c>
      <c r="N566" t="s">
        <v>15876</v>
      </c>
    </row>
    <row r="567" spans="1:14">
      <c r="A567" t="s">
        <v>9256</v>
      </c>
      <c r="B567">
        <v>654273</v>
      </c>
      <c r="C567">
        <v>654716</v>
      </c>
      <c r="E567" t="s">
        <v>14314</v>
      </c>
      <c r="F567" t="s">
        <v>15877</v>
      </c>
      <c r="H567">
        <v>93522050</v>
      </c>
      <c r="I567" t="s">
        <v>14292</v>
      </c>
      <c r="L567" t="s">
        <v>15878</v>
      </c>
      <c r="M567">
        <v>147</v>
      </c>
      <c r="N567" t="s">
        <v>15879</v>
      </c>
    </row>
    <row r="568" spans="1:14">
      <c r="A568" t="s">
        <v>9256</v>
      </c>
      <c r="B568">
        <v>654737</v>
      </c>
      <c r="C568">
        <v>656251</v>
      </c>
      <c r="E568" t="s">
        <v>14314</v>
      </c>
      <c r="F568" t="s">
        <v>15880</v>
      </c>
      <c r="H568">
        <v>93522051</v>
      </c>
      <c r="I568" t="s">
        <v>14292</v>
      </c>
      <c r="L568" t="s">
        <v>15881</v>
      </c>
      <c r="M568">
        <v>504</v>
      </c>
      <c r="N568" t="s">
        <v>15882</v>
      </c>
    </row>
    <row r="569" spans="1:14">
      <c r="A569" t="s">
        <v>9256</v>
      </c>
      <c r="B569">
        <v>656254</v>
      </c>
      <c r="C569">
        <v>656841</v>
      </c>
      <c r="E569" t="s">
        <v>14314</v>
      </c>
      <c r="F569" t="s">
        <v>15883</v>
      </c>
      <c r="G569" t="s">
        <v>15884</v>
      </c>
      <c r="H569">
        <v>93522052</v>
      </c>
      <c r="I569" t="s">
        <v>14292</v>
      </c>
      <c r="L569" t="s">
        <v>15885</v>
      </c>
      <c r="M569">
        <v>195</v>
      </c>
      <c r="N569" t="s">
        <v>15886</v>
      </c>
    </row>
    <row r="570" spans="1:14">
      <c r="A570" t="s">
        <v>9256</v>
      </c>
      <c r="B570">
        <v>656868</v>
      </c>
      <c r="C570">
        <v>658265</v>
      </c>
      <c r="E570" t="s">
        <v>14314</v>
      </c>
      <c r="F570" t="s">
        <v>15887</v>
      </c>
      <c r="G570" t="s">
        <v>15888</v>
      </c>
      <c r="H570">
        <v>93522053</v>
      </c>
      <c r="I570" t="s">
        <v>14292</v>
      </c>
      <c r="L570" t="s">
        <v>15889</v>
      </c>
      <c r="M570">
        <v>465</v>
      </c>
      <c r="N570" t="s">
        <v>15890</v>
      </c>
    </row>
    <row r="571" spans="1:14">
      <c r="A571" t="s">
        <v>9256</v>
      </c>
      <c r="B571">
        <v>658280</v>
      </c>
      <c r="C571">
        <v>659782</v>
      </c>
      <c r="E571" t="s">
        <v>14314</v>
      </c>
      <c r="F571" t="s">
        <v>15891</v>
      </c>
      <c r="H571">
        <v>93522054</v>
      </c>
      <c r="I571" t="s">
        <v>14292</v>
      </c>
      <c r="L571" t="s">
        <v>15892</v>
      </c>
      <c r="M571">
        <v>500</v>
      </c>
      <c r="N571" t="s">
        <v>15893</v>
      </c>
    </row>
    <row r="572" spans="1:14">
      <c r="A572" t="s">
        <v>9256</v>
      </c>
      <c r="B572">
        <v>660212</v>
      </c>
      <c r="C572">
        <v>663724</v>
      </c>
      <c r="E572" t="s">
        <v>14314</v>
      </c>
      <c r="F572" t="s">
        <v>15894</v>
      </c>
      <c r="H572">
        <v>93522055</v>
      </c>
      <c r="I572" t="s">
        <v>14292</v>
      </c>
      <c r="L572" t="s">
        <v>15895</v>
      </c>
      <c r="M572">
        <v>1170</v>
      </c>
      <c r="N572" t="s">
        <v>15896</v>
      </c>
    </row>
    <row r="573" spans="1:14">
      <c r="A573" t="s">
        <v>9256</v>
      </c>
      <c r="B573">
        <v>663728</v>
      </c>
      <c r="C573">
        <v>668254</v>
      </c>
      <c r="E573" t="s">
        <v>14314</v>
      </c>
      <c r="F573" t="s">
        <v>15847</v>
      </c>
      <c r="H573">
        <v>93522056</v>
      </c>
      <c r="I573" t="s">
        <v>14292</v>
      </c>
      <c r="L573" t="s">
        <v>15897</v>
      </c>
      <c r="M573">
        <v>1508</v>
      </c>
      <c r="N573" t="s">
        <v>15898</v>
      </c>
    </row>
    <row r="574" spans="1:14">
      <c r="A574" t="s">
        <v>9256</v>
      </c>
      <c r="B574">
        <v>668894</v>
      </c>
      <c r="C574">
        <v>669130</v>
      </c>
      <c r="E574" t="s">
        <v>14290</v>
      </c>
      <c r="F574" t="s">
        <v>14291</v>
      </c>
      <c r="H574">
        <v>93522057</v>
      </c>
      <c r="I574" t="s">
        <v>14292</v>
      </c>
      <c r="L574" t="s">
        <v>15899</v>
      </c>
      <c r="M574">
        <v>78</v>
      </c>
      <c r="N574" t="s">
        <v>15900</v>
      </c>
    </row>
    <row r="575" spans="1:14">
      <c r="A575" t="s">
        <v>9256</v>
      </c>
      <c r="B575">
        <v>669097</v>
      </c>
      <c r="C575">
        <v>669438</v>
      </c>
      <c r="E575" t="s">
        <v>14290</v>
      </c>
      <c r="F575" t="s">
        <v>15901</v>
      </c>
      <c r="H575">
        <v>93522058</v>
      </c>
      <c r="I575" t="s">
        <v>14292</v>
      </c>
      <c r="L575" t="s">
        <v>15902</v>
      </c>
      <c r="M575">
        <v>113</v>
      </c>
      <c r="N575" t="s">
        <v>15903</v>
      </c>
    </row>
    <row r="576" spans="1:14">
      <c r="A576" t="s">
        <v>9256</v>
      </c>
      <c r="B576">
        <v>669558</v>
      </c>
      <c r="C576">
        <v>669791</v>
      </c>
      <c r="E576" t="s">
        <v>14290</v>
      </c>
      <c r="F576" t="s">
        <v>14291</v>
      </c>
      <c r="H576">
        <v>93522059</v>
      </c>
      <c r="I576" t="s">
        <v>14292</v>
      </c>
      <c r="L576" t="s">
        <v>15904</v>
      </c>
      <c r="M576">
        <v>77</v>
      </c>
      <c r="N576" t="s">
        <v>15905</v>
      </c>
    </row>
    <row r="577" spans="1:14">
      <c r="A577" t="s">
        <v>9256</v>
      </c>
      <c r="B577">
        <v>669761</v>
      </c>
      <c r="C577">
        <v>670102</v>
      </c>
      <c r="E577" t="s">
        <v>14290</v>
      </c>
      <c r="F577" t="s">
        <v>15901</v>
      </c>
      <c r="H577">
        <v>93522060</v>
      </c>
      <c r="I577" t="s">
        <v>14292</v>
      </c>
      <c r="L577" t="s">
        <v>15906</v>
      </c>
      <c r="M577">
        <v>113</v>
      </c>
      <c r="N577" t="s">
        <v>15907</v>
      </c>
    </row>
    <row r="578" spans="1:14">
      <c r="A578" t="s">
        <v>9256</v>
      </c>
      <c r="B578">
        <v>670180</v>
      </c>
      <c r="C578">
        <v>671223</v>
      </c>
      <c r="E578" t="s">
        <v>14314</v>
      </c>
      <c r="F578" t="s">
        <v>15908</v>
      </c>
      <c r="G578" t="s">
        <v>15909</v>
      </c>
      <c r="H578">
        <v>93522061</v>
      </c>
      <c r="I578" t="s">
        <v>14292</v>
      </c>
      <c r="L578" t="s">
        <v>15910</v>
      </c>
      <c r="M578">
        <v>347</v>
      </c>
      <c r="N578" t="s">
        <v>15911</v>
      </c>
    </row>
    <row r="579" spans="1:14">
      <c r="A579" t="s">
        <v>9256</v>
      </c>
      <c r="B579">
        <v>671273</v>
      </c>
      <c r="C579">
        <v>671998</v>
      </c>
      <c r="E579" t="s">
        <v>14314</v>
      </c>
      <c r="F579" t="s">
        <v>15912</v>
      </c>
      <c r="H579">
        <v>93522062</v>
      </c>
      <c r="I579" t="s">
        <v>14292</v>
      </c>
      <c r="L579" t="s">
        <v>15913</v>
      </c>
      <c r="M579">
        <v>241</v>
      </c>
      <c r="N579" t="s">
        <v>15914</v>
      </c>
    </row>
    <row r="580" spans="1:14">
      <c r="A580" t="s">
        <v>9256</v>
      </c>
      <c r="B580">
        <v>672005</v>
      </c>
      <c r="C580">
        <v>672559</v>
      </c>
      <c r="E580" t="s">
        <v>14314</v>
      </c>
      <c r="F580" t="s">
        <v>15915</v>
      </c>
      <c r="G580" t="s">
        <v>15916</v>
      </c>
      <c r="H580">
        <v>93522063</v>
      </c>
      <c r="I580" t="s">
        <v>14292</v>
      </c>
      <c r="L580" t="s">
        <v>15917</v>
      </c>
      <c r="M580">
        <v>184</v>
      </c>
      <c r="N580" t="s">
        <v>15918</v>
      </c>
    </row>
    <row r="581" spans="1:14">
      <c r="A581" t="s">
        <v>9256</v>
      </c>
      <c r="B581">
        <v>672575</v>
      </c>
      <c r="C581">
        <v>674278</v>
      </c>
      <c r="E581" t="s">
        <v>14314</v>
      </c>
      <c r="F581" t="s">
        <v>15919</v>
      </c>
      <c r="G581" t="s">
        <v>15920</v>
      </c>
      <c r="H581">
        <v>93522064</v>
      </c>
      <c r="I581" t="s">
        <v>14292</v>
      </c>
      <c r="L581" t="s">
        <v>15921</v>
      </c>
      <c r="M581">
        <v>567</v>
      </c>
      <c r="N581" t="s">
        <v>15922</v>
      </c>
    </row>
    <row r="582" spans="1:14">
      <c r="A582" t="s">
        <v>9256</v>
      </c>
      <c r="B582">
        <v>674312</v>
      </c>
      <c r="C582">
        <v>676147</v>
      </c>
      <c r="E582" t="s">
        <v>14314</v>
      </c>
      <c r="F582" t="s">
        <v>15923</v>
      </c>
      <c r="G582" t="s">
        <v>15924</v>
      </c>
      <c r="H582">
        <v>93522065</v>
      </c>
      <c r="I582" t="s">
        <v>14292</v>
      </c>
      <c r="L582" t="s">
        <v>15925</v>
      </c>
      <c r="M582">
        <v>611</v>
      </c>
      <c r="N582" t="s">
        <v>15926</v>
      </c>
    </row>
    <row r="583" spans="1:14">
      <c r="A583" t="s">
        <v>9256</v>
      </c>
      <c r="B583">
        <v>677269</v>
      </c>
      <c r="C583">
        <v>678444</v>
      </c>
      <c r="E583" t="s">
        <v>14290</v>
      </c>
      <c r="F583" t="s">
        <v>15927</v>
      </c>
      <c r="H583">
        <v>93522066</v>
      </c>
      <c r="I583" t="s">
        <v>14292</v>
      </c>
      <c r="L583" t="s">
        <v>15928</v>
      </c>
      <c r="M583">
        <v>391</v>
      </c>
      <c r="N583" t="s">
        <v>15929</v>
      </c>
    </row>
    <row r="584" spans="1:14">
      <c r="A584" t="s">
        <v>9256</v>
      </c>
      <c r="B584">
        <v>678493</v>
      </c>
      <c r="C584">
        <v>679068</v>
      </c>
      <c r="E584" t="s">
        <v>14290</v>
      </c>
      <c r="F584" t="s">
        <v>15930</v>
      </c>
      <c r="H584">
        <v>93522067</v>
      </c>
      <c r="I584" t="s">
        <v>14292</v>
      </c>
      <c r="L584" t="s">
        <v>15931</v>
      </c>
      <c r="M584">
        <v>191</v>
      </c>
      <c r="N584" t="s">
        <v>15932</v>
      </c>
    </row>
    <row r="585" spans="1:14">
      <c r="A585" t="s">
        <v>9256</v>
      </c>
      <c r="B585">
        <v>679172</v>
      </c>
      <c r="C585">
        <v>680248</v>
      </c>
      <c r="E585" t="s">
        <v>14290</v>
      </c>
      <c r="F585" t="s">
        <v>15933</v>
      </c>
      <c r="G585" t="s">
        <v>15934</v>
      </c>
      <c r="H585">
        <v>93522068</v>
      </c>
      <c r="I585" t="s">
        <v>14292</v>
      </c>
      <c r="L585" t="s">
        <v>15935</v>
      </c>
      <c r="M585">
        <v>358</v>
      </c>
      <c r="N585" t="s">
        <v>15936</v>
      </c>
    </row>
    <row r="586" spans="1:14">
      <c r="A586" t="s">
        <v>9256</v>
      </c>
      <c r="B586">
        <v>680270</v>
      </c>
      <c r="C586">
        <v>680581</v>
      </c>
      <c r="E586" t="s">
        <v>14290</v>
      </c>
      <c r="F586" t="s">
        <v>15525</v>
      </c>
      <c r="H586">
        <v>93522069</v>
      </c>
      <c r="I586" t="s">
        <v>14292</v>
      </c>
      <c r="L586" t="s">
        <v>15937</v>
      </c>
      <c r="M586">
        <v>103</v>
      </c>
      <c r="N586" t="s">
        <v>15938</v>
      </c>
    </row>
    <row r="587" spans="1:14">
      <c r="A587" t="s">
        <v>9256</v>
      </c>
      <c r="B587">
        <v>680688</v>
      </c>
      <c r="C587">
        <v>681161</v>
      </c>
      <c r="E587" t="s">
        <v>14314</v>
      </c>
      <c r="F587" t="s">
        <v>15939</v>
      </c>
      <c r="G587" t="s">
        <v>15940</v>
      </c>
      <c r="H587">
        <v>93522070</v>
      </c>
      <c r="I587" t="s">
        <v>14292</v>
      </c>
      <c r="L587" t="s">
        <v>15941</v>
      </c>
      <c r="M587">
        <v>157</v>
      </c>
      <c r="N587" t="s">
        <v>15942</v>
      </c>
    </row>
    <row r="588" spans="1:14">
      <c r="A588" t="s">
        <v>9256</v>
      </c>
      <c r="B588">
        <v>681250</v>
      </c>
      <c r="C588">
        <v>681621</v>
      </c>
      <c r="E588" t="s">
        <v>14290</v>
      </c>
      <c r="F588" t="s">
        <v>15943</v>
      </c>
      <c r="H588">
        <v>93522071</v>
      </c>
      <c r="I588" t="s">
        <v>14292</v>
      </c>
      <c r="L588" t="s">
        <v>15944</v>
      </c>
      <c r="M588">
        <v>123</v>
      </c>
      <c r="N588" t="s">
        <v>15945</v>
      </c>
    </row>
    <row r="589" spans="1:14">
      <c r="A589" t="s">
        <v>9256</v>
      </c>
      <c r="B589">
        <v>681625</v>
      </c>
      <c r="C589">
        <v>682464</v>
      </c>
      <c r="E589" t="s">
        <v>14290</v>
      </c>
      <c r="F589" t="s">
        <v>15946</v>
      </c>
      <c r="G589" t="s">
        <v>15947</v>
      </c>
      <c r="H589">
        <v>93522072</v>
      </c>
      <c r="I589" t="s">
        <v>14292</v>
      </c>
      <c r="L589" t="s">
        <v>15948</v>
      </c>
      <c r="M589">
        <v>279</v>
      </c>
      <c r="N589" t="s">
        <v>15949</v>
      </c>
    </row>
    <row r="590" spans="1:14">
      <c r="A590" t="s">
        <v>9256</v>
      </c>
      <c r="B590">
        <v>682655</v>
      </c>
      <c r="C590">
        <v>684091</v>
      </c>
      <c r="E590" t="s">
        <v>14290</v>
      </c>
      <c r="F590" t="s">
        <v>15950</v>
      </c>
      <c r="G590" t="s">
        <v>15951</v>
      </c>
      <c r="H590">
        <v>93522073</v>
      </c>
      <c r="I590" t="s">
        <v>14292</v>
      </c>
      <c r="L590" t="s">
        <v>15952</v>
      </c>
      <c r="M590">
        <v>478</v>
      </c>
      <c r="N590" t="s">
        <v>15953</v>
      </c>
    </row>
    <row r="591" spans="1:14">
      <c r="A591" t="s">
        <v>9256</v>
      </c>
      <c r="B591">
        <v>684137</v>
      </c>
      <c r="C591">
        <v>685897</v>
      </c>
      <c r="E591" t="s">
        <v>14314</v>
      </c>
      <c r="F591" t="s">
        <v>15954</v>
      </c>
      <c r="H591">
        <v>93522074</v>
      </c>
      <c r="I591" t="s">
        <v>14292</v>
      </c>
      <c r="L591" t="s">
        <v>15955</v>
      </c>
      <c r="M591">
        <v>586</v>
      </c>
      <c r="N591" t="s">
        <v>15956</v>
      </c>
    </row>
    <row r="592" spans="1:14">
      <c r="A592" t="s">
        <v>9256</v>
      </c>
      <c r="B592">
        <v>685967</v>
      </c>
      <c r="C592">
        <v>686272</v>
      </c>
      <c r="E592" t="s">
        <v>14290</v>
      </c>
      <c r="F592" t="s">
        <v>15957</v>
      </c>
      <c r="H592">
        <v>93522075</v>
      </c>
      <c r="I592" t="s">
        <v>14292</v>
      </c>
      <c r="L592" t="s">
        <v>15958</v>
      </c>
      <c r="M592">
        <v>101</v>
      </c>
      <c r="N592" t="s">
        <v>15959</v>
      </c>
    </row>
    <row r="593" spans="1:14">
      <c r="A593" t="s">
        <v>9256</v>
      </c>
      <c r="B593">
        <v>686273</v>
      </c>
      <c r="C593">
        <v>686596</v>
      </c>
      <c r="E593" t="s">
        <v>14290</v>
      </c>
      <c r="F593" t="s">
        <v>14291</v>
      </c>
      <c r="H593">
        <v>93522076</v>
      </c>
      <c r="I593" t="s">
        <v>14292</v>
      </c>
      <c r="L593" t="s">
        <v>15960</v>
      </c>
      <c r="M593">
        <v>107</v>
      </c>
      <c r="N593" t="s">
        <v>15961</v>
      </c>
    </row>
    <row r="594" spans="1:14">
      <c r="A594" t="s">
        <v>9256</v>
      </c>
      <c r="B594">
        <v>686771</v>
      </c>
      <c r="C594">
        <v>687376</v>
      </c>
      <c r="E594" t="s">
        <v>14314</v>
      </c>
      <c r="F594" t="s">
        <v>15962</v>
      </c>
      <c r="H594">
        <v>93522077</v>
      </c>
      <c r="I594" t="s">
        <v>14292</v>
      </c>
      <c r="L594" t="s">
        <v>15963</v>
      </c>
      <c r="M594">
        <v>201</v>
      </c>
      <c r="N594" t="s">
        <v>15964</v>
      </c>
    </row>
    <row r="595" spans="1:14">
      <c r="A595" t="s">
        <v>9256</v>
      </c>
      <c r="B595">
        <v>687402</v>
      </c>
      <c r="C595">
        <v>687620</v>
      </c>
      <c r="E595" t="s">
        <v>14314</v>
      </c>
      <c r="F595" t="s">
        <v>14291</v>
      </c>
      <c r="H595">
        <v>93522078</v>
      </c>
      <c r="I595" t="s">
        <v>14292</v>
      </c>
      <c r="L595" t="s">
        <v>15965</v>
      </c>
      <c r="M595">
        <v>72</v>
      </c>
      <c r="N595" t="s">
        <v>15966</v>
      </c>
    </row>
    <row r="596" spans="1:14">
      <c r="A596" t="s">
        <v>9256</v>
      </c>
      <c r="B596">
        <v>687768</v>
      </c>
      <c r="C596">
        <v>689225</v>
      </c>
      <c r="E596" t="s">
        <v>14290</v>
      </c>
      <c r="F596" t="s">
        <v>15967</v>
      </c>
      <c r="H596">
        <v>93522079</v>
      </c>
      <c r="I596" t="s">
        <v>14292</v>
      </c>
      <c r="L596" t="s">
        <v>15968</v>
      </c>
      <c r="M596">
        <v>485</v>
      </c>
      <c r="N596" t="s">
        <v>15969</v>
      </c>
    </row>
    <row r="597" spans="1:14">
      <c r="A597" t="s">
        <v>9256</v>
      </c>
      <c r="B597">
        <v>689376</v>
      </c>
      <c r="C597">
        <v>690863</v>
      </c>
      <c r="E597" t="s">
        <v>14290</v>
      </c>
      <c r="F597" t="s">
        <v>14291</v>
      </c>
      <c r="H597">
        <v>93522080</v>
      </c>
      <c r="I597" t="s">
        <v>14292</v>
      </c>
      <c r="L597" t="s">
        <v>15970</v>
      </c>
      <c r="M597">
        <v>495</v>
      </c>
      <c r="N597" t="s">
        <v>15971</v>
      </c>
    </row>
    <row r="598" spans="1:14">
      <c r="A598" t="s">
        <v>9256</v>
      </c>
      <c r="B598">
        <v>690903</v>
      </c>
      <c r="C598">
        <v>691937</v>
      </c>
      <c r="E598" t="s">
        <v>14290</v>
      </c>
      <c r="F598" t="s">
        <v>15336</v>
      </c>
      <c r="H598">
        <v>93522081</v>
      </c>
      <c r="I598" t="s">
        <v>14292</v>
      </c>
      <c r="L598" t="s">
        <v>15972</v>
      </c>
      <c r="M598">
        <v>344</v>
      </c>
      <c r="N598" t="s">
        <v>15973</v>
      </c>
    </row>
    <row r="599" spans="1:14">
      <c r="A599" t="s">
        <v>9256</v>
      </c>
      <c r="B599">
        <v>692004</v>
      </c>
      <c r="C599">
        <v>693692</v>
      </c>
      <c r="E599" t="s">
        <v>14290</v>
      </c>
      <c r="F599" t="s">
        <v>15974</v>
      </c>
      <c r="H599">
        <v>93522082</v>
      </c>
      <c r="I599" t="s">
        <v>14292</v>
      </c>
      <c r="L599" t="s">
        <v>15975</v>
      </c>
      <c r="M599">
        <v>562</v>
      </c>
      <c r="N599" t="s">
        <v>15976</v>
      </c>
    </row>
    <row r="600" spans="1:14">
      <c r="A600" t="s">
        <v>9256</v>
      </c>
      <c r="B600">
        <v>693827</v>
      </c>
      <c r="C600">
        <v>695575</v>
      </c>
      <c r="E600" t="s">
        <v>14290</v>
      </c>
      <c r="F600" t="s">
        <v>15977</v>
      </c>
      <c r="H600">
        <v>93522083</v>
      </c>
      <c r="I600" t="s">
        <v>14292</v>
      </c>
      <c r="L600" t="s">
        <v>15978</v>
      </c>
      <c r="M600">
        <v>582</v>
      </c>
      <c r="N600" t="s">
        <v>15979</v>
      </c>
    </row>
    <row r="601" spans="1:14">
      <c r="A601" t="s">
        <v>9256</v>
      </c>
      <c r="B601">
        <v>695638</v>
      </c>
      <c r="C601">
        <v>696114</v>
      </c>
      <c r="E601" t="s">
        <v>14314</v>
      </c>
      <c r="F601" t="s">
        <v>15980</v>
      </c>
      <c r="G601" t="s">
        <v>15981</v>
      </c>
      <c r="H601">
        <v>93522084</v>
      </c>
      <c r="I601" t="s">
        <v>14292</v>
      </c>
      <c r="L601" t="s">
        <v>15982</v>
      </c>
      <c r="M601">
        <v>158</v>
      </c>
      <c r="N601" t="s">
        <v>15983</v>
      </c>
    </row>
    <row r="602" spans="1:14">
      <c r="A602" t="s">
        <v>9256</v>
      </c>
      <c r="B602">
        <v>696240</v>
      </c>
      <c r="C602">
        <v>696869</v>
      </c>
      <c r="E602" t="s">
        <v>14290</v>
      </c>
      <c r="F602" t="s">
        <v>14414</v>
      </c>
      <c r="H602">
        <v>93522085</v>
      </c>
      <c r="I602" t="s">
        <v>14415</v>
      </c>
      <c r="N602" t="s">
        <v>15984</v>
      </c>
    </row>
    <row r="603" spans="1:14">
      <c r="A603" t="s">
        <v>9256</v>
      </c>
      <c r="B603">
        <v>696879</v>
      </c>
      <c r="C603">
        <v>697859</v>
      </c>
      <c r="E603" t="s">
        <v>14314</v>
      </c>
      <c r="F603" t="s">
        <v>15696</v>
      </c>
      <c r="H603">
        <v>93522086</v>
      </c>
      <c r="I603" t="s">
        <v>14292</v>
      </c>
      <c r="L603" t="s">
        <v>15697</v>
      </c>
      <c r="M603">
        <v>326</v>
      </c>
      <c r="N603" t="s">
        <v>15985</v>
      </c>
    </row>
    <row r="604" spans="1:14">
      <c r="A604" t="s">
        <v>9256</v>
      </c>
      <c r="B604">
        <v>698028</v>
      </c>
      <c r="C604">
        <v>698129</v>
      </c>
      <c r="E604" t="s">
        <v>14290</v>
      </c>
      <c r="F604" t="s">
        <v>14414</v>
      </c>
      <c r="H604">
        <v>93525925</v>
      </c>
      <c r="I604" t="s">
        <v>14415</v>
      </c>
      <c r="N604" t="s">
        <v>15986</v>
      </c>
    </row>
    <row r="605" spans="1:14">
      <c r="A605" t="s">
        <v>9256</v>
      </c>
      <c r="B605">
        <v>698203</v>
      </c>
      <c r="C605">
        <v>699111</v>
      </c>
      <c r="E605" t="s">
        <v>14290</v>
      </c>
      <c r="F605" t="s">
        <v>15987</v>
      </c>
      <c r="H605">
        <v>93522087</v>
      </c>
      <c r="I605" t="s">
        <v>14292</v>
      </c>
      <c r="L605" t="s">
        <v>15988</v>
      </c>
      <c r="M605">
        <v>302</v>
      </c>
      <c r="N605" t="s">
        <v>15989</v>
      </c>
    </row>
    <row r="606" spans="1:14">
      <c r="A606" t="s">
        <v>9256</v>
      </c>
      <c r="B606">
        <v>699158</v>
      </c>
      <c r="C606">
        <v>700324</v>
      </c>
      <c r="E606" t="s">
        <v>14290</v>
      </c>
      <c r="F606" t="s">
        <v>15990</v>
      </c>
      <c r="H606">
        <v>93522088</v>
      </c>
      <c r="I606" t="s">
        <v>14292</v>
      </c>
      <c r="L606" t="s">
        <v>15991</v>
      </c>
      <c r="M606">
        <v>388</v>
      </c>
      <c r="N606" t="s">
        <v>15992</v>
      </c>
    </row>
    <row r="607" spans="1:14">
      <c r="A607" t="s">
        <v>9256</v>
      </c>
      <c r="B607">
        <v>700334</v>
      </c>
      <c r="C607">
        <v>701443</v>
      </c>
      <c r="E607" t="s">
        <v>14290</v>
      </c>
      <c r="F607" t="s">
        <v>15993</v>
      </c>
      <c r="G607" t="s">
        <v>15994</v>
      </c>
      <c r="H607">
        <v>93522089</v>
      </c>
      <c r="I607" t="s">
        <v>14292</v>
      </c>
      <c r="L607" t="s">
        <v>15995</v>
      </c>
      <c r="M607">
        <v>369</v>
      </c>
      <c r="N607" t="s">
        <v>15996</v>
      </c>
    </row>
    <row r="608" spans="1:14">
      <c r="A608" t="s">
        <v>9256</v>
      </c>
      <c r="B608">
        <v>701476</v>
      </c>
      <c r="C608">
        <v>702318</v>
      </c>
      <c r="E608" t="s">
        <v>14290</v>
      </c>
      <c r="F608" t="s">
        <v>15997</v>
      </c>
      <c r="G608" t="s">
        <v>15998</v>
      </c>
      <c r="H608">
        <v>93522090</v>
      </c>
      <c r="I608" t="s">
        <v>14292</v>
      </c>
      <c r="L608" t="s">
        <v>15999</v>
      </c>
      <c r="M608">
        <v>280</v>
      </c>
      <c r="N608" t="s">
        <v>16000</v>
      </c>
    </row>
    <row r="609" spans="1:14">
      <c r="A609" t="s">
        <v>9256</v>
      </c>
      <c r="B609">
        <v>702408</v>
      </c>
      <c r="C609">
        <v>703451</v>
      </c>
      <c r="E609" t="s">
        <v>14290</v>
      </c>
      <c r="F609" t="s">
        <v>16001</v>
      </c>
      <c r="G609" t="s">
        <v>16002</v>
      </c>
      <c r="H609">
        <v>93522091</v>
      </c>
      <c r="I609" t="s">
        <v>14292</v>
      </c>
      <c r="L609" t="s">
        <v>16003</v>
      </c>
      <c r="M609">
        <v>347</v>
      </c>
      <c r="N609" t="s">
        <v>16004</v>
      </c>
    </row>
    <row r="610" spans="1:14">
      <c r="A610" t="s">
        <v>9256</v>
      </c>
      <c r="B610">
        <v>703458</v>
      </c>
      <c r="C610">
        <v>704843</v>
      </c>
      <c r="E610" t="s">
        <v>14290</v>
      </c>
      <c r="F610" t="s">
        <v>16005</v>
      </c>
      <c r="H610">
        <v>93522092</v>
      </c>
      <c r="I610" t="s">
        <v>14292</v>
      </c>
      <c r="L610" t="s">
        <v>16006</v>
      </c>
      <c r="M610">
        <v>461</v>
      </c>
      <c r="N610" t="s">
        <v>16007</v>
      </c>
    </row>
    <row r="611" spans="1:14">
      <c r="A611" t="s">
        <v>9256</v>
      </c>
      <c r="B611">
        <v>704861</v>
      </c>
      <c r="C611">
        <v>705646</v>
      </c>
      <c r="E611" t="s">
        <v>14290</v>
      </c>
      <c r="F611" t="s">
        <v>16008</v>
      </c>
      <c r="G611" t="s">
        <v>16009</v>
      </c>
      <c r="H611">
        <v>93522093</v>
      </c>
      <c r="I611" t="s">
        <v>14292</v>
      </c>
      <c r="L611" t="s">
        <v>16010</v>
      </c>
      <c r="M611">
        <v>261</v>
      </c>
      <c r="N611" t="s">
        <v>16011</v>
      </c>
    </row>
    <row r="612" spans="1:14">
      <c r="A612" t="s">
        <v>9256</v>
      </c>
      <c r="B612">
        <v>705746</v>
      </c>
      <c r="C612">
        <v>705871</v>
      </c>
      <c r="E612" t="s">
        <v>14314</v>
      </c>
      <c r="F612" t="s">
        <v>14291</v>
      </c>
      <c r="H612">
        <v>301046716</v>
      </c>
      <c r="I612" t="s">
        <v>14292</v>
      </c>
      <c r="L612" t="s">
        <v>16012</v>
      </c>
      <c r="M612">
        <v>41</v>
      </c>
      <c r="N612" t="s">
        <v>16013</v>
      </c>
    </row>
    <row r="613" spans="1:14">
      <c r="A613" t="s">
        <v>9256</v>
      </c>
      <c r="B613">
        <v>706110</v>
      </c>
      <c r="C613">
        <v>706670</v>
      </c>
      <c r="E613" t="s">
        <v>14290</v>
      </c>
      <c r="F613" t="s">
        <v>16014</v>
      </c>
      <c r="H613">
        <v>93522095</v>
      </c>
      <c r="I613" t="s">
        <v>14292</v>
      </c>
      <c r="L613" t="s">
        <v>16015</v>
      </c>
      <c r="M613">
        <v>186</v>
      </c>
      <c r="N613" t="s">
        <v>16016</v>
      </c>
    </row>
    <row r="614" spans="1:14">
      <c r="A614" t="s">
        <v>9256</v>
      </c>
      <c r="B614">
        <v>706670</v>
      </c>
      <c r="C614">
        <v>707569</v>
      </c>
      <c r="E614" t="s">
        <v>14290</v>
      </c>
      <c r="F614" t="s">
        <v>16017</v>
      </c>
      <c r="G614" t="s">
        <v>16018</v>
      </c>
      <c r="H614">
        <v>93522096</v>
      </c>
      <c r="I614" t="s">
        <v>14292</v>
      </c>
      <c r="L614" t="s">
        <v>16019</v>
      </c>
      <c r="M614">
        <v>299</v>
      </c>
      <c r="N614" t="s">
        <v>16020</v>
      </c>
    </row>
    <row r="615" spans="1:14">
      <c r="A615" t="s">
        <v>9256</v>
      </c>
      <c r="B615">
        <v>707697</v>
      </c>
      <c r="C615">
        <v>708068</v>
      </c>
      <c r="E615" t="s">
        <v>14314</v>
      </c>
      <c r="F615" t="s">
        <v>16021</v>
      </c>
      <c r="H615">
        <v>93522097</v>
      </c>
      <c r="I615" t="s">
        <v>14292</v>
      </c>
      <c r="L615" t="s">
        <v>16022</v>
      </c>
      <c r="M615">
        <v>123</v>
      </c>
      <c r="N615" t="s">
        <v>16023</v>
      </c>
    </row>
    <row r="616" spans="1:14">
      <c r="A616" t="s">
        <v>9256</v>
      </c>
      <c r="B616">
        <v>708070</v>
      </c>
      <c r="C616">
        <v>708816</v>
      </c>
      <c r="E616" t="s">
        <v>14314</v>
      </c>
      <c r="F616" t="s">
        <v>16024</v>
      </c>
      <c r="H616">
        <v>93522098</v>
      </c>
      <c r="I616" t="s">
        <v>14292</v>
      </c>
      <c r="L616" t="s">
        <v>16025</v>
      </c>
      <c r="M616">
        <v>248</v>
      </c>
      <c r="N616" t="s">
        <v>16026</v>
      </c>
    </row>
    <row r="617" spans="1:14">
      <c r="A617" t="s">
        <v>9256</v>
      </c>
      <c r="B617">
        <v>708930</v>
      </c>
      <c r="C617">
        <v>710378</v>
      </c>
      <c r="E617" t="s">
        <v>14290</v>
      </c>
      <c r="F617" t="s">
        <v>14805</v>
      </c>
      <c r="H617">
        <v>93522099</v>
      </c>
      <c r="I617" t="s">
        <v>14292</v>
      </c>
      <c r="L617" t="s">
        <v>16027</v>
      </c>
      <c r="M617">
        <v>482</v>
      </c>
      <c r="N617" t="s">
        <v>16028</v>
      </c>
    </row>
    <row r="618" spans="1:14">
      <c r="A618" t="s">
        <v>9256</v>
      </c>
      <c r="B618">
        <v>710387</v>
      </c>
      <c r="C618">
        <v>710875</v>
      </c>
      <c r="E618" t="s">
        <v>14290</v>
      </c>
      <c r="F618" t="s">
        <v>16029</v>
      </c>
      <c r="H618">
        <v>93522100</v>
      </c>
      <c r="I618" t="s">
        <v>14292</v>
      </c>
      <c r="L618" t="s">
        <v>16030</v>
      </c>
      <c r="M618">
        <v>162</v>
      </c>
      <c r="N618" t="s">
        <v>16031</v>
      </c>
    </row>
    <row r="619" spans="1:14">
      <c r="A619" t="s">
        <v>9256</v>
      </c>
      <c r="B619">
        <v>710886</v>
      </c>
      <c r="C619">
        <v>711878</v>
      </c>
      <c r="E619" t="s">
        <v>14290</v>
      </c>
      <c r="F619" t="s">
        <v>16032</v>
      </c>
      <c r="G619" t="s">
        <v>16033</v>
      </c>
      <c r="H619">
        <v>93522101</v>
      </c>
      <c r="I619" t="s">
        <v>14292</v>
      </c>
      <c r="L619" t="s">
        <v>16034</v>
      </c>
      <c r="M619">
        <v>330</v>
      </c>
      <c r="N619" t="s">
        <v>16035</v>
      </c>
    </row>
    <row r="620" spans="1:14">
      <c r="A620" t="s">
        <v>9256</v>
      </c>
      <c r="B620">
        <v>711969</v>
      </c>
      <c r="C620">
        <v>712838</v>
      </c>
      <c r="E620" t="s">
        <v>14290</v>
      </c>
      <c r="F620" t="s">
        <v>16036</v>
      </c>
      <c r="H620">
        <v>93522102</v>
      </c>
      <c r="I620" t="s">
        <v>14292</v>
      </c>
      <c r="L620" t="s">
        <v>16037</v>
      </c>
      <c r="M620">
        <v>289</v>
      </c>
      <c r="N620" t="s">
        <v>16038</v>
      </c>
    </row>
    <row r="621" spans="1:14">
      <c r="A621" t="s">
        <v>9256</v>
      </c>
      <c r="B621">
        <v>712852</v>
      </c>
      <c r="C621">
        <v>713556</v>
      </c>
      <c r="E621" t="s">
        <v>14290</v>
      </c>
      <c r="F621" t="s">
        <v>16039</v>
      </c>
      <c r="G621" t="s">
        <v>16040</v>
      </c>
      <c r="H621">
        <v>93522103</v>
      </c>
      <c r="I621" t="s">
        <v>14292</v>
      </c>
      <c r="L621" t="s">
        <v>16041</v>
      </c>
      <c r="M621">
        <v>234</v>
      </c>
      <c r="N621" t="s">
        <v>16042</v>
      </c>
    </row>
    <row r="622" spans="1:14">
      <c r="A622" t="s">
        <v>9256</v>
      </c>
      <c r="B622">
        <v>713546</v>
      </c>
      <c r="C622">
        <v>714292</v>
      </c>
      <c r="E622" t="s">
        <v>14314</v>
      </c>
      <c r="F622" t="s">
        <v>14712</v>
      </c>
      <c r="H622">
        <v>93522104</v>
      </c>
      <c r="I622" t="s">
        <v>14292</v>
      </c>
      <c r="L622" t="s">
        <v>16043</v>
      </c>
      <c r="M622">
        <v>248</v>
      </c>
      <c r="N622" t="s">
        <v>16044</v>
      </c>
    </row>
    <row r="623" spans="1:14">
      <c r="A623" t="s">
        <v>9256</v>
      </c>
      <c r="B623">
        <v>714314</v>
      </c>
      <c r="C623">
        <v>715498</v>
      </c>
      <c r="E623" t="s">
        <v>14314</v>
      </c>
      <c r="F623" t="s">
        <v>14870</v>
      </c>
      <c r="H623">
        <v>93522105</v>
      </c>
      <c r="I623" t="s">
        <v>14292</v>
      </c>
      <c r="L623" t="s">
        <v>16045</v>
      </c>
      <c r="M623">
        <v>394</v>
      </c>
      <c r="N623" t="s">
        <v>16046</v>
      </c>
    </row>
    <row r="624" spans="1:14">
      <c r="A624" t="s">
        <v>9256</v>
      </c>
      <c r="B624">
        <v>715576</v>
      </c>
      <c r="C624">
        <v>716694</v>
      </c>
      <c r="E624" t="s">
        <v>14290</v>
      </c>
      <c r="F624" t="s">
        <v>14590</v>
      </c>
      <c r="H624">
        <v>93522106</v>
      </c>
      <c r="I624" t="s">
        <v>14292</v>
      </c>
      <c r="L624" t="s">
        <v>16047</v>
      </c>
      <c r="M624">
        <v>372</v>
      </c>
      <c r="N624" t="s">
        <v>16048</v>
      </c>
    </row>
    <row r="625" spans="1:14">
      <c r="A625" t="s">
        <v>9256</v>
      </c>
      <c r="B625">
        <v>716703</v>
      </c>
      <c r="C625">
        <v>718088</v>
      </c>
      <c r="E625" t="s">
        <v>14290</v>
      </c>
      <c r="F625" t="s">
        <v>16049</v>
      </c>
      <c r="G625" t="s">
        <v>16050</v>
      </c>
      <c r="H625">
        <v>93522107</v>
      </c>
      <c r="I625" t="s">
        <v>14292</v>
      </c>
      <c r="L625" t="s">
        <v>16051</v>
      </c>
      <c r="M625">
        <v>461</v>
      </c>
      <c r="N625" t="s">
        <v>16052</v>
      </c>
    </row>
    <row r="626" spans="1:14">
      <c r="A626" t="s">
        <v>9256</v>
      </c>
      <c r="B626">
        <v>718356</v>
      </c>
      <c r="C626">
        <v>719267</v>
      </c>
      <c r="E626" t="s">
        <v>14290</v>
      </c>
      <c r="F626" t="s">
        <v>14406</v>
      </c>
      <c r="H626">
        <v>93522108</v>
      </c>
      <c r="I626" t="s">
        <v>14292</v>
      </c>
      <c r="L626" t="s">
        <v>16053</v>
      </c>
      <c r="M626">
        <v>303</v>
      </c>
      <c r="N626" t="s">
        <v>16054</v>
      </c>
    </row>
    <row r="627" spans="1:14">
      <c r="A627" t="s">
        <v>9256</v>
      </c>
      <c r="B627">
        <v>719352</v>
      </c>
      <c r="C627">
        <v>720458</v>
      </c>
      <c r="E627" t="s">
        <v>14290</v>
      </c>
      <c r="F627" t="s">
        <v>15333</v>
      </c>
      <c r="H627">
        <v>93522109</v>
      </c>
      <c r="I627" t="s">
        <v>14292</v>
      </c>
      <c r="L627" t="s">
        <v>16055</v>
      </c>
      <c r="M627">
        <v>368</v>
      </c>
      <c r="N627" t="s">
        <v>16056</v>
      </c>
    </row>
    <row r="628" spans="1:14">
      <c r="A628" t="s">
        <v>9256</v>
      </c>
      <c r="B628">
        <v>720468</v>
      </c>
      <c r="C628">
        <v>720833</v>
      </c>
      <c r="E628" t="s">
        <v>14290</v>
      </c>
      <c r="F628" t="s">
        <v>14291</v>
      </c>
      <c r="H628">
        <v>93522110</v>
      </c>
      <c r="I628" t="s">
        <v>14292</v>
      </c>
      <c r="L628" t="s">
        <v>16057</v>
      </c>
      <c r="M628">
        <v>121</v>
      </c>
      <c r="N628" t="s">
        <v>16058</v>
      </c>
    </row>
    <row r="629" spans="1:14">
      <c r="A629" t="s">
        <v>9256</v>
      </c>
      <c r="B629">
        <v>721098</v>
      </c>
      <c r="C629">
        <v>721973</v>
      </c>
      <c r="E629" t="s">
        <v>14290</v>
      </c>
      <c r="F629" t="s">
        <v>14291</v>
      </c>
      <c r="H629">
        <v>93522111</v>
      </c>
      <c r="I629" t="s">
        <v>14292</v>
      </c>
      <c r="L629" t="s">
        <v>16059</v>
      </c>
      <c r="M629">
        <v>291</v>
      </c>
      <c r="N629" t="s">
        <v>16060</v>
      </c>
    </row>
    <row r="630" spans="1:14">
      <c r="A630" t="s">
        <v>9256</v>
      </c>
      <c r="B630">
        <v>722004</v>
      </c>
      <c r="C630">
        <v>722861</v>
      </c>
      <c r="E630" t="s">
        <v>14314</v>
      </c>
      <c r="F630" t="s">
        <v>16061</v>
      </c>
      <c r="H630">
        <v>93522112</v>
      </c>
      <c r="I630" t="s">
        <v>14292</v>
      </c>
      <c r="L630" t="s">
        <v>16062</v>
      </c>
      <c r="M630">
        <v>285</v>
      </c>
      <c r="N630" t="s">
        <v>16063</v>
      </c>
    </row>
    <row r="631" spans="1:14">
      <c r="A631" t="s">
        <v>9256</v>
      </c>
      <c r="B631">
        <v>722886</v>
      </c>
      <c r="C631">
        <v>723101</v>
      </c>
      <c r="E631" t="s">
        <v>14314</v>
      </c>
      <c r="F631" t="s">
        <v>14291</v>
      </c>
      <c r="H631">
        <v>93522113</v>
      </c>
      <c r="I631" t="s">
        <v>14292</v>
      </c>
      <c r="L631" t="s">
        <v>16064</v>
      </c>
      <c r="M631">
        <v>71</v>
      </c>
      <c r="N631" t="s">
        <v>16065</v>
      </c>
    </row>
    <row r="632" spans="1:14">
      <c r="A632" t="s">
        <v>9256</v>
      </c>
      <c r="B632">
        <v>723568</v>
      </c>
      <c r="C632">
        <v>723933</v>
      </c>
      <c r="E632" t="s">
        <v>14290</v>
      </c>
      <c r="F632" t="s">
        <v>14406</v>
      </c>
      <c r="H632">
        <v>93522114</v>
      </c>
      <c r="I632" t="s">
        <v>14292</v>
      </c>
      <c r="L632" t="s">
        <v>16066</v>
      </c>
      <c r="M632">
        <v>121</v>
      </c>
      <c r="N632" t="s">
        <v>16067</v>
      </c>
    </row>
    <row r="633" spans="1:14">
      <c r="A633" t="s">
        <v>9256</v>
      </c>
      <c r="B633">
        <v>723945</v>
      </c>
      <c r="C633">
        <v>725321</v>
      </c>
      <c r="E633" t="s">
        <v>14290</v>
      </c>
      <c r="F633" t="s">
        <v>15097</v>
      </c>
      <c r="H633">
        <v>93522115</v>
      </c>
      <c r="I633" t="s">
        <v>14292</v>
      </c>
      <c r="L633" t="s">
        <v>16068</v>
      </c>
      <c r="M633">
        <v>458</v>
      </c>
      <c r="N633" t="s">
        <v>16069</v>
      </c>
    </row>
    <row r="634" spans="1:14">
      <c r="A634" t="s">
        <v>9256</v>
      </c>
      <c r="B634">
        <v>725400</v>
      </c>
      <c r="C634">
        <v>726479</v>
      </c>
      <c r="E634" t="s">
        <v>14290</v>
      </c>
      <c r="F634" t="s">
        <v>16070</v>
      </c>
      <c r="H634">
        <v>93522116</v>
      </c>
      <c r="I634" t="s">
        <v>14292</v>
      </c>
      <c r="L634" t="s">
        <v>16071</v>
      </c>
      <c r="M634">
        <v>359</v>
      </c>
      <c r="N634" t="s">
        <v>16072</v>
      </c>
    </row>
    <row r="635" spans="1:14">
      <c r="A635" t="s">
        <v>9256</v>
      </c>
      <c r="B635">
        <v>726618</v>
      </c>
      <c r="C635">
        <v>726926</v>
      </c>
      <c r="E635" t="s">
        <v>14290</v>
      </c>
      <c r="F635" t="s">
        <v>16073</v>
      </c>
      <c r="H635">
        <v>93522117</v>
      </c>
      <c r="I635" t="s">
        <v>14292</v>
      </c>
      <c r="L635" t="s">
        <v>16074</v>
      </c>
      <c r="M635">
        <v>102</v>
      </c>
      <c r="N635" t="s">
        <v>16075</v>
      </c>
    </row>
    <row r="636" spans="1:14">
      <c r="A636" t="s">
        <v>9256</v>
      </c>
      <c r="B636">
        <v>726916</v>
      </c>
      <c r="C636">
        <v>727857</v>
      </c>
      <c r="E636" t="s">
        <v>14290</v>
      </c>
      <c r="F636" t="s">
        <v>16076</v>
      </c>
      <c r="H636">
        <v>93522118</v>
      </c>
      <c r="I636" t="s">
        <v>14292</v>
      </c>
      <c r="L636" t="s">
        <v>16077</v>
      </c>
      <c r="M636">
        <v>313</v>
      </c>
      <c r="N636" t="s">
        <v>16078</v>
      </c>
    </row>
    <row r="637" spans="1:14">
      <c r="A637" t="s">
        <v>9256</v>
      </c>
      <c r="B637">
        <v>727892</v>
      </c>
      <c r="C637">
        <v>728290</v>
      </c>
      <c r="E637" t="s">
        <v>14290</v>
      </c>
      <c r="F637" t="s">
        <v>14291</v>
      </c>
      <c r="H637">
        <v>93522119</v>
      </c>
      <c r="I637" t="s">
        <v>14292</v>
      </c>
      <c r="L637" t="s">
        <v>16079</v>
      </c>
      <c r="M637">
        <v>132</v>
      </c>
      <c r="N637" t="s">
        <v>16080</v>
      </c>
    </row>
    <row r="638" spans="1:14">
      <c r="A638" t="s">
        <v>9256</v>
      </c>
      <c r="B638">
        <v>728365</v>
      </c>
      <c r="C638">
        <v>729111</v>
      </c>
      <c r="E638" t="s">
        <v>14290</v>
      </c>
      <c r="F638" t="s">
        <v>16081</v>
      </c>
      <c r="H638">
        <v>93522120</v>
      </c>
      <c r="I638" t="s">
        <v>14292</v>
      </c>
      <c r="L638" t="s">
        <v>16082</v>
      </c>
      <c r="M638">
        <v>248</v>
      </c>
      <c r="N638" t="s">
        <v>16083</v>
      </c>
    </row>
    <row r="639" spans="1:14">
      <c r="A639" t="s">
        <v>9256</v>
      </c>
      <c r="B639">
        <v>729228</v>
      </c>
      <c r="C639">
        <v>729632</v>
      </c>
      <c r="E639" t="s">
        <v>14290</v>
      </c>
      <c r="F639" t="s">
        <v>14291</v>
      </c>
      <c r="H639">
        <v>93525926</v>
      </c>
      <c r="I639" t="s">
        <v>14292</v>
      </c>
      <c r="L639" t="s">
        <v>16084</v>
      </c>
      <c r="M639">
        <v>134</v>
      </c>
      <c r="N639" t="s">
        <v>16085</v>
      </c>
    </row>
    <row r="640" spans="1:14">
      <c r="A640" t="s">
        <v>9256</v>
      </c>
      <c r="B640">
        <v>729586</v>
      </c>
      <c r="C640">
        <v>730443</v>
      </c>
      <c r="E640" t="s">
        <v>14290</v>
      </c>
      <c r="F640" t="s">
        <v>15759</v>
      </c>
      <c r="H640">
        <v>93522121</v>
      </c>
      <c r="I640" t="s">
        <v>14292</v>
      </c>
      <c r="L640" t="s">
        <v>16086</v>
      </c>
      <c r="M640">
        <v>285</v>
      </c>
      <c r="N640" t="s">
        <v>16087</v>
      </c>
    </row>
    <row r="641" spans="1:14">
      <c r="A641" t="s">
        <v>9256</v>
      </c>
      <c r="B641">
        <v>730634</v>
      </c>
      <c r="C641">
        <v>731611</v>
      </c>
      <c r="E641" t="s">
        <v>14314</v>
      </c>
      <c r="F641" t="s">
        <v>14291</v>
      </c>
      <c r="H641">
        <v>93522122</v>
      </c>
      <c r="I641" t="s">
        <v>14292</v>
      </c>
      <c r="L641" t="s">
        <v>16088</v>
      </c>
      <c r="M641">
        <v>325</v>
      </c>
      <c r="N641" t="s">
        <v>16089</v>
      </c>
    </row>
    <row r="642" spans="1:14">
      <c r="A642" t="s">
        <v>9256</v>
      </c>
      <c r="B642">
        <v>731629</v>
      </c>
      <c r="C642">
        <v>732000</v>
      </c>
      <c r="E642" t="s">
        <v>14314</v>
      </c>
      <c r="F642" t="s">
        <v>14291</v>
      </c>
      <c r="H642">
        <v>93525927</v>
      </c>
      <c r="I642" t="s">
        <v>14292</v>
      </c>
      <c r="L642" t="s">
        <v>16090</v>
      </c>
      <c r="M642">
        <v>123</v>
      </c>
      <c r="N642" t="s">
        <v>16091</v>
      </c>
    </row>
    <row r="643" spans="1:14">
      <c r="A643" t="s">
        <v>9256</v>
      </c>
      <c r="B643">
        <v>732268</v>
      </c>
      <c r="C643">
        <v>732673</v>
      </c>
      <c r="E643" t="s">
        <v>14290</v>
      </c>
      <c r="F643" t="s">
        <v>14414</v>
      </c>
      <c r="H643">
        <v>93522123</v>
      </c>
      <c r="I643" t="s">
        <v>14415</v>
      </c>
      <c r="N643" t="s">
        <v>16092</v>
      </c>
    </row>
    <row r="644" spans="1:14">
      <c r="A644" t="s">
        <v>9256</v>
      </c>
      <c r="B644">
        <v>732706</v>
      </c>
      <c r="C644">
        <v>733698</v>
      </c>
      <c r="E644" t="s">
        <v>14290</v>
      </c>
      <c r="F644" t="s">
        <v>16093</v>
      </c>
      <c r="G644" t="s">
        <v>16094</v>
      </c>
      <c r="H644">
        <v>93522124</v>
      </c>
      <c r="I644" t="s">
        <v>14292</v>
      </c>
      <c r="L644" t="s">
        <v>16095</v>
      </c>
      <c r="M644">
        <v>330</v>
      </c>
      <c r="N644" t="s">
        <v>16096</v>
      </c>
    </row>
    <row r="645" spans="1:14">
      <c r="A645" t="s">
        <v>9256</v>
      </c>
      <c r="B645">
        <v>733750</v>
      </c>
      <c r="C645">
        <v>734982</v>
      </c>
      <c r="E645" t="s">
        <v>14290</v>
      </c>
      <c r="F645" t="s">
        <v>16081</v>
      </c>
      <c r="H645">
        <v>93522125</v>
      </c>
      <c r="I645" t="s">
        <v>14292</v>
      </c>
      <c r="L645" t="s">
        <v>16097</v>
      </c>
      <c r="M645">
        <v>410</v>
      </c>
      <c r="N645" t="s">
        <v>16098</v>
      </c>
    </row>
    <row r="646" spans="1:14">
      <c r="A646" t="s">
        <v>9256</v>
      </c>
      <c r="B646">
        <v>734903</v>
      </c>
      <c r="C646">
        <v>735511</v>
      </c>
      <c r="E646" t="s">
        <v>14314</v>
      </c>
      <c r="F646" t="s">
        <v>16081</v>
      </c>
      <c r="H646">
        <v>93522126</v>
      </c>
      <c r="I646" t="s">
        <v>14292</v>
      </c>
      <c r="L646" t="s">
        <v>16099</v>
      </c>
      <c r="M646">
        <v>202</v>
      </c>
      <c r="N646" t="s">
        <v>16100</v>
      </c>
    </row>
    <row r="647" spans="1:14">
      <c r="A647" t="s">
        <v>9256</v>
      </c>
      <c r="B647">
        <v>735522</v>
      </c>
      <c r="C647">
        <v>735953</v>
      </c>
      <c r="E647" t="s">
        <v>14314</v>
      </c>
      <c r="F647" t="s">
        <v>14291</v>
      </c>
      <c r="H647">
        <v>93522127</v>
      </c>
      <c r="I647" t="s">
        <v>14292</v>
      </c>
      <c r="L647" t="s">
        <v>16101</v>
      </c>
      <c r="M647">
        <v>143</v>
      </c>
      <c r="N647" t="s">
        <v>16102</v>
      </c>
    </row>
    <row r="648" spans="1:14">
      <c r="A648" t="s">
        <v>9256</v>
      </c>
      <c r="B648">
        <v>735990</v>
      </c>
      <c r="C648">
        <v>736415</v>
      </c>
      <c r="E648" t="s">
        <v>14314</v>
      </c>
      <c r="F648" t="s">
        <v>14291</v>
      </c>
      <c r="H648">
        <v>93522128</v>
      </c>
      <c r="I648" t="s">
        <v>14292</v>
      </c>
      <c r="L648" t="s">
        <v>16103</v>
      </c>
      <c r="M648">
        <v>141</v>
      </c>
      <c r="N648" t="s">
        <v>16104</v>
      </c>
    </row>
    <row r="649" spans="1:14">
      <c r="A649" t="s">
        <v>9256</v>
      </c>
      <c r="B649">
        <v>736428</v>
      </c>
      <c r="C649">
        <v>737429</v>
      </c>
      <c r="E649" t="s">
        <v>14314</v>
      </c>
      <c r="F649" t="s">
        <v>16105</v>
      </c>
      <c r="H649">
        <v>93522129</v>
      </c>
      <c r="I649" t="s">
        <v>14292</v>
      </c>
      <c r="L649" t="s">
        <v>16106</v>
      </c>
      <c r="M649">
        <v>333</v>
      </c>
      <c r="N649" t="s">
        <v>16107</v>
      </c>
    </row>
    <row r="650" spans="1:14">
      <c r="A650" t="s">
        <v>9256</v>
      </c>
      <c r="B650">
        <v>737422</v>
      </c>
      <c r="C650">
        <v>739098</v>
      </c>
      <c r="E650" t="s">
        <v>14314</v>
      </c>
      <c r="F650" t="s">
        <v>16108</v>
      </c>
      <c r="H650">
        <v>93522130</v>
      </c>
      <c r="I650" t="s">
        <v>14292</v>
      </c>
      <c r="L650" t="s">
        <v>16109</v>
      </c>
      <c r="M650">
        <v>558</v>
      </c>
      <c r="N650" t="s">
        <v>16110</v>
      </c>
    </row>
    <row r="651" spans="1:14">
      <c r="A651" t="s">
        <v>9256</v>
      </c>
      <c r="B651">
        <v>739101</v>
      </c>
      <c r="C651">
        <v>742265</v>
      </c>
      <c r="E651" t="s">
        <v>14314</v>
      </c>
      <c r="F651" t="s">
        <v>16111</v>
      </c>
      <c r="H651">
        <v>93522131</v>
      </c>
      <c r="I651" t="s">
        <v>14292</v>
      </c>
      <c r="L651" t="s">
        <v>16112</v>
      </c>
      <c r="M651">
        <v>1054</v>
      </c>
      <c r="N651" t="s">
        <v>16113</v>
      </c>
    </row>
    <row r="652" spans="1:14">
      <c r="A652" t="s">
        <v>9256</v>
      </c>
      <c r="B652">
        <v>742272</v>
      </c>
      <c r="C652">
        <v>742475</v>
      </c>
      <c r="E652" t="s">
        <v>14314</v>
      </c>
      <c r="F652" t="s">
        <v>14406</v>
      </c>
      <c r="H652">
        <v>93522132</v>
      </c>
      <c r="I652" t="s">
        <v>14292</v>
      </c>
      <c r="L652" t="s">
        <v>16114</v>
      </c>
      <c r="M652">
        <v>67</v>
      </c>
      <c r="N652" t="s">
        <v>16115</v>
      </c>
    </row>
    <row r="653" spans="1:14">
      <c r="A653" t="s">
        <v>9256</v>
      </c>
      <c r="B653">
        <v>742669</v>
      </c>
      <c r="C653">
        <v>743496</v>
      </c>
      <c r="E653" t="s">
        <v>14290</v>
      </c>
      <c r="F653" t="s">
        <v>16116</v>
      </c>
      <c r="H653">
        <v>93522133</v>
      </c>
      <c r="I653" t="s">
        <v>14292</v>
      </c>
      <c r="L653" t="s">
        <v>16117</v>
      </c>
      <c r="M653">
        <v>275</v>
      </c>
      <c r="N653" t="s">
        <v>16118</v>
      </c>
    </row>
    <row r="654" spans="1:14">
      <c r="A654" t="s">
        <v>9256</v>
      </c>
      <c r="B654">
        <v>743588</v>
      </c>
      <c r="C654">
        <v>744100</v>
      </c>
      <c r="E654" t="s">
        <v>14290</v>
      </c>
      <c r="F654" t="s">
        <v>16119</v>
      </c>
      <c r="H654">
        <v>93522134</v>
      </c>
      <c r="I654" t="s">
        <v>14292</v>
      </c>
      <c r="L654" t="s">
        <v>16120</v>
      </c>
      <c r="M654">
        <v>170</v>
      </c>
      <c r="N654" t="s">
        <v>16121</v>
      </c>
    </row>
    <row r="655" spans="1:14">
      <c r="A655" t="s">
        <v>9256</v>
      </c>
      <c r="B655">
        <v>744202</v>
      </c>
      <c r="C655">
        <v>744477</v>
      </c>
      <c r="E655" t="s">
        <v>14314</v>
      </c>
      <c r="F655" t="s">
        <v>14291</v>
      </c>
      <c r="H655">
        <v>93522135</v>
      </c>
      <c r="I655" t="s">
        <v>14292</v>
      </c>
      <c r="L655" t="s">
        <v>16122</v>
      </c>
      <c r="M655">
        <v>91</v>
      </c>
      <c r="N655" t="s">
        <v>16123</v>
      </c>
    </row>
    <row r="656" spans="1:14">
      <c r="A656" t="s">
        <v>9256</v>
      </c>
      <c r="B656">
        <v>745360</v>
      </c>
      <c r="C656">
        <v>746238</v>
      </c>
      <c r="E656" t="s">
        <v>14290</v>
      </c>
      <c r="F656" t="s">
        <v>14406</v>
      </c>
      <c r="H656">
        <v>93522136</v>
      </c>
      <c r="I656" t="s">
        <v>14292</v>
      </c>
      <c r="L656" t="s">
        <v>16124</v>
      </c>
      <c r="M656">
        <v>292</v>
      </c>
      <c r="N656" t="s">
        <v>16125</v>
      </c>
    </row>
    <row r="657" spans="1:14">
      <c r="A657" t="s">
        <v>9256</v>
      </c>
      <c r="B657">
        <v>746356</v>
      </c>
      <c r="C657">
        <v>746529</v>
      </c>
      <c r="E657" t="s">
        <v>14290</v>
      </c>
      <c r="F657" t="s">
        <v>14414</v>
      </c>
      <c r="H657">
        <v>93522137</v>
      </c>
      <c r="I657" t="s">
        <v>14415</v>
      </c>
      <c r="N657" t="s">
        <v>16126</v>
      </c>
    </row>
    <row r="658" spans="1:14">
      <c r="A658" t="s">
        <v>9256</v>
      </c>
      <c r="B658">
        <v>746590</v>
      </c>
      <c r="C658">
        <v>747963</v>
      </c>
      <c r="E658" t="s">
        <v>14314</v>
      </c>
      <c r="F658" t="s">
        <v>14870</v>
      </c>
      <c r="H658">
        <v>93522138</v>
      </c>
      <c r="I658" t="s">
        <v>14292</v>
      </c>
      <c r="L658" t="s">
        <v>16127</v>
      </c>
      <c r="M658">
        <v>457</v>
      </c>
      <c r="N658" t="s">
        <v>16128</v>
      </c>
    </row>
    <row r="659" spans="1:14">
      <c r="A659" t="s">
        <v>9256</v>
      </c>
      <c r="B659">
        <v>748082</v>
      </c>
      <c r="C659">
        <v>748402</v>
      </c>
      <c r="E659" t="s">
        <v>14314</v>
      </c>
      <c r="F659" t="s">
        <v>14406</v>
      </c>
      <c r="H659">
        <v>93522139</v>
      </c>
      <c r="I659" t="s">
        <v>14292</v>
      </c>
      <c r="L659" t="s">
        <v>16129</v>
      </c>
      <c r="M659">
        <v>106</v>
      </c>
      <c r="N659" t="s">
        <v>16130</v>
      </c>
    </row>
    <row r="660" spans="1:14">
      <c r="A660" t="s">
        <v>9256</v>
      </c>
      <c r="B660">
        <v>748787</v>
      </c>
      <c r="C660">
        <v>749365</v>
      </c>
      <c r="E660" t="s">
        <v>14314</v>
      </c>
      <c r="F660" t="s">
        <v>16131</v>
      </c>
      <c r="H660">
        <v>93522140</v>
      </c>
      <c r="I660" t="s">
        <v>14292</v>
      </c>
      <c r="L660" t="s">
        <v>16132</v>
      </c>
      <c r="M660">
        <v>192</v>
      </c>
      <c r="N660" t="s">
        <v>16133</v>
      </c>
    </row>
    <row r="661" spans="1:14">
      <c r="A661" t="s">
        <v>9256</v>
      </c>
      <c r="B661">
        <v>750095</v>
      </c>
      <c r="C661">
        <v>750280</v>
      </c>
      <c r="E661" t="s">
        <v>14314</v>
      </c>
      <c r="F661" t="s">
        <v>14291</v>
      </c>
      <c r="H661">
        <v>93525980</v>
      </c>
      <c r="I661" t="s">
        <v>14292</v>
      </c>
      <c r="L661" t="s">
        <v>16134</v>
      </c>
      <c r="M661">
        <v>61</v>
      </c>
      <c r="N661" t="s">
        <v>16135</v>
      </c>
    </row>
    <row r="662" spans="1:14">
      <c r="A662" t="s">
        <v>9256</v>
      </c>
      <c r="B662">
        <v>750340</v>
      </c>
      <c r="C662">
        <v>751320</v>
      </c>
      <c r="E662" t="s">
        <v>14314</v>
      </c>
      <c r="F662" t="s">
        <v>15696</v>
      </c>
      <c r="H662">
        <v>93522141</v>
      </c>
      <c r="I662" t="s">
        <v>14292</v>
      </c>
      <c r="L662" t="s">
        <v>15697</v>
      </c>
      <c r="M662">
        <v>326</v>
      </c>
      <c r="N662" t="s">
        <v>16136</v>
      </c>
    </row>
    <row r="663" spans="1:14">
      <c r="A663" t="s">
        <v>9256</v>
      </c>
      <c r="B663">
        <v>751756</v>
      </c>
      <c r="C663">
        <v>752364</v>
      </c>
      <c r="E663" t="s">
        <v>14290</v>
      </c>
      <c r="F663" t="s">
        <v>16137</v>
      </c>
      <c r="H663">
        <v>93522142</v>
      </c>
      <c r="I663" t="s">
        <v>14292</v>
      </c>
      <c r="L663" t="s">
        <v>16138</v>
      </c>
      <c r="M663">
        <v>202</v>
      </c>
      <c r="N663" t="s">
        <v>16139</v>
      </c>
    </row>
    <row r="664" spans="1:14">
      <c r="A664" t="s">
        <v>9256</v>
      </c>
      <c r="B664">
        <v>752550</v>
      </c>
      <c r="C664">
        <v>754625</v>
      </c>
      <c r="E664" t="s">
        <v>14314</v>
      </c>
      <c r="F664" t="s">
        <v>15094</v>
      </c>
      <c r="H664">
        <v>93522143</v>
      </c>
      <c r="I664" t="s">
        <v>14292</v>
      </c>
      <c r="L664" t="s">
        <v>16140</v>
      </c>
      <c r="M664">
        <v>691</v>
      </c>
      <c r="N664" t="s">
        <v>16141</v>
      </c>
    </row>
    <row r="665" spans="1:14">
      <c r="A665" t="s">
        <v>9256</v>
      </c>
      <c r="B665">
        <v>755075</v>
      </c>
      <c r="C665">
        <v>755827</v>
      </c>
      <c r="E665" t="s">
        <v>14314</v>
      </c>
      <c r="F665" t="s">
        <v>15762</v>
      </c>
      <c r="H665">
        <v>93522144</v>
      </c>
      <c r="I665" t="s">
        <v>14292</v>
      </c>
      <c r="L665" t="s">
        <v>16142</v>
      </c>
      <c r="M665">
        <v>250</v>
      </c>
      <c r="N665" t="s">
        <v>16143</v>
      </c>
    </row>
    <row r="666" spans="1:14">
      <c r="A666" t="s">
        <v>9256</v>
      </c>
      <c r="B666">
        <v>756024</v>
      </c>
      <c r="C666">
        <v>756383</v>
      </c>
      <c r="E666" t="s">
        <v>14314</v>
      </c>
      <c r="F666" t="s">
        <v>14291</v>
      </c>
      <c r="H666">
        <v>93522145</v>
      </c>
      <c r="I666" t="s">
        <v>14292</v>
      </c>
      <c r="L666" t="s">
        <v>16144</v>
      </c>
      <c r="M666">
        <v>119</v>
      </c>
      <c r="N666" t="s">
        <v>16145</v>
      </c>
    </row>
    <row r="667" spans="1:14">
      <c r="A667" t="s">
        <v>9256</v>
      </c>
      <c r="B667">
        <v>756452</v>
      </c>
      <c r="C667">
        <v>756892</v>
      </c>
      <c r="E667" t="s">
        <v>14314</v>
      </c>
      <c r="F667" t="s">
        <v>16146</v>
      </c>
      <c r="H667">
        <v>93522146</v>
      </c>
      <c r="I667" t="s">
        <v>14292</v>
      </c>
      <c r="L667" t="s">
        <v>16147</v>
      </c>
      <c r="M667">
        <v>146</v>
      </c>
      <c r="N667" t="s">
        <v>16148</v>
      </c>
    </row>
    <row r="668" spans="1:14">
      <c r="A668" t="s">
        <v>9256</v>
      </c>
      <c r="B668">
        <v>757255</v>
      </c>
      <c r="C668">
        <v>760230</v>
      </c>
      <c r="E668" t="s">
        <v>14290</v>
      </c>
      <c r="F668" t="s">
        <v>16149</v>
      </c>
      <c r="H668">
        <v>93522147</v>
      </c>
      <c r="I668" t="s">
        <v>14292</v>
      </c>
      <c r="L668" t="s">
        <v>16150</v>
      </c>
      <c r="M668">
        <v>991</v>
      </c>
      <c r="N668" t="s">
        <v>16151</v>
      </c>
    </row>
    <row r="669" spans="1:14">
      <c r="A669" t="s">
        <v>9256</v>
      </c>
      <c r="B669">
        <v>760235</v>
      </c>
      <c r="C669">
        <v>761416</v>
      </c>
      <c r="E669" t="s">
        <v>14290</v>
      </c>
      <c r="F669" t="s">
        <v>16081</v>
      </c>
      <c r="H669">
        <v>93522148</v>
      </c>
      <c r="I669" t="s">
        <v>14292</v>
      </c>
      <c r="L669" t="s">
        <v>16152</v>
      </c>
      <c r="M669">
        <v>393</v>
      </c>
      <c r="N669" t="s">
        <v>16153</v>
      </c>
    </row>
    <row r="670" spans="1:14">
      <c r="A670" t="s">
        <v>9256</v>
      </c>
      <c r="B670">
        <v>761413</v>
      </c>
      <c r="C670">
        <v>762525</v>
      </c>
      <c r="E670" t="s">
        <v>14290</v>
      </c>
      <c r="F670" t="s">
        <v>15166</v>
      </c>
      <c r="H670">
        <v>93522149</v>
      </c>
      <c r="I670" t="s">
        <v>14292</v>
      </c>
      <c r="L670" t="s">
        <v>16154</v>
      </c>
      <c r="M670">
        <v>370</v>
      </c>
      <c r="N670" t="s">
        <v>16155</v>
      </c>
    </row>
    <row r="671" spans="1:14">
      <c r="A671" t="s">
        <v>9256</v>
      </c>
      <c r="B671">
        <v>762530</v>
      </c>
      <c r="C671">
        <v>764179</v>
      </c>
      <c r="E671" t="s">
        <v>14290</v>
      </c>
      <c r="F671" t="s">
        <v>16156</v>
      </c>
      <c r="H671">
        <v>93522150</v>
      </c>
      <c r="I671" t="s">
        <v>14292</v>
      </c>
      <c r="L671" t="s">
        <v>16157</v>
      </c>
      <c r="M671">
        <v>549</v>
      </c>
      <c r="N671" t="s">
        <v>16158</v>
      </c>
    </row>
    <row r="672" spans="1:14">
      <c r="A672" t="s">
        <v>9256</v>
      </c>
      <c r="B672">
        <v>764210</v>
      </c>
      <c r="C672">
        <v>765037</v>
      </c>
      <c r="E672" t="s">
        <v>14290</v>
      </c>
      <c r="F672" t="s">
        <v>16116</v>
      </c>
      <c r="H672">
        <v>93522151</v>
      </c>
      <c r="I672" t="s">
        <v>14292</v>
      </c>
      <c r="L672" t="s">
        <v>16159</v>
      </c>
      <c r="M672">
        <v>275</v>
      </c>
      <c r="N672" t="s">
        <v>16160</v>
      </c>
    </row>
    <row r="673" spans="1:14">
      <c r="A673" t="s">
        <v>9256</v>
      </c>
      <c r="B673">
        <v>765134</v>
      </c>
      <c r="C673">
        <v>766249</v>
      </c>
      <c r="E673" t="s">
        <v>14290</v>
      </c>
      <c r="F673" t="s">
        <v>16161</v>
      </c>
      <c r="H673">
        <v>93522152</v>
      </c>
      <c r="I673" t="s">
        <v>14292</v>
      </c>
      <c r="L673" t="s">
        <v>16162</v>
      </c>
      <c r="M673">
        <v>371</v>
      </c>
      <c r="N673" t="s">
        <v>16163</v>
      </c>
    </row>
    <row r="674" spans="1:14">
      <c r="A674" t="s">
        <v>9256</v>
      </c>
      <c r="B674">
        <v>766271</v>
      </c>
      <c r="C674">
        <v>767164</v>
      </c>
      <c r="E674" t="s">
        <v>14290</v>
      </c>
      <c r="F674" t="s">
        <v>16164</v>
      </c>
      <c r="H674">
        <v>93522153</v>
      </c>
      <c r="I674" t="s">
        <v>14292</v>
      </c>
      <c r="L674" t="s">
        <v>16165</v>
      </c>
      <c r="M674">
        <v>297</v>
      </c>
      <c r="N674" t="s">
        <v>16166</v>
      </c>
    </row>
    <row r="675" spans="1:14">
      <c r="A675" t="s">
        <v>9256</v>
      </c>
      <c r="B675">
        <v>767207</v>
      </c>
      <c r="C675">
        <v>768247</v>
      </c>
      <c r="E675" t="s">
        <v>14314</v>
      </c>
      <c r="F675" t="s">
        <v>16167</v>
      </c>
      <c r="H675">
        <v>93522154</v>
      </c>
      <c r="I675" t="s">
        <v>14292</v>
      </c>
      <c r="L675" t="s">
        <v>16168</v>
      </c>
      <c r="M675">
        <v>346</v>
      </c>
      <c r="N675" t="s">
        <v>16169</v>
      </c>
    </row>
    <row r="676" spans="1:14">
      <c r="A676" t="s">
        <v>9256</v>
      </c>
      <c r="B676">
        <v>768421</v>
      </c>
      <c r="C676">
        <v>768963</v>
      </c>
      <c r="E676" t="s">
        <v>14290</v>
      </c>
      <c r="F676" t="s">
        <v>14728</v>
      </c>
      <c r="H676">
        <v>93522155</v>
      </c>
      <c r="I676" t="s">
        <v>14292</v>
      </c>
      <c r="L676" t="s">
        <v>16170</v>
      </c>
      <c r="M676">
        <v>180</v>
      </c>
      <c r="N676" t="s">
        <v>16171</v>
      </c>
    </row>
    <row r="677" spans="1:14">
      <c r="A677" t="s">
        <v>9256</v>
      </c>
      <c r="B677">
        <v>768970</v>
      </c>
      <c r="C677">
        <v>769530</v>
      </c>
      <c r="E677" t="s">
        <v>14290</v>
      </c>
      <c r="F677" t="s">
        <v>16172</v>
      </c>
      <c r="H677">
        <v>93522156</v>
      </c>
      <c r="I677" t="s">
        <v>14292</v>
      </c>
      <c r="L677" t="s">
        <v>16173</v>
      </c>
      <c r="M677">
        <v>186</v>
      </c>
      <c r="N677" t="s">
        <v>16174</v>
      </c>
    </row>
    <row r="678" spans="1:14">
      <c r="A678" t="s">
        <v>9256</v>
      </c>
      <c r="B678">
        <v>769604</v>
      </c>
      <c r="C678">
        <v>770899</v>
      </c>
      <c r="E678" t="s">
        <v>14314</v>
      </c>
      <c r="F678" t="s">
        <v>16175</v>
      </c>
      <c r="H678">
        <v>93522157</v>
      </c>
      <c r="I678" t="s">
        <v>14292</v>
      </c>
      <c r="L678" t="s">
        <v>16176</v>
      </c>
      <c r="M678">
        <v>431</v>
      </c>
      <c r="N678" t="s">
        <v>16177</v>
      </c>
    </row>
    <row r="679" spans="1:14">
      <c r="A679" t="s">
        <v>9256</v>
      </c>
      <c r="B679">
        <v>770985</v>
      </c>
      <c r="C679">
        <v>771812</v>
      </c>
      <c r="E679" t="s">
        <v>14290</v>
      </c>
      <c r="F679" t="s">
        <v>16178</v>
      </c>
      <c r="H679">
        <v>93522158</v>
      </c>
      <c r="I679" t="s">
        <v>14292</v>
      </c>
      <c r="L679" t="s">
        <v>16179</v>
      </c>
      <c r="M679">
        <v>275</v>
      </c>
      <c r="N679" t="s">
        <v>16180</v>
      </c>
    </row>
    <row r="680" spans="1:14">
      <c r="A680" t="s">
        <v>9256</v>
      </c>
      <c r="B680">
        <v>771827</v>
      </c>
      <c r="C680">
        <v>772384</v>
      </c>
      <c r="E680" t="s">
        <v>14290</v>
      </c>
      <c r="F680" t="s">
        <v>14439</v>
      </c>
      <c r="H680">
        <v>93522159</v>
      </c>
      <c r="I680" t="s">
        <v>14292</v>
      </c>
      <c r="L680" t="s">
        <v>16181</v>
      </c>
      <c r="M680">
        <v>185</v>
      </c>
      <c r="N680" t="s">
        <v>16182</v>
      </c>
    </row>
    <row r="681" spans="1:14">
      <c r="A681" t="s">
        <v>9256</v>
      </c>
      <c r="B681">
        <v>772381</v>
      </c>
      <c r="C681">
        <v>772926</v>
      </c>
      <c r="E681" t="s">
        <v>14290</v>
      </c>
      <c r="F681" t="s">
        <v>14439</v>
      </c>
      <c r="H681">
        <v>93522160</v>
      </c>
      <c r="I681" t="s">
        <v>14292</v>
      </c>
      <c r="L681" t="s">
        <v>16183</v>
      </c>
      <c r="M681">
        <v>181</v>
      </c>
      <c r="N681" t="s">
        <v>16184</v>
      </c>
    </row>
    <row r="682" spans="1:14">
      <c r="A682" t="s">
        <v>9256</v>
      </c>
      <c r="B682">
        <v>772934</v>
      </c>
      <c r="C682">
        <v>773371</v>
      </c>
      <c r="E682" t="s">
        <v>14290</v>
      </c>
      <c r="F682" t="s">
        <v>14414</v>
      </c>
      <c r="H682">
        <v>93525981</v>
      </c>
      <c r="I682" t="s">
        <v>14415</v>
      </c>
      <c r="N682" t="s">
        <v>16185</v>
      </c>
    </row>
    <row r="683" spans="1:14">
      <c r="A683" t="s">
        <v>9256</v>
      </c>
      <c r="B683">
        <v>773351</v>
      </c>
      <c r="C683">
        <v>773794</v>
      </c>
      <c r="E683" t="s">
        <v>14290</v>
      </c>
      <c r="F683" t="s">
        <v>14439</v>
      </c>
      <c r="H683">
        <v>93525982</v>
      </c>
      <c r="I683" t="s">
        <v>14292</v>
      </c>
      <c r="L683" t="s">
        <v>16186</v>
      </c>
      <c r="M683">
        <v>147</v>
      </c>
      <c r="N683" t="s">
        <v>16187</v>
      </c>
    </row>
    <row r="684" spans="1:14">
      <c r="A684" t="s">
        <v>9256</v>
      </c>
      <c r="B684">
        <v>774061</v>
      </c>
      <c r="C684">
        <v>778623</v>
      </c>
      <c r="E684" t="s">
        <v>14290</v>
      </c>
      <c r="F684" t="s">
        <v>16188</v>
      </c>
      <c r="G684" t="s">
        <v>16189</v>
      </c>
      <c r="H684">
        <v>93522161</v>
      </c>
      <c r="I684" t="s">
        <v>14292</v>
      </c>
      <c r="L684" t="s">
        <v>16190</v>
      </c>
      <c r="M684">
        <v>1520</v>
      </c>
      <c r="N684" t="s">
        <v>16191</v>
      </c>
    </row>
    <row r="685" spans="1:14">
      <c r="A685" t="s">
        <v>9256</v>
      </c>
      <c r="B685">
        <v>778634</v>
      </c>
      <c r="C685">
        <v>779569</v>
      </c>
      <c r="E685" t="s">
        <v>14290</v>
      </c>
      <c r="F685" t="s">
        <v>16192</v>
      </c>
      <c r="G685" t="s">
        <v>16193</v>
      </c>
      <c r="H685">
        <v>93522162</v>
      </c>
      <c r="I685" t="s">
        <v>14292</v>
      </c>
      <c r="L685" t="s">
        <v>16194</v>
      </c>
      <c r="M685">
        <v>311</v>
      </c>
      <c r="N685" t="s">
        <v>16195</v>
      </c>
    </row>
    <row r="686" spans="1:14">
      <c r="A686" t="s">
        <v>9256</v>
      </c>
      <c r="B686">
        <v>779575</v>
      </c>
      <c r="C686">
        <v>779907</v>
      </c>
      <c r="E686" t="s">
        <v>14290</v>
      </c>
      <c r="F686" t="s">
        <v>16196</v>
      </c>
      <c r="G686" t="s">
        <v>16197</v>
      </c>
      <c r="H686">
        <v>93522163</v>
      </c>
      <c r="I686" t="s">
        <v>14292</v>
      </c>
      <c r="L686" t="s">
        <v>16198</v>
      </c>
      <c r="M686">
        <v>110</v>
      </c>
      <c r="N686" t="s">
        <v>16199</v>
      </c>
    </row>
    <row r="687" spans="1:14">
      <c r="A687" t="s">
        <v>9256</v>
      </c>
      <c r="B687">
        <v>780876</v>
      </c>
      <c r="C687">
        <v>781388</v>
      </c>
      <c r="E687" t="s">
        <v>14290</v>
      </c>
      <c r="F687" t="s">
        <v>14291</v>
      </c>
      <c r="H687">
        <v>93522164</v>
      </c>
      <c r="I687" t="s">
        <v>14292</v>
      </c>
      <c r="L687" t="s">
        <v>16200</v>
      </c>
      <c r="M687">
        <v>170</v>
      </c>
      <c r="N687" t="s">
        <v>16201</v>
      </c>
    </row>
    <row r="688" spans="1:14">
      <c r="A688" t="s">
        <v>9256</v>
      </c>
      <c r="B688">
        <v>781392</v>
      </c>
      <c r="C688">
        <v>782933</v>
      </c>
      <c r="E688" t="s">
        <v>14290</v>
      </c>
      <c r="F688" t="s">
        <v>16202</v>
      </c>
      <c r="H688">
        <v>93522165</v>
      </c>
      <c r="I688" t="s">
        <v>14292</v>
      </c>
      <c r="L688" t="s">
        <v>16203</v>
      </c>
      <c r="M688">
        <v>513</v>
      </c>
      <c r="N688" t="s">
        <v>16204</v>
      </c>
    </row>
    <row r="689" spans="1:14">
      <c r="A689" t="s">
        <v>9256</v>
      </c>
      <c r="B689">
        <v>782933</v>
      </c>
      <c r="C689">
        <v>784579</v>
      </c>
      <c r="E689" t="s">
        <v>14290</v>
      </c>
      <c r="F689" t="s">
        <v>16205</v>
      </c>
      <c r="H689">
        <v>93522166</v>
      </c>
      <c r="I689" t="s">
        <v>14292</v>
      </c>
      <c r="L689" t="s">
        <v>16206</v>
      </c>
      <c r="M689">
        <v>548</v>
      </c>
      <c r="N689" t="s">
        <v>16207</v>
      </c>
    </row>
    <row r="690" spans="1:14">
      <c r="A690" t="s">
        <v>9256</v>
      </c>
      <c r="B690">
        <v>784547</v>
      </c>
      <c r="C690">
        <v>784750</v>
      </c>
      <c r="E690" t="s">
        <v>14314</v>
      </c>
      <c r="F690" t="s">
        <v>14291</v>
      </c>
      <c r="H690">
        <v>93522167</v>
      </c>
      <c r="I690" t="s">
        <v>14292</v>
      </c>
      <c r="L690" t="s">
        <v>16208</v>
      </c>
      <c r="M690">
        <v>67</v>
      </c>
      <c r="N690" t="s">
        <v>16209</v>
      </c>
    </row>
    <row r="691" spans="1:14">
      <c r="A691" t="s">
        <v>9256</v>
      </c>
      <c r="B691">
        <v>784719</v>
      </c>
      <c r="C691">
        <v>786092</v>
      </c>
      <c r="E691" t="s">
        <v>14314</v>
      </c>
      <c r="F691" t="s">
        <v>16210</v>
      </c>
      <c r="H691">
        <v>93522168</v>
      </c>
      <c r="I691" t="s">
        <v>14292</v>
      </c>
      <c r="L691" t="s">
        <v>16211</v>
      </c>
      <c r="M691">
        <v>457</v>
      </c>
      <c r="N691" t="s">
        <v>16212</v>
      </c>
    </row>
    <row r="692" spans="1:14">
      <c r="A692" t="s">
        <v>9256</v>
      </c>
      <c r="B692">
        <v>786307</v>
      </c>
      <c r="C692">
        <v>788583</v>
      </c>
      <c r="E692" t="s">
        <v>14314</v>
      </c>
      <c r="F692" t="s">
        <v>14780</v>
      </c>
      <c r="H692">
        <v>93522169</v>
      </c>
      <c r="I692" t="s">
        <v>14292</v>
      </c>
      <c r="L692" t="s">
        <v>16213</v>
      </c>
      <c r="M692">
        <v>758</v>
      </c>
      <c r="N692" t="s">
        <v>16214</v>
      </c>
    </row>
    <row r="693" spans="1:14">
      <c r="A693" t="s">
        <v>9256</v>
      </c>
      <c r="B693">
        <v>788670</v>
      </c>
      <c r="C693">
        <v>789263</v>
      </c>
      <c r="E693" t="s">
        <v>14314</v>
      </c>
      <c r="F693" t="s">
        <v>16215</v>
      </c>
      <c r="H693">
        <v>93522170</v>
      </c>
      <c r="I693" t="s">
        <v>14292</v>
      </c>
      <c r="L693" t="s">
        <v>16216</v>
      </c>
      <c r="M693">
        <v>197</v>
      </c>
      <c r="N693" t="s">
        <v>16217</v>
      </c>
    </row>
    <row r="694" spans="1:14">
      <c r="A694" t="s">
        <v>9256</v>
      </c>
      <c r="B694">
        <v>789274</v>
      </c>
      <c r="C694">
        <v>789978</v>
      </c>
      <c r="E694" t="s">
        <v>14314</v>
      </c>
      <c r="F694" t="s">
        <v>16218</v>
      </c>
      <c r="H694">
        <v>93522171</v>
      </c>
      <c r="I694" t="s">
        <v>14292</v>
      </c>
      <c r="L694" t="s">
        <v>16219</v>
      </c>
      <c r="M694">
        <v>234</v>
      </c>
      <c r="N694" t="s">
        <v>16220</v>
      </c>
    </row>
    <row r="695" spans="1:14">
      <c r="A695" t="s">
        <v>9256</v>
      </c>
      <c r="B695">
        <v>790032</v>
      </c>
      <c r="C695">
        <v>791429</v>
      </c>
      <c r="E695" t="s">
        <v>14290</v>
      </c>
      <c r="F695" t="s">
        <v>16221</v>
      </c>
      <c r="H695">
        <v>93522172</v>
      </c>
      <c r="I695" t="s">
        <v>14292</v>
      </c>
      <c r="L695" t="s">
        <v>16222</v>
      </c>
      <c r="M695">
        <v>465</v>
      </c>
      <c r="N695" t="s">
        <v>16223</v>
      </c>
    </row>
    <row r="696" spans="1:14">
      <c r="A696" t="s">
        <v>9256</v>
      </c>
      <c r="B696">
        <v>791546</v>
      </c>
      <c r="C696">
        <v>792550</v>
      </c>
      <c r="E696" t="s">
        <v>14314</v>
      </c>
      <c r="F696" t="s">
        <v>16224</v>
      </c>
      <c r="H696">
        <v>93522173</v>
      </c>
      <c r="I696" t="s">
        <v>14292</v>
      </c>
      <c r="L696" t="s">
        <v>16225</v>
      </c>
      <c r="M696">
        <v>334</v>
      </c>
      <c r="N696" t="s">
        <v>16226</v>
      </c>
    </row>
    <row r="697" spans="1:14">
      <c r="A697" t="s">
        <v>9256</v>
      </c>
      <c r="B697">
        <v>792748</v>
      </c>
      <c r="C697">
        <v>793431</v>
      </c>
      <c r="E697" t="s">
        <v>14314</v>
      </c>
      <c r="F697" t="s">
        <v>14291</v>
      </c>
      <c r="H697">
        <v>93522174</v>
      </c>
      <c r="I697" t="s">
        <v>14292</v>
      </c>
      <c r="L697" t="s">
        <v>16227</v>
      </c>
      <c r="M697">
        <v>227</v>
      </c>
      <c r="N697" t="s">
        <v>16228</v>
      </c>
    </row>
    <row r="698" spans="1:14">
      <c r="A698" t="s">
        <v>9256</v>
      </c>
      <c r="B698">
        <v>793437</v>
      </c>
      <c r="C698">
        <v>795515</v>
      </c>
      <c r="E698" t="s">
        <v>14314</v>
      </c>
      <c r="F698" t="s">
        <v>16229</v>
      </c>
      <c r="H698">
        <v>93522175</v>
      </c>
      <c r="I698" t="s">
        <v>14292</v>
      </c>
      <c r="L698" t="s">
        <v>16230</v>
      </c>
      <c r="M698">
        <v>692</v>
      </c>
      <c r="N698" t="s">
        <v>16231</v>
      </c>
    </row>
    <row r="699" spans="1:14">
      <c r="A699" t="s">
        <v>9256</v>
      </c>
      <c r="B699">
        <v>795574</v>
      </c>
      <c r="C699">
        <v>796074</v>
      </c>
      <c r="E699" t="s">
        <v>14290</v>
      </c>
      <c r="F699" t="s">
        <v>16232</v>
      </c>
      <c r="H699">
        <v>93522176</v>
      </c>
      <c r="I699" t="s">
        <v>14292</v>
      </c>
      <c r="L699" t="s">
        <v>16233</v>
      </c>
      <c r="M699">
        <v>166</v>
      </c>
      <c r="N699" t="s">
        <v>16234</v>
      </c>
    </row>
    <row r="700" spans="1:14">
      <c r="A700" t="s">
        <v>9256</v>
      </c>
      <c r="B700">
        <v>796080</v>
      </c>
      <c r="C700">
        <v>797198</v>
      </c>
      <c r="E700" t="s">
        <v>14314</v>
      </c>
      <c r="F700" t="s">
        <v>14291</v>
      </c>
      <c r="H700">
        <v>93522177</v>
      </c>
      <c r="I700" t="s">
        <v>14292</v>
      </c>
      <c r="L700" t="s">
        <v>16235</v>
      </c>
      <c r="M700">
        <v>372</v>
      </c>
      <c r="N700" t="s">
        <v>16236</v>
      </c>
    </row>
    <row r="701" spans="1:14">
      <c r="A701" t="s">
        <v>9256</v>
      </c>
      <c r="B701">
        <v>797261</v>
      </c>
      <c r="C701">
        <v>798106</v>
      </c>
      <c r="E701" t="s">
        <v>14314</v>
      </c>
      <c r="F701" t="s">
        <v>16237</v>
      </c>
      <c r="G701" t="s">
        <v>16238</v>
      </c>
      <c r="H701">
        <v>93522178</v>
      </c>
      <c r="I701" t="s">
        <v>14292</v>
      </c>
      <c r="L701" t="s">
        <v>16239</v>
      </c>
      <c r="M701">
        <v>281</v>
      </c>
      <c r="N701" t="s">
        <v>16240</v>
      </c>
    </row>
    <row r="702" spans="1:14">
      <c r="A702" t="s">
        <v>9256</v>
      </c>
      <c r="B702">
        <v>798110</v>
      </c>
      <c r="C702">
        <v>800284</v>
      </c>
      <c r="E702" t="s">
        <v>14314</v>
      </c>
      <c r="F702" t="s">
        <v>14648</v>
      </c>
      <c r="H702">
        <v>93522179</v>
      </c>
      <c r="I702" t="s">
        <v>14292</v>
      </c>
      <c r="L702" t="s">
        <v>16241</v>
      </c>
      <c r="M702">
        <v>724</v>
      </c>
      <c r="N702" t="s">
        <v>16242</v>
      </c>
    </row>
    <row r="703" spans="1:14">
      <c r="A703" t="s">
        <v>9256</v>
      </c>
      <c r="B703">
        <v>800365</v>
      </c>
      <c r="C703">
        <v>801291</v>
      </c>
      <c r="E703" t="s">
        <v>14290</v>
      </c>
      <c r="F703" t="s">
        <v>16243</v>
      </c>
      <c r="H703">
        <v>93522180</v>
      </c>
      <c r="I703" t="s">
        <v>14292</v>
      </c>
      <c r="L703" t="s">
        <v>16244</v>
      </c>
      <c r="M703">
        <v>308</v>
      </c>
      <c r="N703" t="s">
        <v>16245</v>
      </c>
    </row>
    <row r="704" spans="1:14">
      <c r="A704" t="s">
        <v>9256</v>
      </c>
      <c r="B704">
        <v>801277</v>
      </c>
      <c r="C704">
        <v>801771</v>
      </c>
      <c r="E704" t="s">
        <v>14314</v>
      </c>
      <c r="F704" t="s">
        <v>16246</v>
      </c>
      <c r="H704">
        <v>93522181</v>
      </c>
      <c r="I704" t="s">
        <v>14292</v>
      </c>
      <c r="L704" t="s">
        <v>16247</v>
      </c>
      <c r="M704">
        <v>164</v>
      </c>
      <c r="N704" t="s">
        <v>16248</v>
      </c>
    </row>
    <row r="705" spans="1:14">
      <c r="A705" t="s">
        <v>9256</v>
      </c>
      <c r="B705">
        <v>801886</v>
      </c>
      <c r="C705">
        <v>802860</v>
      </c>
      <c r="E705" t="s">
        <v>14314</v>
      </c>
      <c r="F705" t="s">
        <v>16249</v>
      </c>
      <c r="H705">
        <v>93522182</v>
      </c>
      <c r="I705" t="s">
        <v>14292</v>
      </c>
      <c r="L705" t="s">
        <v>16250</v>
      </c>
      <c r="M705">
        <v>324</v>
      </c>
      <c r="N705" t="s">
        <v>16251</v>
      </c>
    </row>
    <row r="706" spans="1:14">
      <c r="A706" t="s">
        <v>9256</v>
      </c>
      <c r="B706">
        <v>802880</v>
      </c>
      <c r="C706">
        <v>803215</v>
      </c>
      <c r="E706" t="s">
        <v>14314</v>
      </c>
      <c r="F706" t="s">
        <v>16252</v>
      </c>
      <c r="H706">
        <v>93522183</v>
      </c>
      <c r="I706" t="s">
        <v>14292</v>
      </c>
      <c r="L706" t="s">
        <v>16253</v>
      </c>
      <c r="M706">
        <v>111</v>
      </c>
      <c r="N706" t="s">
        <v>16254</v>
      </c>
    </row>
    <row r="707" spans="1:14">
      <c r="A707" t="s">
        <v>9256</v>
      </c>
      <c r="B707">
        <v>803587</v>
      </c>
      <c r="C707">
        <v>804822</v>
      </c>
      <c r="E707" t="s">
        <v>14290</v>
      </c>
      <c r="F707" t="s">
        <v>15333</v>
      </c>
      <c r="H707">
        <v>93522184</v>
      </c>
      <c r="I707" t="s">
        <v>14292</v>
      </c>
      <c r="L707" t="s">
        <v>16255</v>
      </c>
      <c r="M707">
        <v>411</v>
      </c>
      <c r="N707" t="s">
        <v>16256</v>
      </c>
    </row>
    <row r="708" spans="1:14">
      <c r="A708" t="s">
        <v>9256</v>
      </c>
      <c r="B708">
        <v>804838</v>
      </c>
      <c r="C708">
        <v>805197</v>
      </c>
      <c r="E708" t="s">
        <v>14290</v>
      </c>
      <c r="F708" t="s">
        <v>14291</v>
      </c>
      <c r="H708">
        <v>93522185</v>
      </c>
      <c r="I708" t="s">
        <v>14292</v>
      </c>
      <c r="L708" t="s">
        <v>16257</v>
      </c>
      <c r="M708">
        <v>119</v>
      </c>
      <c r="N708" t="s">
        <v>16258</v>
      </c>
    </row>
    <row r="709" spans="1:14">
      <c r="A709" t="s">
        <v>9256</v>
      </c>
      <c r="B709">
        <v>805246</v>
      </c>
      <c r="C709">
        <v>805548</v>
      </c>
      <c r="E709" t="s">
        <v>14314</v>
      </c>
      <c r="F709" t="s">
        <v>14406</v>
      </c>
      <c r="H709">
        <v>93522186</v>
      </c>
      <c r="I709" t="s">
        <v>14292</v>
      </c>
      <c r="L709" t="s">
        <v>16259</v>
      </c>
      <c r="M709">
        <v>100</v>
      </c>
      <c r="N709" t="s">
        <v>16260</v>
      </c>
    </row>
    <row r="710" spans="1:14">
      <c r="A710" t="s">
        <v>9256</v>
      </c>
      <c r="B710">
        <v>805586</v>
      </c>
      <c r="C710">
        <v>805864</v>
      </c>
      <c r="E710" t="s">
        <v>14314</v>
      </c>
      <c r="F710" t="s">
        <v>14406</v>
      </c>
      <c r="H710">
        <v>93522187</v>
      </c>
      <c r="I710" t="s">
        <v>14292</v>
      </c>
      <c r="L710" t="s">
        <v>16261</v>
      </c>
      <c r="M710">
        <v>92</v>
      </c>
      <c r="N710" t="s">
        <v>16262</v>
      </c>
    </row>
    <row r="711" spans="1:14">
      <c r="A711" t="s">
        <v>9256</v>
      </c>
      <c r="B711">
        <v>806088</v>
      </c>
      <c r="C711">
        <v>806441</v>
      </c>
      <c r="E711" t="s">
        <v>14290</v>
      </c>
      <c r="F711" t="s">
        <v>14406</v>
      </c>
      <c r="H711">
        <v>93522188</v>
      </c>
      <c r="I711" t="s">
        <v>14292</v>
      </c>
      <c r="L711" t="s">
        <v>16263</v>
      </c>
      <c r="M711">
        <v>117</v>
      </c>
      <c r="N711" t="s">
        <v>16264</v>
      </c>
    </row>
    <row r="712" spans="1:14">
      <c r="A712" t="s">
        <v>9256</v>
      </c>
      <c r="B712">
        <v>806425</v>
      </c>
      <c r="C712">
        <v>806745</v>
      </c>
      <c r="E712" t="s">
        <v>14290</v>
      </c>
      <c r="F712" t="s">
        <v>14406</v>
      </c>
      <c r="H712">
        <v>93522189</v>
      </c>
      <c r="I712" t="s">
        <v>14292</v>
      </c>
      <c r="L712" t="s">
        <v>16265</v>
      </c>
      <c r="M712">
        <v>106</v>
      </c>
      <c r="N712" t="s">
        <v>16266</v>
      </c>
    </row>
    <row r="713" spans="1:14">
      <c r="A713" t="s">
        <v>9256</v>
      </c>
      <c r="B713">
        <v>806825</v>
      </c>
      <c r="C713">
        <v>812311</v>
      </c>
      <c r="E713" t="s">
        <v>14314</v>
      </c>
      <c r="F713" t="s">
        <v>15311</v>
      </c>
      <c r="H713">
        <v>93522190</v>
      </c>
      <c r="I713" t="s">
        <v>14292</v>
      </c>
      <c r="L713" t="s">
        <v>16267</v>
      </c>
      <c r="M713">
        <v>1828</v>
      </c>
      <c r="N713" t="s">
        <v>16268</v>
      </c>
    </row>
    <row r="714" spans="1:14">
      <c r="A714" t="s">
        <v>9256</v>
      </c>
      <c r="B714">
        <v>812298</v>
      </c>
      <c r="C714">
        <v>812729</v>
      </c>
      <c r="E714" t="s">
        <v>14314</v>
      </c>
      <c r="F714" t="s">
        <v>16269</v>
      </c>
      <c r="H714">
        <v>93522191</v>
      </c>
      <c r="I714" t="s">
        <v>14292</v>
      </c>
      <c r="L714" t="s">
        <v>16270</v>
      </c>
      <c r="M714">
        <v>143</v>
      </c>
      <c r="N714" t="s">
        <v>16271</v>
      </c>
    </row>
    <row r="715" spans="1:14">
      <c r="A715" t="s">
        <v>9256</v>
      </c>
      <c r="B715">
        <v>812869</v>
      </c>
      <c r="C715">
        <v>814998</v>
      </c>
      <c r="E715" t="s">
        <v>14314</v>
      </c>
      <c r="F715" t="s">
        <v>15317</v>
      </c>
      <c r="H715">
        <v>93522192</v>
      </c>
      <c r="I715" t="s">
        <v>14292</v>
      </c>
      <c r="L715" t="s">
        <v>16272</v>
      </c>
      <c r="M715">
        <v>709</v>
      </c>
      <c r="N715" t="s">
        <v>16273</v>
      </c>
    </row>
    <row r="716" spans="1:14">
      <c r="A716" t="s">
        <v>9256</v>
      </c>
      <c r="B716">
        <v>815033</v>
      </c>
      <c r="C716">
        <v>816427</v>
      </c>
      <c r="E716" t="s">
        <v>14314</v>
      </c>
      <c r="F716" t="s">
        <v>16274</v>
      </c>
      <c r="H716">
        <v>93522193</v>
      </c>
      <c r="I716" t="s">
        <v>14292</v>
      </c>
      <c r="L716" t="s">
        <v>16275</v>
      </c>
      <c r="M716">
        <v>464</v>
      </c>
      <c r="N716" t="s">
        <v>16276</v>
      </c>
    </row>
    <row r="717" spans="1:14">
      <c r="A717" t="s">
        <v>9256</v>
      </c>
      <c r="B717">
        <v>816686</v>
      </c>
      <c r="C717">
        <v>817306</v>
      </c>
      <c r="E717" t="s">
        <v>14290</v>
      </c>
      <c r="F717" t="s">
        <v>14414</v>
      </c>
      <c r="H717">
        <v>93522194</v>
      </c>
      <c r="I717" t="s">
        <v>14415</v>
      </c>
      <c r="N717" t="s">
        <v>16277</v>
      </c>
    </row>
    <row r="718" spans="1:14">
      <c r="A718" t="s">
        <v>9256</v>
      </c>
      <c r="B718">
        <v>817635</v>
      </c>
      <c r="C718">
        <v>818171</v>
      </c>
      <c r="E718" t="s">
        <v>14290</v>
      </c>
      <c r="F718" t="s">
        <v>14291</v>
      </c>
      <c r="H718">
        <v>93522195</v>
      </c>
      <c r="I718" t="s">
        <v>14292</v>
      </c>
      <c r="L718" t="s">
        <v>16278</v>
      </c>
      <c r="M718">
        <v>178</v>
      </c>
      <c r="N718" t="s">
        <v>16279</v>
      </c>
    </row>
    <row r="719" spans="1:14">
      <c r="A719" t="s">
        <v>9256</v>
      </c>
      <c r="B719">
        <v>818271</v>
      </c>
      <c r="C719">
        <v>820613</v>
      </c>
      <c r="E719" t="s">
        <v>14290</v>
      </c>
      <c r="F719" t="s">
        <v>15450</v>
      </c>
      <c r="H719">
        <v>93522196</v>
      </c>
      <c r="I719" t="s">
        <v>14292</v>
      </c>
      <c r="L719" t="s">
        <v>16280</v>
      </c>
      <c r="M719">
        <v>780</v>
      </c>
      <c r="N719" t="s">
        <v>16281</v>
      </c>
    </row>
    <row r="720" spans="1:14">
      <c r="A720" t="s">
        <v>9256</v>
      </c>
      <c r="B720">
        <v>820647</v>
      </c>
      <c r="C720">
        <v>821885</v>
      </c>
      <c r="E720" t="s">
        <v>14290</v>
      </c>
      <c r="F720" t="s">
        <v>16282</v>
      </c>
      <c r="H720">
        <v>93522197</v>
      </c>
      <c r="I720" t="s">
        <v>14292</v>
      </c>
      <c r="L720" t="s">
        <v>16283</v>
      </c>
      <c r="M720">
        <v>412</v>
      </c>
      <c r="N720" t="s">
        <v>16284</v>
      </c>
    </row>
    <row r="721" spans="1:14">
      <c r="A721" t="s">
        <v>9256</v>
      </c>
      <c r="B721">
        <v>822020</v>
      </c>
      <c r="C721">
        <v>822583</v>
      </c>
      <c r="E721" t="s">
        <v>14290</v>
      </c>
      <c r="F721" t="s">
        <v>16285</v>
      </c>
      <c r="H721">
        <v>93522198</v>
      </c>
      <c r="I721" t="s">
        <v>14292</v>
      </c>
      <c r="L721" t="s">
        <v>16286</v>
      </c>
      <c r="M721">
        <v>187</v>
      </c>
      <c r="N721" t="s">
        <v>16287</v>
      </c>
    </row>
    <row r="722" spans="1:14">
      <c r="A722" t="s">
        <v>9256</v>
      </c>
      <c r="B722">
        <v>822592</v>
      </c>
      <c r="C722">
        <v>824340</v>
      </c>
      <c r="E722" t="s">
        <v>14290</v>
      </c>
      <c r="F722" t="s">
        <v>14403</v>
      </c>
      <c r="H722">
        <v>93522199</v>
      </c>
      <c r="I722" t="s">
        <v>14292</v>
      </c>
      <c r="L722" t="s">
        <v>16288</v>
      </c>
      <c r="M722">
        <v>582</v>
      </c>
      <c r="N722" t="s">
        <v>16289</v>
      </c>
    </row>
    <row r="723" spans="1:14">
      <c r="A723" t="s">
        <v>9256</v>
      </c>
      <c r="B723">
        <v>824363</v>
      </c>
      <c r="C723">
        <v>826144</v>
      </c>
      <c r="E723" t="s">
        <v>14290</v>
      </c>
      <c r="F723" t="s">
        <v>14403</v>
      </c>
      <c r="H723">
        <v>93522200</v>
      </c>
      <c r="I723" t="s">
        <v>14292</v>
      </c>
      <c r="L723" t="s">
        <v>16290</v>
      </c>
      <c r="M723">
        <v>593</v>
      </c>
      <c r="N723" t="s">
        <v>16291</v>
      </c>
    </row>
    <row r="724" spans="1:14">
      <c r="A724" t="s">
        <v>9256</v>
      </c>
      <c r="B724">
        <v>826173</v>
      </c>
      <c r="C724">
        <v>826460</v>
      </c>
      <c r="E724" t="s">
        <v>14290</v>
      </c>
      <c r="F724" t="s">
        <v>16292</v>
      </c>
      <c r="H724">
        <v>93522201</v>
      </c>
      <c r="I724" t="s">
        <v>14292</v>
      </c>
      <c r="L724" t="s">
        <v>16293</v>
      </c>
      <c r="M724">
        <v>95</v>
      </c>
      <c r="N724" t="s">
        <v>16294</v>
      </c>
    </row>
    <row r="725" spans="1:14">
      <c r="A725" t="s">
        <v>9256</v>
      </c>
      <c r="B725">
        <v>826453</v>
      </c>
      <c r="C725">
        <v>826773</v>
      </c>
      <c r="E725" t="s">
        <v>14290</v>
      </c>
      <c r="F725" t="s">
        <v>15286</v>
      </c>
      <c r="H725">
        <v>93522202</v>
      </c>
      <c r="I725" t="s">
        <v>14292</v>
      </c>
      <c r="L725" t="s">
        <v>16295</v>
      </c>
      <c r="M725">
        <v>106</v>
      </c>
      <c r="N725" t="s">
        <v>16296</v>
      </c>
    </row>
    <row r="726" spans="1:14">
      <c r="A726" t="s">
        <v>9256</v>
      </c>
      <c r="B726">
        <v>827224</v>
      </c>
      <c r="C726">
        <v>827574</v>
      </c>
      <c r="E726" t="s">
        <v>14290</v>
      </c>
      <c r="F726" t="s">
        <v>16297</v>
      </c>
      <c r="H726">
        <v>301046717</v>
      </c>
      <c r="I726" t="s">
        <v>14292</v>
      </c>
      <c r="L726" t="s">
        <v>16298</v>
      </c>
      <c r="M726">
        <v>116</v>
      </c>
      <c r="N726" t="s">
        <v>16299</v>
      </c>
    </row>
    <row r="727" spans="1:14">
      <c r="A727" t="s">
        <v>9256</v>
      </c>
      <c r="B727">
        <v>827531</v>
      </c>
      <c r="C727">
        <v>827758</v>
      </c>
      <c r="E727" t="s">
        <v>14290</v>
      </c>
      <c r="F727" t="s">
        <v>16297</v>
      </c>
      <c r="H727">
        <v>93525966</v>
      </c>
      <c r="I727" t="s">
        <v>14292</v>
      </c>
      <c r="L727" t="s">
        <v>16300</v>
      </c>
      <c r="M727">
        <v>75</v>
      </c>
      <c r="N727" t="s">
        <v>16301</v>
      </c>
    </row>
    <row r="728" spans="1:14">
      <c r="A728" t="s">
        <v>9256</v>
      </c>
      <c r="B728">
        <v>827841</v>
      </c>
      <c r="C728">
        <v>828380</v>
      </c>
      <c r="E728" t="s">
        <v>14290</v>
      </c>
      <c r="F728" t="s">
        <v>16302</v>
      </c>
      <c r="H728">
        <v>93522203</v>
      </c>
      <c r="I728" t="s">
        <v>14292</v>
      </c>
      <c r="L728" t="s">
        <v>16303</v>
      </c>
      <c r="M728">
        <v>179</v>
      </c>
      <c r="N728" t="s">
        <v>16304</v>
      </c>
    </row>
    <row r="729" spans="1:14">
      <c r="A729" t="s">
        <v>9256</v>
      </c>
      <c r="B729">
        <v>828891</v>
      </c>
      <c r="C729">
        <v>829307</v>
      </c>
      <c r="E729" t="s">
        <v>14314</v>
      </c>
      <c r="F729" t="s">
        <v>14291</v>
      </c>
      <c r="H729">
        <v>93522204</v>
      </c>
      <c r="I729" t="s">
        <v>14292</v>
      </c>
      <c r="L729" t="s">
        <v>16305</v>
      </c>
      <c r="M729">
        <v>138</v>
      </c>
      <c r="N729" t="s">
        <v>16306</v>
      </c>
    </row>
    <row r="730" spans="1:14">
      <c r="A730" t="s">
        <v>9256</v>
      </c>
      <c r="B730">
        <v>829304</v>
      </c>
      <c r="C730">
        <v>830599</v>
      </c>
      <c r="E730" t="s">
        <v>14314</v>
      </c>
      <c r="F730" t="s">
        <v>16307</v>
      </c>
      <c r="H730">
        <v>93522205</v>
      </c>
      <c r="I730" t="s">
        <v>14292</v>
      </c>
      <c r="L730" t="s">
        <v>16308</v>
      </c>
      <c r="M730">
        <v>431</v>
      </c>
      <c r="N730" t="s">
        <v>16309</v>
      </c>
    </row>
    <row r="731" spans="1:14">
      <c r="A731" t="s">
        <v>9256</v>
      </c>
      <c r="B731">
        <v>830721</v>
      </c>
      <c r="C731">
        <v>831242</v>
      </c>
      <c r="E731" t="s">
        <v>14314</v>
      </c>
      <c r="F731" t="s">
        <v>14291</v>
      </c>
      <c r="H731">
        <v>93522206</v>
      </c>
      <c r="I731" t="s">
        <v>14292</v>
      </c>
      <c r="L731" t="s">
        <v>16310</v>
      </c>
      <c r="M731">
        <v>173</v>
      </c>
      <c r="N731" t="s">
        <v>16311</v>
      </c>
    </row>
    <row r="732" spans="1:14">
      <c r="A732" t="s">
        <v>9256</v>
      </c>
      <c r="B732">
        <v>831344</v>
      </c>
      <c r="C732">
        <v>832882</v>
      </c>
      <c r="E732" t="s">
        <v>14314</v>
      </c>
      <c r="F732" t="s">
        <v>15447</v>
      </c>
      <c r="H732">
        <v>93522207</v>
      </c>
      <c r="I732" t="s">
        <v>14292</v>
      </c>
      <c r="L732" t="s">
        <v>16312</v>
      </c>
      <c r="M732">
        <v>512</v>
      </c>
      <c r="N732" t="s">
        <v>16313</v>
      </c>
    </row>
    <row r="733" spans="1:14">
      <c r="A733" t="s">
        <v>9256</v>
      </c>
      <c r="B733">
        <v>833168</v>
      </c>
      <c r="C733">
        <v>833614</v>
      </c>
      <c r="E733" t="s">
        <v>14314</v>
      </c>
      <c r="F733" t="s">
        <v>14291</v>
      </c>
      <c r="H733">
        <v>93525928</v>
      </c>
      <c r="I733" t="s">
        <v>14292</v>
      </c>
      <c r="L733" t="s">
        <v>16314</v>
      </c>
      <c r="M733">
        <v>148</v>
      </c>
      <c r="N733" t="s">
        <v>16315</v>
      </c>
    </row>
    <row r="734" spans="1:14">
      <c r="A734" t="s">
        <v>9256</v>
      </c>
      <c r="B734">
        <v>833687</v>
      </c>
      <c r="C734">
        <v>835702</v>
      </c>
      <c r="E734" t="s">
        <v>14314</v>
      </c>
      <c r="F734" t="s">
        <v>15278</v>
      </c>
      <c r="G734" t="s">
        <v>15279</v>
      </c>
      <c r="H734">
        <v>93522208</v>
      </c>
      <c r="I734" t="s">
        <v>14292</v>
      </c>
      <c r="L734" t="s">
        <v>16316</v>
      </c>
      <c r="M734">
        <v>671</v>
      </c>
      <c r="N734" t="s">
        <v>16317</v>
      </c>
    </row>
    <row r="735" spans="1:14">
      <c r="A735" t="s">
        <v>9256</v>
      </c>
      <c r="B735">
        <v>835717</v>
      </c>
      <c r="C735">
        <v>836946</v>
      </c>
      <c r="E735" t="s">
        <v>14314</v>
      </c>
      <c r="F735" t="s">
        <v>15274</v>
      </c>
      <c r="G735" t="s">
        <v>15275</v>
      </c>
      <c r="H735">
        <v>93522209</v>
      </c>
      <c r="I735" t="s">
        <v>14292</v>
      </c>
      <c r="L735" t="s">
        <v>16318</v>
      </c>
      <c r="M735">
        <v>409</v>
      </c>
      <c r="N735" t="s">
        <v>16319</v>
      </c>
    </row>
    <row r="736" spans="1:14">
      <c r="A736" t="s">
        <v>9256</v>
      </c>
      <c r="B736">
        <v>836931</v>
      </c>
      <c r="C736">
        <v>837344</v>
      </c>
      <c r="E736" t="s">
        <v>14314</v>
      </c>
      <c r="F736" t="s">
        <v>15270</v>
      </c>
      <c r="G736" t="s">
        <v>15271</v>
      </c>
      <c r="H736">
        <v>93522210</v>
      </c>
      <c r="I736" t="s">
        <v>14292</v>
      </c>
      <c r="L736" t="s">
        <v>16320</v>
      </c>
      <c r="M736">
        <v>137</v>
      </c>
      <c r="N736" t="s">
        <v>16321</v>
      </c>
    </row>
    <row r="737" spans="1:14">
      <c r="A737" t="s">
        <v>9256</v>
      </c>
      <c r="B737">
        <v>838113</v>
      </c>
      <c r="C737">
        <v>838895</v>
      </c>
      <c r="E737" t="s">
        <v>14290</v>
      </c>
      <c r="F737" t="s">
        <v>15265</v>
      </c>
      <c r="H737">
        <v>93522211</v>
      </c>
      <c r="I737" t="s">
        <v>14292</v>
      </c>
      <c r="L737" t="s">
        <v>16322</v>
      </c>
      <c r="M737">
        <v>260</v>
      </c>
      <c r="N737" t="s">
        <v>16323</v>
      </c>
    </row>
    <row r="738" spans="1:14">
      <c r="A738" t="s">
        <v>9256</v>
      </c>
      <c r="B738">
        <v>838879</v>
      </c>
      <c r="C738">
        <v>839307</v>
      </c>
      <c r="E738" t="s">
        <v>14290</v>
      </c>
      <c r="F738" t="s">
        <v>15260</v>
      </c>
      <c r="H738">
        <v>93522212</v>
      </c>
      <c r="I738" t="s">
        <v>14292</v>
      </c>
      <c r="L738" t="s">
        <v>16324</v>
      </c>
      <c r="M738">
        <v>142</v>
      </c>
      <c r="N738" t="s">
        <v>16325</v>
      </c>
    </row>
    <row r="739" spans="1:14">
      <c r="A739" t="s">
        <v>9256</v>
      </c>
      <c r="B739">
        <v>839309</v>
      </c>
      <c r="C739">
        <v>839683</v>
      </c>
      <c r="E739" t="s">
        <v>14290</v>
      </c>
      <c r="F739" t="s">
        <v>15260</v>
      </c>
      <c r="H739">
        <v>93522213</v>
      </c>
      <c r="I739" t="s">
        <v>14292</v>
      </c>
      <c r="L739" t="s">
        <v>16326</v>
      </c>
      <c r="M739">
        <v>124</v>
      </c>
      <c r="N739" t="s">
        <v>16327</v>
      </c>
    </row>
    <row r="740" spans="1:14">
      <c r="A740" t="s">
        <v>9256</v>
      </c>
      <c r="B740">
        <v>839680</v>
      </c>
      <c r="C740">
        <v>840273</v>
      </c>
      <c r="E740" t="s">
        <v>14290</v>
      </c>
      <c r="F740" t="s">
        <v>14291</v>
      </c>
      <c r="H740">
        <v>93522214</v>
      </c>
      <c r="I740" t="s">
        <v>14292</v>
      </c>
      <c r="L740" t="s">
        <v>16328</v>
      </c>
      <c r="M740">
        <v>197</v>
      </c>
      <c r="N740" t="s">
        <v>16329</v>
      </c>
    </row>
    <row r="741" spans="1:14">
      <c r="A741" t="s">
        <v>9256</v>
      </c>
      <c r="B741">
        <v>840303</v>
      </c>
      <c r="C741">
        <v>841043</v>
      </c>
      <c r="E741" t="s">
        <v>14290</v>
      </c>
      <c r="F741" t="s">
        <v>15265</v>
      </c>
      <c r="H741">
        <v>93522215</v>
      </c>
      <c r="I741" t="s">
        <v>14292</v>
      </c>
      <c r="L741" t="s">
        <v>16330</v>
      </c>
      <c r="M741">
        <v>246</v>
      </c>
      <c r="N741" t="s">
        <v>16331</v>
      </c>
    </row>
    <row r="742" spans="1:14">
      <c r="A742" t="s">
        <v>9256</v>
      </c>
      <c r="B742">
        <v>841031</v>
      </c>
      <c r="C742">
        <v>841621</v>
      </c>
      <c r="E742" t="s">
        <v>14290</v>
      </c>
      <c r="F742" t="s">
        <v>16332</v>
      </c>
      <c r="H742">
        <v>93522216</v>
      </c>
      <c r="I742" t="s">
        <v>14292</v>
      </c>
      <c r="L742" t="s">
        <v>16333</v>
      </c>
      <c r="M742">
        <v>196</v>
      </c>
      <c r="N742" t="s">
        <v>16334</v>
      </c>
    </row>
    <row r="743" spans="1:14">
      <c r="A743" t="s">
        <v>9256</v>
      </c>
      <c r="B743">
        <v>841795</v>
      </c>
      <c r="C743">
        <v>842094</v>
      </c>
      <c r="E743" t="s">
        <v>14290</v>
      </c>
      <c r="F743" t="s">
        <v>15255</v>
      </c>
      <c r="H743">
        <v>93522217</v>
      </c>
      <c r="I743" t="s">
        <v>14292</v>
      </c>
      <c r="L743" t="s">
        <v>16335</v>
      </c>
      <c r="M743">
        <v>99</v>
      </c>
      <c r="N743" t="s">
        <v>16336</v>
      </c>
    </row>
    <row r="744" spans="1:14">
      <c r="A744" t="s">
        <v>9256</v>
      </c>
      <c r="B744">
        <v>842099</v>
      </c>
      <c r="C744">
        <v>842479</v>
      </c>
      <c r="E744" t="s">
        <v>14290</v>
      </c>
      <c r="F744" t="s">
        <v>15252</v>
      </c>
      <c r="H744">
        <v>93522218</v>
      </c>
      <c r="I744" t="s">
        <v>14292</v>
      </c>
      <c r="L744" t="s">
        <v>16337</v>
      </c>
      <c r="M744">
        <v>126</v>
      </c>
      <c r="N744" t="s">
        <v>16338</v>
      </c>
    </row>
    <row r="745" spans="1:14">
      <c r="A745" t="s">
        <v>9256</v>
      </c>
      <c r="B745">
        <v>842476</v>
      </c>
      <c r="C745">
        <v>844962</v>
      </c>
      <c r="E745" t="s">
        <v>14290</v>
      </c>
      <c r="F745" t="s">
        <v>16339</v>
      </c>
      <c r="H745">
        <v>93522219</v>
      </c>
      <c r="I745" t="s">
        <v>14292</v>
      </c>
      <c r="L745" t="s">
        <v>16340</v>
      </c>
      <c r="M745">
        <v>828</v>
      </c>
      <c r="N745" t="s">
        <v>16341</v>
      </c>
    </row>
    <row r="746" spans="1:14">
      <c r="A746" t="s">
        <v>9256</v>
      </c>
      <c r="B746">
        <v>844995</v>
      </c>
      <c r="C746">
        <v>845624</v>
      </c>
      <c r="E746" t="s">
        <v>14290</v>
      </c>
      <c r="F746" t="s">
        <v>15241</v>
      </c>
      <c r="H746">
        <v>93522220</v>
      </c>
      <c r="I746" t="s">
        <v>14292</v>
      </c>
      <c r="L746" t="s">
        <v>16342</v>
      </c>
      <c r="M746">
        <v>209</v>
      </c>
      <c r="N746" t="s">
        <v>16343</v>
      </c>
    </row>
    <row r="747" spans="1:14">
      <c r="A747" t="s">
        <v>9256</v>
      </c>
      <c r="B747">
        <v>845627</v>
      </c>
      <c r="C747">
        <v>846718</v>
      </c>
      <c r="E747" t="s">
        <v>14290</v>
      </c>
      <c r="F747" t="s">
        <v>15237</v>
      </c>
      <c r="G747" t="s">
        <v>15238</v>
      </c>
      <c r="H747">
        <v>93522221</v>
      </c>
      <c r="I747" t="s">
        <v>14292</v>
      </c>
      <c r="L747" t="s">
        <v>16344</v>
      </c>
      <c r="M747">
        <v>363</v>
      </c>
      <c r="N747" t="s">
        <v>16345</v>
      </c>
    </row>
    <row r="748" spans="1:14">
      <c r="A748" t="s">
        <v>9256</v>
      </c>
      <c r="B748">
        <v>846725</v>
      </c>
      <c r="C748">
        <v>847348</v>
      </c>
      <c r="E748" t="s">
        <v>14290</v>
      </c>
      <c r="F748" t="s">
        <v>15233</v>
      </c>
      <c r="G748" t="s">
        <v>15234</v>
      </c>
      <c r="H748">
        <v>93522222</v>
      </c>
      <c r="I748" t="s">
        <v>14292</v>
      </c>
      <c r="L748" t="s">
        <v>16346</v>
      </c>
      <c r="M748">
        <v>207</v>
      </c>
      <c r="N748" t="s">
        <v>16347</v>
      </c>
    </row>
    <row r="749" spans="1:14">
      <c r="A749" t="s">
        <v>9256</v>
      </c>
      <c r="B749">
        <v>847345</v>
      </c>
      <c r="C749">
        <v>847677</v>
      </c>
      <c r="E749" t="s">
        <v>14290</v>
      </c>
      <c r="F749" t="s">
        <v>15230</v>
      </c>
      <c r="H749">
        <v>93522223</v>
      </c>
      <c r="I749" t="s">
        <v>14292</v>
      </c>
      <c r="L749" t="s">
        <v>16348</v>
      </c>
      <c r="M749">
        <v>110</v>
      </c>
      <c r="N749" t="s">
        <v>16349</v>
      </c>
    </row>
    <row r="750" spans="1:14">
      <c r="A750" t="s">
        <v>9256</v>
      </c>
      <c r="B750">
        <v>847628</v>
      </c>
      <c r="C750">
        <v>848992</v>
      </c>
      <c r="E750" t="s">
        <v>14290</v>
      </c>
      <c r="F750" t="s">
        <v>15226</v>
      </c>
      <c r="G750" t="s">
        <v>15227</v>
      </c>
      <c r="H750">
        <v>93522224</v>
      </c>
      <c r="I750" t="s">
        <v>14292</v>
      </c>
      <c r="L750" t="s">
        <v>16350</v>
      </c>
      <c r="M750">
        <v>454</v>
      </c>
      <c r="N750" t="s">
        <v>16351</v>
      </c>
    </row>
    <row r="751" spans="1:14">
      <c r="A751" t="s">
        <v>9256</v>
      </c>
      <c r="B751">
        <v>849031</v>
      </c>
      <c r="C751">
        <v>849951</v>
      </c>
      <c r="E751" t="s">
        <v>14290</v>
      </c>
      <c r="F751" t="s">
        <v>15222</v>
      </c>
      <c r="G751" t="s">
        <v>15223</v>
      </c>
      <c r="H751">
        <v>93522225</v>
      </c>
      <c r="I751" t="s">
        <v>14292</v>
      </c>
      <c r="L751" t="s">
        <v>16352</v>
      </c>
      <c r="M751">
        <v>306</v>
      </c>
      <c r="N751" t="s">
        <v>16353</v>
      </c>
    </row>
    <row r="752" spans="1:14">
      <c r="A752" t="s">
        <v>9256</v>
      </c>
      <c r="B752">
        <v>849953</v>
      </c>
      <c r="C752">
        <v>850537</v>
      </c>
      <c r="E752" t="s">
        <v>14290</v>
      </c>
      <c r="F752" t="s">
        <v>15219</v>
      </c>
      <c r="H752">
        <v>93522226</v>
      </c>
      <c r="I752" t="s">
        <v>14292</v>
      </c>
      <c r="L752" t="s">
        <v>16354</v>
      </c>
      <c r="M752">
        <v>194</v>
      </c>
      <c r="N752" t="s">
        <v>16355</v>
      </c>
    </row>
    <row r="753" spans="1:14">
      <c r="A753" t="s">
        <v>9256</v>
      </c>
      <c r="B753">
        <v>850537</v>
      </c>
      <c r="C753">
        <v>851415</v>
      </c>
      <c r="E753" t="s">
        <v>14290</v>
      </c>
      <c r="F753" t="s">
        <v>15216</v>
      </c>
      <c r="H753">
        <v>93522227</v>
      </c>
      <c r="I753" t="s">
        <v>14292</v>
      </c>
      <c r="L753" t="s">
        <v>16356</v>
      </c>
      <c r="M753">
        <v>292</v>
      </c>
      <c r="N753" t="s">
        <v>16357</v>
      </c>
    </row>
    <row r="754" spans="1:14">
      <c r="A754" t="s">
        <v>9256</v>
      </c>
      <c r="B754">
        <v>851412</v>
      </c>
      <c r="C754">
        <v>851873</v>
      </c>
      <c r="E754" t="s">
        <v>14290</v>
      </c>
      <c r="F754" t="s">
        <v>15213</v>
      </c>
      <c r="H754">
        <v>93522228</v>
      </c>
      <c r="I754" t="s">
        <v>14292</v>
      </c>
      <c r="L754" t="s">
        <v>16358</v>
      </c>
      <c r="M754">
        <v>153</v>
      </c>
      <c r="N754" t="s">
        <v>16359</v>
      </c>
    </row>
    <row r="755" spans="1:14">
      <c r="A755" t="s">
        <v>9256</v>
      </c>
      <c r="B755">
        <v>851857</v>
      </c>
      <c r="C755">
        <v>852372</v>
      </c>
      <c r="E755" t="s">
        <v>14290</v>
      </c>
      <c r="F755" t="s">
        <v>16360</v>
      </c>
      <c r="H755">
        <v>93522229</v>
      </c>
      <c r="I755" t="s">
        <v>14292</v>
      </c>
      <c r="L755" t="s">
        <v>16361</v>
      </c>
      <c r="M755">
        <v>171</v>
      </c>
      <c r="N755" t="s">
        <v>16362</v>
      </c>
    </row>
    <row r="756" spans="1:14">
      <c r="A756" t="s">
        <v>9256</v>
      </c>
      <c r="B756">
        <v>852638</v>
      </c>
      <c r="C756">
        <v>853093</v>
      </c>
      <c r="E756" t="s">
        <v>14290</v>
      </c>
      <c r="F756" t="s">
        <v>14414</v>
      </c>
      <c r="H756">
        <v>93522230</v>
      </c>
      <c r="I756" t="s">
        <v>14415</v>
      </c>
      <c r="N756" t="s">
        <v>16363</v>
      </c>
    </row>
    <row r="757" spans="1:14">
      <c r="A757" t="s">
        <v>9256</v>
      </c>
      <c r="B757">
        <v>853182</v>
      </c>
      <c r="C757">
        <v>853484</v>
      </c>
      <c r="E757" t="s">
        <v>14290</v>
      </c>
      <c r="F757" t="s">
        <v>16364</v>
      </c>
      <c r="H757">
        <v>93522231</v>
      </c>
      <c r="I757" t="s">
        <v>14292</v>
      </c>
      <c r="L757" t="s">
        <v>16365</v>
      </c>
      <c r="M757">
        <v>100</v>
      </c>
      <c r="N757" t="s">
        <v>16366</v>
      </c>
    </row>
    <row r="758" spans="1:14">
      <c r="A758" t="s">
        <v>9256</v>
      </c>
      <c r="B758">
        <v>853489</v>
      </c>
      <c r="C758">
        <v>855042</v>
      </c>
      <c r="E758" t="s">
        <v>14290</v>
      </c>
      <c r="F758" t="s">
        <v>16367</v>
      </c>
      <c r="H758">
        <v>93522232</v>
      </c>
      <c r="I758" t="s">
        <v>14292</v>
      </c>
      <c r="L758" t="s">
        <v>16368</v>
      </c>
      <c r="M758">
        <v>517</v>
      </c>
      <c r="N758" t="s">
        <v>16369</v>
      </c>
    </row>
    <row r="759" spans="1:14">
      <c r="A759" t="s">
        <v>9256</v>
      </c>
      <c r="B759">
        <v>855234</v>
      </c>
      <c r="C759">
        <v>855464</v>
      </c>
      <c r="E759" t="s">
        <v>14314</v>
      </c>
      <c r="F759" t="s">
        <v>14291</v>
      </c>
      <c r="H759">
        <v>93522233</v>
      </c>
      <c r="I759" t="s">
        <v>14292</v>
      </c>
      <c r="L759" t="s">
        <v>16370</v>
      </c>
      <c r="M759">
        <v>76</v>
      </c>
      <c r="N759" t="s">
        <v>16371</v>
      </c>
    </row>
    <row r="760" spans="1:14">
      <c r="A760" t="s">
        <v>9256</v>
      </c>
      <c r="B760">
        <v>855469</v>
      </c>
      <c r="C760">
        <v>855723</v>
      </c>
      <c r="E760" t="s">
        <v>14314</v>
      </c>
      <c r="F760" t="s">
        <v>14291</v>
      </c>
      <c r="H760">
        <v>93522234</v>
      </c>
      <c r="I760" t="s">
        <v>14292</v>
      </c>
      <c r="L760" t="s">
        <v>16372</v>
      </c>
      <c r="M760">
        <v>84</v>
      </c>
      <c r="N760" t="s">
        <v>16373</v>
      </c>
    </row>
    <row r="761" spans="1:14">
      <c r="A761" t="s">
        <v>9256</v>
      </c>
      <c r="B761">
        <v>855750</v>
      </c>
      <c r="C761">
        <v>857030</v>
      </c>
      <c r="E761" t="s">
        <v>14314</v>
      </c>
      <c r="F761" t="s">
        <v>15194</v>
      </c>
      <c r="H761">
        <v>93522235</v>
      </c>
      <c r="I761" t="s">
        <v>14292</v>
      </c>
      <c r="L761" t="s">
        <v>16374</v>
      </c>
      <c r="M761">
        <v>426</v>
      </c>
      <c r="N761" t="s">
        <v>16375</v>
      </c>
    </row>
    <row r="762" spans="1:14">
      <c r="A762" t="s">
        <v>9256</v>
      </c>
      <c r="B762">
        <v>857048</v>
      </c>
      <c r="C762">
        <v>857578</v>
      </c>
      <c r="E762" t="s">
        <v>14314</v>
      </c>
      <c r="F762" t="s">
        <v>16376</v>
      </c>
      <c r="H762">
        <v>93522236</v>
      </c>
      <c r="I762" t="s">
        <v>14292</v>
      </c>
      <c r="L762" t="s">
        <v>16377</v>
      </c>
      <c r="M762">
        <v>176</v>
      </c>
      <c r="N762" t="s">
        <v>16378</v>
      </c>
    </row>
    <row r="763" spans="1:14">
      <c r="A763" t="s">
        <v>9256</v>
      </c>
      <c r="B763">
        <v>857601</v>
      </c>
      <c r="C763">
        <v>858017</v>
      </c>
      <c r="E763" t="s">
        <v>14314</v>
      </c>
      <c r="F763" t="s">
        <v>15191</v>
      </c>
      <c r="H763">
        <v>93522237</v>
      </c>
      <c r="I763" t="s">
        <v>14292</v>
      </c>
      <c r="L763" t="s">
        <v>16379</v>
      </c>
      <c r="M763">
        <v>138</v>
      </c>
      <c r="N763" t="s">
        <v>16380</v>
      </c>
    </row>
    <row r="764" spans="1:14">
      <c r="A764" t="s">
        <v>9256</v>
      </c>
      <c r="B764">
        <v>858030</v>
      </c>
      <c r="C764">
        <v>858248</v>
      </c>
      <c r="E764" t="s">
        <v>14314</v>
      </c>
      <c r="F764" t="s">
        <v>14291</v>
      </c>
      <c r="H764">
        <v>93522238</v>
      </c>
      <c r="I764" t="s">
        <v>14292</v>
      </c>
      <c r="L764" t="s">
        <v>16381</v>
      </c>
      <c r="M764">
        <v>72</v>
      </c>
      <c r="N764" t="s">
        <v>16382</v>
      </c>
    </row>
    <row r="765" spans="1:14">
      <c r="A765" t="s">
        <v>9256</v>
      </c>
      <c r="B765">
        <v>858261</v>
      </c>
      <c r="C765">
        <v>858470</v>
      </c>
      <c r="E765" t="s">
        <v>14314</v>
      </c>
      <c r="F765" t="s">
        <v>14291</v>
      </c>
      <c r="H765">
        <v>93525983</v>
      </c>
      <c r="I765" t="s">
        <v>14292</v>
      </c>
      <c r="L765" t="s">
        <v>16383</v>
      </c>
      <c r="M765">
        <v>69</v>
      </c>
      <c r="N765" t="s">
        <v>16384</v>
      </c>
    </row>
    <row r="766" spans="1:14">
      <c r="A766" t="s">
        <v>9256</v>
      </c>
      <c r="B766">
        <v>859216</v>
      </c>
      <c r="C766">
        <v>861894</v>
      </c>
      <c r="E766" t="s">
        <v>14290</v>
      </c>
      <c r="F766" t="s">
        <v>16385</v>
      </c>
      <c r="H766">
        <v>93522239</v>
      </c>
      <c r="I766" t="s">
        <v>14292</v>
      </c>
      <c r="L766" t="s">
        <v>16386</v>
      </c>
      <c r="M766">
        <v>892</v>
      </c>
      <c r="N766" t="s">
        <v>16387</v>
      </c>
    </row>
    <row r="767" spans="1:14">
      <c r="A767" t="s">
        <v>9256</v>
      </c>
      <c r="B767">
        <v>862150</v>
      </c>
      <c r="C767">
        <v>863112</v>
      </c>
      <c r="E767" t="s">
        <v>14314</v>
      </c>
      <c r="F767" t="s">
        <v>15762</v>
      </c>
      <c r="H767">
        <v>93522240</v>
      </c>
      <c r="I767" t="s">
        <v>14292</v>
      </c>
      <c r="L767" t="s">
        <v>16388</v>
      </c>
      <c r="M767">
        <v>320</v>
      </c>
      <c r="N767" t="s">
        <v>16389</v>
      </c>
    </row>
    <row r="768" spans="1:14">
      <c r="A768" t="s">
        <v>9256</v>
      </c>
      <c r="B768">
        <v>863139</v>
      </c>
      <c r="C768">
        <v>863516</v>
      </c>
      <c r="E768" t="s">
        <v>14314</v>
      </c>
      <c r="F768" t="s">
        <v>15759</v>
      </c>
      <c r="H768">
        <v>93522241</v>
      </c>
      <c r="I768" t="s">
        <v>14292</v>
      </c>
      <c r="L768" t="s">
        <v>16390</v>
      </c>
      <c r="M768">
        <v>125</v>
      </c>
      <c r="N768" t="s">
        <v>16391</v>
      </c>
    </row>
    <row r="769" spans="1:14">
      <c r="A769" t="s">
        <v>9256</v>
      </c>
      <c r="B769">
        <v>864120</v>
      </c>
      <c r="C769">
        <v>866234</v>
      </c>
      <c r="E769" t="s">
        <v>14314</v>
      </c>
      <c r="F769" t="s">
        <v>14615</v>
      </c>
      <c r="H769">
        <v>93522242</v>
      </c>
      <c r="I769" t="s">
        <v>14292</v>
      </c>
      <c r="L769" t="s">
        <v>16392</v>
      </c>
      <c r="M769">
        <v>704</v>
      </c>
      <c r="N769" t="s">
        <v>16393</v>
      </c>
    </row>
    <row r="770" spans="1:14">
      <c r="A770" t="s">
        <v>9256</v>
      </c>
      <c r="B770">
        <v>866457</v>
      </c>
      <c r="C770">
        <v>866969</v>
      </c>
      <c r="E770" t="s">
        <v>14314</v>
      </c>
      <c r="F770" t="s">
        <v>15930</v>
      </c>
      <c r="H770">
        <v>93522243</v>
      </c>
      <c r="I770" t="s">
        <v>14292</v>
      </c>
      <c r="L770" t="s">
        <v>16394</v>
      </c>
      <c r="M770">
        <v>170</v>
      </c>
      <c r="N770" t="s">
        <v>16395</v>
      </c>
    </row>
    <row r="771" spans="1:14">
      <c r="A771" t="s">
        <v>9256</v>
      </c>
      <c r="B771">
        <v>867099</v>
      </c>
      <c r="C771">
        <v>869333</v>
      </c>
      <c r="E771" t="s">
        <v>14290</v>
      </c>
      <c r="F771" t="s">
        <v>14648</v>
      </c>
      <c r="H771">
        <v>93522244</v>
      </c>
      <c r="I771" t="s">
        <v>14292</v>
      </c>
      <c r="L771" t="s">
        <v>16396</v>
      </c>
      <c r="M771">
        <v>744</v>
      </c>
      <c r="N771" t="s">
        <v>16397</v>
      </c>
    </row>
    <row r="772" spans="1:14">
      <c r="A772" t="s">
        <v>9256</v>
      </c>
      <c r="B772">
        <v>869349</v>
      </c>
      <c r="C772">
        <v>871208</v>
      </c>
      <c r="E772" t="s">
        <v>14290</v>
      </c>
      <c r="F772" t="s">
        <v>15868</v>
      </c>
      <c r="H772">
        <v>93522245</v>
      </c>
      <c r="I772" t="s">
        <v>14292</v>
      </c>
      <c r="L772" t="s">
        <v>16398</v>
      </c>
      <c r="M772">
        <v>619</v>
      </c>
      <c r="N772" t="s">
        <v>16399</v>
      </c>
    </row>
    <row r="773" spans="1:14">
      <c r="A773" t="s">
        <v>9256</v>
      </c>
      <c r="B773">
        <v>871309</v>
      </c>
      <c r="C773">
        <v>871917</v>
      </c>
      <c r="E773" t="s">
        <v>14290</v>
      </c>
      <c r="F773" t="s">
        <v>14291</v>
      </c>
      <c r="H773">
        <v>93522246</v>
      </c>
      <c r="I773" t="s">
        <v>14292</v>
      </c>
      <c r="L773" t="s">
        <v>16400</v>
      </c>
      <c r="M773">
        <v>202</v>
      </c>
      <c r="N773" t="s">
        <v>16401</v>
      </c>
    </row>
    <row r="774" spans="1:14">
      <c r="A774" t="s">
        <v>9256</v>
      </c>
      <c r="B774">
        <v>872023</v>
      </c>
      <c r="C774">
        <v>873240</v>
      </c>
      <c r="E774" t="s">
        <v>14314</v>
      </c>
      <c r="F774" t="s">
        <v>16402</v>
      </c>
      <c r="H774">
        <v>93522247</v>
      </c>
      <c r="I774" t="s">
        <v>14292</v>
      </c>
      <c r="L774" t="s">
        <v>16403</v>
      </c>
      <c r="M774">
        <v>405</v>
      </c>
      <c r="N774" t="s">
        <v>16404</v>
      </c>
    </row>
    <row r="775" spans="1:14">
      <c r="A775" t="s">
        <v>9256</v>
      </c>
      <c r="B775">
        <v>873395</v>
      </c>
      <c r="C775">
        <v>874198</v>
      </c>
      <c r="E775" t="s">
        <v>14290</v>
      </c>
      <c r="F775" t="s">
        <v>16405</v>
      </c>
      <c r="G775" t="s">
        <v>16406</v>
      </c>
      <c r="H775">
        <v>93522248</v>
      </c>
      <c r="I775" t="s">
        <v>14292</v>
      </c>
      <c r="L775" t="s">
        <v>16407</v>
      </c>
      <c r="M775">
        <v>267</v>
      </c>
      <c r="N775" t="s">
        <v>16408</v>
      </c>
    </row>
    <row r="776" spans="1:14">
      <c r="A776" t="s">
        <v>9256</v>
      </c>
      <c r="B776">
        <v>874261</v>
      </c>
      <c r="C776">
        <v>875448</v>
      </c>
      <c r="E776" t="s">
        <v>14314</v>
      </c>
      <c r="F776" t="s">
        <v>16409</v>
      </c>
      <c r="H776">
        <v>93522249</v>
      </c>
      <c r="I776" t="s">
        <v>14292</v>
      </c>
      <c r="L776" t="s">
        <v>16410</v>
      </c>
      <c r="M776">
        <v>395</v>
      </c>
      <c r="N776" t="s">
        <v>16411</v>
      </c>
    </row>
    <row r="777" spans="1:14">
      <c r="A777" t="s">
        <v>9256</v>
      </c>
      <c r="B777">
        <v>875539</v>
      </c>
      <c r="C777">
        <v>877170</v>
      </c>
      <c r="E777" t="s">
        <v>14314</v>
      </c>
      <c r="F777" t="s">
        <v>16412</v>
      </c>
      <c r="G777" t="s">
        <v>16413</v>
      </c>
      <c r="H777">
        <v>93522250</v>
      </c>
      <c r="I777" t="s">
        <v>14292</v>
      </c>
      <c r="L777" t="s">
        <v>16414</v>
      </c>
      <c r="M777">
        <v>543</v>
      </c>
      <c r="N777" t="s">
        <v>16415</v>
      </c>
    </row>
    <row r="778" spans="1:14">
      <c r="A778" t="s">
        <v>9256</v>
      </c>
      <c r="B778">
        <v>877387</v>
      </c>
      <c r="C778">
        <v>877575</v>
      </c>
      <c r="E778" t="s">
        <v>14290</v>
      </c>
      <c r="F778" t="s">
        <v>16416</v>
      </c>
      <c r="H778">
        <v>93522251</v>
      </c>
      <c r="I778" t="s">
        <v>14292</v>
      </c>
      <c r="L778" t="s">
        <v>16417</v>
      </c>
      <c r="M778">
        <v>62</v>
      </c>
      <c r="N778" t="s">
        <v>16418</v>
      </c>
    </row>
    <row r="779" spans="1:14">
      <c r="A779" t="s">
        <v>9256</v>
      </c>
      <c r="B779">
        <v>877729</v>
      </c>
      <c r="C779">
        <v>878382</v>
      </c>
      <c r="E779" t="s">
        <v>14290</v>
      </c>
      <c r="F779" t="s">
        <v>16419</v>
      </c>
      <c r="H779">
        <v>93522252</v>
      </c>
      <c r="I779" t="s">
        <v>14292</v>
      </c>
      <c r="L779" t="s">
        <v>16420</v>
      </c>
      <c r="M779">
        <v>217</v>
      </c>
      <c r="N779" t="s">
        <v>16421</v>
      </c>
    </row>
    <row r="780" spans="1:14">
      <c r="A780" t="s">
        <v>9256</v>
      </c>
      <c r="B780">
        <v>878566</v>
      </c>
      <c r="C780">
        <v>879120</v>
      </c>
      <c r="E780" t="s">
        <v>14290</v>
      </c>
      <c r="F780" t="s">
        <v>14406</v>
      </c>
      <c r="H780">
        <v>93522253</v>
      </c>
      <c r="I780" t="s">
        <v>14292</v>
      </c>
      <c r="L780" t="s">
        <v>16422</v>
      </c>
      <c r="M780">
        <v>184</v>
      </c>
      <c r="N780" t="s">
        <v>16423</v>
      </c>
    </row>
    <row r="781" spans="1:14">
      <c r="A781" t="s">
        <v>9256</v>
      </c>
      <c r="B781">
        <v>879133</v>
      </c>
      <c r="C781">
        <v>880788</v>
      </c>
      <c r="E781" t="s">
        <v>14290</v>
      </c>
      <c r="F781" t="s">
        <v>16424</v>
      </c>
      <c r="H781">
        <v>93522254</v>
      </c>
      <c r="I781" t="s">
        <v>14292</v>
      </c>
      <c r="L781" t="s">
        <v>16425</v>
      </c>
      <c r="M781">
        <v>551</v>
      </c>
      <c r="N781" t="s">
        <v>16426</v>
      </c>
    </row>
    <row r="782" spans="1:14">
      <c r="A782" t="s">
        <v>9256</v>
      </c>
      <c r="B782">
        <v>880804</v>
      </c>
      <c r="C782">
        <v>881877</v>
      </c>
      <c r="E782" t="s">
        <v>14290</v>
      </c>
      <c r="F782" t="s">
        <v>16427</v>
      </c>
      <c r="G782" t="s">
        <v>16428</v>
      </c>
      <c r="H782">
        <v>93522255</v>
      </c>
      <c r="I782" t="s">
        <v>14292</v>
      </c>
      <c r="L782" t="s">
        <v>16429</v>
      </c>
      <c r="M782">
        <v>357</v>
      </c>
      <c r="N782" t="s">
        <v>16430</v>
      </c>
    </row>
    <row r="783" spans="1:14">
      <c r="A783" t="s">
        <v>9256</v>
      </c>
      <c r="B783">
        <v>881883</v>
      </c>
      <c r="C783">
        <v>883130</v>
      </c>
      <c r="E783" t="s">
        <v>14290</v>
      </c>
      <c r="F783" t="s">
        <v>16431</v>
      </c>
      <c r="H783">
        <v>93522256</v>
      </c>
      <c r="I783" t="s">
        <v>14292</v>
      </c>
      <c r="L783" t="s">
        <v>16432</v>
      </c>
      <c r="M783">
        <v>415</v>
      </c>
      <c r="N783" t="s">
        <v>16433</v>
      </c>
    </row>
    <row r="784" spans="1:14">
      <c r="A784" t="s">
        <v>9256</v>
      </c>
      <c r="B784">
        <v>883181</v>
      </c>
      <c r="C784">
        <v>884656</v>
      </c>
      <c r="E784" t="s">
        <v>14290</v>
      </c>
      <c r="F784" t="s">
        <v>14493</v>
      </c>
      <c r="H784">
        <v>93522257</v>
      </c>
      <c r="I784" t="s">
        <v>14292</v>
      </c>
      <c r="L784" t="s">
        <v>16434</v>
      </c>
      <c r="M784">
        <v>491</v>
      </c>
      <c r="N784" t="s">
        <v>16435</v>
      </c>
    </row>
    <row r="785" spans="1:14">
      <c r="A785" t="s">
        <v>9256</v>
      </c>
      <c r="B785">
        <v>884736</v>
      </c>
      <c r="C785">
        <v>885698</v>
      </c>
      <c r="E785" t="s">
        <v>14290</v>
      </c>
      <c r="F785" t="s">
        <v>16436</v>
      </c>
      <c r="H785">
        <v>93522258</v>
      </c>
      <c r="I785" t="s">
        <v>14292</v>
      </c>
      <c r="L785" t="s">
        <v>16437</v>
      </c>
      <c r="M785">
        <v>320</v>
      </c>
      <c r="N785" t="s">
        <v>16438</v>
      </c>
    </row>
    <row r="786" spans="1:14">
      <c r="A786" t="s">
        <v>9256</v>
      </c>
      <c r="B786">
        <v>885898</v>
      </c>
      <c r="C786">
        <v>886212</v>
      </c>
      <c r="E786" t="s">
        <v>14314</v>
      </c>
      <c r="F786" t="s">
        <v>16439</v>
      </c>
      <c r="H786">
        <v>93522259</v>
      </c>
      <c r="I786" t="s">
        <v>14292</v>
      </c>
      <c r="L786" t="s">
        <v>16440</v>
      </c>
      <c r="M786">
        <v>104</v>
      </c>
      <c r="N786" t="s">
        <v>16441</v>
      </c>
    </row>
    <row r="787" spans="1:14">
      <c r="A787" t="s">
        <v>9256</v>
      </c>
      <c r="B787">
        <v>886575</v>
      </c>
      <c r="C787">
        <v>887459</v>
      </c>
      <c r="E787" t="s">
        <v>14314</v>
      </c>
      <c r="F787" t="s">
        <v>15711</v>
      </c>
      <c r="H787">
        <v>93522260</v>
      </c>
      <c r="I787" t="s">
        <v>14292</v>
      </c>
      <c r="L787" t="s">
        <v>16442</v>
      </c>
      <c r="M787">
        <v>294</v>
      </c>
      <c r="N787" t="s">
        <v>16443</v>
      </c>
    </row>
    <row r="788" spans="1:14">
      <c r="A788" t="s">
        <v>9256</v>
      </c>
      <c r="B788">
        <v>887475</v>
      </c>
      <c r="C788">
        <v>888338</v>
      </c>
      <c r="E788" t="s">
        <v>14314</v>
      </c>
      <c r="F788" t="s">
        <v>15336</v>
      </c>
      <c r="H788">
        <v>93522261</v>
      </c>
      <c r="I788" t="s">
        <v>14292</v>
      </c>
      <c r="L788" t="s">
        <v>16444</v>
      </c>
      <c r="M788">
        <v>287</v>
      </c>
      <c r="N788" t="s">
        <v>16445</v>
      </c>
    </row>
    <row r="789" spans="1:14">
      <c r="A789" t="s">
        <v>9256</v>
      </c>
      <c r="B789">
        <v>888499</v>
      </c>
      <c r="C789">
        <v>892794</v>
      </c>
      <c r="E789" t="s">
        <v>14314</v>
      </c>
      <c r="F789" t="s">
        <v>16446</v>
      </c>
      <c r="G789" t="s">
        <v>16447</v>
      </c>
      <c r="H789">
        <v>93522262</v>
      </c>
      <c r="I789" t="s">
        <v>14292</v>
      </c>
      <c r="L789" t="s">
        <v>16448</v>
      </c>
      <c r="M789">
        <v>1431</v>
      </c>
      <c r="N789" t="s">
        <v>16449</v>
      </c>
    </row>
    <row r="790" spans="1:14">
      <c r="A790" t="s">
        <v>9256</v>
      </c>
      <c r="B790">
        <v>892871</v>
      </c>
      <c r="C790">
        <v>896683</v>
      </c>
      <c r="E790" t="s">
        <v>14314</v>
      </c>
      <c r="F790" t="s">
        <v>16450</v>
      </c>
      <c r="G790" t="s">
        <v>16451</v>
      </c>
      <c r="H790">
        <v>93522263</v>
      </c>
      <c r="I790" t="s">
        <v>14292</v>
      </c>
      <c r="L790" t="s">
        <v>16452</v>
      </c>
      <c r="M790">
        <v>1270</v>
      </c>
      <c r="N790" t="s">
        <v>16453</v>
      </c>
    </row>
    <row r="791" spans="1:14">
      <c r="A791" t="s">
        <v>9256</v>
      </c>
      <c r="B791">
        <v>896791</v>
      </c>
      <c r="C791">
        <v>897168</v>
      </c>
      <c r="E791" t="s">
        <v>14314</v>
      </c>
      <c r="F791" t="s">
        <v>16454</v>
      </c>
      <c r="G791" t="s">
        <v>16455</v>
      </c>
      <c r="H791">
        <v>93522264</v>
      </c>
      <c r="I791" t="s">
        <v>14292</v>
      </c>
      <c r="L791" t="s">
        <v>16456</v>
      </c>
      <c r="M791">
        <v>125</v>
      </c>
      <c r="N791" t="s">
        <v>16457</v>
      </c>
    </row>
    <row r="792" spans="1:14">
      <c r="A792" t="s">
        <v>9256</v>
      </c>
      <c r="B792">
        <v>897219</v>
      </c>
      <c r="C792">
        <v>897749</v>
      </c>
      <c r="E792" t="s">
        <v>14314</v>
      </c>
      <c r="F792" t="s">
        <v>16458</v>
      </c>
      <c r="G792" t="s">
        <v>16459</v>
      </c>
      <c r="H792">
        <v>93522265</v>
      </c>
      <c r="I792" t="s">
        <v>14292</v>
      </c>
      <c r="L792" t="s">
        <v>16460</v>
      </c>
      <c r="M792">
        <v>176</v>
      </c>
      <c r="N792" t="s">
        <v>16461</v>
      </c>
    </row>
    <row r="793" spans="1:14">
      <c r="A793" t="s">
        <v>9256</v>
      </c>
      <c r="B793">
        <v>897764</v>
      </c>
      <c r="C793">
        <v>898462</v>
      </c>
      <c r="E793" t="s">
        <v>14314</v>
      </c>
      <c r="F793" t="s">
        <v>16462</v>
      </c>
      <c r="G793" t="s">
        <v>16463</v>
      </c>
      <c r="H793">
        <v>93522266</v>
      </c>
      <c r="I793" t="s">
        <v>14292</v>
      </c>
      <c r="L793" t="s">
        <v>16464</v>
      </c>
      <c r="M793">
        <v>232</v>
      </c>
      <c r="N793" t="s">
        <v>16465</v>
      </c>
    </row>
    <row r="794" spans="1:14">
      <c r="A794" t="s">
        <v>9256</v>
      </c>
      <c r="B794">
        <v>898478</v>
      </c>
      <c r="C794">
        <v>898921</v>
      </c>
      <c r="E794" t="s">
        <v>14314</v>
      </c>
      <c r="F794" t="s">
        <v>16466</v>
      </c>
      <c r="G794" t="s">
        <v>16467</v>
      </c>
      <c r="H794">
        <v>93522267</v>
      </c>
      <c r="I794" t="s">
        <v>14292</v>
      </c>
      <c r="L794" t="s">
        <v>16468</v>
      </c>
      <c r="M794">
        <v>147</v>
      </c>
      <c r="N794" t="s">
        <v>16469</v>
      </c>
    </row>
    <row r="795" spans="1:14">
      <c r="A795" t="s">
        <v>9256</v>
      </c>
      <c r="B795">
        <v>898989</v>
      </c>
      <c r="C795">
        <v>899531</v>
      </c>
      <c r="E795" t="s">
        <v>14314</v>
      </c>
      <c r="F795" t="s">
        <v>15122</v>
      </c>
      <c r="G795" t="s">
        <v>15123</v>
      </c>
      <c r="H795">
        <v>93522268</v>
      </c>
      <c r="I795" t="s">
        <v>14292</v>
      </c>
      <c r="L795" t="s">
        <v>16470</v>
      </c>
      <c r="M795">
        <v>180</v>
      </c>
      <c r="N795" t="s">
        <v>16471</v>
      </c>
    </row>
    <row r="796" spans="1:14">
      <c r="A796" t="s">
        <v>9256</v>
      </c>
      <c r="B796">
        <v>899543</v>
      </c>
      <c r="C796">
        <v>899737</v>
      </c>
      <c r="E796" t="s">
        <v>14314</v>
      </c>
      <c r="F796" t="s">
        <v>16472</v>
      </c>
      <c r="G796" t="s">
        <v>16473</v>
      </c>
      <c r="H796">
        <v>93522269</v>
      </c>
      <c r="I796" t="s">
        <v>14292</v>
      </c>
      <c r="L796" t="s">
        <v>16474</v>
      </c>
      <c r="M796">
        <v>64</v>
      </c>
      <c r="N796" t="s">
        <v>16475</v>
      </c>
    </row>
    <row r="797" spans="1:14">
      <c r="A797" t="s">
        <v>9256</v>
      </c>
      <c r="B797">
        <v>899756</v>
      </c>
      <c r="C797">
        <v>899828</v>
      </c>
      <c r="E797" t="s">
        <v>14314</v>
      </c>
      <c r="F797" t="s">
        <v>16476</v>
      </c>
      <c r="H797">
        <v>93522270</v>
      </c>
      <c r="I797" t="s">
        <v>13638</v>
      </c>
      <c r="N797" t="s">
        <v>16477</v>
      </c>
    </row>
    <row r="798" spans="1:14">
      <c r="A798" t="s">
        <v>9256</v>
      </c>
      <c r="B798">
        <v>899881</v>
      </c>
      <c r="C798">
        <v>901068</v>
      </c>
      <c r="E798" t="s">
        <v>14314</v>
      </c>
      <c r="F798" t="s">
        <v>16478</v>
      </c>
      <c r="G798" t="s">
        <v>16479</v>
      </c>
      <c r="H798">
        <v>93522271</v>
      </c>
      <c r="I798" t="s">
        <v>14292</v>
      </c>
      <c r="L798" t="s">
        <v>16480</v>
      </c>
      <c r="M798">
        <v>395</v>
      </c>
      <c r="N798" t="s">
        <v>16481</v>
      </c>
    </row>
    <row r="799" spans="1:14">
      <c r="A799" t="s">
        <v>9256</v>
      </c>
      <c r="B799">
        <v>901118</v>
      </c>
      <c r="C799">
        <v>901189</v>
      </c>
      <c r="E799" t="s">
        <v>14314</v>
      </c>
      <c r="F799" t="s">
        <v>16482</v>
      </c>
      <c r="H799">
        <v>93522272</v>
      </c>
      <c r="I799" t="s">
        <v>13638</v>
      </c>
      <c r="N799" t="s">
        <v>16483</v>
      </c>
    </row>
    <row r="800" spans="1:14">
      <c r="A800" t="s">
        <v>9256</v>
      </c>
      <c r="B800">
        <v>901200</v>
      </c>
      <c r="C800">
        <v>901272</v>
      </c>
      <c r="E800" t="s">
        <v>14314</v>
      </c>
      <c r="F800" t="s">
        <v>16484</v>
      </c>
      <c r="H800">
        <v>93522273</v>
      </c>
      <c r="I800" t="s">
        <v>13638</v>
      </c>
      <c r="N800" t="s">
        <v>16485</v>
      </c>
    </row>
    <row r="801" spans="1:14">
      <c r="A801" t="s">
        <v>9256</v>
      </c>
      <c r="B801">
        <v>901317</v>
      </c>
      <c r="C801">
        <v>901399</v>
      </c>
      <c r="E801" t="s">
        <v>14314</v>
      </c>
      <c r="F801" t="s">
        <v>16486</v>
      </c>
      <c r="H801">
        <v>93522274</v>
      </c>
      <c r="I801" t="s">
        <v>13638</v>
      </c>
      <c r="N801" t="s">
        <v>16487</v>
      </c>
    </row>
    <row r="802" spans="1:14">
      <c r="A802" t="s">
        <v>9256</v>
      </c>
      <c r="B802">
        <v>901419</v>
      </c>
      <c r="C802">
        <v>901492</v>
      </c>
      <c r="E802" t="s">
        <v>14314</v>
      </c>
      <c r="F802" t="s">
        <v>16482</v>
      </c>
      <c r="H802">
        <v>93522275</v>
      </c>
      <c r="I802" t="s">
        <v>13638</v>
      </c>
      <c r="N802" t="s">
        <v>16488</v>
      </c>
    </row>
    <row r="803" spans="1:14">
      <c r="A803" t="s">
        <v>9256</v>
      </c>
      <c r="B803">
        <v>901586</v>
      </c>
      <c r="C803">
        <v>901885</v>
      </c>
      <c r="E803" t="s">
        <v>14314</v>
      </c>
      <c r="F803" t="s">
        <v>16489</v>
      </c>
      <c r="G803" t="s">
        <v>16490</v>
      </c>
      <c r="H803">
        <v>93522276</v>
      </c>
      <c r="I803" t="s">
        <v>14292</v>
      </c>
      <c r="L803" t="s">
        <v>16491</v>
      </c>
      <c r="M803">
        <v>99</v>
      </c>
      <c r="N803" t="s">
        <v>16492</v>
      </c>
    </row>
    <row r="804" spans="1:14">
      <c r="A804" t="s">
        <v>9256</v>
      </c>
      <c r="B804">
        <v>901875</v>
      </c>
      <c r="C804">
        <v>902783</v>
      </c>
      <c r="E804" t="s">
        <v>14314</v>
      </c>
      <c r="F804" t="s">
        <v>15126</v>
      </c>
      <c r="H804">
        <v>93522277</v>
      </c>
      <c r="I804" t="s">
        <v>14292</v>
      </c>
      <c r="L804" t="s">
        <v>16493</v>
      </c>
      <c r="M804">
        <v>302</v>
      </c>
      <c r="N804" t="s">
        <v>16494</v>
      </c>
    </row>
    <row r="805" spans="1:14">
      <c r="A805" t="s">
        <v>9256</v>
      </c>
      <c r="B805">
        <v>902857</v>
      </c>
      <c r="C805">
        <v>903048</v>
      </c>
      <c r="E805" t="s">
        <v>14314</v>
      </c>
      <c r="F805" t="s">
        <v>16495</v>
      </c>
      <c r="G805" t="s">
        <v>16496</v>
      </c>
      <c r="H805">
        <v>93522278</v>
      </c>
      <c r="I805" t="s">
        <v>14292</v>
      </c>
      <c r="L805" t="s">
        <v>16497</v>
      </c>
      <c r="M805">
        <v>63</v>
      </c>
      <c r="N805" t="s">
        <v>16498</v>
      </c>
    </row>
    <row r="806" spans="1:14">
      <c r="A806" t="s">
        <v>9256</v>
      </c>
      <c r="B806">
        <v>903133</v>
      </c>
      <c r="C806">
        <v>904170</v>
      </c>
      <c r="E806" t="s">
        <v>14314</v>
      </c>
      <c r="F806" t="s">
        <v>16499</v>
      </c>
      <c r="G806" t="s">
        <v>16500</v>
      </c>
      <c r="H806">
        <v>93522279</v>
      </c>
      <c r="I806" t="s">
        <v>14292</v>
      </c>
      <c r="L806" t="s">
        <v>16501</v>
      </c>
      <c r="M806">
        <v>345</v>
      </c>
      <c r="N806" t="s">
        <v>16502</v>
      </c>
    </row>
    <row r="807" spans="1:14">
      <c r="A807" t="s">
        <v>9256</v>
      </c>
      <c r="B807">
        <v>904185</v>
      </c>
      <c r="C807">
        <v>905042</v>
      </c>
      <c r="E807" t="s">
        <v>14314</v>
      </c>
      <c r="F807" t="s">
        <v>14291</v>
      </c>
      <c r="H807">
        <v>93522280</v>
      </c>
      <c r="I807" t="s">
        <v>14292</v>
      </c>
      <c r="L807" t="s">
        <v>16503</v>
      </c>
      <c r="M807">
        <v>285</v>
      </c>
      <c r="N807" t="s">
        <v>16504</v>
      </c>
    </row>
    <row r="808" spans="1:14">
      <c r="A808" t="s">
        <v>9256</v>
      </c>
      <c r="B808">
        <v>905444</v>
      </c>
      <c r="C808">
        <v>906079</v>
      </c>
      <c r="E808" t="s">
        <v>14290</v>
      </c>
      <c r="F808" t="s">
        <v>15103</v>
      </c>
      <c r="H808">
        <v>93522281</v>
      </c>
      <c r="I808" t="s">
        <v>14292</v>
      </c>
      <c r="L808" t="s">
        <v>16505</v>
      </c>
      <c r="M808">
        <v>211</v>
      </c>
      <c r="N808" t="s">
        <v>16506</v>
      </c>
    </row>
    <row r="809" spans="1:14">
      <c r="A809" t="s">
        <v>9256</v>
      </c>
      <c r="B809">
        <v>906124</v>
      </c>
      <c r="C809">
        <v>907911</v>
      </c>
      <c r="E809" t="s">
        <v>14290</v>
      </c>
      <c r="F809" t="s">
        <v>16507</v>
      </c>
      <c r="H809">
        <v>93522282</v>
      </c>
      <c r="I809" t="s">
        <v>14292</v>
      </c>
      <c r="L809" t="s">
        <v>16508</v>
      </c>
      <c r="M809">
        <v>595</v>
      </c>
      <c r="N809" t="s">
        <v>16509</v>
      </c>
    </row>
    <row r="810" spans="1:14">
      <c r="A810" t="s">
        <v>9256</v>
      </c>
      <c r="B810">
        <v>907922</v>
      </c>
      <c r="C810">
        <v>908437</v>
      </c>
      <c r="E810" t="s">
        <v>14290</v>
      </c>
      <c r="F810" t="s">
        <v>16510</v>
      </c>
      <c r="H810">
        <v>93522283</v>
      </c>
      <c r="I810" t="s">
        <v>14292</v>
      </c>
      <c r="L810" t="s">
        <v>16511</v>
      </c>
      <c r="M810">
        <v>171</v>
      </c>
      <c r="N810" t="s">
        <v>16512</v>
      </c>
    </row>
    <row r="811" spans="1:14">
      <c r="A811" t="s">
        <v>9256</v>
      </c>
      <c r="B811">
        <v>908595</v>
      </c>
      <c r="C811">
        <v>909788</v>
      </c>
      <c r="E811" t="s">
        <v>14290</v>
      </c>
      <c r="F811" t="s">
        <v>16513</v>
      </c>
      <c r="H811">
        <v>93522284</v>
      </c>
      <c r="I811" t="s">
        <v>14292</v>
      </c>
      <c r="L811" t="s">
        <v>16514</v>
      </c>
      <c r="M811">
        <v>397</v>
      </c>
      <c r="N811" t="s">
        <v>16515</v>
      </c>
    </row>
    <row r="812" spans="1:14">
      <c r="A812" t="s">
        <v>9256</v>
      </c>
      <c r="B812">
        <v>909825</v>
      </c>
      <c r="C812">
        <v>910943</v>
      </c>
      <c r="E812" t="s">
        <v>14290</v>
      </c>
      <c r="F812" t="s">
        <v>16516</v>
      </c>
      <c r="H812">
        <v>93522285</v>
      </c>
      <c r="I812" t="s">
        <v>14292</v>
      </c>
      <c r="L812" t="s">
        <v>16517</v>
      </c>
      <c r="M812">
        <v>372</v>
      </c>
      <c r="N812" t="s">
        <v>16518</v>
      </c>
    </row>
    <row r="813" spans="1:14">
      <c r="A813" t="s">
        <v>9256</v>
      </c>
      <c r="B813">
        <v>910971</v>
      </c>
      <c r="C813">
        <v>912374</v>
      </c>
      <c r="E813" t="s">
        <v>14290</v>
      </c>
      <c r="F813" t="s">
        <v>16519</v>
      </c>
      <c r="H813">
        <v>93522286</v>
      </c>
      <c r="I813" t="s">
        <v>14292</v>
      </c>
      <c r="L813" t="s">
        <v>16520</v>
      </c>
      <c r="M813">
        <v>467</v>
      </c>
      <c r="N813" t="s">
        <v>16521</v>
      </c>
    </row>
    <row r="814" spans="1:14">
      <c r="A814" t="s">
        <v>9256</v>
      </c>
      <c r="B814">
        <v>912509</v>
      </c>
      <c r="C814">
        <v>913744</v>
      </c>
      <c r="E814" t="s">
        <v>14314</v>
      </c>
      <c r="F814" t="s">
        <v>16522</v>
      </c>
      <c r="H814">
        <v>93522287</v>
      </c>
      <c r="I814" t="s">
        <v>14292</v>
      </c>
      <c r="L814" t="s">
        <v>16523</v>
      </c>
      <c r="M814">
        <v>411</v>
      </c>
      <c r="N814" t="s">
        <v>16524</v>
      </c>
    </row>
    <row r="815" spans="1:14">
      <c r="A815" t="s">
        <v>9256</v>
      </c>
      <c r="B815">
        <v>913747</v>
      </c>
      <c r="C815">
        <v>915264</v>
      </c>
      <c r="E815" t="s">
        <v>14314</v>
      </c>
      <c r="F815" t="s">
        <v>16525</v>
      </c>
      <c r="G815" t="s">
        <v>16526</v>
      </c>
      <c r="H815">
        <v>93522288</v>
      </c>
      <c r="I815" t="s">
        <v>14292</v>
      </c>
      <c r="L815" t="s">
        <v>16527</v>
      </c>
      <c r="M815">
        <v>505</v>
      </c>
      <c r="N815" t="s">
        <v>16528</v>
      </c>
    </row>
    <row r="816" spans="1:14">
      <c r="A816" t="s">
        <v>9256</v>
      </c>
      <c r="B816">
        <v>915360</v>
      </c>
      <c r="C816">
        <v>917399</v>
      </c>
      <c r="E816" t="s">
        <v>14290</v>
      </c>
      <c r="F816" t="s">
        <v>16529</v>
      </c>
      <c r="H816">
        <v>93522289</v>
      </c>
      <c r="I816" t="s">
        <v>14292</v>
      </c>
      <c r="L816" t="s">
        <v>16530</v>
      </c>
      <c r="M816">
        <v>679</v>
      </c>
      <c r="N816" t="s">
        <v>16531</v>
      </c>
    </row>
    <row r="817" spans="1:14">
      <c r="A817" t="s">
        <v>9256</v>
      </c>
      <c r="B817">
        <v>917506</v>
      </c>
      <c r="C817">
        <v>918015</v>
      </c>
      <c r="E817" t="s">
        <v>14314</v>
      </c>
      <c r="F817" t="s">
        <v>16532</v>
      </c>
      <c r="H817">
        <v>93522290</v>
      </c>
      <c r="I817" t="s">
        <v>14292</v>
      </c>
      <c r="L817" t="s">
        <v>16533</v>
      </c>
      <c r="M817">
        <v>169</v>
      </c>
      <c r="N817" t="s">
        <v>16534</v>
      </c>
    </row>
    <row r="818" spans="1:14">
      <c r="A818" t="s">
        <v>9256</v>
      </c>
      <c r="B818">
        <v>918050</v>
      </c>
      <c r="C818">
        <v>920512</v>
      </c>
      <c r="E818" t="s">
        <v>14314</v>
      </c>
      <c r="F818" t="s">
        <v>16535</v>
      </c>
      <c r="G818" t="s">
        <v>16536</v>
      </c>
      <c r="H818">
        <v>93522291</v>
      </c>
      <c r="I818" t="s">
        <v>14292</v>
      </c>
      <c r="L818" t="s">
        <v>16537</v>
      </c>
      <c r="M818">
        <v>820</v>
      </c>
      <c r="N818" t="s">
        <v>16538</v>
      </c>
    </row>
    <row r="819" spans="1:14">
      <c r="A819" t="s">
        <v>9256</v>
      </c>
      <c r="B819">
        <v>920600</v>
      </c>
      <c r="C819">
        <v>921208</v>
      </c>
      <c r="E819" t="s">
        <v>14314</v>
      </c>
      <c r="F819" t="s">
        <v>14464</v>
      </c>
      <c r="H819">
        <v>93522292</v>
      </c>
      <c r="I819" t="s">
        <v>14292</v>
      </c>
      <c r="L819" t="s">
        <v>16539</v>
      </c>
      <c r="M819">
        <v>202</v>
      </c>
      <c r="N819" t="s">
        <v>16540</v>
      </c>
    </row>
    <row r="820" spans="1:14">
      <c r="A820" t="s">
        <v>9256</v>
      </c>
      <c r="B820">
        <v>921723</v>
      </c>
      <c r="C820">
        <v>922577</v>
      </c>
      <c r="E820" t="s">
        <v>14314</v>
      </c>
      <c r="F820" t="s">
        <v>16541</v>
      </c>
      <c r="G820" t="s">
        <v>16542</v>
      </c>
      <c r="H820">
        <v>93522293</v>
      </c>
      <c r="I820" t="s">
        <v>14292</v>
      </c>
      <c r="L820" t="s">
        <v>16543</v>
      </c>
      <c r="M820">
        <v>284</v>
      </c>
      <c r="N820" t="s">
        <v>16544</v>
      </c>
    </row>
    <row r="821" spans="1:14">
      <c r="A821" t="s">
        <v>9256</v>
      </c>
      <c r="B821">
        <v>922707</v>
      </c>
      <c r="C821">
        <v>924854</v>
      </c>
      <c r="E821" t="s">
        <v>14314</v>
      </c>
      <c r="F821" t="s">
        <v>16545</v>
      </c>
      <c r="G821" t="s">
        <v>16546</v>
      </c>
      <c r="H821">
        <v>93522294</v>
      </c>
      <c r="I821" t="s">
        <v>14292</v>
      </c>
      <c r="L821" t="s">
        <v>16547</v>
      </c>
      <c r="M821">
        <v>715</v>
      </c>
      <c r="N821" t="s">
        <v>16548</v>
      </c>
    </row>
    <row r="822" spans="1:14">
      <c r="A822" t="s">
        <v>9256</v>
      </c>
      <c r="B822">
        <v>924867</v>
      </c>
      <c r="C822">
        <v>926726</v>
      </c>
      <c r="E822" t="s">
        <v>14314</v>
      </c>
      <c r="F822" t="s">
        <v>16549</v>
      </c>
      <c r="G822" t="s">
        <v>16550</v>
      </c>
      <c r="H822">
        <v>93522295</v>
      </c>
      <c r="I822" t="s">
        <v>14292</v>
      </c>
      <c r="L822" t="s">
        <v>16551</v>
      </c>
      <c r="M822">
        <v>619</v>
      </c>
      <c r="N822" t="s">
        <v>16552</v>
      </c>
    </row>
    <row r="823" spans="1:14">
      <c r="A823" t="s">
        <v>9256</v>
      </c>
      <c r="B823">
        <v>926998</v>
      </c>
      <c r="C823">
        <v>927069</v>
      </c>
      <c r="E823" t="s">
        <v>14290</v>
      </c>
      <c r="F823" t="s">
        <v>16553</v>
      </c>
      <c r="H823">
        <v>93522296</v>
      </c>
      <c r="I823" t="s">
        <v>13638</v>
      </c>
      <c r="N823" t="s">
        <v>16554</v>
      </c>
    </row>
    <row r="824" spans="1:14">
      <c r="A824" t="s">
        <v>9256</v>
      </c>
      <c r="B824">
        <v>927164</v>
      </c>
      <c r="C824">
        <v>928657</v>
      </c>
      <c r="E824" t="s">
        <v>14290</v>
      </c>
      <c r="F824" t="s">
        <v>15066</v>
      </c>
      <c r="H824">
        <v>93522297</v>
      </c>
      <c r="I824" t="s">
        <v>14292</v>
      </c>
      <c r="L824" t="s">
        <v>16555</v>
      </c>
      <c r="M824">
        <v>497</v>
      </c>
      <c r="N824" t="s">
        <v>16556</v>
      </c>
    </row>
    <row r="825" spans="1:14">
      <c r="A825" t="s">
        <v>9256</v>
      </c>
      <c r="B825">
        <v>928784</v>
      </c>
      <c r="C825">
        <v>928999</v>
      </c>
      <c r="E825" t="s">
        <v>14290</v>
      </c>
      <c r="F825" t="s">
        <v>15411</v>
      </c>
      <c r="H825">
        <v>93522298</v>
      </c>
      <c r="I825" t="s">
        <v>14292</v>
      </c>
      <c r="L825" t="s">
        <v>16557</v>
      </c>
      <c r="M825">
        <v>71</v>
      </c>
      <c r="N825" t="s">
        <v>16558</v>
      </c>
    </row>
    <row r="826" spans="1:14">
      <c r="A826" t="s">
        <v>9256</v>
      </c>
      <c r="B826">
        <v>929105</v>
      </c>
      <c r="C826">
        <v>929953</v>
      </c>
      <c r="E826" t="s">
        <v>14290</v>
      </c>
      <c r="F826" t="s">
        <v>14985</v>
      </c>
      <c r="H826">
        <v>93522299</v>
      </c>
      <c r="I826" t="s">
        <v>14292</v>
      </c>
      <c r="L826" t="s">
        <v>16559</v>
      </c>
      <c r="M826">
        <v>282</v>
      </c>
      <c r="N826" t="s">
        <v>16560</v>
      </c>
    </row>
    <row r="827" spans="1:14">
      <c r="A827" t="s">
        <v>9256</v>
      </c>
      <c r="B827">
        <v>930041</v>
      </c>
      <c r="C827">
        <v>931237</v>
      </c>
      <c r="E827" t="s">
        <v>14314</v>
      </c>
      <c r="F827" t="s">
        <v>16561</v>
      </c>
      <c r="H827">
        <v>93522300</v>
      </c>
      <c r="I827" t="s">
        <v>14292</v>
      </c>
      <c r="L827" t="s">
        <v>16562</v>
      </c>
      <c r="M827">
        <v>398</v>
      </c>
      <c r="N827" t="s">
        <v>16563</v>
      </c>
    </row>
    <row r="828" spans="1:14">
      <c r="A828" t="s">
        <v>9256</v>
      </c>
      <c r="B828">
        <v>931404</v>
      </c>
      <c r="C828">
        <v>934667</v>
      </c>
      <c r="E828" t="s">
        <v>14290</v>
      </c>
      <c r="F828" t="s">
        <v>14955</v>
      </c>
      <c r="H828">
        <v>93522301</v>
      </c>
      <c r="I828" t="s">
        <v>14292</v>
      </c>
      <c r="L828" t="s">
        <v>16564</v>
      </c>
      <c r="M828">
        <v>1087</v>
      </c>
      <c r="N828" t="s">
        <v>16565</v>
      </c>
    </row>
    <row r="829" spans="1:14">
      <c r="A829" t="s">
        <v>9256</v>
      </c>
      <c r="B829">
        <v>934869</v>
      </c>
      <c r="C829">
        <v>936065</v>
      </c>
      <c r="E829" t="s">
        <v>14314</v>
      </c>
      <c r="F829" t="s">
        <v>16566</v>
      </c>
      <c r="H829">
        <v>93522302</v>
      </c>
      <c r="I829" t="s">
        <v>14292</v>
      </c>
      <c r="L829" t="s">
        <v>16567</v>
      </c>
      <c r="M829">
        <v>398</v>
      </c>
      <c r="N829" t="s">
        <v>16568</v>
      </c>
    </row>
    <row r="830" spans="1:14">
      <c r="A830" t="s">
        <v>9256</v>
      </c>
      <c r="B830">
        <v>936653</v>
      </c>
      <c r="C830">
        <v>936925</v>
      </c>
      <c r="E830" t="s">
        <v>14290</v>
      </c>
      <c r="F830" t="s">
        <v>14414</v>
      </c>
      <c r="H830">
        <v>93522303</v>
      </c>
      <c r="I830" t="s">
        <v>14415</v>
      </c>
      <c r="N830" t="s">
        <v>16569</v>
      </c>
    </row>
    <row r="831" spans="1:14">
      <c r="A831" t="s">
        <v>9256</v>
      </c>
      <c r="B831">
        <v>936986</v>
      </c>
      <c r="C831">
        <v>938989</v>
      </c>
      <c r="E831" t="s">
        <v>14314</v>
      </c>
      <c r="F831" t="s">
        <v>14805</v>
      </c>
      <c r="H831">
        <v>93522304</v>
      </c>
      <c r="I831" t="s">
        <v>14292</v>
      </c>
      <c r="L831" t="s">
        <v>16570</v>
      </c>
      <c r="M831">
        <v>667</v>
      </c>
      <c r="N831" t="s">
        <v>16571</v>
      </c>
    </row>
    <row r="832" spans="1:14">
      <c r="A832" t="s">
        <v>9256</v>
      </c>
      <c r="B832">
        <v>939125</v>
      </c>
      <c r="C832">
        <v>940075</v>
      </c>
      <c r="E832" t="s">
        <v>14290</v>
      </c>
      <c r="F832" t="s">
        <v>16572</v>
      </c>
      <c r="H832">
        <v>93522305</v>
      </c>
      <c r="I832" t="s">
        <v>14292</v>
      </c>
      <c r="L832" t="s">
        <v>16573</v>
      </c>
      <c r="M832">
        <v>316</v>
      </c>
      <c r="N832" t="s">
        <v>16574</v>
      </c>
    </row>
    <row r="833" spans="1:14">
      <c r="A833" t="s">
        <v>9256</v>
      </c>
      <c r="B833">
        <v>940104</v>
      </c>
      <c r="C833">
        <v>940304</v>
      </c>
      <c r="E833" t="s">
        <v>14290</v>
      </c>
      <c r="F833" t="s">
        <v>16575</v>
      </c>
      <c r="H833">
        <v>93522306</v>
      </c>
      <c r="I833" t="s">
        <v>14292</v>
      </c>
      <c r="L833" t="s">
        <v>16576</v>
      </c>
      <c r="M833">
        <v>66</v>
      </c>
      <c r="N833" t="s">
        <v>16577</v>
      </c>
    </row>
    <row r="834" spans="1:14">
      <c r="A834" t="s">
        <v>9256</v>
      </c>
      <c r="B834">
        <v>940338</v>
      </c>
      <c r="C834">
        <v>941381</v>
      </c>
      <c r="E834" t="s">
        <v>14314</v>
      </c>
      <c r="F834" t="s">
        <v>16578</v>
      </c>
      <c r="H834">
        <v>93522307</v>
      </c>
      <c r="I834" t="s">
        <v>14292</v>
      </c>
      <c r="L834" t="s">
        <v>16579</v>
      </c>
      <c r="M834">
        <v>347</v>
      </c>
      <c r="N834" t="s">
        <v>16580</v>
      </c>
    </row>
    <row r="835" spans="1:14">
      <c r="A835" t="s">
        <v>9256</v>
      </c>
      <c r="B835">
        <v>941472</v>
      </c>
      <c r="C835">
        <v>943004</v>
      </c>
      <c r="E835" t="s">
        <v>14314</v>
      </c>
      <c r="F835" t="s">
        <v>14962</v>
      </c>
      <c r="H835">
        <v>93522308</v>
      </c>
      <c r="I835" t="s">
        <v>14292</v>
      </c>
      <c r="L835" t="s">
        <v>16581</v>
      </c>
      <c r="M835">
        <v>510</v>
      </c>
      <c r="N835" t="s">
        <v>16582</v>
      </c>
    </row>
    <row r="836" spans="1:14">
      <c r="A836" t="s">
        <v>9256</v>
      </c>
      <c r="B836">
        <v>943016</v>
      </c>
      <c r="C836">
        <v>946393</v>
      </c>
      <c r="E836" t="s">
        <v>14314</v>
      </c>
      <c r="F836" t="s">
        <v>14965</v>
      </c>
      <c r="H836">
        <v>93522309</v>
      </c>
      <c r="I836" t="s">
        <v>14292</v>
      </c>
      <c r="L836" t="s">
        <v>16583</v>
      </c>
      <c r="M836">
        <v>1125</v>
      </c>
      <c r="N836" t="s">
        <v>16584</v>
      </c>
    </row>
    <row r="837" spans="1:14">
      <c r="A837" t="s">
        <v>9256</v>
      </c>
      <c r="B837">
        <v>946528</v>
      </c>
      <c r="C837">
        <v>947607</v>
      </c>
      <c r="E837" t="s">
        <v>14314</v>
      </c>
      <c r="F837" t="s">
        <v>14972</v>
      </c>
      <c r="H837">
        <v>93522310</v>
      </c>
      <c r="I837" t="s">
        <v>14292</v>
      </c>
      <c r="L837" t="s">
        <v>16585</v>
      </c>
      <c r="M837">
        <v>359</v>
      </c>
      <c r="N837" t="s">
        <v>16586</v>
      </c>
    </row>
    <row r="838" spans="1:14">
      <c r="A838" t="s">
        <v>9256</v>
      </c>
      <c r="B838">
        <v>947829</v>
      </c>
      <c r="C838">
        <v>948410</v>
      </c>
      <c r="E838" t="s">
        <v>14314</v>
      </c>
      <c r="F838" t="s">
        <v>15442</v>
      </c>
      <c r="H838">
        <v>93522311</v>
      </c>
      <c r="I838" t="s">
        <v>14292</v>
      </c>
      <c r="L838" t="s">
        <v>16587</v>
      </c>
      <c r="M838">
        <v>193</v>
      </c>
      <c r="N838" t="s">
        <v>16588</v>
      </c>
    </row>
    <row r="839" spans="1:14">
      <c r="A839" t="s">
        <v>9256</v>
      </c>
      <c r="B839">
        <v>948518</v>
      </c>
      <c r="C839">
        <v>949876</v>
      </c>
      <c r="E839" t="s">
        <v>14314</v>
      </c>
      <c r="F839" t="s">
        <v>16589</v>
      </c>
      <c r="H839">
        <v>93522312</v>
      </c>
      <c r="I839" t="s">
        <v>14292</v>
      </c>
      <c r="L839" t="s">
        <v>16590</v>
      </c>
      <c r="M839">
        <v>452</v>
      </c>
      <c r="N839" t="s">
        <v>16591</v>
      </c>
    </row>
    <row r="840" spans="1:14">
      <c r="A840" t="s">
        <v>9256</v>
      </c>
      <c r="B840">
        <v>949903</v>
      </c>
      <c r="C840">
        <v>951282</v>
      </c>
      <c r="E840" t="s">
        <v>14314</v>
      </c>
      <c r="F840" t="s">
        <v>16589</v>
      </c>
      <c r="H840">
        <v>93522313</v>
      </c>
      <c r="I840" t="s">
        <v>14292</v>
      </c>
      <c r="L840" t="s">
        <v>16592</v>
      </c>
      <c r="M840">
        <v>459</v>
      </c>
      <c r="N840" t="s">
        <v>16593</v>
      </c>
    </row>
    <row r="841" spans="1:14">
      <c r="A841" t="s">
        <v>9256</v>
      </c>
      <c r="B841">
        <v>951295</v>
      </c>
      <c r="C841">
        <v>952701</v>
      </c>
      <c r="E841" t="s">
        <v>14314</v>
      </c>
      <c r="F841" t="s">
        <v>16589</v>
      </c>
      <c r="H841">
        <v>93522314</v>
      </c>
      <c r="I841" t="s">
        <v>14292</v>
      </c>
      <c r="L841" t="s">
        <v>16594</v>
      </c>
      <c r="M841">
        <v>468</v>
      </c>
      <c r="N841" t="s">
        <v>16595</v>
      </c>
    </row>
    <row r="842" spans="1:14">
      <c r="A842" t="s">
        <v>9256</v>
      </c>
      <c r="B842">
        <v>952725</v>
      </c>
      <c r="C842">
        <v>954284</v>
      </c>
      <c r="E842" t="s">
        <v>14314</v>
      </c>
      <c r="F842" t="s">
        <v>15179</v>
      </c>
      <c r="H842">
        <v>93522315</v>
      </c>
      <c r="I842" t="s">
        <v>14292</v>
      </c>
      <c r="L842" t="s">
        <v>16596</v>
      </c>
      <c r="M842">
        <v>519</v>
      </c>
      <c r="N842" t="s">
        <v>16597</v>
      </c>
    </row>
    <row r="843" spans="1:14">
      <c r="A843" t="s">
        <v>9256</v>
      </c>
      <c r="B843">
        <v>954289</v>
      </c>
      <c r="C843">
        <v>957666</v>
      </c>
      <c r="E843" t="s">
        <v>14314</v>
      </c>
      <c r="F843" t="s">
        <v>15450</v>
      </c>
      <c r="H843">
        <v>93522316</v>
      </c>
      <c r="I843" t="s">
        <v>14292</v>
      </c>
      <c r="L843" t="s">
        <v>16598</v>
      </c>
      <c r="M843">
        <v>1125</v>
      </c>
      <c r="N843" t="s">
        <v>16599</v>
      </c>
    </row>
    <row r="844" spans="1:14">
      <c r="A844" t="s">
        <v>9256</v>
      </c>
      <c r="B844">
        <v>957880</v>
      </c>
      <c r="C844">
        <v>958869</v>
      </c>
      <c r="E844" t="s">
        <v>14314</v>
      </c>
      <c r="F844" t="s">
        <v>14972</v>
      </c>
      <c r="H844">
        <v>93522317</v>
      </c>
      <c r="I844" t="s">
        <v>14292</v>
      </c>
      <c r="L844" t="s">
        <v>16600</v>
      </c>
      <c r="M844">
        <v>329</v>
      </c>
      <c r="N844" t="s">
        <v>16601</v>
      </c>
    </row>
    <row r="845" spans="1:14">
      <c r="A845" t="s">
        <v>9256</v>
      </c>
      <c r="B845">
        <v>958905</v>
      </c>
      <c r="C845">
        <v>959498</v>
      </c>
      <c r="E845" t="s">
        <v>14314</v>
      </c>
      <c r="F845" t="s">
        <v>15442</v>
      </c>
      <c r="H845">
        <v>93522318</v>
      </c>
      <c r="I845" t="s">
        <v>14292</v>
      </c>
      <c r="L845" t="s">
        <v>16602</v>
      </c>
      <c r="M845">
        <v>197</v>
      </c>
      <c r="N845" t="s">
        <v>16603</v>
      </c>
    </row>
    <row r="846" spans="1:14">
      <c r="A846" t="s">
        <v>9256</v>
      </c>
      <c r="B846">
        <v>959508</v>
      </c>
      <c r="C846">
        <v>960152</v>
      </c>
      <c r="E846" t="s">
        <v>14314</v>
      </c>
      <c r="F846" t="s">
        <v>16604</v>
      </c>
      <c r="H846">
        <v>93522319</v>
      </c>
      <c r="I846" t="s">
        <v>14292</v>
      </c>
      <c r="L846" t="s">
        <v>16605</v>
      </c>
      <c r="M846">
        <v>214</v>
      </c>
      <c r="N846" t="s">
        <v>16606</v>
      </c>
    </row>
    <row r="847" spans="1:14">
      <c r="A847" t="s">
        <v>9256</v>
      </c>
      <c r="B847">
        <v>960381</v>
      </c>
      <c r="C847">
        <v>961520</v>
      </c>
      <c r="E847" t="s">
        <v>14290</v>
      </c>
      <c r="F847" t="s">
        <v>15166</v>
      </c>
      <c r="H847">
        <v>93522320</v>
      </c>
      <c r="I847" t="s">
        <v>14292</v>
      </c>
      <c r="L847" t="s">
        <v>16607</v>
      </c>
      <c r="M847">
        <v>379</v>
      </c>
      <c r="N847" t="s">
        <v>16608</v>
      </c>
    </row>
    <row r="848" spans="1:14">
      <c r="A848" t="s">
        <v>9256</v>
      </c>
      <c r="B848">
        <v>961821</v>
      </c>
      <c r="C848">
        <v>962582</v>
      </c>
      <c r="E848" t="s">
        <v>14314</v>
      </c>
      <c r="F848" t="s">
        <v>14498</v>
      </c>
      <c r="H848">
        <v>93522321</v>
      </c>
      <c r="I848" t="s">
        <v>14292</v>
      </c>
      <c r="L848" t="s">
        <v>16609</v>
      </c>
      <c r="M848">
        <v>253</v>
      </c>
      <c r="N848" t="s">
        <v>16610</v>
      </c>
    </row>
    <row r="849" spans="1:14">
      <c r="A849" t="s">
        <v>9256</v>
      </c>
      <c r="B849">
        <v>962805</v>
      </c>
      <c r="C849">
        <v>963806</v>
      </c>
      <c r="E849" t="s">
        <v>14290</v>
      </c>
      <c r="F849" t="s">
        <v>15800</v>
      </c>
      <c r="H849">
        <v>93522322</v>
      </c>
      <c r="I849" t="s">
        <v>14292</v>
      </c>
      <c r="L849" t="s">
        <v>16611</v>
      </c>
      <c r="M849">
        <v>333</v>
      </c>
      <c r="N849" t="s">
        <v>16612</v>
      </c>
    </row>
    <row r="850" spans="1:14">
      <c r="A850" t="s">
        <v>9256</v>
      </c>
      <c r="B850">
        <v>963866</v>
      </c>
      <c r="C850">
        <v>965353</v>
      </c>
      <c r="E850" t="s">
        <v>14290</v>
      </c>
      <c r="F850" t="s">
        <v>16613</v>
      </c>
      <c r="H850">
        <v>93522323</v>
      </c>
      <c r="I850" t="s">
        <v>14292</v>
      </c>
      <c r="L850" t="s">
        <v>16614</v>
      </c>
      <c r="M850">
        <v>495</v>
      </c>
      <c r="N850" t="s">
        <v>16615</v>
      </c>
    </row>
    <row r="851" spans="1:14">
      <c r="A851" t="s">
        <v>9256</v>
      </c>
      <c r="B851">
        <v>965363</v>
      </c>
      <c r="C851">
        <v>966100</v>
      </c>
      <c r="E851" t="s">
        <v>14314</v>
      </c>
      <c r="F851" t="s">
        <v>16616</v>
      </c>
      <c r="H851">
        <v>93522324</v>
      </c>
      <c r="I851" t="s">
        <v>14292</v>
      </c>
      <c r="L851" t="s">
        <v>16617</v>
      </c>
      <c r="M851">
        <v>245</v>
      </c>
      <c r="N851" t="s">
        <v>16618</v>
      </c>
    </row>
    <row r="852" spans="1:14">
      <c r="A852" t="s">
        <v>9256</v>
      </c>
      <c r="B852">
        <v>966238</v>
      </c>
      <c r="C852">
        <v>966408</v>
      </c>
      <c r="E852" t="s">
        <v>14290</v>
      </c>
      <c r="F852" t="s">
        <v>14291</v>
      </c>
      <c r="H852">
        <v>93522325</v>
      </c>
      <c r="I852" t="s">
        <v>14292</v>
      </c>
      <c r="L852" t="s">
        <v>16619</v>
      </c>
      <c r="M852">
        <v>56</v>
      </c>
      <c r="N852" t="s">
        <v>16620</v>
      </c>
    </row>
    <row r="853" spans="1:14">
      <c r="A853" t="s">
        <v>9256</v>
      </c>
      <c r="B853">
        <v>966472</v>
      </c>
      <c r="C853">
        <v>967500</v>
      </c>
      <c r="E853" t="s">
        <v>14314</v>
      </c>
      <c r="F853" t="s">
        <v>15774</v>
      </c>
      <c r="H853">
        <v>93522326</v>
      </c>
      <c r="I853" t="s">
        <v>14292</v>
      </c>
      <c r="L853" t="s">
        <v>16621</v>
      </c>
      <c r="M853">
        <v>342</v>
      </c>
      <c r="N853" t="s">
        <v>16622</v>
      </c>
    </row>
    <row r="854" spans="1:14">
      <c r="A854" t="s">
        <v>9256</v>
      </c>
      <c r="B854">
        <v>967548</v>
      </c>
      <c r="C854">
        <v>970547</v>
      </c>
      <c r="E854" t="s">
        <v>14314</v>
      </c>
      <c r="F854" t="s">
        <v>16623</v>
      </c>
      <c r="H854">
        <v>93522327</v>
      </c>
      <c r="I854" t="s">
        <v>14292</v>
      </c>
      <c r="L854" t="s">
        <v>16624</v>
      </c>
      <c r="M854">
        <v>999</v>
      </c>
      <c r="N854" t="s">
        <v>16625</v>
      </c>
    </row>
    <row r="855" spans="1:14">
      <c r="A855" t="s">
        <v>9256</v>
      </c>
      <c r="B855">
        <v>970662</v>
      </c>
      <c r="C855">
        <v>973298</v>
      </c>
      <c r="E855" t="s">
        <v>14290</v>
      </c>
      <c r="F855" t="s">
        <v>16626</v>
      </c>
      <c r="H855">
        <v>93522328</v>
      </c>
      <c r="I855" t="s">
        <v>14292</v>
      </c>
      <c r="L855" t="s">
        <v>16627</v>
      </c>
      <c r="M855">
        <v>878</v>
      </c>
      <c r="N855" t="s">
        <v>16628</v>
      </c>
    </row>
    <row r="856" spans="1:14">
      <c r="A856" t="s">
        <v>9256</v>
      </c>
      <c r="B856">
        <v>973304</v>
      </c>
      <c r="C856">
        <v>974320</v>
      </c>
      <c r="E856" t="s">
        <v>14290</v>
      </c>
      <c r="F856" t="s">
        <v>16629</v>
      </c>
      <c r="H856">
        <v>93522329</v>
      </c>
      <c r="I856" t="s">
        <v>14292</v>
      </c>
      <c r="L856" t="s">
        <v>16630</v>
      </c>
      <c r="M856">
        <v>338</v>
      </c>
      <c r="N856" t="s">
        <v>16631</v>
      </c>
    </row>
    <row r="857" spans="1:14">
      <c r="A857" t="s">
        <v>9256</v>
      </c>
      <c r="B857">
        <v>974458</v>
      </c>
      <c r="C857">
        <v>974805</v>
      </c>
      <c r="E857" t="s">
        <v>14290</v>
      </c>
      <c r="F857" t="s">
        <v>16632</v>
      </c>
      <c r="G857" t="s">
        <v>16633</v>
      </c>
      <c r="H857">
        <v>93522330</v>
      </c>
      <c r="I857" t="s">
        <v>14292</v>
      </c>
      <c r="L857" t="s">
        <v>16634</v>
      </c>
      <c r="M857">
        <v>115</v>
      </c>
      <c r="N857" t="s">
        <v>16635</v>
      </c>
    </row>
    <row r="858" spans="1:14">
      <c r="A858" t="s">
        <v>9256</v>
      </c>
      <c r="B858">
        <v>974991</v>
      </c>
      <c r="C858">
        <v>976595</v>
      </c>
      <c r="E858" t="s">
        <v>14314</v>
      </c>
      <c r="F858" t="s">
        <v>15894</v>
      </c>
      <c r="H858">
        <v>93522331</v>
      </c>
      <c r="I858" t="s">
        <v>14292</v>
      </c>
      <c r="L858" t="s">
        <v>16636</v>
      </c>
      <c r="M858">
        <v>534</v>
      </c>
      <c r="N858" t="s">
        <v>16637</v>
      </c>
    </row>
    <row r="859" spans="1:14">
      <c r="A859" t="s">
        <v>9256</v>
      </c>
      <c r="B859">
        <v>976601</v>
      </c>
      <c r="C859">
        <v>980833</v>
      </c>
      <c r="E859" t="s">
        <v>14314</v>
      </c>
      <c r="F859" t="s">
        <v>16638</v>
      </c>
      <c r="H859">
        <v>93522332</v>
      </c>
      <c r="I859" t="s">
        <v>14292</v>
      </c>
      <c r="L859" t="s">
        <v>16639</v>
      </c>
      <c r="M859">
        <v>1410</v>
      </c>
      <c r="N859" t="s">
        <v>16640</v>
      </c>
    </row>
    <row r="860" spans="1:14">
      <c r="A860" t="s">
        <v>9256</v>
      </c>
      <c r="B860">
        <v>981587</v>
      </c>
      <c r="C860">
        <v>982318</v>
      </c>
      <c r="E860" t="s">
        <v>14314</v>
      </c>
      <c r="F860" t="s">
        <v>16641</v>
      </c>
      <c r="H860">
        <v>93522333</v>
      </c>
      <c r="I860" t="s">
        <v>14292</v>
      </c>
      <c r="L860" t="s">
        <v>16642</v>
      </c>
      <c r="M860">
        <v>243</v>
      </c>
      <c r="N860" t="s">
        <v>16643</v>
      </c>
    </row>
    <row r="861" spans="1:14">
      <c r="A861" t="s">
        <v>9256</v>
      </c>
      <c r="B861">
        <v>982312</v>
      </c>
      <c r="C861">
        <v>982590</v>
      </c>
      <c r="E861" t="s">
        <v>14314</v>
      </c>
      <c r="F861" t="s">
        <v>16644</v>
      </c>
      <c r="H861">
        <v>93522334</v>
      </c>
      <c r="I861" t="s">
        <v>14292</v>
      </c>
      <c r="L861" t="s">
        <v>16645</v>
      </c>
      <c r="M861">
        <v>92</v>
      </c>
      <c r="N861" t="s">
        <v>16646</v>
      </c>
    </row>
    <row r="862" spans="1:14">
      <c r="A862" t="s">
        <v>9256</v>
      </c>
      <c r="B862">
        <v>982736</v>
      </c>
      <c r="C862">
        <v>984805</v>
      </c>
      <c r="E862" t="s">
        <v>14314</v>
      </c>
      <c r="F862" t="s">
        <v>14919</v>
      </c>
      <c r="H862">
        <v>93522335</v>
      </c>
      <c r="I862" t="s">
        <v>14292</v>
      </c>
      <c r="L862" t="s">
        <v>16647</v>
      </c>
      <c r="M862">
        <v>689</v>
      </c>
      <c r="N862" t="s">
        <v>16648</v>
      </c>
    </row>
    <row r="863" spans="1:14">
      <c r="A863" t="s">
        <v>9256</v>
      </c>
      <c r="B863">
        <v>985062</v>
      </c>
      <c r="C863">
        <v>986618</v>
      </c>
      <c r="E863" t="s">
        <v>14314</v>
      </c>
      <c r="F863" t="s">
        <v>16649</v>
      </c>
      <c r="H863">
        <v>93522336</v>
      </c>
      <c r="I863" t="s">
        <v>14292</v>
      </c>
      <c r="L863" t="s">
        <v>16650</v>
      </c>
      <c r="M863">
        <v>518</v>
      </c>
      <c r="N863" t="s">
        <v>16651</v>
      </c>
    </row>
    <row r="864" spans="1:14">
      <c r="A864" t="s">
        <v>9256</v>
      </c>
      <c r="B864">
        <v>986736</v>
      </c>
      <c r="C864">
        <v>987917</v>
      </c>
      <c r="E864" t="s">
        <v>14290</v>
      </c>
      <c r="F864" t="s">
        <v>14493</v>
      </c>
      <c r="H864">
        <v>93522337</v>
      </c>
      <c r="I864" t="s">
        <v>14292</v>
      </c>
      <c r="L864" t="s">
        <v>16652</v>
      </c>
      <c r="M864">
        <v>393</v>
      </c>
      <c r="N864" t="s">
        <v>16653</v>
      </c>
    </row>
    <row r="865" spans="1:14">
      <c r="A865" t="s">
        <v>9256</v>
      </c>
      <c r="B865">
        <v>987914</v>
      </c>
      <c r="C865">
        <v>988675</v>
      </c>
      <c r="E865" t="s">
        <v>14290</v>
      </c>
      <c r="F865" t="s">
        <v>14498</v>
      </c>
      <c r="H865">
        <v>93522338</v>
      </c>
      <c r="I865" t="s">
        <v>14292</v>
      </c>
      <c r="L865" t="s">
        <v>16654</v>
      </c>
      <c r="M865">
        <v>253</v>
      </c>
      <c r="N865" t="s">
        <v>16655</v>
      </c>
    </row>
    <row r="866" spans="1:14">
      <c r="A866" t="s">
        <v>9256</v>
      </c>
      <c r="B866">
        <v>988799</v>
      </c>
      <c r="C866">
        <v>989236</v>
      </c>
      <c r="E866" t="s">
        <v>14290</v>
      </c>
      <c r="F866" t="s">
        <v>14498</v>
      </c>
      <c r="H866">
        <v>93522339</v>
      </c>
      <c r="I866" t="s">
        <v>14292</v>
      </c>
      <c r="L866" t="s">
        <v>16656</v>
      </c>
      <c r="M866">
        <v>145</v>
      </c>
      <c r="N866" t="s">
        <v>16657</v>
      </c>
    </row>
    <row r="867" spans="1:14">
      <c r="A867" t="s">
        <v>9256</v>
      </c>
      <c r="B867">
        <v>989326</v>
      </c>
      <c r="C867">
        <v>990531</v>
      </c>
      <c r="E867" t="s">
        <v>14314</v>
      </c>
      <c r="F867" t="s">
        <v>14291</v>
      </c>
      <c r="H867">
        <v>93522340</v>
      </c>
      <c r="I867" t="s">
        <v>14292</v>
      </c>
      <c r="L867" t="s">
        <v>16658</v>
      </c>
      <c r="M867">
        <v>401</v>
      </c>
      <c r="N867" t="s">
        <v>16659</v>
      </c>
    </row>
    <row r="868" spans="1:14">
      <c r="A868" t="s">
        <v>9256</v>
      </c>
      <c r="B868">
        <v>990518</v>
      </c>
      <c r="C868">
        <v>991834</v>
      </c>
      <c r="E868" t="s">
        <v>14314</v>
      </c>
      <c r="F868" t="s">
        <v>16660</v>
      </c>
      <c r="H868">
        <v>93522341</v>
      </c>
      <c r="I868" t="s">
        <v>14292</v>
      </c>
      <c r="L868" t="s">
        <v>16661</v>
      </c>
      <c r="M868">
        <v>438</v>
      </c>
      <c r="N868" t="s">
        <v>16662</v>
      </c>
    </row>
    <row r="869" spans="1:14">
      <c r="A869" t="s">
        <v>9256</v>
      </c>
      <c r="B869">
        <v>992106</v>
      </c>
      <c r="C869">
        <v>993107</v>
      </c>
      <c r="E869" t="s">
        <v>14290</v>
      </c>
      <c r="F869" t="s">
        <v>16663</v>
      </c>
      <c r="H869">
        <v>93522342</v>
      </c>
      <c r="I869" t="s">
        <v>14292</v>
      </c>
      <c r="L869" t="s">
        <v>16664</v>
      </c>
      <c r="M869">
        <v>333</v>
      </c>
      <c r="N869" t="s">
        <v>16665</v>
      </c>
    </row>
    <row r="870" spans="1:14">
      <c r="A870" t="s">
        <v>9256</v>
      </c>
      <c r="B870">
        <v>993094</v>
      </c>
      <c r="C870">
        <v>993447</v>
      </c>
      <c r="E870" t="s">
        <v>14290</v>
      </c>
      <c r="F870" t="s">
        <v>16666</v>
      </c>
      <c r="H870">
        <v>93522343</v>
      </c>
      <c r="I870" t="s">
        <v>14292</v>
      </c>
      <c r="L870" t="s">
        <v>16667</v>
      </c>
      <c r="M870">
        <v>117</v>
      </c>
      <c r="N870" t="s">
        <v>16668</v>
      </c>
    </row>
    <row r="871" spans="1:14">
      <c r="A871" t="s">
        <v>9256</v>
      </c>
      <c r="B871">
        <v>993510</v>
      </c>
      <c r="C871">
        <v>994793</v>
      </c>
      <c r="E871" t="s">
        <v>14314</v>
      </c>
      <c r="F871" t="s">
        <v>16669</v>
      </c>
      <c r="G871" t="s">
        <v>16670</v>
      </c>
      <c r="H871">
        <v>93522344</v>
      </c>
      <c r="I871" t="s">
        <v>14292</v>
      </c>
      <c r="L871" t="s">
        <v>16671</v>
      </c>
      <c r="M871">
        <v>427</v>
      </c>
      <c r="N871" t="s">
        <v>16672</v>
      </c>
    </row>
    <row r="872" spans="1:14">
      <c r="A872" t="s">
        <v>9256</v>
      </c>
      <c r="B872">
        <v>994974</v>
      </c>
      <c r="C872">
        <v>995459</v>
      </c>
      <c r="E872" t="s">
        <v>14314</v>
      </c>
      <c r="F872" t="s">
        <v>16673</v>
      </c>
      <c r="G872" t="s">
        <v>16674</v>
      </c>
      <c r="H872">
        <v>93522345</v>
      </c>
      <c r="I872" t="s">
        <v>14292</v>
      </c>
      <c r="L872" t="s">
        <v>16675</v>
      </c>
      <c r="M872">
        <v>161</v>
      </c>
      <c r="N872" t="s">
        <v>16676</v>
      </c>
    </row>
    <row r="873" spans="1:14">
      <c r="A873" t="s">
        <v>9256</v>
      </c>
      <c r="B873">
        <v>995467</v>
      </c>
      <c r="C873">
        <v>996459</v>
      </c>
      <c r="E873" t="s">
        <v>14314</v>
      </c>
      <c r="F873" t="s">
        <v>16677</v>
      </c>
      <c r="H873">
        <v>93522346</v>
      </c>
      <c r="I873" t="s">
        <v>14292</v>
      </c>
      <c r="L873" t="s">
        <v>16678</v>
      </c>
      <c r="M873">
        <v>330</v>
      </c>
      <c r="N873" t="s">
        <v>16679</v>
      </c>
    </row>
    <row r="874" spans="1:14">
      <c r="A874" t="s">
        <v>9256</v>
      </c>
      <c r="B874">
        <v>996472</v>
      </c>
      <c r="C874">
        <v>997077</v>
      </c>
      <c r="E874" t="s">
        <v>14314</v>
      </c>
      <c r="F874" t="s">
        <v>16680</v>
      </c>
      <c r="G874" t="s">
        <v>16681</v>
      </c>
      <c r="H874">
        <v>93522347</v>
      </c>
      <c r="I874" t="s">
        <v>14292</v>
      </c>
      <c r="L874" t="s">
        <v>16682</v>
      </c>
      <c r="M874">
        <v>201</v>
      </c>
      <c r="N874" t="s">
        <v>16683</v>
      </c>
    </row>
    <row r="875" spans="1:14">
      <c r="A875" t="s">
        <v>9256</v>
      </c>
      <c r="B875">
        <v>997201</v>
      </c>
      <c r="C875">
        <v>997590</v>
      </c>
      <c r="E875" t="s">
        <v>14314</v>
      </c>
      <c r="F875" t="s">
        <v>16684</v>
      </c>
      <c r="G875" t="s">
        <v>16685</v>
      </c>
      <c r="H875">
        <v>93522348</v>
      </c>
      <c r="I875" t="s">
        <v>14292</v>
      </c>
      <c r="L875" t="s">
        <v>16686</v>
      </c>
      <c r="M875">
        <v>129</v>
      </c>
      <c r="N875" t="s">
        <v>16687</v>
      </c>
    </row>
    <row r="876" spans="1:14">
      <c r="A876" t="s">
        <v>9256</v>
      </c>
      <c r="B876">
        <v>997602</v>
      </c>
      <c r="C876">
        <v>997982</v>
      </c>
      <c r="E876" t="s">
        <v>14314</v>
      </c>
      <c r="F876" t="s">
        <v>16688</v>
      </c>
      <c r="G876" t="s">
        <v>16689</v>
      </c>
      <c r="H876">
        <v>93522349</v>
      </c>
      <c r="I876" t="s">
        <v>14292</v>
      </c>
      <c r="L876" t="s">
        <v>16690</v>
      </c>
      <c r="M876">
        <v>126</v>
      </c>
      <c r="N876" t="s">
        <v>16691</v>
      </c>
    </row>
    <row r="877" spans="1:14">
      <c r="A877" t="s">
        <v>9256</v>
      </c>
      <c r="B877">
        <v>998018</v>
      </c>
      <c r="C877">
        <v>998134</v>
      </c>
      <c r="E877" t="s">
        <v>14314</v>
      </c>
      <c r="F877" t="s">
        <v>16692</v>
      </c>
      <c r="G877" t="s">
        <v>16693</v>
      </c>
      <c r="H877">
        <v>93522350</v>
      </c>
      <c r="I877" t="s">
        <v>14292</v>
      </c>
      <c r="L877" t="s">
        <v>16694</v>
      </c>
      <c r="M877">
        <v>38</v>
      </c>
      <c r="N877" t="s">
        <v>16695</v>
      </c>
    </row>
    <row r="878" spans="1:14">
      <c r="A878" t="s">
        <v>9256</v>
      </c>
      <c r="B878">
        <v>998148</v>
      </c>
      <c r="C878">
        <v>998366</v>
      </c>
      <c r="E878" t="s">
        <v>14314</v>
      </c>
      <c r="F878" t="s">
        <v>16696</v>
      </c>
      <c r="G878" t="s">
        <v>16697</v>
      </c>
      <c r="H878">
        <v>93522351</v>
      </c>
      <c r="I878" t="s">
        <v>14292</v>
      </c>
      <c r="L878" t="s">
        <v>16698</v>
      </c>
      <c r="M878">
        <v>72</v>
      </c>
      <c r="N878" t="s">
        <v>16699</v>
      </c>
    </row>
    <row r="879" spans="1:14">
      <c r="A879" t="s">
        <v>9256</v>
      </c>
      <c r="B879">
        <v>998377</v>
      </c>
      <c r="C879">
        <v>999162</v>
      </c>
      <c r="E879" t="s">
        <v>14314</v>
      </c>
      <c r="F879" t="s">
        <v>16700</v>
      </c>
      <c r="G879" t="s">
        <v>16701</v>
      </c>
      <c r="H879">
        <v>93522352</v>
      </c>
      <c r="I879" t="s">
        <v>14292</v>
      </c>
      <c r="L879" t="s">
        <v>16702</v>
      </c>
      <c r="M879">
        <v>261</v>
      </c>
      <c r="N879" t="s">
        <v>16703</v>
      </c>
    </row>
    <row r="880" spans="1:14">
      <c r="A880" t="s">
        <v>9256</v>
      </c>
      <c r="B880">
        <v>999167</v>
      </c>
      <c r="C880">
        <v>1000507</v>
      </c>
      <c r="E880" t="s">
        <v>14314</v>
      </c>
      <c r="F880" t="s">
        <v>16704</v>
      </c>
      <c r="G880" t="s">
        <v>16705</v>
      </c>
      <c r="H880">
        <v>93522353</v>
      </c>
      <c r="I880" t="s">
        <v>14292</v>
      </c>
      <c r="L880" t="s">
        <v>16706</v>
      </c>
      <c r="M880">
        <v>446</v>
      </c>
      <c r="N880" t="s">
        <v>16707</v>
      </c>
    </row>
    <row r="881" spans="1:14">
      <c r="A881" t="s">
        <v>9256</v>
      </c>
      <c r="B881">
        <v>1000511</v>
      </c>
      <c r="C881">
        <v>1000957</v>
      </c>
      <c r="E881" t="s">
        <v>14314</v>
      </c>
      <c r="F881" t="s">
        <v>16708</v>
      </c>
      <c r="G881" t="s">
        <v>16709</v>
      </c>
      <c r="H881">
        <v>93522354</v>
      </c>
      <c r="I881" t="s">
        <v>14292</v>
      </c>
      <c r="L881" t="s">
        <v>16710</v>
      </c>
      <c r="M881">
        <v>148</v>
      </c>
      <c r="N881" t="s">
        <v>16711</v>
      </c>
    </row>
    <row r="882" spans="1:14">
      <c r="A882" t="s">
        <v>9256</v>
      </c>
      <c r="B882">
        <v>1000987</v>
      </c>
      <c r="C882">
        <v>1001163</v>
      </c>
      <c r="E882" t="s">
        <v>14314</v>
      </c>
      <c r="F882" t="s">
        <v>16712</v>
      </c>
      <c r="G882" t="s">
        <v>16713</v>
      </c>
      <c r="H882">
        <v>93522355</v>
      </c>
      <c r="I882" t="s">
        <v>14292</v>
      </c>
      <c r="L882" t="s">
        <v>16714</v>
      </c>
      <c r="M882">
        <v>58</v>
      </c>
      <c r="N882" t="s">
        <v>16715</v>
      </c>
    </row>
    <row r="883" spans="1:14">
      <c r="A883" t="s">
        <v>9256</v>
      </c>
      <c r="B883">
        <v>1001181</v>
      </c>
      <c r="C883">
        <v>1001699</v>
      </c>
      <c r="E883" t="s">
        <v>14314</v>
      </c>
      <c r="F883" t="s">
        <v>16716</v>
      </c>
      <c r="G883" t="s">
        <v>16717</v>
      </c>
      <c r="H883">
        <v>93522356</v>
      </c>
      <c r="I883" t="s">
        <v>14292</v>
      </c>
      <c r="L883" t="s">
        <v>16718</v>
      </c>
      <c r="M883">
        <v>172</v>
      </c>
      <c r="N883" t="s">
        <v>16719</v>
      </c>
    </row>
    <row r="884" spans="1:14">
      <c r="A884" t="s">
        <v>9256</v>
      </c>
      <c r="B884">
        <v>1001699</v>
      </c>
      <c r="C884">
        <v>1002043</v>
      </c>
      <c r="E884" t="s">
        <v>14314</v>
      </c>
      <c r="F884" t="s">
        <v>16720</v>
      </c>
      <c r="G884" t="s">
        <v>16721</v>
      </c>
      <c r="H884">
        <v>93522357</v>
      </c>
      <c r="I884" t="s">
        <v>14292</v>
      </c>
      <c r="L884" t="s">
        <v>16722</v>
      </c>
      <c r="M884">
        <v>114</v>
      </c>
      <c r="N884" t="s">
        <v>16723</v>
      </c>
    </row>
    <row r="885" spans="1:14">
      <c r="A885" t="s">
        <v>9256</v>
      </c>
      <c r="B885">
        <v>1002065</v>
      </c>
      <c r="C885">
        <v>1002616</v>
      </c>
      <c r="E885" t="s">
        <v>14314</v>
      </c>
      <c r="F885" t="s">
        <v>16724</v>
      </c>
      <c r="G885" t="s">
        <v>16725</v>
      </c>
      <c r="H885">
        <v>93522358</v>
      </c>
      <c r="I885" t="s">
        <v>14292</v>
      </c>
      <c r="L885" t="s">
        <v>16726</v>
      </c>
      <c r="M885">
        <v>183</v>
      </c>
      <c r="N885" t="s">
        <v>16727</v>
      </c>
    </row>
    <row r="886" spans="1:14">
      <c r="A886" t="s">
        <v>9256</v>
      </c>
      <c r="B886">
        <v>1002633</v>
      </c>
      <c r="C886">
        <v>1003028</v>
      </c>
      <c r="E886" t="s">
        <v>14314</v>
      </c>
      <c r="F886" t="s">
        <v>16728</v>
      </c>
      <c r="G886" t="s">
        <v>16729</v>
      </c>
      <c r="H886">
        <v>93522359</v>
      </c>
      <c r="I886" t="s">
        <v>14292</v>
      </c>
      <c r="L886" t="s">
        <v>16730</v>
      </c>
      <c r="M886">
        <v>131</v>
      </c>
      <c r="N886" t="s">
        <v>16731</v>
      </c>
    </row>
    <row r="887" spans="1:14">
      <c r="A887" t="s">
        <v>9256</v>
      </c>
      <c r="B887">
        <v>1003087</v>
      </c>
      <c r="C887">
        <v>1003356</v>
      </c>
      <c r="E887" t="s">
        <v>14314</v>
      </c>
      <c r="F887" t="s">
        <v>16732</v>
      </c>
      <c r="G887" t="s">
        <v>16733</v>
      </c>
      <c r="H887">
        <v>93522360</v>
      </c>
      <c r="I887" t="s">
        <v>14292</v>
      </c>
      <c r="L887" t="s">
        <v>16734</v>
      </c>
      <c r="M887">
        <v>89</v>
      </c>
      <c r="N887" t="s">
        <v>16735</v>
      </c>
    </row>
    <row r="888" spans="1:14">
      <c r="A888" t="s">
        <v>9256</v>
      </c>
      <c r="B888">
        <v>1003363</v>
      </c>
      <c r="C888">
        <v>1003920</v>
      </c>
      <c r="E888" t="s">
        <v>14314</v>
      </c>
      <c r="F888" t="s">
        <v>16736</v>
      </c>
      <c r="G888" t="s">
        <v>16737</v>
      </c>
      <c r="H888">
        <v>93522361</v>
      </c>
      <c r="I888" t="s">
        <v>14292</v>
      </c>
      <c r="L888" t="s">
        <v>16738</v>
      </c>
      <c r="M888">
        <v>185</v>
      </c>
      <c r="N888" t="s">
        <v>16739</v>
      </c>
    </row>
    <row r="889" spans="1:14">
      <c r="A889" t="s">
        <v>9256</v>
      </c>
      <c r="B889">
        <v>1003920</v>
      </c>
      <c r="C889">
        <v>1004240</v>
      </c>
      <c r="E889" t="s">
        <v>14314</v>
      </c>
      <c r="F889" t="s">
        <v>16740</v>
      </c>
      <c r="G889" t="s">
        <v>16741</v>
      </c>
      <c r="H889">
        <v>93522362</v>
      </c>
      <c r="I889" t="s">
        <v>14292</v>
      </c>
      <c r="L889" t="s">
        <v>16742</v>
      </c>
      <c r="M889">
        <v>106</v>
      </c>
      <c r="N889" t="s">
        <v>16743</v>
      </c>
    </row>
    <row r="890" spans="1:14">
      <c r="A890" t="s">
        <v>9256</v>
      </c>
      <c r="B890">
        <v>1004260</v>
      </c>
      <c r="C890">
        <v>1004625</v>
      </c>
      <c r="E890" t="s">
        <v>14314</v>
      </c>
      <c r="F890" t="s">
        <v>16744</v>
      </c>
      <c r="G890" t="s">
        <v>16745</v>
      </c>
      <c r="H890">
        <v>93522363</v>
      </c>
      <c r="I890" t="s">
        <v>14292</v>
      </c>
      <c r="L890" t="s">
        <v>16746</v>
      </c>
      <c r="M890">
        <v>121</v>
      </c>
      <c r="N890" t="s">
        <v>16747</v>
      </c>
    </row>
    <row r="891" spans="1:14">
      <c r="A891" t="s">
        <v>9256</v>
      </c>
      <c r="B891">
        <v>1004627</v>
      </c>
      <c r="C891">
        <v>1004884</v>
      </c>
      <c r="E891" t="s">
        <v>14314</v>
      </c>
      <c r="F891" t="s">
        <v>16748</v>
      </c>
      <c r="G891" t="s">
        <v>16749</v>
      </c>
      <c r="H891">
        <v>93522364</v>
      </c>
      <c r="I891" t="s">
        <v>14292</v>
      </c>
      <c r="L891" t="s">
        <v>16750</v>
      </c>
      <c r="M891">
        <v>85</v>
      </c>
      <c r="N891" t="s">
        <v>16751</v>
      </c>
    </row>
    <row r="892" spans="1:14">
      <c r="A892" t="s">
        <v>9256</v>
      </c>
      <c r="B892">
        <v>1004894</v>
      </c>
      <c r="C892">
        <v>1005091</v>
      </c>
      <c r="E892" t="s">
        <v>14314</v>
      </c>
      <c r="F892" t="s">
        <v>16752</v>
      </c>
      <c r="G892" t="s">
        <v>16753</v>
      </c>
      <c r="H892">
        <v>93522365</v>
      </c>
      <c r="I892" t="s">
        <v>14292</v>
      </c>
      <c r="L892" t="s">
        <v>16754</v>
      </c>
      <c r="M892">
        <v>65</v>
      </c>
      <c r="N892" t="s">
        <v>16755</v>
      </c>
    </row>
    <row r="893" spans="1:14">
      <c r="A893" t="s">
        <v>9256</v>
      </c>
      <c r="B893">
        <v>1005097</v>
      </c>
      <c r="C893">
        <v>1005531</v>
      </c>
      <c r="E893" t="s">
        <v>14314</v>
      </c>
      <c r="F893" t="s">
        <v>16756</v>
      </c>
      <c r="G893" t="s">
        <v>16757</v>
      </c>
      <c r="H893">
        <v>93522366</v>
      </c>
      <c r="I893" t="s">
        <v>14292</v>
      </c>
      <c r="L893" t="s">
        <v>16758</v>
      </c>
      <c r="M893">
        <v>144</v>
      </c>
      <c r="N893" t="s">
        <v>16759</v>
      </c>
    </row>
    <row r="894" spans="1:14">
      <c r="A894" t="s">
        <v>9256</v>
      </c>
      <c r="B894">
        <v>1005552</v>
      </c>
      <c r="C894">
        <v>1006286</v>
      </c>
      <c r="E894" t="s">
        <v>14314</v>
      </c>
      <c r="F894" t="s">
        <v>16760</v>
      </c>
      <c r="G894" t="s">
        <v>16761</v>
      </c>
      <c r="H894">
        <v>93522367</v>
      </c>
      <c r="I894" t="s">
        <v>14292</v>
      </c>
      <c r="L894" t="s">
        <v>16762</v>
      </c>
      <c r="M894">
        <v>244</v>
      </c>
      <c r="N894" t="s">
        <v>16763</v>
      </c>
    </row>
    <row r="895" spans="1:14">
      <c r="A895" t="s">
        <v>9256</v>
      </c>
      <c r="B895">
        <v>1006294</v>
      </c>
      <c r="C895">
        <v>1006704</v>
      </c>
      <c r="E895" t="s">
        <v>14314</v>
      </c>
      <c r="F895" t="s">
        <v>16764</v>
      </c>
      <c r="G895" t="s">
        <v>16765</v>
      </c>
      <c r="H895">
        <v>93522368</v>
      </c>
      <c r="I895" t="s">
        <v>14292</v>
      </c>
      <c r="L895" t="s">
        <v>16766</v>
      </c>
      <c r="M895">
        <v>136</v>
      </c>
      <c r="N895" t="s">
        <v>16767</v>
      </c>
    </row>
    <row r="896" spans="1:14">
      <c r="A896" t="s">
        <v>9256</v>
      </c>
      <c r="B896">
        <v>1006757</v>
      </c>
      <c r="C896">
        <v>1007026</v>
      </c>
      <c r="E896" t="s">
        <v>14314</v>
      </c>
      <c r="F896" t="s">
        <v>16768</v>
      </c>
      <c r="G896" t="s">
        <v>16769</v>
      </c>
      <c r="H896">
        <v>93522369</v>
      </c>
      <c r="I896" t="s">
        <v>14292</v>
      </c>
      <c r="L896" t="s">
        <v>16770</v>
      </c>
      <c r="M896">
        <v>89</v>
      </c>
      <c r="N896" t="s">
        <v>16771</v>
      </c>
    </row>
    <row r="897" spans="1:14">
      <c r="A897" t="s">
        <v>9256</v>
      </c>
      <c r="B897">
        <v>1007047</v>
      </c>
      <c r="C897">
        <v>1007871</v>
      </c>
      <c r="E897" t="s">
        <v>14314</v>
      </c>
      <c r="F897" t="s">
        <v>16772</v>
      </c>
      <c r="G897" t="s">
        <v>16773</v>
      </c>
      <c r="H897">
        <v>93522370</v>
      </c>
      <c r="I897" t="s">
        <v>14292</v>
      </c>
      <c r="L897" t="s">
        <v>16774</v>
      </c>
      <c r="M897">
        <v>274</v>
      </c>
      <c r="N897" t="s">
        <v>16775</v>
      </c>
    </row>
    <row r="898" spans="1:14">
      <c r="A898" t="s">
        <v>9256</v>
      </c>
      <c r="B898">
        <v>1007880</v>
      </c>
      <c r="C898">
        <v>1008173</v>
      </c>
      <c r="E898" t="s">
        <v>14314</v>
      </c>
      <c r="F898" t="s">
        <v>16776</v>
      </c>
      <c r="G898" t="s">
        <v>16777</v>
      </c>
      <c r="H898">
        <v>93522371</v>
      </c>
      <c r="I898" t="s">
        <v>14292</v>
      </c>
      <c r="L898" t="s">
        <v>16778</v>
      </c>
      <c r="M898">
        <v>97</v>
      </c>
      <c r="N898" t="s">
        <v>16779</v>
      </c>
    </row>
    <row r="899" spans="1:14">
      <c r="A899" t="s">
        <v>9256</v>
      </c>
      <c r="B899">
        <v>1008185</v>
      </c>
      <c r="C899">
        <v>1008814</v>
      </c>
      <c r="E899" t="s">
        <v>14314</v>
      </c>
      <c r="F899" t="s">
        <v>16780</v>
      </c>
      <c r="G899" t="s">
        <v>16781</v>
      </c>
      <c r="H899">
        <v>93522372</v>
      </c>
      <c r="I899" t="s">
        <v>14292</v>
      </c>
      <c r="L899" t="s">
        <v>16782</v>
      </c>
      <c r="M899">
        <v>209</v>
      </c>
      <c r="N899" t="s">
        <v>16783</v>
      </c>
    </row>
    <row r="900" spans="1:14">
      <c r="A900" t="s">
        <v>9256</v>
      </c>
      <c r="B900">
        <v>1008814</v>
      </c>
      <c r="C900">
        <v>1009431</v>
      </c>
      <c r="E900" t="s">
        <v>14314</v>
      </c>
      <c r="F900" t="s">
        <v>16784</v>
      </c>
      <c r="G900" t="s">
        <v>16785</v>
      </c>
      <c r="H900">
        <v>93522373</v>
      </c>
      <c r="I900" t="s">
        <v>14292</v>
      </c>
      <c r="L900" t="s">
        <v>16786</v>
      </c>
      <c r="M900">
        <v>205</v>
      </c>
      <c r="N900" t="s">
        <v>16787</v>
      </c>
    </row>
    <row r="901" spans="1:14">
      <c r="A901" t="s">
        <v>9256</v>
      </c>
      <c r="B901">
        <v>1009451</v>
      </c>
      <c r="C901">
        <v>1009756</v>
      </c>
      <c r="E901" t="s">
        <v>14314</v>
      </c>
      <c r="F901" t="s">
        <v>16788</v>
      </c>
      <c r="G901" t="s">
        <v>16789</v>
      </c>
      <c r="H901">
        <v>93522374</v>
      </c>
      <c r="I901" t="s">
        <v>14292</v>
      </c>
      <c r="L901" t="s">
        <v>16790</v>
      </c>
      <c r="M901">
        <v>101</v>
      </c>
      <c r="N901" t="s">
        <v>16791</v>
      </c>
    </row>
    <row r="902" spans="1:14">
      <c r="A902" t="s">
        <v>9256</v>
      </c>
      <c r="B902">
        <v>1009779</v>
      </c>
      <c r="C902">
        <v>1011905</v>
      </c>
      <c r="E902" t="s">
        <v>14314</v>
      </c>
      <c r="F902" t="s">
        <v>16792</v>
      </c>
      <c r="G902" t="s">
        <v>16793</v>
      </c>
      <c r="H902">
        <v>93522375</v>
      </c>
      <c r="I902" t="s">
        <v>14292</v>
      </c>
      <c r="L902" t="s">
        <v>16794</v>
      </c>
      <c r="M902">
        <v>708</v>
      </c>
      <c r="N902" t="s">
        <v>16795</v>
      </c>
    </row>
    <row r="903" spans="1:14">
      <c r="A903" t="s">
        <v>9256</v>
      </c>
      <c r="B903">
        <v>1011928</v>
      </c>
      <c r="C903">
        <v>1012404</v>
      </c>
      <c r="E903" t="s">
        <v>14314</v>
      </c>
      <c r="F903" t="s">
        <v>16796</v>
      </c>
      <c r="G903" t="s">
        <v>16797</v>
      </c>
      <c r="H903">
        <v>93522376</v>
      </c>
      <c r="I903" t="s">
        <v>14292</v>
      </c>
      <c r="L903" t="s">
        <v>16798</v>
      </c>
      <c r="M903">
        <v>158</v>
      </c>
      <c r="N903" t="s">
        <v>16799</v>
      </c>
    </row>
    <row r="904" spans="1:14">
      <c r="A904" t="s">
        <v>9256</v>
      </c>
      <c r="B904">
        <v>1012558</v>
      </c>
      <c r="C904">
        <v>1012968</v>
      </c>
      <c r="E904" t="s">
        <v>14314</v>
      </c>
      <c r="F904" t="s">
        <v>16800</v>
      </c>
      <c r="G904" t="s">
        <v>16801</v>
      </c>
      <c r="H904">
        <v>93522377</v>
      </c>
      <c r="I904" t="s">
        <v>14292</v>
      </c>
      <c r="L904" t="s">
        <v>16802</v>
      </c>
      <c r="M904">
        <v>136</v>
      </c>
      <c r="N904" t="s">
        <v>16803</v>
      </c>
    </row>
    <row r="905" spans="1:14">
      <c r="A905" t="s">
        <v>9256</v>
      </c>
      <c r="B905">
        <v>1013292</v>
      </c>
      <c r="C905">
        <v>1013888</v>
      </c>
      <c r="E905" t="s">
        <v>14314</v>
      </c>
      <c r="F905" t="s">
        <v>15103</v>
      </c>
      <c r="H905">
        <v>93522378</v>
      </c>
      <c r="I905" t="s">
        <v>14292</v>
      </c>
      <c r="L905" t="s">
        <v>16804</v>
      </c>
      <c r="M905">
        <v>198</v>
      </c>
      <c r="N905" t="s">
        <v>16805</v>
      </c>
    </row>
    <row r="906" spans="1:14">
      <c r="A906" t="s">
        <v>9256</v>
      </c>
      <c r="B906">
        <v>1014203</v>
      </c>
      <c r="C906">
        <v>1014757</v>
      </c>
      <c r="E906" t="s">
        <v>14290</v>
      </c>
      <c r="F906" t="s">
        <v>14291</v>
      </c>
      <c r="H906">
        <v>93525929</v>
      </c>
      <c r="I906" t="s">
        <v>14292</v>
      </c>
      <c r="L906" t="s">
        <v>16806</v>
      </c>
      <c r="M906">
        <v>184</v>
      </c>
      <c r="N906" t="s">
        <v>16807</v>
      </c>
    </row>
    <row r="907" spans="1:14">
      <c r="A907" t="s">
        <v>9256</v>
      </c>
      <c r="B907">
        <v>1014745</v>
      </c>
      <c r="C907">
        <v>1015032</v>
      </c>
      <c r="E907" t="s">
        <v>14290</v>
      </c>
      <c r="F907" t="s">
        <v>16808</v>
      </c>
      <c r="H907">
        <v>93525930</v>
      </c>
      <c r="I907" t="s">
        <v>14292</v>
      </c>
      <c r="L907" t="s">
        <v>16809</v>
      </c>
      <c r="M907">
        <v>95</v>
      </c>
      <c r="N907" t="s">
        <v>16810</v>
      </c>
    </row>
    <row r="908" spans="1:14">
      <c r="A908" t="s">
        <v>9256</v>
      </c>
      <c r="B908">
        <v>1015072</v>
      </c>
      <c r="C908">
        <v>1015305</v>
      </c>
      <c r="E908" t="s">
        <v>14290</v>
      </c>
      <c r="F908" t="s">
        <v>16811</v>
      </c>
      <c r="H908">
        <v>93525931</v>
      </c>
      <c r="I908" t="s">
        <v>14292</v>
      </c>
      <c r="L908" t="s">
        <v>16812</v>
      </c>
      <c r="M908">
        <v>77</v>
      </c>
      <c r="N908" t="s">
        <v>16813</v>
      </c>
    </row>
    <row r="909" spans="1:14">
      <c r="A909" t="s">
        <v>9256</v>
      </c>
      <c r="B909">
        <v>1015357</v>
      </c>
      <c r="C909">
        <v>1017204</v>
      </c>
      <c r="E909" t="s">
        <v>14314</v>
      </c>
      <c r="F909" t="s">
        <v>16814</v>
      </c>
      <c r="G909" t="s">
        <v>16815</v>
      </c>
      <c r="H909">
        <v>93522379</v>
      </c>
      <c r="I909" t="s">
        <v>14292</v>
      </c>
      <c r="L909" t="s">
        <v>16816</v>
      </c>
      <c r="M909">
        <v>615</v>
      </c>
      <c r="N909" t="s">
        <v>16817</v>
      </c>
    </row>
    <row r="910" spans="1:14">
      <c r="A910" t="s">
        <v>9256</v>
      </c>
      <c r="B910">
        <v>1017204</v>
      </c>
      <c r="C910">
        <v>1017506</v>
      </c>
      <c r="E910" t="s">
        <v>14314</v>
      </c>
      <c r="F910" t="s">
        <v>14291</v>
      </c>
      <c r="H910">
        <v>93522380</v>
      </c>
      <c r="I910" t="s">
        <v>14292</v>
      </c>
      <c r="L910" t="s">
        <v>16818</v>
      </c>
      <c r="M910">
        <v>100</v>
      </c>
      <c r="N910" t="s">
        <v>16819</v>
      </c>
    </row>
    <row r="911" spans="1:14">
      <c r="A911" t="s">
        <v>9256</v>
      </c>
      <c r="B911">
        <v>1017536</v>
      </c>
      <c r="C911">
        <v>1019137</v>
      </c>
      <c r="E911" t="s">
        <v>14314</v>
      </c>
      <c r="F911" t="s">
        <v>16820</v>
      </c>
      <c r="H911">
        <v>93522381</v>
      </c>
      <c r="I911" t="s">
        <v>14292</v>
      </c>
      <c r="L911" t="s">
        <v>16821</v>
      </c>
      <c r="M911">
        <v>533</v>
      </c>
      <c r="N911" t="s">
        <v>16822</v>
      </c>
    </row>
    <row r="912" spans="1:14">
      <c r="A912" t="s">
        <v>9256</v>
      </c>
      <c r="B912">
        <v>1019134</v>
      </c>
      <c r="C912">
        <v>1020498</v>
      </c>
      <c r="E912" t="s">
        <v>14314</v>
      </c>
      <c r="F912" t="s">
        <v>16823</v>
      </c>
      <c r="H912">
        <v>93522382</v>
      </c>
      <c r="I912" t="s">
        <v>14292</v>
      </c>
      <c r="L912" t="s">
        <v>16824</v>
      </c>
      <c r="M912">
        <v>454</v>
      </c>
      <c r="N912" t="s">
        <v>16825</v>
      </c>
    </row>
    <row r="913" spans="1:14">
      <c r="A913" t="s">
        <v>9256</v>
      </c>
      <c r="B913">
        <v>1020524</v>
      </c>
      <c r="C913">
        <v>1021378</v>
      </c>
      <c r="E913" t="s">
        <v>14314</v>
      </c>
      <c r="F913" t="s">
        <v>14291</v>
      </c>
      <c r="H913">
        <v>93522383</v>
      </c>
      <c r="I913" t="s">
        <v>14292</v>
      </c>
      <c r="L913" t="s">
        <v>16826</v>
      </c>
      <c r="M913">
        <v>284</v>
      </c>
      <c r="N913" t="s">
        <v>16827</v>
      </c>
    </row>
    <row r="914" spans="1:14">
      <c r="A914" t="s">
        <v>9256</v>
      </c>
      <c r="B914">
        <v>1021392</v>
      </c>
      <c r="C914">
        <v>1022978</v>
      </c>
      <c r="E914" t="s">
        <v>14314</v>
      </c>
      <c r="F914" t="s">
        <v>16823</v>
      </c>
      <c r="H914">
        <v>93522384</v>
      </c>
      <c r="I914" t="s">
        <v>14292</v>
      </c>
      <c r="L914" t="s">
        <v>16828</v>
      </c>
      <c r="M914">
        <v>528</v>
      </c>
      <c r="N914" t="s">
        <v>16829</v>
      </c>
    </row>
    <row r="915" spans="1:14">
      <c r="A915" t="s">
        <v>9256</v>
      </c>
      <c r="B915">
        <v>1023087</v>
      </c>
      <c r="C915">
        <v>1024562</v>
      </c>
      <c r="E915" t="s">
        <v>14314</v>
      </c>
      <c r="F915" t="s">
        <v>16830</v>
      </c>
      <c r="G915" t="s">
        <v>16831</v>
      </c>
      <c r="H915">
        <v>93522385</v>
      </c>
      <c r="I915" t="s">
        <v>14292</v>
      </c>
      <c r="L915" t="s">
        <v>16832</v>
      </c>
      <c r="M915">
        <v>491</v>
      </c>
      <c r="N915" t="s">
        <v>16833</v>
      </c>
    </row>
    <row r="916" spans="1:14">
      <c r="A916" t="s">
        <v>9256</v>
      </c>
      <c r="B916">
        <v>1024777</v>
      </c>
      <c r="C916">
        <v>1026957</v>
      </c>
      <c r="E916" t="s">
        <v>14314</v>
      </c>
      <c r="F916" t="s">
        <v>16834</v>
      </c>
      <c r="G916" t="s">
        <v>16835</v>
      </c>
      <c r="H916">
        <v>93522386</v>
      </c>
      <c r="I916" t="s">
        <v>14292</v>
      </c>
      <c r="L916" t="s">
        <v>16836</v>
      </c>
      <c r="M916">
        <v>726</v>
      </c>
      <c r="N916" t="s">
        <v>16837</v>
      </c>
    </row>
    <row r="917" spans="1:14">
      <c r="A917" t="s">
        <v>9256</v>
      </c>
      <c r="B917">
        <v>1026990</v>
      </c>
      <c r="C917">
        <v>1028222</v>
      </c>
      <c r="E917" t="s">
        <v>14314</v>
      </c>
      <c r="F917" t="s">
        <v>16838</v>
      </c>
      <c r="G917" t="s">
        <v>16839</v>
      </c>
      <c r="H917">
        <v>93522387</v>
      </c>
      <c r="I917" t="s">
        <v>14292</v>
      </c>
      <c r="L917" t="s">
        <v>16840</v>
      </c>
      <c r="M917">
        <v>410</v>
      </c>
      <c r="N917" t="s">
        <v>16841</v>
      </c>
    </row>
    <row r="918" spans="1:14">
      <c r="A918" t="s">
        <v>9256</v>
      </c>
      <c r="B918">
        <v>1028244</v>
      </c>
      <c r="C918">
        <v>1028906</v>
      </c>
      <c r="E918" t="s">
        <v>14314</v>
      </c>
      <c r="F918" t="s">
        <v>16842</v>
      </c>
      <c r="G918" t="s">
        <v>16843</v>
      </c>
      <c r="H918">
        <v>93522388</v>
      </c>
      <c r="I918" t="s">
        <v>14292</v>
      </c>
      <c r="L918" t="s">
        <v>16844</v>
      </c>
      <c r="M918">
        <v>220</v>
      </c>
      <c r="N918" t="s">
        <v>16845</v>
      </c>
    </row>
    <row r="919" spans="1:14">
      <c r="A919" t="s">
        <v>9256</v>
      </c>
      <c r="B919">
        <v>1029096</v>
      </c>
      <c r="C919">
        <v>1030448</v>
      </c>
      <c r="E919" t="s">
        <v>14314</v>
      </c>
      <c r="F919" t="s">
        <v>16846</v>
      </c>
      <c r="G919" t="s">
        <v>16847</v>
      </c>
      <c r="H919">
        <v>93522389</v>
      </c>
      <c r="I919" t="s">
        <v>14292</v>
      </c>
      <c r="L919" t="s">
        <v>16848</v>
      </c>
      <c r="M919">
        <v>450</v>
      </c>
      <c r="N919" t="s">
        <v>16849</v>
      </c>
    </row>
    <row r="920" spans="1:14">
      <c r="A920" t="s">
        <v>9256</v>
      </c>
      <c r="B920">
        <v>1030592</v>
      </c>
      <c r="C920">
        <v>1031479</v>
      </c>
      <c r="E920" t="s">
        <v>14290</v>
      </c>
      <c r="F920" t="s">
        <v>16850</v>
      </c>
      <c r="H920">
        <v>93522390</v>
      </c>
      <c r="I920" t="s">
        <v>14292</v>
      </c>
      <c r="L920" t="s">
        <v>16851</v>
      </c>
      <c r="M920">
        <v>295</v>
      </c>
      <c r="N920" t="s">
        <v>16852</v>
      </c>
    </row>
    <row r="921" spans="1:14">
      <c r="A921" t="s">
        <v>9256</v>
      </c>
      <c r="B921">
        <v>1031474</v>
      </c>
      <c r="C921">
        <v>1032226</v>
      </c>
      <c r="E921" t="s">
        <v>14314</v>
      </c>
      <c r="F921" t="s">
        <v>16853</v>
      </c>
      <c r="G921" t="s">
        <v>16854</v>
      </c>
      <c r="H921">
        <v>93522391</v>
      </c>
      <c r="I921" t="s">
        <v>14292</v>
      </c>
      <c r="L921" t="s">
        <v>16855</v>
      </c>
      <c r="M921">
        <v>250</v>
      </c>
      <c r="N921" t="s">
        <v>16856</v>
      </c>
    </row>
    <row r="922" spans="1:14">
      <c r="A922" t="s">
        <v>9256</v>
      </c>
      <c r="B922">
        <v>1032311</v>
      </c>
      <c r="C922">
        <v>1033426</v>
      </c>
      <c r="E922" t="s">
        <v>14314</v>
      </c>
      <c r="F922" t="s">
        <v>16857</v>
      </c>
      <c r="H922">
        <v>93522392</v>
      </c>
      <c r="I922" t="s">
        <v>14292</v>
      </c>
      <c r="L922" t="s">
        <v>16858</v>
      </c>
      <c r="M922">
        <v>371</v>
      </c>
      <c r="N922" t="s">
        <v>16859</v>
      </c>
    </row>
    <row r="923" spans="1:14">
      <c r="A923" t="s">
        <v>9256</v>
      </c>
      <c r="B923">
        <v>1033602</v>
      </c>
      <c r="C923">
        <v>1034348</v>
      </c>
      <c r="E923" t="s">
        <v>14290</v>
      </c>
      <c r="F923" t="s">
        <v>16860</v>
      </c>
      <c r="H923">
        <v>93522393</v>
      </c>
      <c r="I923" t="s">
        <v>14292</v>
      </c>
      <c r="L923" t="s">
        <v>16861</v>
      </c>
      <c r="M923">
        <v>248</v>
      </c>
      <c r="N923" t="s">
        <v>16862</v>
      </c>
    </row>
    <row r="924" spans="1:14">
      <c r="A924" t="s">
        <v>9256</v>
      </c>
      <c r="B924">
        <v>1034351</v>
      </c>
      <c r="C924">
        <v>1035121</v>
      </c>
      <c r="E924" t="s">
        <v>14290</v>
      </c>
      <c r="F924" t="s">
        <v>14403</v>
      </c>
      <c r="H924">
        <v>93522394</v>
      </c>
      <c r="I924" t="s">
        <v>14292</v>
      </c>
      <c r="L924" t="s">
        <v>16863</v>
      </c>
      <c r="M924">
        <v>256</v>
      </c>
      <c r="N924" t="s">
        <v>16864</v>
      </c>
    </row>
    <row r="925" spans="1:14">
      <c r="A925" t="s">
        <v>9256</v>
      </c>
      <c r="B925">
        <v>1035236</v>
      </c>
      <c r="C925">
        <v>1036522</v>
      </c>
      <c r="E925" t="s">
        <v>14314</v>
      </c>
      <c r="F925" t="s">
        <v>16865</v>
      </c>
      <c r="G925" t="s">
        <v>16866</v>
      </c>
      <c r="H925">
        <v>93522395</v>
      </c>
      <c r="I925" t="s">
        <v>14292</v>
      </c>
      <c r="L925" t="s">
        <v>16867</v>
      </c>
      <c r="M925">
        <v>428</v>
      </c>
      <c r="N925" t="s">
        <v>16868</v>
      </c>
    </row>
    <row r="926" spans="1:14">
      <c r="A926" t="s">
        <v>9256</v>
      </c>
      <c r="B926">
        <v>1036711</v>
      </c>
      <c r="C926">
        <v>1036905</v>
      </c>
      <c r="E926" t="s">
        <v>14314</v>
      </c>
      <c r="F926" t="s">
        <v>14291</v>
      </c>
      <c r="H926">
        <v>93522396</v>
      </c>
      <c r="I926" t="s">
        <v>14292</v>
      </c>
      <c r="L926" t="s">
        <v>16869</v>
      </c>
      <c r="M926">
        <v>64</v>
      </c>
      <c r="N926" t="s">
        <v>16870</v>
      </c>
    </row>
    <row r="927" spans="1:14">
      <c r="A927" t="s">
        <v>9256</v>
      </c>
      <c r="B927">
        <v>1036936</v>
      </c>
      <c r="C927">
        <v>1037394</v>
      </c>
      <c r="E927" t="s">
        <v>14314</v>
      </c>
      <c r="F927" t="s">
        <v>16871</v>
      </c>
      <c r="G927" t="s">
        <v>16872</v>
      </c>
      <c r="H927">
        <v>93522397</v>
      </c>
      <c r="I927" t="s">
        <v>14292</v>
      </c>
      <c r="L927" t="s">
        <v>16873</v>
      </c>
      <c r="M927">
        <v>152</v>
      </c>
      <c r="N927" t="s">
        <v>16874</v>
      </c>
    </row>
    <row r="928" spans="1:14">
      <c r="A928" t="s">
        <v>9256</v>
      </c>
      <c r="B928">
        <v>1037405</v>
      </c>
      <c r="C928">
        <v>1038454</v>
      </c>
      <c r="E928" t="s">
        <v>14314</v>
      </c>
      <c r="F928" t="s">
        <v>16875</v>
      </c>
      <c r="G928" t="s">
        <v>16876</v>
      </c>
      <c r="H928">
        <v>93522398</v>
      </c>
      <c r="I928" t="s">
        <v>14292</v>
      </c>
      <c r="L928" t="s">
        <v>16877</v>
      </c>
      <c r="M928">
        <v>349</v>
      </c>
      <c r="N928" t="s">
        <v>16878</v>
      </c>
    </row>
    <row r="929" spans="1:14">
      <c r="A929" t="s">
        <v>9256</v>
      </c>
      <c r="B929">
        <v>1038467</v>
      </c>
      <c r="C929">
        <v>1039174</v>
      </c>
      <c r="E929" t="s">
        <v>14314</v>
      </c>
      <c r="F929" t="s">
        <v>16879</v>
      </c>
      <c r="G929" t="s">
        <v>16880</v>
      </c>
      <c r="H929">
        <v>93522399</v>
      </c>
      <c r="I929" t="s">
        <v>14292</v>
      </c>
      <c r="L929" t="s">
        <v>16881</v>
      </c>
      <c r="M929">
        <v>235</v>
      </c>
      <c r="N929" t="s">
        <v>16882</v>
      </c>
    </row>
    <row r="930" spans="1:14">
      <c r="A930" t="s">
        <v>9256</v>
      </c>
      <c r="B930">
        <v>1039178</v>
      </c>
      <c r="C930">
        <v>1039978</v>
      </c>
      <c r="E930" t="s">
        <v>14314</v>
      </c>
      <c r="F930" t="s">
        <v>16883</v>
      </c>
      <c r="H930">
        <v>93522400</v>
      </c>
      <c r="I930" t="s">
        <v>14292</v>
      </c>
      <c r="L930" t="s">
        <v>16884</v>
      </c>
      <c r="M930">
        <v>266</v>
      </c>
      <c r="N930" t="s">
        <v>16885</v>
      </c>
    </row>
    <row r="931" spans="1:14">
      <c r="A931" t="s">
        <v>9256</v>
      </c>
      <c r="B931">
        <v>1039975</v>
      </c>
      <c r="C931">
        <v>1040214</v>
      </c>
      <c r="E931" t="s">
        <v>14314</v>
      </c>
      <c r="F931" t="s">
        <v>16886</v>
      </c>
      <c r="H931">
        <v>93522401</v>
      </c>
      <c r="I931" t="s">
        <v>14292</v>
      </c>
      <c r="L931" t="s">
        <v>16887</v>
      </c>
      <c r="M931">
        <v>79</v>
      </c>
      <c r="N931" t="s">
        <v>16888</v>
      </c>
    </row>
    <row r="932" spans="1:14">
      <c r="A932" t="s">
        <v>9256</v>
      </c>
      <c r="B932">
        <v>1040242</v>
      </c>
      <c r="C932">
        <v>1041120</v>
      </c>
      <c r="E932" t="s">
        <v>14314</v>
      </c>
      <c r="F932" t="s">
        <v>16889</v>
      </c>
      <c r="H932">
        <v>93522402</v>
      </c>
      <c r="I932" t="s">
        <v>14292</v>
      </c>
      <c r="L932" t="s">
        <v>16890</v>
      </c>
      <c r="M932">
        <v>292</v>
      </c>
      <c r="N932" t="s">
        <v>16891</v>
      </c>
    </row>
    <row r="933" spans="1:14">
      <c r="A933" t="s">
        <v>9256</v>
      </c>
      <c r="B933">
        <v>1041370</v>
      </c>
      <c r="C933">
        <v>1046715</v>
      </c>
      <c r="E933" t="s">
        <v>14314</v>
      </c>
      <c r="F933" t="s">
        <v>15756</v>
      </c>
      <c r="H933">
        <v>93522403</v>
      </c>
      <c r="I933" t="s">
        <v>14292</v>
      </c>
      <c r="L933" t="s">
        <v>16892</v>
      </c>
      <c r="M933">
        <v>1781</v>
      </c>
      <c r="N933" t="s">
        <v>16893</v>
      </c>
    </row>
    <row r="934" spans="1:14">
      <c r="A934" t="s">
        <v>9256</v>
      </c>
      <c r="B934">
        <v>1046736</v>
      </c>
      <c r="C934">
        <v>1050359</v>
      </c>
      <c r="E934" t="s">
        <v>14314</v>
      </c>
      <c r="F934" t="s">
        <v>16894</v>
      </c>
      <c r="H934">
        <v>93522404</v>
      </c>
      <c r="I934" t="s">
        <v>14292</v>
      </c>
      <c r="L934" t="s">
        <v>16895</v>
      </c>
      <c r="M934">
        <v>1207</v>
      </c>
      <c r="N934" t="s">
        <v>16896</v>
      </c>
    </row>
    <row r="935" spans="1:14">
      <c r="A935" t="s">
        <v>9256</v>
      </c>
      <c r="B935">
        <v>1051095</v>
      </c>
      <c r="C935">
        <v>1051472</v>
      </c>
      <c r="E935" t="s">
        <v>14290</v>
      </c>
      <c r="F935" t="s">
        <v>15759</v>
      </c>
      <c r="H935">
        <v>93522405</v>
      </c>
      <c r="I935" t="s">
        <v>14292</v>
      </c>
      <c r="L935" t="s">
        <v>16390</v>
      </c>
      <c r="M935">
        <v>125</v>
      </c>
      <c r="N935" t="s">
        <v>16897</v>
      </c>
    </row>
    <row r="936" spans="1:14">
      <c r="A936" t="s">
        <v>9256</v>
      </c>
      <c r="B936">
        <v>1051499</v>
      </c>
      <c r="C936">
        <v>1052461</v>
      </c>
      <c r="E936" t="s">
        <v>14290</v>
      </c>
      <c r="F936" t="s">
        <v>15762</v>
      </c>
      <c r="H936">
        <v>93522406</v>
      </c>
      <c r="I936" t="s">
        <v>14292</v>
      </c>
      <c r="L936" t="s">
        <v>16388</v>
      </c>
      <c r="M936">
        <v>320</v>
      </c>
      <c r="N936" t="s">
        <v>16898</v>
      </c>
    </row>
    <row r="937" spans="1:14">
      <c r="A937" t="s">
        <v>9256</v>
      </c>
      <c r="B937">
        <v>1053019</v>
      </c>
      <c r="C937">
        <v>1053657</v>
      </c>
      <c r="E937" t="s">
        <v>14314</v>
      </c>
      <c r="F937" t="s">
        <v>16899</v>
      </c>
      <c r="H937">
        <v>93522407</v>
      </c>
      <c r="I937" t="s">
        <v>14292</v>
      </c>
      <c r="L937" t="s">
        <v>16900</v>
      </c>
      <c r="M937">
        <v>212</v>
      </c>
      <c r="N937" t="s">
        <v>16901</v>
      </c>
    </row>
    <row r="938" spans="1:14">
      <c r="A938" t="s">
        <v>9256</v>
      </c>
      <c r="B938">
        <v>1053654</v>
      </c>
      <c r="C938">
        <v>1053986</v>
      </c>
      <c r="E938" t="s">
        <v>14314</v>
      </c>
      <c r="F938" t="s">
        <v>14291</v>
      </c>
      <c r="H938">
        <v>93522408</v>
      </c>
      <c r="I938" t="s">
        <v>14292</v>
      </c>
      <c r="L938" t="s">
        <v>16902</v>
      </c>
      <c r="M938">
        <v>110</v>
      </c>
      <c r="N938" t="s">
        <v>16903</v>
      </c>
    </row>
    <row r="939" spans="1:14">
      <c r="A939" t="s">
        <v>9256</v>
      </c>
      <c r="B939">
        <v>1054134</v>
      </c>
      <c r="C939">
        <v>1055507</v>
      </c>
      <c r="E939" t="s">
        <v>14314</v>
      </c>
      <c r="F939" t="s">
        <v>16904</v>
      </c>
      <c r="G939" t="s">
        <v>16905</v>
      </c>
      <c r="H939">
        <v>93522409</v>
      </c>
      <c r="I939" t="s">
        <v>14292</v>
      </c>
      <c r="L939" t="s">
        <v>16906</v>
      </c>
      <c r="M939">
        <v>457</v>
      </c>
      <c r="N939" t="s">
        <v>16907</v>
      </c>
    </row>
    <row r="940" spans="1:14">
      <c r="A940" t="s">
        <v>9256</v>
      </c>
      <c r="B940">
        <v>1055768</v>
      </c>
      <c r="C940">
        <v>1056226</v>
      </c>
      <c r="E940" t="s">
        <v>14290</v>
      </c>
      <c r="F940" t="s">
        <v>14291</v>
      </c>
      <c r="H940">
        <v>93522410</v>
      </c>
      <c r="I940" t="s">
        <v>14292</v>
      </c>
      <c r="L940" t="s">
        <v>16908</v>
      </c>
      <c r="M940">
        <v>152</v>
      </c>
      <c r="N940" t="s">
        <v>16909</v>
      </c>
    </row>
    <row r="941" spans="1:14">
      <c r="A941" t="s">
        <v>9256</v>
      </c>
      <c r="B941">
        <v>1056328</v>
      </c>
      <c r="C941">
        <v>1057824</v>
      </c>
      <c r="E941" t="s">
        <v>14290</v>
      </c>
      <c r="F941" t="s">
        <v>16910</v>
      </c>
      <c r="H941">
        <v>93522411</v>
      </c>
      <c r="I941" t="s">
        <v>14292</v>
      </c>
      <c r="L941" t="s">
        <v>16911</v>
      </c>
      <c r="M941">
        <v>498</v>
      </c>
      <c r="N941" t="s">
        <v>16912</v>
      </c>
    </row>
    <row r="942" spans="1:14">
      <c r="A942" t="s">
        <v>9256</v>
      </c>
      <c r="B942">
        <v>1057916</v>
      </c>
      <c r="C942">
        <v>1058158</v>
      </c>
      <c r="E942" t="s">
        <v>14290</v>
      </c>
      <c r="F942" t="s">
        <v>16913</v>
      </c>
      <c r="H942">
        <v>93522412</v>
      </c>
      <c r="I942" t="s">
        <v>14292</v>
      </c>
      <c r="L942" t="s">
        <v>16914</v>
      </c>
      <c r="M942">
        <v>80</v>
      </c>
      <c r="N942" t="s">
        <v>16915</v>
      </c>
    </row>
    <row r="943" spans="1:14">
      <c r="A943" t="s">
        <v>9256</v>
      </c>
      <c r="B943">
        <v>1058431</v>
      </c>
      <c r="C943">
        <v>1059618</v>
      </c>
      <c r="E943" t="s">
        <v>14290</v>
      </c>
      <c r="F943" t="s">
        <v>16916</v>
      </c>
      <c r="G943" t="s">
        <v>16917</v>
      </c>
      <c r="H943">
        <v>93522413</v>
      </c>
      <c r="I943" t="s">
        <v>14292</v>
      </c>
      <c r="L943" t="s">
        <v>16918</v>
      </c>
      <c r="M943">
        <v>395</v>
      </c>
      <c r="N943" t="s">
        <v>16919</v>
      </c>
    </row>
    <row r="944" spans="1:14">
      <c r="A944" t="s">
        <v>9256</v>
      </c>
      <c r="B944">
        <v>1059627</v>
      </c>
      <c r="C944">
        <v>1060514</v>
      </c>
      <c r="E944" t="s">
        <v>14290</v>
      </c>
      <c r="F944" t="s">
        <v>16920</v>
      </c>
      <c r="G944" t="s">
        <v>16921</v>
      </c>
      <c r="H944">
        <v>93522414</v>
      </c>
      <c r="I944" t="s">
        <v>14292</v>
      </c>
      <c r="L944" t="s">
        <v>16922</v>
      </c>
      <c r="M944">
        <v>295</v>
      </c>
      <c r="N944" t="s">
        <v>16923</v>
      </c>
    </row>
    <row r="945" spans="1:14">
      <c r="A945" t="s">
        <v>9256</v>
      </c>
      <c r="B945">
        <v>1060530</v>
      </c>
      <c r="C945">
        <v>1061282</v>
      </c>
      <c r="E945" t="s">
        <v>14290</v>
      </c>
      <c r="F945" t="s">
        <v>16924</v>
      </c>
      <c r="G945" t="s">
        <v>16925</v>
      </c>
      <c r="H945">
        <v>93522415</v>
      </c>
      <c r="I945" t="s">
        <v>14292</v>
      </c>
      <c r="L945" t="s">
        <v>16926</v>
      </c>
      <c r="M945">
        <v>250</v>
      </c>
      <c r="N945" t="s">
        <v>16927</v>
      </c>
    </row>
    <row r="946" spans="1:14">
      <c r="A946" t="s">
        <v>9256</v>
      </c>
      <c r="B946">
        <v>1061314</v>
      </c>
      <c r="C946">
        <v>1061988</v>
      </c>
      <c r="E946" t="s">
        <v>14290</v>
      </c>
      <c r="F946" t="s">
        <v>16928</v>
      </c>
      <c r="G946" t="s">
        <v>16929</v>
      </c>
      <c r="H946">
        <v>93522416</v>
      </c>
      <c r="I946" t="s">
        <v>14292</v>
      </c>
      <c r="L946" t="s">
        <v>16930</v>
      </c>
      <c r="M946">
        <v>224</v>
      </c>
      <c r="N946" t="s">
        <v>16931</v>
      </c>
    </row>
    <row r="947" spans="1:14">
      <c r="A947" t="s">
        <v>9256</v>
      </c>
      <c r="B947">
        <v>1062029</v>
      </c>
      <c r="C947">
        <v>1063249</v>
      </c>
      <c r="E947" t="s">
        <v>14290</v>
      </c>
      <c r="F947" t="s">
        <v>16932</v>
      </c>
      <c r="H947">
        <v>93522417</v>
      </c>
      <c r="I947" t="s">
        <v>14292</v>
      </c>
      <c r="L947" t="s">
        <v>16933</v>
      </c>
      <c r="M947">
        <v>406</v>
      </c>
      <c r="N947" t="s">
        <v>16934</v>
      </c>
    </row>
    <row r="948" spans="1:14">
      <c r="A948" t="s">
        <v>9256</v>
      </c>
      <c r="B948">
        <v>1063310</v>
      </c>
      <c r="C948">
        <v>1065739</v>
      </c>
      <c r="E948" t="s">
        <v>14314</v>
      </c>
      <c r="F948" t="s">
        <v>16935</v>
      </c>
      <c r="H948">
        <v>93522418</v>
      </c>
      <c r="I948" t="s">
        <v>14292</v>
      </c>
      <c r="L948" t="s">
        <v>16936</v>
      </c>
      <c r="M948">
        <v>809</v>
      </c>
      <c r="N948" t="s">
        <v>16937</v>
      </c>
    </row>
    <row r="949" spans="1:14">
      <c r="A949" t="s">
        <v>9256</v>
      </c>
      <c r="B949">
        <v>1065822</v>
      </c>
      <c r="C949">
        <v>1067669</v>
      </c>
      <c r="E949" t="s">
        <v>14314</v>
      </c>
      <c r="F949" t="s">
        <v>14403</v>
      </c>
      <c r="H949">
        <v>93522419</v>
      </c>
      <c r="I949" t="s">
        <v>14292</v>
      </c>
      <c r="L949" t="s">
        <v>16938</v>
      </c>
      <c r="M949">
        <v>615</v>
      </c>
      <c r="N949" t="s">
        <v>16939</v>
      </c>
    </row>
    <row r="950" spans="1:14">
      <c r="A950" t="s">
        <v>9256</v>
      </c>
      <c r="B950">
        <v>1067799</v>
      </c>
      <c r="C950">
        <v>1068641</v>
      </c>
      <c r="E950" t="s">
        <v>14290</v>
      </c>
      <c r="F950" t="s">
        <v>16940</v>
      </c>
      <c r="H950">
        <v>93522420</v>
      </c>
      <c r="I950" t="s">
        <v>14292</v>
      </c>
      <c r="L950" t="s">
        <v>16941</v>
      </c>
      <c r="M950">
        <v>280</v>
      </c>
      <c r="N950" t="s">
        <v>16942</v>
      </c>
    </row>
    <row r="951" spans="1:14">
      <c r="A951" t="s">
        <v>9256</v>
      </c>
      <c r="B951">
        <v>1068645</v>
      </c>
      <c r="C951">
        <v>1069115</v>
      </c>
      <c r="E951" t="s">
        <v>14290</v>
      </c>
      <c r="F951" t="s">
        <v>16940</v>
      </c>
      <c r="H951">
        <v>93522421</v>
      </c>
      <c r="I951" t="s">
        <v>14292</v>
      </c>
      <c r="L951" t="s">
        <v>16943</v>
      </c>
      <c r="M951">
        <v>156</v>
      </c>
      <c r="N951" t="s">
        <v>16944</v>
      </c>
    </row>
    <row r="952" spans="1:14">
      <c r="A952" t="s">
        <v>9256</v>
      </c>
      <c r="B952">
        <v>1069119</v>
      </c>
      <c r="C952">
        <v>1070195</v>
      </c>
      <c r="E952" t="s">
        <v>14290</v>
      </c>
      <c r="F952" t="s">
        <v>16945</v>
      </c>
      <c r="H952">
        <v>93522422</v>
      </c>
      <c r="I952" t="s">
        <v>14292</v>
      </c>
      <c r="L952" t="s">
        <v>16946</v>
      </c>
      <c r="M952">
        <v>358</v>
      </c>
      <c r="N952" t="s">
        <v>16947</v>
      </c>
    </row>
    <row r="953" spans="1:14">
      <c r="A953" t="s">
        <v>9256</v>
      </c>
      <c r="B953">
        <v>1070253</v>
      </c>
      <c r="C953">
        <v>1072028</v>
      </c>
      <c r="E953" t="s">
        <v>14290</v>
      </c>
      <c r="F953" t="s">
        <v>16948</v>
      </c>
      <c r="H953">
        <v>93522423</v>
      </c>
      <c r="I953" t="s">
        <v>14292</v>
      </c>
      <c r="L953" t="s">
        <v>16949</v>
      </c>
      <c r="M953">
        <v>591</v>
      </c>
      <c r="N953" t="s">
        <v>16950</v>
      </c>
    </row>
    <row r="954" spans="1:14">
      <c r="A954" t="s">
        <v>9256</v>
      </c>
      <c r="B954">
        <v>1072205</v>
      </c>
      <c r="C954">
        <v>1074556</v>
      </c>
      <c r="E954" t="s">
        <v>14290</v>
      </c>
      <c r="F954" t="s">
        <v>15161</v>
      </c>
      <c r="H954">
        <v>93522424</v>
      </c>
      <c r="I954" t="s">
        <v>14292</v>
      </c>
      <c r="L954" t="s">
        <v>16951</v>
      </c>
      <c r="M954">
        <v>783</v>
      </c>
      <c r="N954" t="s">
        <v>16952</v>
      </c>
    </row>
    <row r="955" spans="1:14">
      <c r="A955" t="s">
        <v>9256</v>
      </c>
      <c r="B955">
        <v>1074617</v>
      </c>
      <c r="C955">
        <v>1075210</v>
      </c>
      <c r="E955" t="s">
        <v>14314</v>
      </c>
      <c r="F955" t="s">
        <v>14291</v>
      </c>
      <c r="H955">
        <v>93522425</v>
      </c>
      <c r="I955" t="s">
        <v>14292</v>
      </c>
      <c r="L955" t="s">
        <v>16953</v>
      </c>
      <c r="M955">
        <v>197</v>
      </c>
      <c r="N955" t="s">
        <v>16954</v>
      </c>
    </row>
    <row r="956" spans="1:14">
      <c r="A956" t="s">
        <v>9256</v>
      </c>
      <c r="B956">
        <v>1075395</v>
      </c>
      <c r="C956">
        <v>1075691</v>
      </c>
      <c r="E956" t="s">
        <v>14290</v>
      </c>
      <c r="F956" t="s">
        <v>16955</v>
      </c>
      <c r="H956">
        <v>93522426</v>
      </c>
      <c r="I956" t="s">
        <v>14292</v>
      </c>
      <c r="L956" t="s">
        <v>16956</v>
      </c>
      <c r="M956">
        <v>98</v>
      </c>
      <c r="N956" t="s">
        <v>16957</v>
      </c>
    </row>
    <row r="957" spans="1:14">
      <c r="A957" t="s">
        <v>9256</v>
      </c>
      <c r="B957">
        <v>1075774</v>
      </c>
      <c r="C957">
        <v>1077426</v>
      </c>
      <c r="E957" t="s">
        <v>14314</v>
      </c>
      <c r="F957" t="s">
        <v>15756</v>
      </c>
      <c r="H957">
        <v>93522427</v>
      </c>
      <c r="I957" t="s">
        <v>14292</v>
      </c>
      <c r="L957" t="s">
        <v>16958</v>
      </c>
      <c r="M957">
        <v>550</v>
      </c>
      <c r="N957" t="s">
        <v>16959</v>
      </c>
    </row>
    <row r="958" spans="1:14">
      <c r="A958" t="s">
        <v>9256</v>
      </c>
      <c r="B958">
        <v>1077828</v>
      </c>
      <c r="C958">
        <v>1077959</v>
      </c>
      <c r="E958" t="s">
        <v>14314</v>
      </c>
      <c r="F958" t="s">
        <v>14291</v>
      </c>
      <c r="H958">
        <v>93525967</v>
      </c>
      <c r="I958" t="s">
        <v>14292</v>
      </c>
      <c r="L958" t="s">
        <v>16960</v>
      </c>
      <c r="M958">
        <v>43</v>
      </c>
      <c r="N958" t="s">
        <v>16961</v>
      </c>
    </row>
    <row r="959" spans="1:14">
      <c r="A959" t="s">
        <v>9256</v>
      </c>
      <c r="B959">
        <v>1078048</v>
      </c>
      <c r="C959">
        <v>1078899</v>
      </c>
      <c r="E959" t="s">
        <v>14290</v>
      </c>
      <c r="F959" t="s">
        <v>14933</v>
      </c>
      <c r="H959">
        <v>93522428</v>
      </c>
      <c r="I959" t="s">
        <v>14292</v>
      </c>
      <c r="L959" t="s">
        <v>16962</v>
      </c>
      <c r="M959">
        <v>283</v>
      </c>
      <c r="N959" t="s">
        <v>16963</v>
      </c>
    </row>
    <row r="960" spans="1:14">
      <c r="A960" t="s">
        <v>9256</v>
      </c>
      <c r="B960">
        <v>1079014</v>
      </c>
      <c r="C960">
        <v>1079223</v>
      </c>
      <c r="E960" t="s">
        <v>14290</v>
      </c>
      <c r="F960" t="s">
        <v>14291</v>
      </c>
      <c r="H960">
        <v>93522429</v>
      </c>
      <c r="I960" t="s">
        <v>14292</v>
      </c>
      <c r="L960" t="s">
        <v>16964</v>
      </c>
      <c r="M960">
        <v>69</v>
      </c>
      <c r="N960" t="s">
        <v>16965</v>
      </c>
    </row>
    <row r="961" spans="1:14">
      <c r="A961" t="s">
        <v>9256</v>
      </c>
      <c r="B961">
        <v>1079220</v>
      </c>
      <c r="C961">
        <v>1079495</v>
      </c>
      <c r="E961" t="s">
        <v>14290</v>
      </c>
      <c r="F961" t="s">
        <v>16966</v>
      </c>
      <c r="H961">
        <v>93522430</v>
      </c>
      <c r="I961" t="s">
        <v>14292</v>
      </c>
      <c r="L961" t="s">
        <v>16967</v>
      </c>
      <c r="M961">
        <v>91</v>
      </c>
      <c r="N961" t="s">
        <v>16968</v>
      </c>
    </row>
    <row r="962" spans="1:14">
      <c r="A962" t="s">
        <v>9256</v>
      </c>
      <c r="B962">
        <v>1079548</v>
      </c>
      <c r="C962">
        <v>1080861</v>
      </c>
      <c r="E962" t="s">
        <v>14314</v>
      </c>
      <c r="F962" t="s">
        <v>16969</v>
      </c>
      <c r="G962" t="s">
        <v>16970</v>
      </c>
      <c r="H962">
        <v>93522431</v>
      </c>
      <c r="I962" t="s">
        <v>14292</v>
      </c>
      <c r="L962" t="s">
        <v>16971</v>
      </c>
      <c r="M962">
        <v>437</v>
      </c>
      <c r="N962" t="s">
        <v>16972</v>
      </c>
    </row>
    <row r="963" spans="1:14">
      <c r="A963" t="s">
        <v>9256</v>
      </c>
      <c r="B963">
        <v>1080886</v>
      </c>
      <c r="C963">
        <v>1081776</v>
      </c>
      <c r="E963" t="s">
        <v>14314</v>
      </c>
      <c r="F963" t="s">
        <v>16973</v>
      </c>
      <c r="G963" t="s">
        <v>16974</v>
      </c>
      <c r="H963">
        <v>93522432</v>
      </c>
      <c r="I963" t="s">
        <v>14292</v>
      </c>
      <c r="L963" t="s">
        <v>16975</v>
      </c>
      <c r="M963">
        <v>296</v>
      </c>
      <c r="N963" t="s">
        <v>16976</v>
      </c>
    </row>
    <row r="964" spans="1:14">
      <c r="A964" t="s">
        <v>9256</v>
      </c>
      <c r="B964">
        <v>1081760</v>
      </c>
      <c r="C964">
        <v>1082764</v>
      </c>
      <c r="E964" t="s">
        <v>14314</v>
      </c>
      <c r="F964" t="s">
        <v>16977</v>
      </c>
      <c r="H964">
        <v>93522433</v>
      </c>
      <c r="I964" t="s">
        <v>14292</v>
      </c>
      <c r="L964" t="s">
        <v>16978</v>
      </c>
      <c r="M964">
        <v>334</v>
      </c>
      <c r="N964" t="s">
        <v>16979</v>
      </c>
    </row>
    <row r="965" spans="1:14">
      <c r="A965" t="s">
        <v>9256</v>
      </c>
      <c r="B965">
        <v>1082868</v>
      </c>
      <c r="C965">
        <v>1083053</v>
      </c>
      <c r="E965" t="s">
        <v>14314</v>
      </c>
      <c r="F965" t="s">
        <v>16980</v>
      </c>
      <c r="G965" t="s">
        <v>16981</v>
      </c>
      <c r="H965">
        <v>93522434</v>
      </c>
      <c r="I965" t="s">
        <v>14292</v>
      </c>
      <c r="L965" t="s">
        <v>16982</v>
      </c>
      <c r="M965">
        <v>61</v>
      </c>
      <c r="N965" t="s">
        <v>16983</v>
      </c>
    </row>
    <row r="966" spans="1:14">
      <c r="A966" t="s">
        <v>9256</v>
      </c>
      <c r="B966">
        <v>1083066</v>
      </c>
      <c r="C966">
        <v>1083656</v>
      </c>
      <c r="E966" t="s">
        <v>14314</v>
      </c>
      <c r="F966" t="s">
        <v>16984</v>
      </c>
      <c r="H966">
        <v>93522435</v>
      </c>
      <c r="I966" t="s">
        <v>14292</v>
      </c>
      <c r="L966" t="s">
        <v>16985</v>
      </c>
      <c r="M966">
        <v>196</v>
      </c>
      <c r="N966" t="s">
        <v>16986</v>
      </c>
    </row>
    <row r="967" spans="1:14">
      <c r="A967" t="s">
        <v>9256</v>
      </c>
      <c r="B967">
        <v>1083745</v>
      </c>
      <c r="C967">
        <v>1084902</v>
      </c>
      <c r="E967" t="s">
        <v>14314</v>
      </c>
      <c r="F967" t="s">
        <v>14493</v>
      </c>
      <c r="H967">
        <v>93522436</v>
      </c>
      <c r="I967" t="s">
        <v>14292</v>
      </c>
      <c r="L967" t="s">
        <v>16987</v>
      </c>
      <c r="M967">
        <v>385</v>
      </c>
      <c r="N967" t="s">
        <v>16988</v>
      </c>
    </row>
    <row r="968" spans="1:14">
      <c r="A968" t="s">
        <v>9256</v>
      </c>
      <c r="B968">
        <v>1085163</v>
      </c>
      <c r="C968">
        <v>1085273</v>
      </c>
      <c r="E968" t="s">
        <v>14314</v>
      </c>
      <c r="F968" t="s">
        <v>16989</v>
      </c>
      <c r="G968" t="s">
        <v>16990</v>
      </c>
      <c r="H968">
        <v>93522437</v>
      </c>
      <c r="I968" t="s">
        <v>16991</v>
      </c>
      <c r="N968" t="s">
        <v>16992</v>
      </c>
    </row>
    <row r="969" spans="1:14">
      <c r="A969" t="s">
        <v>9256</v>
      </c>
      <c r="B969">
        <v>1085357</v>
      </c>
      <c r="C969">
        <v>1088234</v>
      </c>
      <c r="E969" t="s">
        <v>14314</v>
      </c>
      <c r="F969" t="s">
        <v>16993</v>
      </c>
      <c r="H969">
        <v>93522438</v>
      </c>
      <c r="I969" t="s">
        <v>16991</v>
      </c>
      <c r="N969" t="s">
        <v>16994</v>
      </c>
    </row>
    <row r="970" spans="1:14">
      <c r="A970" t="s">
        <v>9256</v>
      </c>
      <c r="B970">
        <v>1088340</v>
      </c>
      <c r="C970">
        <v>1088413</v>
      </c>
      <c r="E970" t="s">
        <v>14314</v>
      </c>
      <c r="F970" t="s">
        <v>16995</v>
      </c>
      <c r="H970">
        <v>93522439</v>
      </c>
      <c r="I970" t="s">
        <v>13638</v>
      </c>
      <c r="N970" t="s">
        <v>16996</v>
      </c>
    </row>
    <row r="971" spans="1:14">
      <c r="A971" t="s">
        <v>9256</v>
      </c>
      <c r="B971">
        <v>1088424</v>
      </c>
      <c r="C971">
        <v>1088497</v>
      </c>
      <c r="E971" t="s">
        <v>14314</v>
      </c>
      <c r="F971" t="s">
        <v>16997</v>
      </c>
      <c r="H971">
        <v>93522440</v>
      </c>
      <c r="I971" t="s">
        <v>13638</v>
      </c>
      <c r="N971" t="s">
        <v>16998</v>
      </c>
    </row>
    <row r="972" spans="1:14">
      <c r="A972" t="s">
        <v>9256</v>
      </c>
      <c r="B972">
        <v>1088647</v>
      </c>
      <c r="C972">
        <v>1090171</v>
      </c>
      <c r="E972" t="s">
        <v>14314</v>
      </c>
      <c r="F972" t="s">
        <v>16999</v>
      </c>
      <c r="H972">
        <v>93522441</v>
      </c>
      <c r="I972" t="s">
        <v>16991</v>
      </c>
      <c r="N972" t="s">
        <v>17000</v>
      </c>
    </row>
    <row r="973" spans="1:14">
      <c r="A973" t="s">
        <v>9256</v>
      </c>
      <c r="B973">
        <v>1091055</v>
      </c>
      <c r="C973">
        <v>1091591</v>
      </c>
      <c r="E973" t="s">
        <v>14290</v>
      </c>
      <c r="F973" t="s">
        <v>17001</v>
      </c>
      <c r="H973">
        <v>93522442</v>
      </c>
      <c r="I973" t="s">
        <v>14292</v>
      </c>
      <c r="L973" t="s">
        <v>17002</v>
      </c>
      <c r="M973">
        <v>178</v>
      </c>
      <c r="N973" t="s">
        <v>17003</v>
      </c>
    </row>
    <row r="974" spans="1:14">
      <c r="A974" t="s">
        <v>9256</v>
      </c>
      <c r="B974">
        <v>1091682</v>
      </c>
      <c r="C974">
        <v>1092437</v>
      </c>
      <c r="E974" t="s">
        <v>14290</v>
      </c>
      <c r="F974" t="s">
        <v>14291</v>
      </c>
      <c r="H974">
        <v>93522443</v>
      </c>
      <c r="I974" t="s">
        <v>14292</v>
      </c>
      <c r="L974" t="s">
        <v>17004</v>
      </c>
      <c r="M974">
        <v>251</v>
      </c>
      <c r="N974" t="s">
        <v>17005</v>
      </c>
    </row>
    <row r="975" spans="1:14">
      <c r="A975" t="s">
        <v>9256</v>
      </c>
      <c r="B975">
        <v>1092457</v>
      </c>
      <c r="C975">
        <v>1093965</v>
      </c>
      <c r="E975" t="s">
        <v>14290</v>
      </c>
      <c r="F975" t="s">
        <v>17006</v>
      </c>
      <c r="H975">
        <v>93522444</v>
      </c>
      <c r="I975" t="s">
        <v>14292</v>
      </c>
      <c r="L975" t="s">
        <v>17007</v>
      </c>
      <c r="M975">
        <v>502</v>
      </c>
      <c r="N975" t="s">
        <v>17008</v>
      </c>
    </row>
    <row r="976" spans="1:14">
      <c r="A976" t="s">
        <v>9256</v>
      </c>
      <c r="B976">
        <v>1094003</v>
      </c>
      <c r="C976">
        <v>1094455</v>
      </c>
      <c r="E976" t="s">
        <v>14290</v>
      </c>
      <c r="F976" t="s">
        <v>17009</v>
      </c>
      <c r="H976">
        <v>93522445</v>
      </c>
      <c r="I976" t="s">
        <v>14292</v>
      </c>
      <c r="L976" t="s">
        <v>17010</v>
      </c>
      <c r="M976">
        <v>150</v>
      </c>
      <c r="N976" t="s">
        <v>17011</v>
      </c>
    </row>
    <row r="977" spans="1:14">
      <c r="A977" t="s">
        <v>9256</v>
      </c>
      <c r="B977">
        <v>1094455</v>
      </c>
      <c r="C977">
        <v>1094958</v>
      </c>
      <c r="E977" t="s">
        <v>14290</v>
      </c>
      <c r="F977" t="s">
        <v>17009</v>
      </c>
      <c r="H977">
        <v>93522446</v>
      </c>
      <c r="I977" t="s">
        <v>14292</v>
      </c>
      <c r="L977" t="s">
        <v>17012</v>
      </c>
      <c r="M977">
        <v>167</v>
      </c>
      <c r="N977" t="s">
        <v>17013</v>
      </c>
    </row>
    <row r="978" spans="1:14">
      <c r="A978" t="s">
        <v>9256</v>
      </c>
      <c r="B978">
        <v>1095120</v>
      </c>
      <c r="C978">
        <v>1095776</v>
      </c>
      <c r="E978" t="s">
        <v>14290</v>
      </c>
      <c r="F978" t="s">
        <v>14291</v>
      </c>
      <c r="H978">
        <v>93522447</v>
      </c>
      <c r="I978" t="s">
        <v>14292</v>
      </c>
      <c r="L978" t="s">
        <v>17014</v>
      </c>
      <c r="M978">
        <v>218</v>
      </c>
      <c r="N978" t="s">
        <v>17015</v>
      </c>
    </row>
    <row r="979" spans="1:14">
      <c r="A979" t="s">
        <v>9256</v>
      </c>
      <c r="B979">
        <v>1095776</v>
      </c>
      <c r="C979">
        <v>1097539</v>
      </c>
      <c r="E979" t="s">
        <v>14290</v>
      </c>
      <c r="F979" t="s">
        <v>17016</v>
      </c>
      <c r="G979" t="s">
        <v>17017</v>
      </c>
      <c r="H979">
        <v>93522448</v>
      </c>
      <c r="I979" t="s">
        <v>14292</v>
      </c>
      <c r="L979" t="s">
        <v>17018</v>
      </c>
      <c r="M979">
        <v>587</v>
      </c>
      <c r="N979" t="s">
        <v>17019</v>
      </c>
    </row>
    <row r="980" spans="1:14">
      <c r="A980" t="s">
        <v>9256</v>
      </c>
      <c r="B980">
        <v>1097552</v>
      </c>
      <c r="C980">
        <v>1097956</v>
      </c>
      <c r="E980" t="s">
        <v>14290</v>
      </c>
      <c r="F980" t="s">
        <v>17020</v>
      </c>
      <c r="H980">
        <v>93522449</v>
      </c>
      <c r="I980" t="s">
        <v>14292</v>
      </c>
      <c r="L980" t="s">
        <v>17021</v>
      </c>
      <c r="M980">
        <v>134</v>
      </c>
      <c r="N980" t="s">
        <v>17022</v>
      </c>
    </row>
    <row r="981" spans="1:14">
      <c r="A981" t="s">
        <v>9256</v>
      </c>
      <c r="B981">
        <v>1097953</v>
      </c>
      <c r="C981">
        <v>1101324</v>
      </c>
      <c r="E981" t="s">
        <v>14290</v>
      </c>
      <c r="F981" t="s">
        <v>14291</v>
      </c>
      <c r="H981">
        <v>93522450</v>
      </c>
      <c r="I981" t="s">
        <v>14292</v>
      </c>
      <c r="L981" t="s">
        <v>17023</v>
      </c>
      <c r="M981">
        <v>1123</v>
      </c>
      <c r="N981" t="s">
        <v>17024</v>
      </c>
    </row>
    <row r="982" spans="1:14">
      <c r="A982" t="s">
        <v>9256</v>
      </c>
      <c r="B982">
        <v>1101337</v>
      </c>
      <c r="C982">
        <v>1102077</v>
      </c>
      <c r="E982" t="s">
        <v>14290</v>
      </c>
      <c r="F982" t="s">
        <v>14291</v>
      </c>
      <c r="H982">
        <v>93522451</v>
      </c>
      <c r="I982" t="s">
        <v>14292</v>
      </c>
      <c r="L982" t="s">
        <v>17025</v>
      </c>
      <c r="M982">
        <v>246</v>
      </c>
      <c r="N982" t="s">
        <v>17026</v>
      </c>
    </row>
    <row r="983" spans="1:14">
      <c r="A983" t="s">
        <v>9256</v>
      </c>
      <c r="B983">
        <v>1102080</v>
      </c>
      <c r="C983">
        <v>1103798</v>
      </c>
      <c r="E983" t="s">
        <v>14290</v>
      </c>
      <c r="F983" t="s">
        <v>14291</v>
      </c>
      <c r="H983">
        <v>93522452</v>
      </c>
      <c r="I983" t="s">
        <v>14292</v>
      </c>
      <c r="L983" t="s">
        <v>17027</v>
      </c>
      <c r="M983">
        <v>572</v>
      </c>
      <c r="N983" t="s">
        <v>17028</v>
      </c>
    </row>
    <row r="984" spans="1:14">
      <c r="A984" t="s">
        <v>9256</v>
      </c>
      <c r="B984">
        <v>1103809</v>
      </c>
      <c r="C984">
        <v>1105932</v>
      </c>
      <c r="E984" t="s">
        <v>14290</v>
      </c>
      <c r="F984" t="s">
        <v>14291</v>
      </c>
      <c r="H984">
        <v>93522453</v>
      </c>
      <c r="I984" t="s">
        <v>14292</v>
      </c>
      <c r="L984" t="s">
        <v>17029</v>
      </c>
      <c r="M984">
        <v>707</v>
      </c>
      <c r="N984" t="s">
        <v>17030</v>
      </c>
    </row>
    <row r="985" spans="1:14">
      <c r="A985" t="s">
        <v>9256</v>
      </c>
      <c r="B985">
        <v>1105934</v>
      </c>
      <c r="C985">
        <v>1107241</v>
      </c>
      <c r="E985" t="s">
        <v>14314</v>
      </c>
      <c r="F985" t="s">
        <v>14870</v>
      </c>
      <c r="H985">
        <v>93522454</v>
      </c>
      <c r="I985" t="s">
        <v>14292</v>
      </c>
      <c r="L985" t="s">
        <v>17031</v>
      </c>
      <c r="M985">
        <v>435</v>
      </c>
      <c r="N985" t="s">
        <v>17032</v>
      </c>
    </row>
    <row r="986" spans="1:14">
      <c r="A986" t="s">
        <v>9256</v>
      </c>
      <c r="B986">
        <v>1107238</v>
      </c>
      <c r="C986">
        <v>1107825</v>
      </c>
      <c r="E986" t="s">
        <v>14314</v>
      </c>
      <c r="F986" t="s">
        <v>17033</v>
      </c>
      <c r="H986">
        <v>93522455</v>
      </c>
      <c r="I986" t="s">
        <v>14292</v>
      </c>
      <c r="L986" t="s">
        <v>17034</v>
      </c>
      <c r="M986">
        <v>195</v>
      </c>
      <c r="N986" t="s">
        <v>17035</v>
      </c>
    </row>
    <row r="987" spans="1:14">
      <c r="A987" t="s">
        <v>9256</v>
      </c>
      <c r="B987">
        <v>1107847</v>
      </c>
      <c r="C987">
        <v>1110975</v>
      </c>
      <c r="E987" t="s">
        <v>14314</v>
      </c>
      <c r="F987" t="s">
        <v>17036</v>
      </c>
      <c r="H987">
        <v>93522456</v>
      </c>
      <c r="I987" t="s">
        <v>14292</v>
      </c>
      <c r="L987" t="s">
        <v>17037</v>
      </c>
      <c r="M987">
        <v>1042</v>
      </c>
      <c r="N987" t="s">
        <v>17038</v>
      </c>
    </row>
    <row r="988" spans="1:14">
      <c r="A988" t="s">
        <v>9256</v>
      </c>
      <c r="B988">
        <v>1111386</v>
      </c>
      <c r="C988">
        <v>1112678</v>
      </c>
      <c r="E988" t="s">
        <v>14290</v>
      </c>
      <c r="F988" t="s">
        <v>15435</v>
      </c>
      <c r="H988">
        <v>93522457</v>
      </c>
      <c r="I988" t="s">
        <v>14292</v>
      </c>
      <c r="L988" t="s">
        <v>17039</v>
      </c>
      <c r="M988">
        <v>430</v>
      </c>
      <c r="N988" t="s">
        <v>17040</v>
      </c>
    </row>
    <row r="989" spans="1:14">
      <c r="A989" t="s">
        <v>9256</v>
      </c>
      <c r="B989">
        <v>1112783</v>
      </c>
      <c r="C989">
        <v>1115599</v>
      </c>
      <c r="E989" t="s">
        <v>14290</v>
      </c>
      <c r="F989" t="s">
        <v>17041</v>
      </c>
      <c r="H989">
        <v>93522458</v>
      </c>
      <c r="I989" t="s">
        <v>14292</v>
      </c>
      <c r="L989" t="s">
        <v>17042</v>
      </c>
      <c r="M989">
        <v>938</v>
      </c>
      <c r="N989" t="s">
        <v>17043</v>
      </c>
    </row>
    <row r="990" spans="1:14">
      <c r="A990" t="s">
        <v>9256</v>
      </c>
      <c r="B990">
        <v>1115657</v>
      </c>
      <c r="C990">
        <v>1116040</v>
      </c>
      <c r="E990" t="s">
        <v>14314</v>
      </c>
      <c r="F990" t="s">
        <v>14291</v>
      </c>
      <c r="H990">
        <v>93522459</v>
      </c>
      <c r="I990" t="s">
        <v>14292</v>
      </c>
      <c r="L990" t="s">
        <v>17044</v>
      </c>
      <c r="M990">
        <v>127</v>
      </c>
      <c r="N990" t="s">
        <v>17045</v>
      </c>
    </row>
    <row r="991" spans="1:14">
      <c r="A991" t="s">
        <v>9256</v>
      </c>
      <c r="B991">
        <v>1116162</v>
      </c>
      <c r="C991">
        <v>1117340</v>
      </c>
      <c r="E991" t="s">
        <v>14314</v>
      </c>
      <c r="F991" t="s">
        <v>17046</v>
      </c>
      <c r="H991">
        <v>93522460</v>
      </c>
      <c r="I991" t="s">
        <v>14292</v>
      </c>
      <c r="L991" t="s">
        <v>17047</v>
      </c>
      <c r="M991">
        <v>392</v>
      </c>
      <c r="N991" t="s">
        <v>17048</v>
      </c>
    </row>
    <row r="992" spans="1:14">
      <c r="A992" t="s">
        <v>9256</v>
      </c>
      <c r="B992">
        <v>1117374</v>
      </c>
      <c r="C992">
        <v>1118789</v>
      </c>
      <c r="E992" t="s">
        <v>14314</v>
      </c>
      <c r="F992" t="s">
        <v>17049</v>
      </c>
      <c r="H992">
        <v>93522461</v>
      </c>
      <c r="I992" t="s">
        <v>14292</v>
      </c>
      <c r="L992" t="s">
        <v>17050</v>
      </c>
      <c r="M992">
        <v>471</v>
      </c>
      <c r="N992" t="s">
        <v>17051</v>
      </c>
    </row>
    <row r="993" spans="1:14">
      <c r="A993" t="s">
        <v>9256</v>
      </c>
      <c r="B993">
        <v>1118807</v>
      </c>
      <c r="C993">
        <v>1120147</v>
      </c>
      <c r="E993" t="s">
        <v>14314</v>
      </c>
      <c r="F993" t="s">
        <v>17052</v>
      </c>
      <c r="H993">
        <v>93522462</v>
      </c>
      <c r="I993" t="s">
        <v>14292</v>
      </c>
      <c r="L993" t="s">
        <v>17053</v>
      </c>
      <c r="M993">
        <v>446</v>
      </c>
      <c r="N993" t="s">
        <v>17054</v>
      </c>
    </row>
    <row r="994" spans="1:14">
      <c r="A994" t="s">
        <v>9256</v>
      </c>
      <c r="B994">
        <v>1120259</v>
      </c>
      <c r="C994">
        <v>1121848</v>
      </c>
      <c r="E994" t="s">
        <v>14314</v>
      </c>
      <c r="F994" t="s">
        <v>15179</v>
      </c>
      <c r="H994">
        <v>93522463</v>
      </c>
      <c r="I994" t="s">
        <v>14292</v>
      </c>
      <c r="L994" t="s">
        <v>17055</v>
      </c>
      <c r="M994">
        <v>529</v>
      </c>
      <c r="N994" t="s">
        <v>17056</v>
      </c>
    </row>
    <row r="995" spans="1:14">
      <c r="A995" t="s">
        <v>9256</v>
      </c>
      <c r="B995">
        <v>1121861</v>
      </c>
      <c r="C995">
        <v>1125037</v>
      </c>
      <c r="E995" t="s">
        <v>14314</v>
      </c>
      <c r="F995" t="s">
        <v>15450</v>
      </c>
      <c r="H995">
        <v>93522464</v>
      </c>
      <c r="I995" t="s">
        <v>14292</v>
      </c>
      <c r="L995" t="s">
        <v>17057</v>
      </c>
      <c r="M995">
        <v>1058</v>
      </c>
      <c r="N995" t="s">
        <v>17058</v>
      </c>
    </row>
    <row r="996" spans="1:14">
      <c r="A996" t="s">
        <v>9256</v>
      </c>
      <c r="B996">
        <v>1125319</v>
      </c>
      <c r="C996">
        <v>1126329</v>
      </c>
      <c r="E996" t="s">
        <v>14314</v>
      </c>
      <c r="F996" t="s">
        <v>14972</v>
      </c>
      <c r="H996">
        <v>93522465</v>
      </c>
      <c r="I996" t="s">
        <v>14292</v>
      </c>
      <c r="L996" t="s">
        <v>17059</v>
      </c>
      <c r="M996">
        <v>336</v>
      </c>
      <c r="N996" t="s">
        <v>17060</v>
      </c>
    </row>
    <row r="997" spans="1:14">
      <c r="A997" t="s">
        <v>9256</v>
      </c>
      <c r="B997">
        <v>1126398</v>
      </c>
      <c r="C997">
        <v>1126970</v>
      </c>
      <c r="E997" t="s">
        <v>14314</v>
      </c>
      <c r="F997" t="s">
        <v>15442</v>
      </c>
      <c r="H997">
        <v>93522466</v>
      </c>
      <c r="I997" t="s">
        <v>14292</v>
      </c>
      <c r="L997" t="s">
        <v>17061</v>
      </c>
      <c r="M997">
        <v>190</v>
      </c>
      <c r="N997" t="s">
        <v>17062</v>
      </c>
    </row>
    <row r="998" spans="1:14">
      <c r="A998" t="s">
        <v>9256</v>
      </c>
      <c r="B998">
        <v>1127117</v>
      </c>
      <c r="C998">
        <v>1128628</v>
      </c>
      <c r="E998" t="s">
        <v>14314</v>
      </c>
      <c r="F998" t="s">
        <v>15339</v>
      </c>
      <c r="H998">
        <v>93522467</v>
      </c>
      <c r="I998" t="s">
        <v>14292</v>
      </c>
      <c r="L998" t="s">
        <v>17063</v>
      </c>
      <c r="M998">
        <v>503</v>
      </c>
      <c r="N998" t="s">
        <v>17064</v>
      </c>
    </row>
    <row r="999" spans="1:14">
      <c r="A999" t="s">
        <v>9256</v>
      </c>
      <c r="B999">
        <v>1128642</v>
      </c>
      <c r="C999">
        <v>1129313</v>
      </c>
      <c r="E999" t="s">
        <v>14314</v>
      </c>
      <c r="F999" t="s">
        <v>15435</v>
      </c>
      <c r="H999">
        <v>93522468</v>
      </c>
      <c r="I999" t="s">
        <v>14292</v>
      </c>
      <c r="L999" t="s">
        <v>17065</v>
      </c>
      <c r="M999">
        <v>223</v>
      </c>
      <c r="N999" t="s">
        <v>17066</v>
      </c>
    </row>
    <row r="1000" spans="1:14">
      <c r="A1000" t="s">
        <v>9256</v>
      </c>
      <c r="B1000">
        <v>1129330</v>
      </c>
      <c r="C1000">
        <v>1131018</v>
      </c>
      <c r="E1000" t="s">
        <v>14314</v>
      </c>
      <c r="F1000" t="s">
        <v>15179</v>
      </c>
      <c r="H1000">
        <v>93522469</v>
      </c>
      <c r="I1000" t="s">
        <v>14292</v>
      </c>
      <c r="L1000" t="s">
        <v>17067</v>
      </c>
      <c r="M1000">
        <v>562</v>
      </c>
      <c r="N1000" t="s">
        <v>17068</v>
      </c>
    </row>
    <row r="1001" spans="1:14">
      <c r="A1001" t="s">
        <v>9256</v>
      </c>
      <c r="B1001">
        <v>1131036</v>
      </c>
      <c r="C1001">
        <v>1134296</v>
      </c>
      <c r="E1001" t="s">
        <v>14314</v>
      </c>
      <c r="F1001" t="s">
        <v>14965</v>
      </c>
      <c r="H1001">
        <v>93522470</v>
      </c>
      <c r="I1001" t="s">
        <v>14292</v>
      </c>
      <c r="L1001" t="s">
        <v>17069</v>
      </c>
      <c r="M1001">
        <v>1086</v>
      </c>
      <c r="N1001" t="s">
        <v>17070</v>
      </c>
    </row>
    <row r="1002" spans="1:14">
      <c r="A1002" t="s">
        <v>9256</v>
      </c>
      <c r="B1002">
        <v>1134481</v>
      </c>
      <c r="C1002">
        <v>1135539</v>
      </c>
      <c r="E1002" t="s">
        <v>14314</v>
      </c>
      <c r="F1002" t="s">
        <v>14972</v>
      </c>
      <c r="H1002">
        <v>93522471</v>
      </c>
      <c r="I1002" t="s">
        <v>14292</v>
      </c>
      <c r="L1002" t="s">
        <v>17071</v>
      </c>
      <c r="M1002">
        <v>352</v>
      </c>
      <c r="N1002" t="s">
        <v>17072</v>
      </c>
    </row>
    <row r="1003" spans="1:14">
      <c r="A1003" t="s">
        <v>9256</v>
      </c>
      <c r="B1003">
        <v>1135811</v>
      </c>
      <c r="C1003">
        <v>1136362</v>
      </c>
      <c r="E1003" t="s">
        <v>14290</v>
      </c>
      <c r="F1003" t="s">
        <v>14982</v>
      </c>
      <c r="H1003">
        <v>93522472</v>
      </c>
      <c r="I1003" t="s">
        <v>14292</v>
      </c>
      <c r="L1003" t="s">
        <v>17073</v>
      </c>
      <c r="M1003">
        <v>183</v>
      </c>
      <c r="N1003" t="s">
        <v>17074</v>
      </c>
    </row>
    <row r="1004" spans="1:14">
      <c r="A1004" t="s">
        <v>9256</v>
      </c>
      <c r="B1004">
        <v>1136493</v>
      </c>
      <c r="C1004">
        <v>1139312</v>
      </c>
      <c r="E1004" t="s">
        <v>14290</v>
      </c>
      <c r="F1004" t="s">
        <v>15450</v>
      </c>
      <c r="H1004">
        <v>93522473</v>
      </c>
      <c r="I1004" t="s">
        <v>14292</v>
      </c>
      <c r="L1004" t="s">
        <v>17075</v>
      </c>
      <c r="M1004">
        <v>939</v>
      </c>
      <c r="N1004" t="s">
        <v>17076</v>
      </c>
    </row>
    <row r="1005" spans="1:14">
      <c r="A1005" t="s">
        <v>9256</v>
      </c>
      <c r="B1005">
        <v>1139577</v>
      </c>
      <c r="C1005">
        <v>1141136</v>
      </c>
      <c r="E1005" t="s">
        <v>14290</v>
      </c>
      <c r="F1005" t="s">
        <v>14493</v>
      </c>
      <c r="H1005">
        <v>93522474</v>
      </c>
      <c r="I1005" t="s">
        <v>14292</v>
      </c>
      <c r="L1005" t="s">
        <v>17077</v>
      </c>
      <c r="M1005">
        <v>519</v>
      </c>
      <c r="N1005" t="s">
        <v>17078</v>
      </c>
    </row>
    <row r="1006" spans="1:14">
      <c r="A1006" t="s">
        <v>9256</v>
      </c>
      <c r="B1006">
        <v>1141139</v>
      </c>
      <c r="C1006">
        <v>1141870</v>
      </c>
      <c r="E1006" t="s">
        <v>14290</v>
      </c>
      <c r="F1006" t="s">
        <v>14490</v>
      </c>
      <c r="H1006">
        <v>93522475</v>
      </c>
      <c r="I1006" t="s">
        <v>14292</v>
      </c>
      <c r="L1006" t="s">
        <v>17079</v>
      </c>
      <c r="M1006">
        <v>243</v>
      </c>
      <c r="N1006" t="s">
        <v>17080</v>
      </c>
    </row>
    <row r="1007" spans="1:14">
      <c r="A1007" t="s">
        <v>9256</v>
      </c>
      <c r="B1007">
        <v>1141924</v>
      </c>
      <c r="C1007">
        <v>1143333</v>
      </c>
      <c r="E1007" t="s">
        <v>14314</v>
      </c>
      <c r="F1007" t="s">
        <v>17081</v>
      </c>
      <c r="H1007">
        <v>93522476</v>
      </c>
      <c r="I1007" t="s">
        <v>14292</v>
      </c>
      <c r="L1007" t="s">
        <v>17082</v>
      </c>
      <c r="M1007">
        <v>469</v>
      </c>
      <c r="N1007" t="s">
        <v>17083</v>
      </c>
    </row>
    <row r="1008" spans="1:14">
      <c r="A1008" t="s">
        <v>9256</v>
      </c>
      <c r="B1008">
        <v>1143449</v>
      </c>
      <c r="C1008">
        <v>1143898</v>
      </c>
      <c r="E1008" t="s">
        <v>14314</v>
      </c>
      <c r="F1008" t="s">
        <v>17084</v>
      </c>
      <c r="H1008">
        <v>93522477</v>
      </c>
      <c r="I1008" t="s">
        <v>14292</v>
      </c>
      <c r="L1008" t="s">
        <v>17085</v>
      </c>
      <c r="M1008">
        <v>149</v>
      </c>
      <c r="N1008" t="s">
        <v>17086</v>
      </c>
    </row>
    <row r="1009" spans="1:14">
      <c r="A1009" t="s">
        <v>9256</v>
      </c>
      <c r="B1009">
        <v>1143918</v>
      </c>
      <c r="C1009">
        <v>1145282</v>
      </c>
      <c r="E1009" t="s">
        <v>14314</v>
      </c>
      <c r="F1009" t="s">
        <v>17087</v>
      </c>
      <c r="G1009" t="s">
        <v>17088</v>
      </c>
      <c r="H1009">
        <v>93522478</v>
      </c>
      <c r="I1009" t="s">
        <v>14292</v>
      </c>
      <c r="L1009" t="s">
        <v>17089</v>
      </c>
      <c r="M1009">
        <v>454</v>
      </c>
      <c r="N1009" t="s">
        <v>17090</v>
      </c>
    </row>
    <row r="1010" spans="1:14">
      <c r="A1010" t="s">
        <v>9256</v>
      </c>
      <c r="B1010">
        <v>1145316</v>
      </c>
      <c r="C1010">
        <v>1146674</v>
      </c>
      <c r="E1010" t="s">
        <v>14314</v>
      </c>
      <c r="F1010" t="s">
        <v>17091</v>
      </c>
      <c r="G1010" t="s">
        <v>17092</v>
      </c>
      <c r="H1010">
        <v>93522479</v>
      </c>
      <c r="I1010" t="s">
        <v>14292</v>
      </c>
      <c r="L1010" t="s">
        <v>17093</v>
      </c>
      <c r="M1010">
        <v>452</v>
      </c>
      <c r="N1010" t="s">
        <v>17094</v>
      </c>
    </row>
    <row r="1011" spans="1:14">
      <c r="A1011" t="s">
        <v>9256</v>
      </c>
      <c r="B1011">
        <v>1146680</v>
      </c>
      <c r="C1011">
        <v>1147408</v>
      </c>
      <c r="E1011" t="s">
        <v>14314</v>
      </c>
      <c r="F1011" t="s">
        <v>17095</v>
      </c>
      <c r="H1011">
        <v>93522480</v>
      </c>
      <c r="I1011" t="s">
        <v>14292</v>
      </c>
      <c r="L1011" t="s">
        <v>17096</v>
      </c>
      <c r="M1011">
        <v>242</v>
      </c>
      <c r="N1011" t="s">
        <v>17097</v>
      </c>
    </row>
    <row r="1012" spans="1:14">
      <c r="A1012" t="s">
        <v>9256</v>
      </c>
      <c r="B1012">
        <v>1147405</v>
      </c>
      <c r="C1012">
        <v>1148793</v>
      </c>
      <c r="E1012" t="s">
        <v>14314</v>
      </c>
      <c r="F1012" t="s">
        <v>17098</v>
      </c>
      <c r="G1012" t="s">
        <v>17099</v>
      </c>
      <c r="H1012">
        <v>93522481</v>
      </c>
      <c r="I1012" t="s">
        <v>14292</v>
      </c>
      <c r="L1012" t="s">
        <v>17100</v>
      </c>
      <c r="M1012">
        <v>462</v>
      </c>
      <c r="N1012" t="s">
        <v>17101</v>
      </c>
    </row>
    <row r="1013" spans="1:14">
      <c r="A1013" t="s">
        <v>9256</v>
      </c>
      <c r="B1013">
        <v>1148799</v>
      </c>
      <c r="C1013">
        <v>1149905</v>
      </c>
      <c r="E1013" t="s">
        <v>14314</v>
      </c>
      <c r="F1013" t="s">
        <v>17102</v>
      </c>
      <c r="G1013" t="s">
        <v>17103</v>
      </c>
      <c r="H1013">
        <v>93522482</v>
      </c>
      <c r="I1013" t="s">
        <v>14292</v>
      </c>
      <c r="L1013" t="s">
        <v>17104</v>
      </c>
      <c r="M1013">
        <v>368</v>
      </c>
      <c r="N1013" t="s">
        <v>17105</v>
      </c>
    </row>
    <row r="1014" spans="1:14">
      <c r="A1014" t="s">
        <v>9256</v>
      </c>
      <c r="B1014">
        <v>1149902</v>
      </c>
      <c r="C1014">
        <v>1151209</v>
      </c>
      <c r="E1014" t="s">
        <v>14314</v>
      </c>
      <c r="F1014" t="s">
        <v>17106</v>
      </c>
      <c r="H1014">
        <v>93522483</v>
      </c>
      <c r="I1014" t="s">
        <v>14292</v>
      </c>
      <c r="L1014" t="s">
        <v>17107</v>
      </c>
      <c r="M1014">
        <v>435</v>
      </c>
      <c r="N1014" t="s">
        <v>17108</v>
      </c>
    </row>
    <row r="1015" spans="1:14">
      <c r="A1015" t="s">
        <v>9256</v>
      </c>
      <c r="B1015">
        <v>1151221</v>
      </c>
      <c r="C1015">
        <v>1152558</v>
      </c>
      <c r="E1015" t="s">
        <v>14314</v>
      </c>
      <c r="F1015" t="s">
        <v>17109</v>
      </c>
      <c r="G1015" t="s">
        <v>17110</v>
      </c>
      <c r="H1015">
        <v>93522484</v>
      </c>
      <c r="I1015" t="s">
        <v>14292</v>
      </c>
      <c r="L1015" t="s">
        <v>17111</v>
      </c>
      <c r="M1015">
        <v>445</v>
      </c>
      <c r="N1015" t="s">
        <v>17112</v>
      </c>
    </row>
    <row r="1016" spans="1:14">
      <c r="A1016" t="s">
        <v>9256</v>
      </c>
      <c r="B1016">
        <v>1152562</v>
      </c>
      <c r="C1016">
        <v>1153821</v>
      </c>
      <c r="E1016" t="s">
        <v>14314</v>
      </c>
      <c r="F1016" t="s">
        <v>17113</v>
      </c>
      <c r="G1016" t="s">
        <v>17114</v>
      </c>
      <c r="H1016">
        <v>93522485</v>
      </c>
      <c r="I1016" t="s">
        <v>14292</v>
      </c>
      <c r="L1016" t="s">
        <v>17115</v>
      </c>
      <c r="M1016">
        <v>419</v>
      </c>
      <c r="N1016" t="s">
        <v>17116</v>
      </c>
    </row>
    <row r="1017" spans="1:14">
      <c r="A1017" t="s">
        <v>9256</v>
      </c>
      <c r="B1017">
        <v>1153835</v>
      </c>
      <c r="C1017">
        <v>1155295</v>
      </c>
      <c r="E1017" t="s">
        <v>14314</v>
      </c>
      <c r="F1017" t="s">
        <v>17117</v>
      </c>
      <c r="H1017">
        <v>93522486</v>
      </c>
      <c r="I1017" t="s">
        <v>14292</v>
      </c>
      <c r="L1017" t="s">
        <v>17118</v>
      </c>
      <c r="M1017">
        <v>486</v>
      </c>
      <c r="N1017" t="s">
        <v>17119</v>
      </c>
    </row>
    <row r="1018" spans="1:14">
      <c r="A1018" t="s">
        <v>9256</v>
      </c>
      <c r="B1018">
        <v>1155298</v>
      </c>
      <c r="C1018">
        <v>1157493</v>
      </c>
      <c r="E1018" t="s">
        <v>14314</v>
      </c>
      <c r="F1018" t="s">
        <v>17120</v>
      </c>
      <c r="H1018">
        <v>93522487</v>
      </c>
      <c r="I1018" t="s">
        <v>14292</v>
      </c>
      <c r="L1018" t="s">
        <v>17121</v>
      </c>
      <c r="M1018">
        <v>731</v>
      </c>
      <c r="N1018" t="s">
        <v>17122</v>
      </c>
    </row>
    <row r="1019" spans="1:14">
      <c r="A1019" t="s">
        <v>9256</v>
      </c>
      <c r="B1019">
        <v>1157512</v>
      </c>
      <c r="C1019">
        <v>1157865</v>
      </c>
      <c r="E1019" t="s">
        <v>14314</v>
      </c>
      <c r="F1019" t="s">
        <v>17123</v>
      </c>
      <c r="H1019">
        <v>93522488</v>
      </c>
      <c r="I1019" t="s">
        <v>14292</v>
      </c>
      <c r="L1019" t="s">
        <v>17124</v>
      </c>
      <c r="M1019">
        <v>117</v>
      </c>
      <c r="N1019" t="s">
        <v>17125</v>
      </c>
    </row>
    <row r="1020" spans="1:14">
      <c r="A1020" t="s">
        <v>9256</v>
      </c>
      <c r="B1020">
        <v>1157878</v>
      </c>
      <c r="C1020">
        <v>1158795</v>
      </c>
      <c r="E1020" t="s">
        <v>14314</v>
      </c>
      <c r="F1020" t="s">
        <v>17126</v>
      </c>
      <c r="G1020" t="s">
        <v>17127</v>
      </c>
      <c r="H1020">
        <v>93522489</v>
      </c>
      <c r="I1020" t="s">
        <v>14292</v>
      </c>
      <c r="L1020" t="s">
        <v>17128</v>
      </c>
      <c r="M1020">
        <v>305</v>
      </c>
      <c r="N1020" t="s">
        <v>17129</v>
      </c>
    </row>
    <row r="1021" spans="1:14">
      <c r="A1021" t="s">
        <v>9256</v>
      </c>
      <c r="B1021">
        <v>1159272</v>
      </c>
      <c r="C1021">
        <v>1160096</v>
      </c>
      <c r="E1021" t="s">
        <v>14290</v>
      </c>
      <c r="F1021" t="s">
        <v>15691</v>
      </c>
      <c r="H1021">
        <v>93522490</v>
      </c>
      <c r="I1021" t="s">
        <v>14292</v>
      </c>
      <c r="L1021" t="s">
        <v>17130</v>
      </c>
      <c r="M1021">
        <v>274</v>
      </c>
      <c r="N1021" t="s">
        <v>17131</v>
      </c>
    </row>
    <row r="1022" spans="1:14">
      <c r="A1022" t="s">
        <v>9256</v>
      </c>
      <c r="B1022">
        <v>1160109</v>
      </c>
      <c r="C1022">
        <v>1161083</v>
      </c>
      <c r="E1022" t="s">
        <v>14290</v>
      </c>
      <c r="F1022" t="s">
        <v>14439</v>
      </c>
      <c r="H1022">
        <v>93522491</v>
      </c>
      <c r="I1022" t="s">
        <v>14292</v>
      </c>
      <c r="L1022" t="s">
        <v>17132</v>
      </c>
      <c r="M1022">
        <v>324</v>
      </c>
      <c r="N1022" t="s">
        <v>17133</v>
      </c>
    </row>
    <row r="1023" spans="1:14">
      <c r="A1023" t="s">
        <v>9256</v>
      </c>
      <c r="B1023">
        <v>1161188</v>
      </c>
      <c r="C1023">
        <v>1161919</v>
      </c>
      <c r="E1023" t="s">
        <v>14314</v>
      </c>
      <c r="F1023" t="s">
        <v>17134</v>
      </c>
      <c r="H1023">
        <v>93522492</v>
      </c>
      <c r="I1023" t="s">
        <v>14292</v>
      </c>
      <c r="L1023" t="s">
        <v>17135</v>
      </c>
      <c r="M1023">
        <v>243</v>
      </c>
      <c r="N1023" t="s">
        <v>17136</v>
      </c>
    </row>
    <row r="1024" spans="1:14">
      <c r="A1024" t="s">
        <v>9256</v>
      </c>
      <c r="B1024">
        <v>1161984</v>
      </c>
      <c r="C1024">
        <v>1164251</v>
      </c>
      <c r="E1024" t="s">
        <v>14314</v>
      </c>
      <c r="F1024" t="s">
        <v>17137</v>
      </c>
      <c r="H1024">
        <v>93522493</v>
      </c>
      <c r="I1024" t="s">
        <v>14292</v>
      </c>
      <c r="L1024" t="s">
        <v>17138</v>
      </c>
      <c r="M1024">
        <v>755</v>
      </c>
      <c r="N1024" t="s">
        <v>17139</v>
      </c>
    </row>
    <row r="1025" spans="1:14">
      <c r="A1025" t="s">
        <v>9256</v>
      </c>
      <c r="B1025">
        <v>1164263</v>
      </c>
      <c r="C1025">
        <v>1165513</v>
      </c>
      <c r="E1025" t="s">
        <v>14314</v>
      </c>
      <c r="F1025" t="s">
        <v>14291</v>
      </c>
      <c r="H1025">
        <v>93522494</v>
      </c>
      <c r="I1025" t="s">
        <v>14292</v>
      </c>
      <c r="L1025" t="s">
        <v>17140</v>
      </c>
      <c r="M1025">
        <v>416</v>
      </c>
      <c r="N1025" t="s">
        <v>17141</v>
      </c>
    </row>
    <row r="1026" spans="1:14">
      <c r="A1026" t="s">
        <v>9256</v>
      </c>
      <c r="B1026">
        <v>1166101</v>
      </c>
      <c r="C1026">
        <v>1167537</v>
      </c>
      <c r="E1026" t="s">
        <v>14290</v>
      </c>
      <c r="F1026" t="s">
        <v>17142</v>
      </c>
      <c r="G1026" t="s">
        <v>17143</v>
      </c>
      <c r="H1026">
        <v>93522495</v>
      </c>
      <c r="I1026" t="s">
        <v>14292</v>
      </c>
      <c r="L1026" t="s">
        <v>17144</v>
      </c>
      <c r="M1026">
        <v>478</v>
      </c>
      <c r="N1026" t="s">
        <v>17145</v>
      </c>
    </row>
    <row r="1027" spans="1:14">
      <c r="A1027" t="s">
        <v>9256</v>
      </c>
      <c r="B1027">
        <v>1167509</v>
      </c>
      <c r="C1027">
        <v>1168066</v>
      </c>
      <c r="E1027" t="s">
        <v>14314</v>
      </c>
      <c r="F1027" t="s">
        <v>17146</v>
      </c>
      <c r="H1027">
        <v>93522496</v>
      </c>
      <c r="I1027" t="s">
        <v>14292</v>
      </c>
      <c r="L1027" t="s">
        <v>17147</v>
      </c>
      <c r="M1027">
        <v>185</v>
      </c>
      <c r="N1027" t="s">
        <v>17148</v>
      </c>
    </row>
    <row r="1028" spans="1:14">
      <c r="A1028" t="s">
        <v>9256</v>
      </c>
      <c r="B1028">
        <v>1168057</v>
      </c>
      <c r="C1028">
        <v>1168881</v>
      </c>
      <c r="E1028" t="s">
        <v>14314</v>
      </c>
      <c r="F1028" t="s">
        <v>17149</v>
      </c>
      <c r="H1028">
        <v>93522497</v>
      </c>
      <c r="I1028" t="s">
        <v>14292</v>
      </c>
      <c r="L1028" t="s">
        <v>17150</v>
      </c>
      <c r="M1028">
        <v>274</v>
      </c>
      <c r="N1028" t="s">
        <v>17151</v>
      </c>
    </row>
    <row r="1029" spans="1:14">
      <c r="A1029" t="s">
        <v>9256</v>
      </c>
      <c r="B1029">
        <v>1168894</v>
      </c>
      <c r="C1029">
        <v>1169529</v>
      </c>
      <c r="E1029" t="s">
        <v>14314</v>
      </c>
      <c r="F1029" t="s">
        <v>14291</v>
      </c>
      <c r="H1029">
        <v>93522498</v>
      </c>
      <c r="I1029" t="s">
        <v>14292</v>
      </c>
      <c r="L1029" t="s">
        <v>17152</v>
      </c>
      <c r="M1029">
        <v>211</v>
      </c>
      <c r="N1029" t="s">
        <v>17153</v>
      </c>
    </row>
    <row r="1030" spans="1:14">
      <c r="A1030" t="s">
        <v>9256</v>
      </c>
      <c r="B1030">
        <v>1169623</v>
      </c>
      <c r="C1030">
        <v>1171038</v>
      </c>
      <c r="E1030" t="s">
        <v>14290</v>
      </c>
      <c r="F1030" t="s">
        <v>17154</v>
      </c>
      <c r="H1030">
        <v>93522499</v>
      </c>
      <c r="I1030" t="s">
        <v>14292</v>
      </c>
      <c r="L1030" t="s">
        <v>17155</v>
      </c>
      <c r="M1030">
        <v>471</v>
      </c>
      <c r="N1030" t="s">
        <v>17156</v>
      </c>
    </row>
    <row r="1031" spans="1:14">
      <c r="A1031" t="s">
        <v>9256</v>
      </c>
      <c r="B1031">
        <v>1171148</v>
      </c>
      <c r="C1031">
        <v>1171843</v>
      </c>
      <c r="E1031" t="s">
        <v>14290</v>
      </c>
      <c r="F1031" t="s">
        <v>14291</v>
      </c>
      <c r="H1031">
        <v>93522500</v>
      </c>
      <c r="I1031" t="s">
        <v>14292</v>
      </c>
      <c r="L1031" t="s">
        <v>17157</v>
      </c>
      <c r="M1031">
        <v>231</v>
      </c>
      <c r="N1031" t="s">
        <v>17158</v>
      </c>
    </row>
    <row r="1032" spans="1:14">
      <c r="A1032" t="s">
        <v>9256</v>
      </c>
      <c r="B1032">
        <v>1171853</v>
      </c>
      <c r="C1032">
        <v>1172557</v>
      </c>
      <c r="E1032" t="s">
        <v>14290</v>
      </c>
      <c r="F1032" t="s">
        <v>17159</v>
      </c>
      <c r="G1032" t="s">
        <v>17160</v>
      </c>
      <c r="H1032">
        <v>93522501</v>
      </c>
      <c r="I1032" t="s">
        <v>14292</v>
      </c>
      <c r="L1032" t="s">
        <v>17161</v>
      </c>
      <c r="M1032">
        <v>234</v>
      </c>
      <c r="N1032" t="s">
        <v>17162</v>
      </c>
    </row>
    <row r="1033" spans="1:14">
      <c r="A1033" t="s">
        <v>9256</v>
      </c>
      <c r="B1033">
        <v>1172577</v>
      </c>
      <c r="C1033">
        <v>1173449</v>
      </c>
      <c r="E1033" t="s">
        <v>14290</v>
      </c>
      <c r="F1033" t="s">
        <v>14291</v>
      </c>
      <c r="H1033">
        <v>93522502</v>
      </c>
      <c r="I1033" t="s">
        <v>14292</v>
      </c>
      <c r="L1033" t="s">
        <v>17163</v>
      </c>
      <c r="M1033">
        <v>290</v>
      </c>
      <c r="N1033" t="s">
        <v>17164</v>
      </c>
    </row>
    <row r="1034" spans="1:14">
      <c r="A1034" t="s">
        <v>9256</v>
      </c>
      <c r="B1034">
        <v>1173449</v>
      </c>
      <c r="C1034">
        <v>1174141</v>
      </c>
      <c r="E1034" t="s">
        <v>14290</v>
      </c>
      <c r="F1034" t="s">
        <v>17165</v>
      </c>
      <c r="H1034">
        <v>93522503</v>
      </c>
      <c r="I1034" t="s">
        <v>14292</v>
      </c>
      <c r="L1034" t="s">
        <v>17166</v>
      </c>
      <c r="M1034">
        <v>230</v>
      </c>
      <c r="N1034" t="s">
        <v>17167</v>
      </c>
    </row>
    <row r="1035" spans="1:14">
      <c r="A1035" t="s">
        <v>9256</v>
      </c>
      <c r="B1035">
        <v>1174273</v>
      </c>
      <c r="C1035">
        <v>1175280</v>
      </c>
      <c r="E1035" t="s">
        <v>14314</v>
      </c>
      <c r="F1035" t="s">
        <v>17168</v>
      </c>
      <c r="H1035">
        <v>93522504</v>
      </c>
      <c r="I1035" t="s">
        <v>14292</v>
      </c>
      <c r="L1035" t="s">
        <v>17169</v>
      </c>
      <c r="M1035">
        <v>335</v>
      </c>
      <c r="N1035" t="s">
        <v>17170</v>
      </c>
    </row>
    <row r="1036" spans="1:14">
      <c r="A1036" t="s">
        <v>9256</v>
      </c>
      <c r="B1036">
        <v>1175282</v>
      </c>
      <c r="C1036">
        <v>1176862</v>
      </c>
      <c r="E1036" t="s">
        <v>14314</v>
      </c>
      <c r="F1036" t="s">
        <v>17171</v>
      </c>
      <c r="H1036">
        <v>93522505</v>
      </c>
      <c r="I1036" t="s">
        <v>14292</v>
      </c>
      <c r="L1036" t="s">
        <v>17172</v>
      </c>
      <c r="M1036">
        <v>526</v>
      </c>
      <c r="N1036" t="s">
        <v>17173</v>
      </c>
    </row>
    <row r="1037" spans="1:14">
      <c r="A1037" t="s">
        <v>9256</v>
      </c>
      <c r="B1037">
        <v>1176892</v>
      </c>
      <c r="C1037">
        <v>1177755</v>
      </c>
      <c r="E1037" t="s">
        <v>14314</v>
      </c>
      <c r="F1037" t="s">
        <v>17174</v>
      </c>
      <c r="G1037" t="s">
        <v>17175</v>
      </c>
      <c r="H1037">
        <v>93522506</v>
      </c>
      <c r="I1037" t="s">
        <v>14292</v>
      </c>
      <c r="L1037" t="s">
        <v>17176</v>
      </c>
      <c r="M1037">
        <v>287</v>
      </c>
      <c r="N1037" t="s">
        <v>17177</v>
      </c>
    </row>
    <row r="1038" spans="1:14">
      <c r="A1038" t="s">
        <v>9256</v>
      </c>
      <c r="B1038">
        <v>1177770</v>
      </c>
      <c r="C1038">
        <v>1178318</v>
      </c>
      <c r="E1038" t="s">
        <v>14314</v>
      </c>
      <c r="F1038" t="s">
        <v>17178</v>
      </c>
      <c r="H1038">
        <v>93522507</v>
      </c>
      <c r="I1038" t="s">
        <v>14292</v>
      </c>
      <c r="L1038" t="s">
        <v>17179</v>
      </c>
      <c r="M1038">
        <v>182</v>
      </c>
      <c r="N1038" t="s">
        <v>17180</v>
      </c>
    </row>
    <row r="1039" spans="1:14">
      <c r="A1039" t="s">
        <v>9256</v>
      </c>
      <c r="B1039">
        <v>1178315</v>
      </c>
      <c r="C1039">
        <v>1179241</v>
      </c>
      <c r="E1039" t="s">
        <v>14314</v>
      </c>
      <c r="F1039" t="s">
        <v>17181</v>
      </c>
      <c r="H1039">
        <v>93522508</v>
      </c>
      <c r="I1039" t="s">
        <v>14292</v>
      </c>
      <c r="L1039" t="s">
        <v>17182</v>
      </c>
      <c r="M1039">
        <v>308</v>
      </c>
      <c r="N1039" t="s">
        <v>17183</v>
      </c>
    </row>
    <row r="1040" spans="1:14">
      <c r="A1040" t="s">
        <v>9256</v>
      </c>
      <c r="B1040">
        <v>1179305</v>
      </c>
      <c r="C1040">
        <v>1180774</v>
      </c>
      <c r="E1040" t="s">
        <v>14314</v>
      </c>
      <c r="F1040" t="s">
        <v>17184</v>
      </c>
      <c r="H1040">
        <v>93522509</v>
      </c>
      <c r="I1040" t="s">
        <v>14292</v>
      </c>
      <c r="L1040" t="s">
        <v>17185</v>
      </c>
      <c r="M1040">
        <v>489</v>
      </c>
      <c r="N1040" t="s">
        <v>17186</v>
      </c>
    </row>
    <row r="1041" spans="1:14">
      <c r="A1041" t="s">
        <v>9256</v>
      </c>
      <c r="B1041">
        <v>1180771</v>
      </c>
      <c r="C1041">
        <v>1182546</v>
      </c>
      <c r="E1041" t="s">
        <v>14314</v>
      </c>
      <c r="F1041" t="s">
        <v>17187</v>
      </c>
      <c r="H1041">
        <v>93522510</v>
      </c>
      <c r="I1041" t="s">
        <v>14292</v>
      </c>
      <c r="L1041" t="s">
        <v>17188</v>
      </c>
      <c r="M1041">
        <v>591</v>
      </c>
      <c r="N1041" t="s">
        <v>17189</v>
      </c>
    </row>
    <row r="1042" spans="1:14">
      <c r="A1042" t="s">
        <v>9256</v>
      </c>
      <c r="B1042">
        <v>1182562</v>
      </c>
      <c r="C1042">
        <v>1184130</v>
      </c>
      <c r="E1042" t="s">
        <v>14314</v>
      </c>
      <c r="F1042" t="s">
        <v>14870</v>
      </c>
      <c r="H1042">
        <v>93522511</v>
      </c>
      <c r="I1042" t="s">
        <v>14292</v>
      </c>
      <c r="L1042" t="s">
        <v>17190</v>
      </c>
      <c r="M1042">
        <v>522</v>
      </c>
      <c r="N1042" t="s">
        <v>17191</v>
      </c>
    </row>
    <row r="1043" spans="1:14">
      <c r="A1043" t="s">
        <v>9256</v>
      </c>
      <c r="B1043">
        <v>1184482</v>
      </c>
      <c r="C1043">
        <v>1186188</v>
      </c>
      <c r="E1043" t="s">
        <v>14314</v>
      </c>
      <c r="F1043" t="s">
        <v>15179</v>
      </c>
      <c r="H1043">
        <v>93522512</v>
      </c>
      <c r="I1043" t="s">
        <v>14292</v>
      </c>
      <c r="L1043" t="s">
        <v>17192</v>
      </c>
      <c r="M1043">
        <v>568</v>
      </c>
      <c r="N1043" t="s">
        <v>17193</v>
      </c>
    </row>
    <row r="1044" spans="1:14">
      <c r="A1044" t="s">
        <v>9256</v>
      </c>
      <c r="B1044">
        <v>1186205</v>
      </c>
      <c r="C1044">
        <v>1189267</v>
      </c>
      <c r="E1044" t="s">
        <v>14314</v>
      </c>
      <c r="F1044" t="s">
        <v>14965</v>
      </c>
      <c r="H1044">
        <v>93522513</v>
      </c>
      <c r="I1044" t="s">
        <v>14292</v>
      </c>
      <c r="L1044" t="s">
        <v>17194</v>
      </c>
      <c r="M1044">
        <v>1020</v>
      </c>
      <c r="N1044" t="s">
        <v>17195</v>
      </c>
    </row>
    <row r="1045" spans="1:14">
      <c r="A1045" t="s">
        <v>9256</v>
      </c>
      <c r="B1045">
        <v>1189641</v>
      </c>
      <c r="C1045">
        <v>1190492</v>
      </c>
      <c r="E1045" t="s">
        <v>14290</v>
      </c>
      <c r="F1045" t="s">
        <v>17196</v>
      </c>
      <c r="H1045">
        <v>93522514</v>
      </c>
      <c r="I1045" t="s">
        <v>14292</v>
      </c>
      <c r="L1045" t="s">
        <v>17197</v>
      </c>
      <c r="M1045">
        <v>283</v>
      </c>
      <c r="N1045" t="s">
        <v>17198</v>
      </c>
    </row>
    <row r="1046" spans="1:14">
      <c r="A1046" t="s">
        <v>9256</v>
      </c>
      <c r="B1046">
        <v>1190788</v>
      </c>
      <c r="C1046">
        <v>1193112</v>
      </c>
      <c r="E1046" t="s">
        <v>14290</v>
      </c>
      <c r="F1046" t="s">
        <v>14783</v>
      </c>
      <c r="H1046">
        <v>93522515</v>
      </c>
      <c r="I1046" t="s">
        <v>14292</v>
      </c>
      <c r="L1046" t="s">
        <v>17199</v>
      </c>
      <c r="M1046">
        <v>774</v>
      </c>
      <c r="N1046" t="s">
        <v>17200</v>
      </c>
    </row>
    <row r="1047" spans="1:14">
      <c r="A1047" t="s">
        <v>9256</v>
      </c>
      <c r="B1047">
        <v>1193125</v>
      </c>
      <c r="C1047">
        <v>1195608</v>
      </c>
      <c r="E1047" t="s">
        <v>14290</v>
      </c>
      <c r="F1047" t="s">
        <v>14648</v>
      </c>
      <c r="H1047">
        <v>93522516</v>
      </c>
      <c r="I1047" t="s">
        <v>14292</v>
      </c>
      <c r="L1047" t="s">
        <v>17201</v>
      </c>
      <c r="M1047">
        <v>827</v>
      </c>
      <c r="N1047" t="s">
        <v>17202</v>
      </c>
    </row>
    <row r="1048" spans="1:14">
      <c r="A1048" t="s">
        <v>9256</v>
      </c>
      <c r="B1048">
        <v>1196154</v>
      </c>
      <c r="C1048">
        <v>1199270</v>
      </c>
      <c r="E1048" t="s">
        <v>14290</v>
      </c>
      <c r="F1048" t="s">
        <v>14965</v>
      </c>
      <c r="H1048">
        <v>93522517</v>
      </c>
      <c r="I1048" t="s">
        <v>14292</v>
      </c>
      <c r="L1048" t="s">
        <v>17203</v>
      </c>
      <c r="M1048">
        <v>1038</v>
      </c>
      <c r="N1048" t="s">
        <v>17204</v>
      </c>
    </row>
    <row r="1049" spans="1:14">
      <c r="A1049" t="s">
        <v>9256</v>
      </c>
      <c r="B1049">
        <v>1199320</v>
      </c>
      <c r="C1049">
        <v>1200912</v>
      </c>
      <c r="E1049" t="s">
        <v>14290</v>
      </c>
      <c r="F1049" t="s">
        <v>15179</v>
      </c>
      <c r="H1049">
        <v>93522518</v>
      </c>
      <c r="I1049" t="s">
        <v>14292</v>
      </c>
      <c r="L1049" t="s">
        <v>17205</v>
      </c>
      <c r="M1049">
        <v>530</v>
      </c>
      <c r="N1049" t="s">
        <v>17206</v>
      </c>
    </row>
    <row r="1050" spans="1:14">
      <c r="A1050" t="s">
        <v>9256</v>
      </c>
      <c r="B1050">
        <v>1201091</v>
      </c>
      <c r="C1050">
        <v>1204780</v>
      </c>
      <c r="E1050" t="s">
        <v>14290</v>
      </c>
      <c r="F1050" t="s">
        <v>17207</v>
      </c>
      <c r="G1050" t="s">
        <v>17208</v>
      </c>
      <c r="H1050">
        <v>93522519</v>
      </c>
      <c r="I1050" t="s">
        <v>14292</v>
      </c>
      <c r="L1050" t="s">
        <v>17209</v>
      </c>
      <c r="M1050">
        <v>1229</v>
      </c>
      <c r="N1050" t="s">
        <v>17210</v>
      </c>
    </row>
    <row r="1051" spans="1:14">
      <c r="A1051" t="s">
        <v>9256</v>
      </c>
      <c r="B1051">
        <v>1205048</v>
      </c>
      <c r="C1051">
        <v>1205698</v>
      </c>
      <c r="E1051" t="s">
        <v>14290</v>
      </c>
      <c r="F1051" t="s">
        <v>14291</v>
      </c>
      <c r="H1051">
        <v>93522520</v>
      </c>
      <c r="I1051" t="s">
        <v>14292</v>
      </c>
      <c r="L1051" t="s">
        <v>17211</v>
      </c>
      <c r="M1051">
        <v>216</v>
      </c>
      <c r="N1051" t="s">
        <v>17212</v>
      </c>
    </row>
    <row r="1052" spans="1:14">
      <c r="A1052" t="s">
        <v>9256</v>
      </c>
      <c r="B1052">
        <v>1205868</v>
      </c>
      <c r="C1052">
        <v>1209038</v>
      </c>
      <c r="E1052" t="s">
        <v>14290</v>
      </c>
      <c r="F1052" t="s">
        <v>15450</v>
      </c>
      <c r="H1052">
        <v>93522521</v>
      </c>
      <c r="I1052" t="s">
        <v>14292</v>
      </c>
      <c r="L1052" t="s">
        <v>17213</v>
      </c>
      <c r="M1052">
        <v>1056</v>
      </c>
      <c r="N1052" t="s">
        <v>17214</v>
      </c>
    </row>
    <row r="1053" spans="1:14">
      <c r="A1053" t="s">
        <v>9256</v>
      </c>
      <c r="B1053">
        <v>1209076</v>
      </c>
      <c r="C1053">
        <v>1210494</v>
      </c>
      <c r="E1053" t="s">
        <v>14290</v>
      </c>
      <c r="F1053" t="s">
        <v>17215</v>
      </c>
      <c r="H1053">
        <v>93522522</v>
      </c>
      <c r="I1053" t="s">
        <v>14292</v>
      </c>
      <c r="L1053" t="s">
        <v>17216</v>
      </c>
      <c r="M1053">
        <v>472</v>
      </c>
      <c r="N1053" t="s">
        <v>17217</v>
      </c>
    </row>
    <row r="1054" spans="1:14">
      <c r="A1054" t="s">
        <v>9256</v>
      </c>
      <c r="B1054">
        <v>1210734</v>
      </c>
      <c r="C1054">
        <v>1212005</v>
      </c>
      <c r="E1054" t="s">
        <v>14290</v>
      </c>
      <c r="F1054" t="s">
        <v>14870</v>
      </c>
      <c r="H1054">
        <v>93522523</v>
      </c>
      <c r="I1054" t="s">
        <v>14292</v>
      </c>
      <c r="L1054" t="s">
        <v>17218</v>
      </c>
      <c r="M1054">
        <v>423</v>
      </c>
      <c r="N1054" t="s">
        <v>17219</v>
      </c>
    </row>
    <row r="1055" spans="1:14">
      <c r="A1055" t="s">
        <v>9256</v>
      </c>
      <c r="B1055">
        <v>1212765</v>
      </c>
      <c r="C1055">
        <v>1215803</v>
      </c>
      <c r="E1055" t="s">
        <v>14314</v>
      </c>
      <c r="F1055" t="s">
        <v>15863</v>
      </c>
      <c r="H1055">
        <v>93522524</v>
      </c>
      <c r="I1055" t="s">
        <v>14292</v>
      </c>
      <c r="L1055" t="s">
        <v>17220</v>
      </c>
      <c r="M1055">
        <v>1012</v>
      </c>
      <c r="N1055" t="s">
        <v>17221</v>
      </c>
    </row>
    <row r="1056" spans="1:14">
      <c r="A1056" t="s">
        <v>9256</v>
      </c>
      <c r="B1056">
        <v>1216491</v>
      </c>
      <c r="C1056">
        <v>1216565</v>
      </c>
      <c r="E1056" t="s">
        <v>14314</v>
      </c>
      <c r="F1056" t="s">
        <v>17222</v>
      </c>
      <c r="H1056">
        <v>93522525</v>
      </c>
      <c r="I1056" t="s">
        <v>13638</v>
      </c>
      <c r="N1056" t="s">
        <v>17223</v>
      </c>
    </row>
    <row r="1057" spans="1:14">
      <c r="A1057" t="s">
        <v>9256</v>
      </c>
      <c r="B1057">
        <v>1216602</v>
      </c>
      <c r="C1057">
        <v>1217663</v>
      </c>
      <c r="E1057" t="s">
        <v>14314</v>
      </c>
      <c r="F1057" t="s">
        <v>17224</v>
      </c>
      <c r="G1057" t="s">
        <v>17225</v>
      </c>
      <c r="H1057">
        <v>93522526</v>
      </c>
      <c r="I1057" t="s">
        <v>14292</v>
      </c>
      <c r="L1057" t="s">
        <v>17226</v>
      </c>
      <c r="M1057">
        <v>353</v>
      </c>
      <c r="N1057" t="s">
        <v>17227</v>
      </c>
    </row>
    <row r="1058" spans="1:14">
      <c r="A1058" t="s">
        <v>9256</v>
      </c>
      <c r="B1058">
        <v>1217818</v>
      </c>
      <c r="C1058">
        <v>1220439</v>
      </c>
      <c r="E1058" t="s">
        <v>14314</v>
      </c>
      <c r="F1058" t="s">
        <v>17228</v>
      </c>
      <c r="G1058" t="s">
        <v>17229</v>
      </c>
      <c r="H1058">
        <v>93522527</v>
      </c>
      <c r="I1058" t="s">
        <v>14292</v>
      </c>
      <c r="L1058" t="s">
        <v>17230</v>
      </c>
      <c r="M1058">
        <v>873</v>
      </c>
      <c r="N1058" t="s">
        <v>17231</v>
      </c>
    </row>
    <row r="1059" spans="1:14">
      <c r="A1059" t="s">
        <v>9256</v>
      </c>
      <c r="B1059">
        <v>1220538</v>
      </c>
      <c r="C1059">
        <v>1221521</v>
      </c>
      <c r="E1059" t="s">
        <v>14290</v>
      </c>
      <c r="F1059" t="s">
        <v>15974</v>
      </c>
      <c r="H1059">
        <v>93522528</v>
      </c>
      <c r="I1059" t="s">
        <v>14292</v>
      </c>
      <c r="L1059" t="s">
        <v>17232</v>
      </c>
      <c r="M1059">
        <v>327</v>
      </c>
      <c r="N1059" t="s">
        <v>17233</v>
      </c>
    </row>
    <row r="1060" spans="1:14">
      <c r="A1060" t="s">
        <v>9256</v>
      </c>
      <c r="B1060">
        <v>1221536</v>
      </c>
      <c r="C1060">
        <v>1221892</v>
      </c>
      <c r="E1060" t="s">
        <v>14290</v>
      </c>
      <c r="F1060" t="s">
        <v>17234</v>
      </c>
      <c r="H1060">
        <v>93522529</v>
      </c>
      <c r="I1060" t="s">
        <v>14292</v>
      </c>
      <c r="L1060" t="s">
        <v>17235</v>
      </c>
      <c r="M1060">
        <v>118</v>
      </c>
      <c r="N1060" t="s">
        <v>17236</v>
      </c>
    </row>
    <row r="1061" spans="1:14">
      <c r="A1061" t="s">
        <v>9256</v>
      </c>
      <c r="B1061">
        <v>1221972</v>
      </c>
      <c r="C1061">
        <v>1222373</v>
      </c>
      <c r="E1061" t="s">
        <v>14290</v>
      </c>
      <c r="F1061" t="s">
        <v>17237</v>
      </c>
      <c r="H1061">
        <v>93522530</v>
      </c>
      <c r="I1061" t="s">
        <v>14292</v>
      </c>
      <c r="L1061" t="s">
        <v>17238</v>
      </c>
      <c r="M1061">
        <v>133</v>
      </c>
      <c r="N1061" t="s">
        <v>17239</v>
      </c>
    </row>
    <row r="1062" spans="1:14">
      <c r="A1062" t="s">
        <v>9256</v>
      </c>
      <c r="B1062">
        <v>1222380</v>
      </c>
      <c r="C1062">
        <v>1223330</v>
      </c>
      <c r="E1062" t="s">
        <v>14290</v>
      </c>
      <c r="F1062" t="s">
        <v>17240</v>
      </c>
      <c r="H1062">
        <v>93522531</v>
      </c>
      <c r="I1062" t="s">
        <v>14292</v>
      </c>
      <c r="L1062" t="s">
        <v>17241</v>
      </c>
      <c r="M1062">
        <v>316</v>
      </c>
      <c r="N1062" t="s">
        <v>17242</v>
      </c>
    </row>
    <row r="1063" spans="1:14">
      <c r="A1063" t="s">
        <v>9256</v>
      </c>
      <c r="B1063">
        <v>1223376</v>
      </c>
      <c r="C1063">
        <v>1225661</v>
      </c>
      <c r="E1063" t="s">
        <v>14314</v>
      </c>
      <c r="F1063" t="s">
        <v>15855</v>
      </c>
      <c r="H1063">
        <v>93522532</v>
      </c>
      <c r="I1063" t="s">
        <v>14292</v>
      </c>
      <c r="L1063" t="s">
        <v>17243</v>
      </c>
      <c r="M1063">
        <v>761</v>
      </c>
      <c r="N1063" t="s">
        <v>17244</v>
      </c>
    </row>
    <row r="1064" spans="1:14">
      <c r="A1064" t="s">
        <v>9256</v>
      </c>
      <c r="B1064">
        <v>1225780</v>
      </c>
      <c r="C1064">
        <v>1226745</v>
      </c>
      <c r="E1064" t="s">
        <v>14314</v>
      </c>
      <c r="F1064" t="s">
        <v>17245</v>
      </c>
      <c r="H1064">
        <v>93522533</v>
      </c>
      <c r="I1064" t="s">
        <v>14292</v>
      </c>
      <c r="L1064" t="s">
        <v>17246</v>
      </c>
      <c r="M1064">
        <v>321</v>
      </c>
      <c r="N1064" t="s">
        <v>17247</v>
      </c>
    </row>
    <row r="1065" spans="1:14">
      <c r="A1065" t="s">
        <v>9256</v>
      </c>
      <c r="B1065">
        <v>1226865</v>
      </c>
      <c r="C1065">
        <v>1227977</v>
      </c>
      <c r="E1065" t="s">
        <v>14314</v>
      </c>
      <c r="F1065" t="s">
        <v>17248</v>
      </c>
      <c r="H1065">
        <v>93522534</v>
      </c>
      <c r="I1065" t="s">
        <v>14292</v>
      </c>
      <c r="L1065" t="s">
        <v>17249</v>
      </c>
      <c r="M1065">
        <v>370</v>
      </c>
      <c r="N1065" t="s">
        <v>17250</v>
      </c>
    </row>
    <row r="1066" spans="1:14">
      <c r="A1066" t="s">
        <v>9256</v>
      </c>
      <c r="B1066">
        <v>1228004</v>
      </c>
      <c r="C1066">
        <v>1228816</v>
      </c>
      <c r="E1066" t="s">
        <v>14314</v>
      </c>
      <c r="F1066" t="s">
        <v>17251</v>
      </c>
      <c r="H1066">
        <v>93522535</v>
      </c>
      <c r="I1066" t="s">
        <v>14292</v>
      </c>
      <c r="L1066" t="s">
        <v>17252</v>
      </c>
      <c r="M1066">
        <v>270</v>
      </c>
      <c r="N1066" t="s">
        <v>17253</v>
      </c>
    </row>
    <row r="1067" spans="1:14">
      <c r="A1067" t="s">
        <v>9256</v>
      </c>
      <c r="B1067">
        <v>1229112</v>
      </c>
      <c r="C1067">
        <v>1229447</v>
      </c>
      <c r="E1067" t="s">
        <v>14314</v>
      </c>
      <c r="F1067" t="s">
        <v>17254</v>
      </c>
      <c r="H1067">
        <v>93522536</v>
      </c>
      <c r="I1067" t="s">
        <v>14292</v>
      </c>
      <c r="L1067" t="s">
        <v>17255</v>
      </c>
      <c r="M1067">
        <v>111</v>
      </c>
      <c r="N1067" t="s">
        <v>17256</v>
      </c>
    </row>
    <row r="1068" spans="1:14">
      <c r="A1068" t="s">
        <v>9256</v>
      </c>
      <c r="B1068">
        <v>1229559</v>
      </c>
      <c r="C1068">
        <v>1230020</v>
      </c>
      <c r="E1068" t="s">
        <v>14314</v>
      </c>
      <c r="F1068" t="s">
        <v>17257</v>
      </c>
      <c r="H1068">
        <v>93522537</v>
      </c>
      <c r="I1068" t="s">
        <v>14292</v>
      </c>
      <c r="L1068" t="s">
        <v>17258</v>
      </c>
      <c r="M1068">
        <v>153</v>
      </c>
      <c r="N1068" t="s">
        <v>17259</v>
      </c>
    </row>
    <row r="1069" spans="1:14">
      <c r="A1069" t="s">
        <v>9256</v>
      </c>
      <c r="B1069">
        <v>1230206</v>
      </c>
      <c r="C1069">
        <v>1231492</v>
      </c>
      <c r="E1069" t="s">
        <v>14290</v>
      </c>
      <c r="F1069" t="s">
        <v>17260</v>
      </c>
      <c r="H1069">
        <v>93522538</v>
      </c>
      <c r="I1069" t="s">
        <v>14292</v>
      </c>
      <c r="L1069" t="s">
        <v>17261</v>
      </c>
      <c r="M1069">
        <v>428</v>
      </c>
      <c r="N1069" t="s">
        <v>17262</v>
      </c>
    </row>
    <row r="1070" spans="1:14">
      <c r="A1070" t="s">
        <v>9256</v>
      </c>
      <c r="B1070">
        <v>1231671</v>
      </c>
      <c r="C1070">
        <v>1232942</v>
      </c>
      <c r="E1070" t="s">
        <v>14314</v>
      </c>
      <c r="F1070" t="s">
        <v>17263</v>
      </c>
      <c r="H1070">
        <v>93522539</v>
      </c>
      <c r="I1070" t="s">
        <v>14292</v>
      </c>
      <c r="L1070" t="s">
        <v>17264</v>
      </c>
      <c r="M1070">
        <v>423</v>
      </c>
      <c r="N1070" t="s">
        <v>17265</v>
      </c>
    </row>
    <row r="1071" spans="1:14">
      <c r="A1071" t="s">
        <v>9256</v>
      </c>
      <c r="B1071">
        <v>1232971</v>
      </c>
      <c r="C1071">
        <v>1234260</v>
      </c>
      <c r="E1071" t="s">
        <v>14314</v>
      </c>
      <c r="F1071" t="s">
        <v>17263</v>
      </c>
      <c r="H1071">
        <v>93522540</v>
      </c>
      <c r="I1071" t="s">
        <v>14292</v>
      </c>
      <c r="L1071" t="s">
        <v>17266</v>
      </c>
      <c r="M1071">
        <v>429</v>
      </c>
      <c r="N1071" t="s">
        <v>17267</v>
      </c>
    </row>
    <row r="1072" spans="1:14">
      <c r="A1072" t="s">
        <v>9256</v>
      </c>
      <c r="B1072">
        <v>1234293</v>
      </c>
      <c r="C1072">
        <v>1235564</v>
      </c>
      <c r="E1072" t="s">
        <v>14314</v>
      </c>
      <c r="F1072" t="s">
        <v>17263</v>
      </c>
      <c r="H1072">
        <v>93522541</v>
      </c>
      <c r="I1072" t="s">
        <v>14292</v>
      </c>
      <c r="L1072" t="s">
        <v>17268</v>
      </c>
      <c r="M1072">
        <v>423</v>
      </c>
      <c r="N1072" t="s">
        <v>17269</v>
      </c>
    </row>
    <row r="1073" spans="1:14">
      <c r="A1073" t="s">
        <v>9256</v>
      </c>
      <c r="B1073">
        <v>1235576</v>
      </c>
      <c r="C1073">
        <v>1236838</v>
      </c>
      <c r="E1073" t="s">
        <v>14314</v>
      </c>
      <c r="F1073" t="s">
        <v>14361</v>
      </c>
      <c r="H1073">
        <v>93522542</v>
      </c>
      <c r="I1073" t="s">
        <v>14292</v>
      </c>
      <c r="L1073" t="s">
        <v>17270</v>
      </c>
      <c r="M1073">
        <v>420</v>
      </c>
      <c r="N1073" t="s">
        <v>17271</v>
      </c>
    </row>
    <row r="1074" spans="1:14">
      <c r="A1074" t="s">
        <v>9256</v>
      </c>
      <c r="B1074">
        <v>1236853</v>
      </c>
      <c r="C1074">
        <v>1239975</v>
      </c>
      <c r="E1074" t="s">
        <v>14314</v>
      </c>
      <c r="F1074" t="s">
        <v>17272</v>
      </c>
      <c r="H1074">
        <v>93522543</v>
      </c>
      <c r="I1074" t="s">
        <v>14292</v>
      </c>
      <c r="L1074" t="s">
        <v>17273</v>
      </c>
      <c r="M1074">
        <v>1040</v>
      </c>
      <c r="N1074" t="s">
        <v>17274</v>
      </c>
    </row>
    <row r="1075" spans="1:14">
      <c r="A1075" t="s">
        <v>9256</v>
      </c>
      <c r="B1075">
        <v>1239972</v>
      </c>
      <c r="C1075">
        <v>1240643</v>
      </c>
      <c r="E1075" t="s">
        <v>14314</v>
      </c>
      <c r="F1075" t="s">
        <v>14403</v>
      </c>
      <c r="H1075">
        <v>93522544</v>
      </c>
      <c r="I1075" t="s">
        <v>14292</v>
      </c>
      <c r="L1075" t="s">
        <v>17275</v>
      </c>
      <c r="M1075">
        <v>223</v>
      </c>
      <c r="N1075" t="s">
        <v>17276</v>
      </c>
    </row>
    <row r="1076" spans="1:14">
      <c r="A1076" t="s">
        <v>9256</v>
      </c>
      <c r="B1076">
        <v>1240661</v>
      </c>
      <c r="C1076">
        <v>1241809</v>
      </c>
      <c r="E1076" t="s">
        <v>14314</v>
      </c>
      <c r="F1076" t="s">
        <v>17263</v>
      </c>
      <c r="H1076">
        <v>93522545</v>
      </c>
      <c r="I1076" t="s">
        <v>14292</v>
      </c>
      <c r="L1076" t="s">
        <v>17277</v>
      </c>
      <c r="M1076">
        <v>382</v>
      </c>
      <c r="N1076" t="s">
        <v>17278</v>
      </c>
    </row>
    <row r="1077" spans="1:14">
      <c r="A1077" t="s">
        <v>9256</v>
      </c>
      <c r="B1077">
        <v>1241825</v>
      </c>
      <c r="C1077">
        <v>1242793</v>
      </c>
      <c r="E1077" t="s">
        <v>14314</v>
      </c>
      <c r="F1077" t="s">
        <v>17279</v>
      </c>
      <c r="H1077">
        <v>93522546</v>
      </c>
      <c r="I1077" t="s">
        <v>14292</v>
      </c>
      <c r="L1077" t="s">
        <v>17280</v>
      </c>
      <c r="M1077">
        <v>322</v>
      </c>
      <c r="N1077" t="s">
        <v>17281</v>
      </c>
    </row>
    <row r="1078" spans="1:14">
      <c r="A1078" t="s">
        <v>9256</v>
      </c>
      <c r="B1078">
        <v>1242798</v>
      </c>
      <c r="C1078">
        <v>1245140</v>
      </c>
      <c r="E1078" t="s">
        <v>14314</v>
      </c>
      <c r="F1078" t="s">
        <v>17282</v>
      </c>
      <c r="H1078">
        <v>93522547</v>
      </c>
      <c r="I1078" t="s">
        <v>14292</v>
      </c>
      <c r="L1078" t="s">
        <v>17283</v>
      </c>
      <c r="M1078">
        <v>780</v>
      </c>
      <c r="N1078" t="s">
        <v>17284</v>
      </c>
    </row>
    <row r="1079" spans="1:14">
      <c r="A1079" t="s">
        <v>9256</v>
      </c>
      <c r="B1079">
        <v>1245190</v>
      </c>
      <c r="C1079">
        <v>1246986</v>
      </c>
      <c r="E1079" t="s">
        <v>14314</v>
      </c>
      <c r="F1079" t="s">
        <v>17285</v>
      </c>
      <c r="H1079">
        <v>93522548</v>
      </c>
      <c r="I1079" t="s">
        <v>14292</v>
      </c>
      <c r="L1079" t="s">
        <v>17286</v>
      </c>
      <c r="M1079">
        <v>598</v>
      </c>
      <c r="N1079" t="s">
        <v>17287</v>
      </c>
    </row>
    <row r="1080" spans="1:14">
      <c r="A1080" t="s">
        <v>9256</v>
      </c>
      <c r="B1080">
        <v>1246983</v>
      </c>
      <c r="C1080">
        <v>1248266</v>
      </c>
      <c r="E1080" t="s">
        <v>14314</v>
      </c>
      <c r="F1080" t="s">
        <v>17288</v>
      </c>
      <c r="H1080">
        <v>93522549</v>
      </c>
      <c r="I1080" t="s">
        <v>14292</v>
      </c>
      <c r="L1080" t="s">
        <v>17289</v>
      </c>
      <c r="M1080">
        <v>427</v>
      </c>
      <c r="N1080" t="s">
        <v>17290</v>
      </c>
    </row>
    <row r="1081" spans="1:14">
      <c r="A1081" t="s">
        <v>9256</v>
      </c>
      <c r="B1081">
        <v>1248271</v>
      </c>
      <c r="C1081">
        <v>1248846</v>
      </c>
      <c r="E1081" t="s">
        <v>14314</v>
      </c>
      <c r="F1081" t="s">
        <v>16416</v>
      </c>
      <c r="H1081">
        <v>93522550</v>
      </c>
      <c r="I1081" t="s">
        <v>14292</v>
      </c>
      <c r="L1081" t="s">
        <v>17291</v>
      </c>
      <c r="M1081">
        <v>191</v>
      </c>
      <c r="N1081" t="s">
        <v>17292</v>
      </c>
    </row>
    <row r="1082" spans="1:14">
      <c r="A1082" t="s">
        <v>9256</v>
      </c>
      <c r="B1082">
        <v>1248855</v>
      </c>
      <c r="C1082">
        <v>1249898</v>
      </c>
      <c r="E1082" t="s">
        <v>14314</v>
      </c>
      <c r="F1082" t="s">
        <v>14291</v>
      </c>
      <c r="H1082">
        <v>93522551</v>
      </c>
      <c r="I1082" t="s">
        <v>14292</v>
      </c>
      <c r="L1082" t="s">
        <v>17293</v>
      </c>
      <c r="M1082">
        <v>347</v>
      </c>
      <c r="N1082" t="s">
        <v>17294</v>
      </c>
    </row>
    <row r="1083" spans="1:14">
      <c r="A1083" t="s">
        <v>9256</v>
      </c>
      <c r="B1083">
        <v>1249938</v>
      </c>
      <c r="C1083">
        <v>1251359</v>
      </c>
      <c r="E1083" t="s">
        <v>14314</v>
      </c>
      <c r="F1083" t="s">
        <v>17263</v>
      </c>
      <c r="H1083">
        <v>93522552</v>
      </c>
      <c r="I1083" t="s">
        <v>14292</v>
      </c>
      <c r="L1083" t="s">
        <v>17295</v>
      </c>
      <c r="M1083">
        <v>473</v>
      </c>
      <c r="N1083" t="s">
        <v>17296</v>
      </c>
    </row>
    <row r="1084" spans="1:14">
      <c r="A1084" t="s">
        <v>9256</v>
      </c>
      <c r="B1084">
        <v>1251368</v>
      </c>
      <c r="C1084">
        <v>1253086</v>
      </c>
      <c r="E1084" t="s">
        <v>14314</v>
      </c>
      <c r="F1084" t="s">
        <v>17297</v>
      </c>
      <c r="H1084">
        <v>93522553</v>
      </c>
      <c r="I1084" t="s">
        <v>14292</v>
      </c>
      <c r="L1084" t="s">
        <v>17298</v>
      </c>
      <c r="M1084">
        <v>572</v>
      </c>
      <c r="N1084" t="s">
        <v>17299</v>
      </c>
    </row>
    <row r="1085" spans="1:14">
      <c r="A1085" t="s">
        <v>9256</v>
      </c>
      <c r="B1085">
        <v>1253083</v>
      </c>
      <c r="C1085">
        <v>1253955</v>
      </c>
      <c r="E1085" t="s">
        <v>14314</v>
      </c>
      <c r="F1085" t="s">
        <v>14291</v>
      </c>
      <c r="H1085">
        <v>93522554</v>
      </c>
      <c r="I1085" t="s">
        <v>14292</v>
      </c>
      <c r="L1085" t="s">
        <v>17300</v>
      </c>
      <c r="M1085">
        <v>290</v>
      </c>
      <c r="N1085" t="s">
        <v>17301</v>
      </c>
    </row>
    <row r="1086" spans="1:14">
      <c r="A1086" t="s">
        <v>9256</v>
      </c>
      <c r="B1086">
        <v>1253969</v>
      </c>
      <c r="C1086">
        <v>1255525</v>
      </c>
      <c r="E1086" t="s">
        <v>14314</v>
      </c>
      <c r="F1086" t="s">
        <v>17302</v>
      </c>
      <c r="H1086">
        <v>93522555</v>
      </c>
      <c r="I1086" t="s">
        <v>14292</v>
      </c>
      <c r="L1086" t="s">
        <v>17303</v>
      </c>
      <c r="M1086">
        <v>518</v>
      </c>
      <c r="N1086" t="s">
        <v>17304</v>
      </c>
    </row>
    <row r="1087" spans="1:14">
      <c r="A1087" t="s">
        <v>9256</v>
      </c>
      <c r="B1087">
        <v>1255539</v>
      </c>
      <c r="C1087">
        <v>1256756</v>
      </c>
      <c r="E1087" t="s">
        <v>14314</v>
      </c>
      <c r="F1087" t="s">
        <v>17245</v>
      </c>
      <c r="H1087">
        <v>93522556</v>
      </c>
      <c r="I1087" t="s">
        <v>14292</v>
      </c>
      <c r="L1087" t="s">
        <v>17305</v>
      </c>
      <c r="M1087">
        <v>405</v>
      </c>
      <c r="N1087" t="s">
        <v>17306</v>
      </c>
    </row>
    <row r="1088" spans="1:14">
      <c r="A1088" t="s">
        <v>9256</v>
      </c>
      <c r="B1088">
        <v>1256753</v>
      </c>
      <c r="C1088">
        <v>1257478</v>
      </c>
      <c r="E1088" t="s">
        <v>14314</v>
      </c>
      <c r="F1088" t="s">
        <v>16416</v>
      </c>
      <c r="H1088">
        <v>93522557</v>
      </c>
      <c r="I1088" t="s">
        <v>14292</v>
      </c>
      <c r="L1088" t="s">
        <v>17307</v>
      </c>
      <c r="M1088">
        <v>241</v>
      </c>
      <c r="N1088" t="s">
        <v>17308</v>
      </c>
    </row>
    <row r="1089" spans="1:14">
      <c r="A1089" t="s">
        <v>9256</v>
      </c>
      <c r="B1089">
        <v>1257642</v>
      </c>
      <c r="C1089">
        <v>1258040</v>
      </c>
      <c r="E1089" t="s">
        <v>14314</v>
      </c>
      <c r="F1089" t="s">
        <v>14291</v>
      </c>
      <c r="H1089">
        <v>93522558</v>
      </c>
      <c r="I1089" t="s">
        <v>14292</v>
      </c>
      <c r="L1089" t="s">
        <v>17309</v>
      </c>
      <c r="M1089">
        <v>132</v>
      </c>
      <c r="N1089" t="s">
        <v>17310</v>
      </c>
    </row>
    <row r="1090" spans="1:14">
      <c r="A1090" t="s">
        <v>9256</v>
      </c>
      <c r="B1090">
        <v>1258353</v>
      </c>
      <c r="C1090">
        <v>1259108</v>
      </c>
      <c r="E1090" t="s">
        <v>14314</v>
      </c>
      <c r="F1090" t="s">
        <v>14498</v>
      </c>
      <c r="H1090">
        <v>93522559</v>
      </c>
      <c r="I1090" t="s">
        <v>14292</v>
      </c>
      <c r="L1090" t="s">
        <v>17311</v>
      </c>
      <c r="M1090">
        <v>251</v>
      </c>
      <c r="N1090" t="s">
        <v>17312</v>
      </c>
    </row>
    <row r="1091" spans="1:14">
      <c r="A1091" t="s">
        <v>9256</v>
      </c>
      <c r="B1091">
        <v>1259115</v>
      </c>
      <c r="C1091">
        <v>1260173</v>
      </c>
      <c r="E1091" t="s">
        <v>14314</v>
      </c>
      <c r="F1091" t="s">
        <v>14493</v>
      </c>
      <c r="H1091">
        <v>93522560</v>
      </c>
      <c r="I1091" t="s">
        <v>14292</v>
      </c>
      <c r="L1091" t="s">
        <v>17313</v>
      </c>
      <c r="M1091">
        <v>352</v>
      </c>
      <c r="N1091" t="s">
        <v>17314</v>
      </c>
    </row>
    <row r="1092" spans="1:14">
      <c r="A1092" t="s">
        <v>9256</v>
      </c>
      <c r="B1092">
        <v>1260242</v>
      </c>
      <c r="C1092">
        <v>1261777</v>
      </c>
      <c r="E1092" t="s">
        <v>14314</v>
      </c>
      <c r="F1092" t="s">
        <v>14455</v>
      </c>
      <c r="H1092">
        <v>93522561</v>
      </c>
      <c r="I1092" t="s">
        <v>14292</v>
      </c>
      <c r="L1092" t="s">
        <v>17315</v>
      </c>
      <c r="M1092">
        <v>511</v>
      </c>
      <c r="N1092" t="s">
        <v>17316</v>
      </c>
    </row>
    <row r="1093" spans="1:14">
      <c r="A1093" t="s">
        <v>9256</v>
      </c>
      <c r="B1093">
        <v>1261783</v>
      </c>
      <c r="C1093">
        <v>1262493</v>
      </c>
      <c r="E1093" t="s">
        <v>14314</v>
      </c>
      <c r="F1093" t="s">
        <v>17317</v>
      </c>
      <c r="H1093">
        <v>93522562</v>
      </c>
      <c r="I1093" t="s">
        <v>14292</v>
      </c>
      <c r="L1093" t="s">
        <v>17318</v>
      </c>
      <c r="M1093">
        <v>236</v>
      </c>
      <c r="N1093" t="s">
        <v>17319</v>
      </c>
    </row>
    <row r="1094" spans="1:14">
      <c r="A1094" t="s">
        <v>9256</v>
      </c>
      <c r="B1094">
        <v>1262490</v>
      </c>
      <c r="C1094">
        <v>1263377</v>
      </c>
      <c r="E1094" t="s">
        <v>14314</v>
      </c>
      <c r="F1094" t="s">
        <v>17320</v>
      </c>
      <c r="H1094">
        <v>93522563</v>
      </c>
      <c r="I1094" t="s">
        <v>14292</v>
      </c>
      <c r="L1094" t="s">
        <v>17321</v>
      </c>
      <c r="M1094">
        <v>295</v>
      </c>
      <c r="N1094" t="s">
        <v>17322</v>
      </c>
    </row>
    <row r="1095" spans="1:14">
      <c r="A1095" t="s">
        <v>9256</v>
      </c>
      <c r="B1095">
        <v>1263365</v>
      </c>
      <c r="C1095">
        <v>1264144</v>
      </c>
      <c r="E1095" t="s">
        <v>14314</v>
      </c>
      <c r="F1095" t="s">
        <v>15265</v>
      </c>
      <c r="H1095">
        <v>93522564</v>
      </c>
      <c r="I1095" t="s">
        <v>14292</v>
      </c>
      <c r="L1095" t="s">
        <v>17323</v>
      </c>
      <c r="M1095">
        <v>259</v>
      </c>
      <c r="N1095" t="s">
        <v>17324</v>
      </c>
    </row>
    <row r="1096" spans="1:14">
      <c r="A1096" t="s">
        <v>9256</v>
      </c>
      <c r="B1096">
        <v>1265461</v>
      </c>
      <c r="C1096">
        <v>1268784</v>
      </c>
      <c r="E1096" t="s">
        <v>14314</v>
      </c>
      <c r="F1096" t="s">
        <v>15863</v>
      </c>
      <c r="H1096">
        <v>93522565</v>
      </c>
      <c r="I1096" t="s">
        <v>14292</v>
      </c>
      <c r="L1096" t="s">
        <v>17325</v>
      </c>
      <c r="M1096">
        <v>1107</v>
      </c>
      <c r="N1096" t="s">
        <v>17326</v>
      </c>
    </row>
    <row r="1097" spans="1:14">
      <c r="A1097" t="s">
        <v>9256</v>
      </c>
      <c r="B1097">
        <v>1269184</v>
      </c>
      <c r="C1097">
        <v>1269936</v>
      </c>
      <c r="E1097" t="s">
        <v>14314</v>
      </c>
      <c r="F1097" t="s">
        <v>17327</v>
      </c>
      <c r="H1097">
        <v>93522566</v>
      </c>
      <c r="I1097" t="s">
        <v>14292</v>
      </c>
      <c r="L1097" t="s">
        <v>17328</v>
      </c>
      <c r="M1097">
        <v>250</v>
      </c>
      <c r="N1097" t="s">
        <v>17329</v>
      </c>
    </row>
    <row r="1098" spans="1:14">
      <c r="A1098" t="s">
        <v>9256</v>
      </c>
      <c r="B1098">
        <v>1269923</v>
      </c>
      <c r="C1098">
        <v>1270282</v>
      </c>
      <c r="E1098" t="s">
        <v>14314</v>
      </c>
      <c r="F1098" t="s">
        <v>15538</v>
      </c>
      <c r="H1098">
        <v>93522567</v>
      </c>
      <c r="I1098" t="s">
        <v>14292</v>
      </c>
      <c r="L1098" t="s">
        <v>17330</v>
      </c>
      <c r="M1098">
        <v>119</v>
      </c>
      <c r="N1098" t="s">
        <v>17331</v>
      </c>
    </row>
    <row r="1099" spans="1:14">
      <c r="A1099" t="s">
        <v>9256</v>
      </c>
      <c r="B1099">
        <v>1270295</v>
      </c>
      <c r="C1099">
        <v>1270660</v>
      </c>
      <c r="E1099" t="s">
        <v>14314</v>
      </c>
      <c r="F1099" t="s">
        <v>17332</v>
      </c>
      <c r="H1099">
        <v>93522568</v>
      </c>
      <c r="I1099" t="s">
        <v>14292</v>
      </c>
      <c r="L1099" t="s">
        <v>17333</v>
      </c>
      <c r="M1099">
        <v>121</v>
      </c>
      <c r="N1099" t="s">
        <v>17334</v>
      </c>
    </row>
    <row r="1100" spans="1:14">
      <c r="A1100" t="s">
        <v>9256</v>
      </c>
      <c r="B1100">
        <v>1270730</v>
      </c>
      <c r="C1100">
        <v>1270957</v>
      </c>
      <c r="E1100" t="s">
        <v>14290</v>
      </c>
      <c r="F1100" t="s">
        <v>14291</v>
      </c>
      <c r="H1100">
        <v>93522569</v>
      </c>
      <c r="I1100" t="s">
        <v>14292</v>
      </c>
      <c r="L1100" t="s">
        <v>17335</v>
      </c>
      <c r="M1100">
        <v>75</v>
      </c>
      <c r="N1100" t="s">
        <v>17336</v>
      </c>
    </row>
    <row r="1101" spans="1:14">
      <c r="A1101" t="s">
        <v>9256</v>
      </c>
      <c r="B1101">
        <v>1270954</v>
      </c>
      <c r="C1101">
        <v>1271394</v>
      </c>
      <c r="E1101" t="s">
        <v>14290</v>
      </c>
      <c r="F1101" t="s">
        <v>17337</v>
      </c>
      <c r="H1101">
        <v>93522570</v>
      </c>
      <c r="I1101" t="s">
        <v>14292</v>
      </c>
      <c r="L1101" t="s">
        <v>17338</v>
      </c>
      <c r="M1101">
        <v>146</v>
      </c>
      <c r="N1101" t="s">
        <v>17339</v>
      </c>
    </row>
    <row r="1102" spans="1:14">
      <c r="A1102" t="s">
        <v>9256</v>
      </c>
      <c r="B1102">
        <v>1271398</v>
      </c>
      <c r="C1102">
        <v>1271676</v>
      </c>
      <c r="E1102" t="s">
        <v>14314</v>
      </c>
      <c r="F1102" t="s">
        <v>17340</v>
      </c>
      <c r="H1102">
        <v>93522571</v>
      </c>
      <c r="I1102" t="s">
        <v>14292</v>
      </c>
      <c r="L1102" t="s">
        <v>17341</v>
      </c>
      <c r="M1102">
        <v>92</v>
      </c>
      <c r="N1102" t="s">
        <v>17342</v>
      </c>
    </row>
    <row r="1103" spans="1:14">
      <c r="A1103" t="s">
        <v>9256</v>
      </c>
      <c r="B1103">
        <v>1271733</v>
      </c>
      <c r="C1103">
        <v>1272434</v>
      </c>
      <c r="E1103" t="s">
        <v>14314</v>
      </c>
      <c r="F1103" t="s">
        <v>17343</v>
      </c>
      <c r="H1103">
        <v>93522572</v>
      </c>
      <c r="I1103" t="s">
        <v>14292</v>
      </c>
      <c r="L1103" t="s">
        <v>17344</v>
      </c>
      <c r="M1103">
        <v>233</v>
      </c>
      <c r="N1103" t="s">
        <v>17345</v>
      </c>
    </row>
    <row r="1104" spans="1:14">
      <c r="A1104" t="s">
        <v>9256</v>
      </c>
      <c r="B1104">
        <v>1272431</v>
      </c>
      <c r="C1104">
        <v>1273093</v>
      </c>
      <c r="E1104" t="s">
        <v>14314</v>
      </c>
      <c r="F1104" t="s">
        <v>17346</v>
      </c>
      <c r="H1104">
        <v>93522573</v>
      </c>
      <c r="I1104" t="s">
        <v>14292</v>
      </c>
      <c r="L1104" t="s">
        <v>17347</v>
      </c>
      <c r="M1104">
        <v>220</v>
      </c>
      <c r="N1104" t="s">
        <v>17348</v>
      </c>
    </row>
    <row r="1105" spans="1:14">
      <c r="A1105" t="s">
        <v>9256</v>
      </c>
      <c r="B1105">
        <v>1273166</v>
      </c>
      <c r="C1105">
        <v>1276333</v>
      </c>
      <c r="E1105" t="s">
        <v>14314</v>
      </c>
      <c r="F1105" t="s">
        <v>17349</v>
      </c>
      <c r="H1105">
        <v>93522574</v>
      </c>
      <c r="I1105" t="s">
        <v>14292</v>
      </c>
      <c r="L1105" t="s">
        <v>17350</v>
      </c>
      <c r="M1105">
        <v>1055</v>
      </c>
      <c r="N1105" t="s">
        <v>17351</v>
      </c>
    </row>
    <row r="1106" spans="1:14">
      <c r="A1106" t="s">
        <v>9256</v>
      </c>
      <c r="B1106">
        <v>1276346</v>
      </c>
      <c r="C1106">
        <v>1276690</v>
      </c>
      <c r="E1106" t="s">
        <v>14314</v>
      </c>
      <c r="F1106" t="s">
        <v>17352</v>
      </c>
      <c r="H1106">
        <v>93522575</v>
      </c>
      <c r="I1106" t="s">
        <v>14292</v>
      </c>
      <c r="L1106" t="s">
        <v>17353</v>
      </c>
      <c r="M1106">
        <v>114</v>
      </c>
      <c r="N1106" t="s">
        <v>17354</v>
      </c>
    </row>
    <row r="1107" spans="1:14">
      <c r="A1107" t="s">
        <v>9256</v>
      </c>
      <c r="B1107">
        <v>1276858</v>
      </c>
      <c r="C1107">
        <v>1278237</v>
      </c>
      <c r="E1107" t="s">
        <v>14314</v>
      </c>
      <c r="F1107" t="s">
        <v>16307</v>
      </c>
      <c r="H1107">
        <v>93522576</v>
      </c>
      <c r="I1107" t="s">
        <v>14292</v>
      </c>
      <c r="L1107" t="s">
        <v>17355</v>
      </c>
      <c r="M1107">
        <v>459</v>
      </c>
      <c r="N1107" t="s">
        <v>17356</v>
      </c>
    </row>
    <row r="1108" spans="1:14">
      <c r="A1108" t="s">
        <v>9256</v>
      </c>
      <c r="B1108">
        <v>1278695</v>
      </c>
      <c r="C1108">
        <v>1279477</v>
      </c>
      <c r="E1108" t="s">
        <v>14290</v>
      </c>
      <c r="F1108" t="s">
        <v>14933</v>
      </c>
      <c r="H1108">
        <v>93522577</v>
      </c>
      <c r="I1108" t="s">
        <v>14292</v>
      </c>
      <c r="L1108" t="s">
        <v>17357</v>
      </c>
      <c r="M1108">
        <v>260</v>
      </c>
      <c r="N1108" t="s">
        <v>17358</v>
      </c>
    </row>
    <row r="1109" spans="1:14">
      <c r="A1109" t="s">
        <v>9256</v>
      </c>
      <c r="B1109">
        <v>1279642</v>
      </c>
      <c r="C1109">
        <v>1281951</v>
      </c>
      <c r="E1109" t="s">
        <v>14290</v>
      </c>
      <c r="F1109" t="s">
        <v>14493</v>
      </c>
      <c r="H1109">
        <v>93522578</v>
      </c>
      <c r="I1109" t="s">
        <v>14292</v>
      </c>
      <c r="L1109" t="s">
        <v>17359</v>
      </c>
      <c r="M1109">
        <v>769</v>
      </c>
      <c r="N1109" t="s">
        <v>17360</v>
      </c>
    </row>
    <row r="1110" spans="1:14">
      <c r="A1110" t="s">
        <v>9256</v>
      </c>
      <c r="B1110">
        <v>1281920</v>
      </c>
      <c r="C1110">
        <v>1282405</v>
      </c>
      <c r="E1110" t="s">
        <v>14314</v>
      </c>
      <c r="F1110" t="s">
        <v>17361</v>
      </c>
      <c r="G1110" t="s">
        <v>17362</v>
      </c>
      <c r="H1110">
        <v>93522579</v>
      </c>
      <c r="I1110" t="s">
        <v>14292</v>
      </c>
      <c r="L1110" t="s">
        <v>17363</v>
      </c>
      <c r="M1110">
        <v>161</v>
      </c>
      <c r="N1110" t="s">
        <v>17364</v>
      </c>
    </row>
    <row r="1111" spans="1:14">
      <c r="A1111" t="s">
        <v>9256</v>
      </c>
      <c r="B1111">
        <v>1282412</v>
      </c>
      <c r="C1111">
        <v>1283608</v>
      </c>
      <c r="E1111" t="s">
        <v>14314</v>
      </c>
      <c r="F1111" t="s">
        <v>17365</v>
      </c>
      <c r="G1111" t="s">
        <v>17366</v>
      </c>
      <c r="H1111">
        <v>93522580</v>
      </c>
      <c r="I1111" t="s">
        <v>14292</v>
      </c>
      <c r="L1111" t="s">
        <v>17367</v>
      </c>
      <c r="M1111">
        <v>398</v>
      </c>
      <c r="N1111" t="s">
        <v>17368</v>
      </c>
    </row>
    <row r="1112" spans="1:14">
      <c r="A1112" t="s">
        <v>9256</v>
      </c>
      <c r="B1112">
        <v>1283700</v>
      </c>
      <c r="C1112">
        <v>1287113</v>
      </c>
      <c r="E1112" t="s">
        <v>14314</v>
      </c>
      <c r="F1112" t="s">
        <v>17369</v>
      </c>
      <c r="G1112" t="s">
        <v>17370</v>
      </c>
      <c r="H1112">
        <v>93522581</v>
      </c>
      <c r="I1112" t="s">
        <v>14292</v>
      </c>
      <c r="L1112" t="s">
        <v>17371</v>
      </c>
      <c r="M1112">
        <v>1137</v>
      </c>
      <c r="N1112" t="s">
        <v>17372</v>
      </c>
    </row>
    <row r="1113" spans="1:14">
      <c r="A1113" t="s">
        <v>9256</v>
      </c>
      <c r="B1113">
        <v>1287110</v>
      </c>
      <c r="C1113">
        <v>1287724</v>
      </c>
      <c r="E1113" t="s">
        <v>14314</v>
      </c>
      <c r="F1113" t="s">
        <v>17373</v>
      </c>
      <c r="H1113">
        <v>93522582</v>
      </c>
      <c r="I1113" t="s">
        <v>14292</v>
      </c>
      <c r="L1113" t="s">
        <v>17374</v>
      </c>
      <c r="M1113">
        <v>204</v>
      </c>
      <c r="N1113" t="s">
        <v>17375</v>
      </c>
    </row>
    <row r="1114" spans="1:14">
      <c r="A1114" t="s">
        <v>9256</v>
      </c>
      <c r="B1114">
        <v>1287728</v>
      </c>
      <c r="C1114">
        <v>1288378</v>
      </c>
      <c r="E1114" t="s">
        <v>14314</v>
      </c>
      <c r="F1114" t="s">
        <v>17376</v>
      </c>
      <c r="H1114">
        <v>93522583</v>
      </c>
      <c r="I1114" t="s">
        <v>14292</v>
      </c>
      <c r="L1114" t="s">
        <v>17377</v>
      </c>
      <c r="M1114">
        <v>216</v>
      </c>
      <c r="N1114" t="s">
        <v>17378</v>
      </c>
    </row>
    <row r="1115" spans="1:14">
      <c r="A1115" t="s">
        <v>9256</v>
      </c>
      <c r="B1115">
        <v>1288716</v>
      </c>
      <c r="C1115">
        <v>1289555</v>
      </c>
      <c r="E1115" t="s">
        <v>14290</v>
      </c>
      <c r="F1115" t="s">
        <v>17379</v>
      </c>
      <c r="H1115">
        <v>93522584</v>
      </c>
      <c r="I1115" t="s">
        <v>14292</v>
      </c>
      <c r="L1115" t="s">
        <v>17380</v>
      </c>
      <c r="M1115">
        <v>279</v>
      </c>
      <c r="N1115" t="s">
        <v>17381</v>
      </c>
    </row>
    <row r="1116" spans="1:14">
      <c r="A1116" t="s">
        <v>9256</v>
      </c>
      <c r="B1116">
        <v>1289794</v>
      </c>
      <c r="C1116">
        <v>1293168</v>
      </c>
      <c r="E1116" t="s">
        <v>14314</v>
      </c>
      <c r="F1116" t="s">
        <v>15863</v>
      </c>
      <c r="H1116">
        <v>93522585</v>
      </c>
      <c r="I1116" t="s">
        <v>14292</v>
      </c>
      <c r="L1116" t="s">
        <v>17382</v>
      </c>
      <c r="M1116">
        <v>1124</v>
      </c>
      <c r="N1116" t="s">
        <v>17383</v>
      </c>
    </row>
    <row r="1117" spans="1:14">
      <c r="A1117" t="s">
        <v>9256</v>
      </c>
      <c r="B1117">
        <v>1294153</v>
      </c>
      <c r="C1117">
        <v>1295607</v>
      </c>
      <c r="E1117" t="s">
        <v>14314</v>
      </c>
      <c r="F1117" t="s">
        <v>15967</v>
      </c>
      <c r="H1117">
        <v>93522586</v>
      </c>
      <c r="I1117" t="s">
        <v>14292</v>
      </c>
      <c r="L1117" t="s">
        <v>17384</v>
      </c>
      <c r="M1117">
        <v>484</v>
      </c>
      <c r="N1117" t="s">
        <v>17385</v>
      </c>
    </row>
    <row r="1118" spans="1:14">
      <c r="A1118" t="s">
        <v>9256</v>
      </c>
      <c r="B1118">
        <v>1295658</v>
      </c>
      <c r="C1118">
        <v>1296671</v>
      </c>
      <c r="E1118" t="s">
        <v>14314</v>
      </c>
      <c r="F1118" t="s">
        <v>17386</v>
      </c>
      <c r="H1118">
        <v>93522587</v>
      </c>
      <c r="I1118" t="s">
        <v>14292</v>
      </c>
      <c r="L1118" t="s">
        <v>17387</v>
      </c>
      <c r="M1118">
        <v>337</v>
      </c>
      <c r="N1118" t="s">
        <v>17388</v>
      </c>
    </row>
    <row r="1119" spans="1:14">
      <c r="A1119" t="s">
        <v>9256</v>
      </c>
      <c r="B1119">
        <v>1296767</v>
      </c>
      <c r="C1119">
        <v>1297567</v>
      </c>
      <c r="E1119" t="s">
        <v>14290</v>
      </c>
      <c r="F1119" t="s">
        <v>17389</v>
      </c>
      <c r="G1119" t="s">
        <v>17390</v>
      </c>
      <c r="H1119">
        <v>93522588</v>
      </c>
      <c r="I1119" t="s">
        <v>14292</v>
      </c>
      <c r="L1119" t="s">
        <v>17391</v>
      </c>
      <c r="M1119">
        <v>266</v>
      </c>
      <c r="N1119" t="s">
        <v>17392</v>
      </c>
    </row>
    <row r="1120" spans="1:14">
      <c r="A1120" t="s">
        <v>9256</v>
      </c>
      <c r="B1120">
        <v>1297583</v>
      </c>
      <c r="C1120">
        <v>1298929</v>
      </c>
      <c r="E1120" t="s">
        <v>14290</v>
      </c>
      <c r="F1120" t="s">
        <v>17393</v>
      </c>
      <c r="G1120" t="s">
        <v>17394</v>
      </c>
      <c r="H1120">
        <v>93522589</v>
      </c>
      <c r="I1120" t="s">
        <v>14292</v>
      </c>
      <c r="L1120" t="s">
        <v>17395</v>
      </c>
      <c r="M1120">
        <v>448</v>
      </c>
      <c r="N1120" t="s">
        <v>17396</v>
      </c>
    </row>
    <row r="1121" spans="1:14">
      <c r="A1121" t="s">
        <v>9256</v>
      </c>
      <c r="B1121">
        <v>1299041</v>
      </c>
      <c r="C1121">
        <v>1299379</v>
      </c>
      <c r="E1121" t="s">
        <v>14290</v>
      </c>
      <c r="F1121" t="s">
        <v>17397</v>
      </c>
      <c r="H1121">
        <v>93522590</v>
      </c>
      <c r="I1121" t="s">
        <v>14292</v>
      </c>
      <c r="L1121" t="s">
        <v>17398</v>
      </c>
      <c r="M1121">
        <v>112</v>
      </c>
      <c r="N1121" t="s">
        <v>17399</v>
      </c>
    </row>
    <row r="1122" spans="1:14">
      <c r="A1122" t="s">
        <v>9256</v>
      </c>
      <c r="B1122">
        <v>1299383</v>
      </c>
      <c r="C1122">
        <v>1300087</v>
      </c>
      <c r="E1122" t="s">
        <v>14290</v>
      </c>
      <c r="F1122" t="s">
        <v>17400</v>
      </c>
      <c r="H1122">
        <v>93522591</v>
      </c>
      <c r="I1122" t="s">
        <v>14292</v>
      </c>
      <c r="L1122" t="s">
        <v>17401</v>
      </c>
      <c r="M1122">
        <v>234</v>
      </c>
      <c r="N1122" t="s">
        <v>17402</v>
      </c>
    </row>
    <row r="1123" spans="1:14">
      <c r="A1123" t="s">
        <v>9256</v>
      </c>
      <c r="B1123">
        <v>1300188</v>
      </c>
      <c r="C1123">
        <v>1300754</v>
      </c>
      <c r="E1123" t="s">
        <v>14290</v>
      </c>
      <c r="F1123" t="s">
        <v>17403</v>
      </c>
      <c r="G1123" t="s">
        <v>17404</v>
      </c>
      <c r="H1123">
        <v>93522592</v>
      </c>
      <c r="I1123" t="s">
        <v>14292</v>
      </c>
      <c r="L1123" t="s">
        <v>17405</v>
      </c>
      <c r="M1123">
        <v>188</v>
      </c>
      <c r="N1123" t="s">
        <v>17406</v>
      </c>
    </row>
    <row r="1124" spans="1:14">
      <c r="A1124" t="s">
        <v>9256</v>
      </c>
      <c r="B1124">
        <v>1300840</v>
      </c>
      <c r="C1124">
        <v>1301547</v>
      </c>
      <c r="E1124" t="s">
        <v>14290</v>
      </c>
      <c r="F1124" t="s">
        <v>17407</v>
      </c>
      <c r="G1124" t="s">
        <v>17408</v>
      </c>
      <c r="H1124">
        <v>93522593</v>
      </c>
      <c r="I1124" t="s">
        <v>14292</v>
      </c>
      <c r="L1124" t="s">
        <v>17409</v>
      </c>
      <c r="M1124">
        <v>235</v>
      </c>
      <c r="N1124" t="s">
        <v>17410</v>
      </c>
    </row>
    <row r="1125" spans="1:14">
      <c r="A1125" t="s">
        <v>9256</v>
      </c>
      <c r="B1125">
        <v>1301619</v>
      </c>
      <c r="C1125">
        <v>1301936</v>
      </c>
      <c r="E1125" t="s">
        <v>14290</v>
      </c>
      <c r="F1125" t="s">
        <v>17411</v>
      </c>
      <c r="H1125">
        <v>93522594</v>
      </c>
      <c r="I1125" t="s">
        <v>14292</v>
      </c>
      <c r="L1125" t="s">
        <v>17412</v>
      </c>
      <c r="M1125">
        <v>105</v>
      </c>
      <c r="N1125" t="s">
        <v>17413</v>
      </c>
    </row>
    <row r="1126" spans="1:14">
      <c r="A1126" t="s">
        <v>9256</v>
      </c>
      <c r="B1126">
        <v>1301933</v>
      </c>
      <c r="C1126">
        <v>1302712</v>
      </c>
      <c r="E1126" t="s">
        <v>14290</v>
      </c>
      <c r="F1126" t="s">
        <v>17414</v>
      </c>
      <c r="H1126">
        <v>93522595</v>
      </c>
      <c r="I1126" t="s">
        <v>14292</v>
      </c>
      <c r="L1126" t="s">
        <v>17415</v>
      </c>
      <c r="M1126">
        <v>259</v>
      </c>
      <c r="N1126" t="s">
        <v>17416</v>
      </c>
    </row>
    <row r="1127" spans="1:14">
      <c r="A1127" t="s">
        <v>9256</v>
      </c>
      <c r="B1127">
        <v>1302760</v>
      </c>
      <c r="C1127">
        <v>1303578</v>
      </c>
      <c r="E1127" t="s">
        <v>14314</v>
      </c>
      <c r="F1127" t="s">
        <v>17417</v>
      </c>
      <c r="H1127">
        <v>93522596</v>
      </c>
      <c r="I1127" t="s">
        <v>14292</v>
      </c>
      <c r="L1127" t="s">
        <v>17418</v>
      </c>
      <c r="M1127">
        <v>272</v>
      </c>
      <c r="N1127" t="s">
        <v>17419</v>
      </c>
    </row>
    <row r="1128" spans="1:14">
      <c r="A1128" t="s">
        <v>9256</v>
      </c>
      <c r="B1128">
        <v>1303664</v>
      </c>
      <c r="C1128">
        <v>1304950</v>
      </c>
      <c r="E1128" t="s">
        <v>14314</v>
      </c>
      <c r="F1128" t="s">
        <v>14291</v>
      </c>
      <c r="H1128">
        <v>93522597</v>
      </c>
      <c r="I1128" t="s">
        <v>14292</v>
      </c>
      <c r="L1128" t="s">
        <v>17420</v>
      </c>
      <c r="M1128">
        <v>428</v>
      </c>
      <c r="N1128" t="s">
        <v>17421</v>
      </c>
    </row>
    <row r="1129" spans="1:14">
      <c r="A1129" t="s">
        <v>9256</v>
      </c>
      <c r="B1129">
        <v>1305206</v>
      </c>
      <c r="C1129">
        <v>1306276</v>
      </c>
      <c r="E1129" t="s">
        <v>14290</v>
      </c>
      <c r="F1129" t="s">
        <v>15136</v>
      </c>
      <c r="H1129">
        <v>93522598</v>
      </c>
      <c r="I1129" t="s">
        <v>14292</v>
      </c>
      <c r="L1129" t="s">
        <v>17422</v>
      </c>
      <c r="M1129">
        <v>356</v>
      </c>
      <c r="N1129" t="s">
        <v>17423</v>
      </c>
    </row>
    <row r="1130" spans="1:14">
      <c r="A1130" t="s">
        <v>9256</v>
      </c>
      <c r="B1130">
        <v>1306337</v>
      </c>
      <c r="C1130">
        <v>1307785</v>
      </c>
      <c r="E1130" t="s">
        <v>14314</v>
      </c>
      <c r="F1130" t="s">
        <v>17424</v>
      </c>
      <c r="H1130">
        <v>93522599</v>
      </c>
      <c r="I1130" t="s">
        <v>14292</v>
      </c>
      <c r="L1130" t="s">
        <v>17425</v>
      </c>
      <c r="M1130">
        <v>482</v>
      </c>
      <c r="N1130" t="s">
        <v>17426</v>
      </c>
    </row>
    <row r="1131" spans="1:14">
      <c r="A1131" t="s">
        <v>9256</v>
      </c>
      <c r="B1131">
        <v>1307804</v>
      </c>
      <c r="C1131">
        <v>1308370</v>
      </c>
      <c r="E1131" t="s">
        <v>14314</v>
      </c>
      <c r="F1131" t="s">
        <v>17427</v>
      </c>
      <c r="H1131">
        <v>93522600</v>
      </c>
      <c r="I1131" t="s">
        <v>14292</v>
      </c>
      <c r="L1131" t="s">
        <v>17428</v>
      </c>
      <c r="M1131">
        <v>188</v>
      </c>
      <c r="N1131" t="s">
        <v>17429</v>
      </c>
    </row>
    <row r="1132" spans="1:14">
      <c r="A1132" t="s">
        <v>9256</v>
      </c>
      <c r="B1132">
        <v>1308542</v>
      </c>
      <c r="C1132">
        <v>1309153</v>
      </c>
      <c r="E1132" t="s">
        <v>14314</v>
      </c>
      <c r="F1132" t="s">
        <v>14490</v>
      </c>
      <c r="H1132">
        <v>93522601</v>
      </c>
      <c r="I1132" t="s">
        <v>14292</v>
      </c>
      <c r="L1132" t="s">
        <v>17430</v>
      </c>
      <c r="M1132">
        <v>203</v>
      </c>
      <c r="N1132" t="s">
        <v>17431</v>
      </c>
    </row>
    <row r="1133" spans="1:14">
      <c r="A1133" t="s">
        <v>9256</v>
      </c>
      <c r="B1133">
        <v>1309164</v>
      </c>
      <c r="C1133">
        <v>1309853</v>
      </c>
      <c r="E1133" t="s">
        <v>14314</v>
      </c>
      <c r="F1133" t="s">
        <v>17432</v>
      </c>
      <c r="H1133">
        <v>93522602</v>
      </c>
      <c r="I1133" t="s">
        <v>14292</v>
      </c>
      <c r="L1133" t="s">
        <v>17433</v>
      </c>
      <c r="M1133">
        <v>229</v>
      </c>
      <c r="N1133" t="s">
        <v>17434</v>
      </c>
    </row>
    <row r="1134" spans="1:14">
      <c r="A1134" t="s">
        <v>9256</v>
      </c>
      <c r="B1134">
        <v>1309936</v>
      </c>
      <c r="C1134">
        <v>1311090</v>
      </c>
      <c r="E1134" t="s">
        <v>14314</v>
      </c>
      <c r="F1134" t="s">
        <v>17435</v>
      </c>
      <c r="H1134">
        <v>93522603</v>
      </c>
      <c r="I1134" t="s">
        <v>14292</v>
      </c>
      <c r="L1134" t="s">
        <v>17436</v>
      </c>
      <c r="M1134">
        <v>384</v>
      </c>
      <c r="N1134" t="s">
        <v>17437</v>
      </c>
    </row>
    <row r="1135" spans="1:14">
      <c r="A1135" t="s">
        <v>9256</v>
      </c>
      <c r="B1135">
        <v>1311102</v>
      </c>
      <c r="C1135">
        <v>1311809</v>
      </c>
      <c r="E1135" t="s">
        <v>14314</v>
      </c>
      <c r="F1135" t="s">
        <v>14291</v>
      </c>
      <c r="H1135">
        <v>93522604</v>
      </c>
      <c r="I1135" t="s">
        <v>14292</v>
      </c>
      <c r="L1135" t="s">
        <v>17438</v>
      </c>
      <c r="M1135">
        <v>235</v>
      </c>
      <c r="N1135" t="s">
        <v>17439</v>
      </c>
    </row>
    <row r="1136" spans="1:14">
      <c r="A1136" t="s">
        <v>9256</v>
      </c>
      <c r="B1136">
        <v>1311819</v>
      </c>
      <c r="C1136">
        <v>1313054</v>
      </c>
      <c r="E1136" t="s">
        <v>14314</v>
      </c>
      <c r="F1136" t="s">
        <v>17440</v>
      </c>
      <c r="H1136">
        <v>93522605</v>
      </c>
      <c r="I1136" t="s">
        <v>14292</v>
      </c>
      <c r="L1136" t="s">
        <v>17441</v>
      </c>
      <c r="M1136">
        <v>411</v>
      </c>
      <c r="N1136" t="s">
        <v>17442</v>
      </c>
    </row>
    <row r="1137" spans="1:14">
      <c r="A1137" t="s">
        <v>9256</v>
      </c>
      <c r="B1137">
        <v>1313077</v>
      </c>
      <c r="C1137">
        <v>1314483</v>
      </c>
      <c r="E1137" t="s">
        <v>14314</v>
      </c>
      <c r="F1137" t="s">
        <v>17443</v>
      </c>
      <c r="H1137">
        <v>93522606</v>
      </c>
      <c r="I1137" t="s">
        <v>14292</v>
      </c>
      <c r="L1137" t="s">
        <v>17444</v>
      </c>
      <c r="M1137">
        <v>468</v>
      </c>
      <c r="N1137" t="s">
        <v>17445</v>
      </c>
    </row>
    <row r="1138" spans="1:14">
      <c r="A1138" t="s">
        <v>9256</v>
      </c>
      <c r="B1138">
        <v>1314501</v>
      </c>
      <c r="C1138">
        <v>1315712</v>
      </c>
      <c r="E1138" t="s">
        <v>14314</v>
      </c>
      <c r="F1138" t="s">
        <v>17446</v>
      </c>
      <c r="H1138">
        <v>93522607</v>
      </c>
      <c r="I1138" t="s">
        <v>14292</v>
      </c>
      <c r="L1138" t="s">
        <v>17447</v>
      </c>
      <c r="M1138">
        <v>403</v>
      </c>
      <c r="N1138" t="s">
        <v>17448</v>
      </c>
    </row>
    <row r="1139" spans="1:14">
      <c r="A1139" t="s">
        <v>9256</v>
      </c>
      <c r="B1139">
        <v>1315743</v>
      </c>
      <c r="C1139">
        <v>1317056</v>
      </c>
      <c r="E1139" t="s">
        <v>14314</v>
      </c>
      <c r="F1139" t="s">
        <v>17440</v>
      </c>
      <c r="H1139">
        <v>93522608</v>
      </c>
      <c r="I1139" t="s">
        <v>14292</v>
      </c>
      <c r="L1139" t="s">
        <v>17449</v>
      </c>
      <c r="M1139">
        <v>437</v>
      </c>
      <c r="N1139" t="s">
        <v>17450</v>
      </c>
    </row>
    <row r="1140" spans="1:14">
      <c r="A1140" t="s">
        <v>9256</v>
      </c>
      <c r="B1140">
        <v>1317386</v>
      </c>
      <c r="C1140">
        <v>1317646</v>
      </c>
      <c r="E1140" t="s">
        <v>14290</v>
      </c>
      <c r="F1140" t="s">
        <v>17451</v>
      </c>
      <c r="H1140">
        <v>93522609</v>
      </c>
      <c r="I1140" t="s">
        <v>14292</v>
      </c>
      <c r="L1140" t="s">
        <v>17452</v>
      </c>
      <c r="M1140">
        <v>86</v>
      </c>
      <c r="N1140" t="s">
        <v>17453</v>
      </c>
    </row>
    <row r="1141" spans="1:14">
      <c r="A1141" t="s">
        <v>9256</v>
      </c>
      <c r="B1141">
        <v>1317658</v>
      </c>
      <c r="C1141">
        <v>1317999</v>
      </c>
      <c r="E1141" t="s">
        <v>14290</v>
      </c>
      <c r="F1141" t="s">
        <v>17454</v>
      </c>
      <c r="H1141">
        <v>93522610</v>
      </c>
      <c r="I1141" t="s">
        <v>14292</v>
      </c>
      <c r="L1141" t="s">
        <v>17455</v>
      </c>
      <c r="M1141">
        <v>113</v>
      </c>
      <c r="N1141" t="s">
        <v>17456</v>
      </c>
    </row>
    <row r="1142" spans="1:14">
      <c r="A1142" t="s">
        <v>9256</v>
      </c>
      <c r="B1142">
        <v>1318331</v>
      </c>
      <c r="C1142">
        <v>1319236</v>
      </c>
      <c r="E1142" t="s">
        <v>14314</v>
      </c>
      <c r="F1142" t="s">
        <v>17457</v>
      </c>
      <c r="H1142">
        <v>93522611</v>
      </c>
      <c r="I1142" t="s">
        <v>14292</v>
      </c>
      <c r="L1142" t="s">
        <v>17458</v>
      </c>
      <c r="M1142">
        <v>301</v>
      </c>
      <c r="N1142" t="s">
        <v>17459</v>
      </c>
    </row>
    <row r="1143" spans="1:14">
      <c r="A1143" t="s">
        <v>9256</v>
      </c>
      <c r="B1143">
        <v>1319252</v>
      </c>
      <c r="C1143">
        <v>1319521</v>
      </c>
      <c r="E1143" t="s">
        <v>14314</v>
      </c>
      <c r="F1143" t="s">
        <v>14291</v>
      </c>
      <c r="H1143">
        <v>93522612</v>
      </c>
      <c r="I1143" t="s">
        <v>14292</v>
      </c>
      <c r="L1143" t="s">
        <v>17460</v>
      </c>
      <c r="M1143">
        <v>89</v>
      </c>
      <c r="N1143" t="s">
        <v>17461</v>
      </c>
    </row>
    <row r="1144" spans="1:14">
      <c r="A1144" t="s">
        <v>9256</v>
      </c>
      <c r="B1144">
        <v>1320218</v>
      </c>
      <c r="C1144">
        <v>1320491</v>
      </c>
      <c r="E1144" t="s">
        <v>14314</v>
      </c>
      <c r="F1144" t="s">
        <v>14414</v>
      </c>
      <c r="H1144">
        <v>93525984</v>
      </c>
      <c r="I1144" t="s">
        <v>14415</v>
      </c>
      <c r="N1144" t="s">
        <v>17462</v>
      </c>
    </row>
    <row r="1145" spans="1:14">
      <c r="A1145" t="s">
        <v>9256</v>
      </c>
      <c r="B1145">
        <v>1320500</v>
      </c>
      <c r="C1145">
        <v>1320664</v>
      </c>
      <c r="E1145" t="s">
        <v>14314</v>
      </c>
      <c r="F1145" t="s">
        <v>14414</v>
      </c>
      <c r="H1145">
        <v>93522613</v>
      </c>
      <c r="I1145" t="s">
        <v>14415</v>
      </c>
      <c r="N1145" t="s">
        <v>17463</v>
      </c>
    </row>
    <row r="1146" spans="1:14">
      <c r="A1146" t="s">
        <v>9256</v>
      </c>
      <c r="B1146">
        <v>1321032</v>
      </c>
      <c r="C1146">
        <v>1322579</v>
      </c>
      <c r="E1146" t="s">
        <v>14290</v>
      </c>
      <c r="F1146" t="s">
        <v>16589</v>
      </c>
      <c r="H1146">
        <v>93522614</v>
      </c>
      <c r="I1146" t="s">
        <v>14292</v>
      </c>
      <c r="L1146" t="s">
        <v>17464</v>
      </c>
      <c r="M1146">
        <v>515</v>
      </c>
      <c r="N1146" t="s">
        <v>17465</v>
      </c>
    </row>
    <row r="1147" spans="1:14">
      <c r="A1147" t="s">
        <v>9256</v>
      </c>
      <c r="B1147">
        <v>1322579</v>
      </c>
      <c r="C1147">
        <v>1324141</v>
      </c>
      <c r="E1147" t="s">
        <v>14290</v>
      </c>
      <c r="F1147" t="s">
        <v>17466</v>
      </c>
      <c r="H1147">
        <v>93522615</v>
      </c>
      <c r="I1147" t="s">
        <v>14292</v>
      </c>
      <c r="L1147" t="s">
        <v>17467</v>
      </c>
      <c r="M1147">
        <v>520</v>
      </c>
      <c r="N1147" t="s">
        <v>17468</v>
      </c>
    </row>
    <row r="1148" spans="1:14">
      <c r="A1148" t="s">
        <v>9256</v>
      </c>
      <c r="B1148">
        <v>1324245</v>
      </c>
      <c r="C1148">
        <v>1324904</v>
      </c>
      <c r="E1148" t="s">
        <v>14290</v>
      </c>
      <c r="F1148" t="s">
        <v>17469</v>
      </c>
      <c r="H1148">
        <v>93522616</v>
      </c>
      <c r="I1148" t="s">
        <v>14292</v>
      </c>
      <c r="L1148" t="s">
        <v>17470</v>
      </c>
      <c r="M1148">
        <v>219</v>
      </c>
      <c r="N1148" t="s">
        <v>17471</v>
      </c>
    </row>
    <row r="1149" spans="1:14">
      <c r="A1149" t="s">
        <v>9256</v>
      </c>
      <c r="B1149">
        <v>1324906</v>
      </c>
      <c r="C1149">
        <v>1325547</v>
      </c>
      <c r="E1149" t="s">
        <v>14290</v>
      </c>
      <c r="F1149" t="s">
        <v>16516</v>
      </c>
      <c r="H1149">
        <v>93522617</v>
      </c>
      <c r="I1149" t="s">
        <v>14292</v>
      </c>
      <c r="L1149" t="s">
        <v>17472</v>
      </c>
      <c r="M1149">
        <v>213</v>
      </c>
      <c r="N1149" t="s">
        <v>17473</v>
      </c>
    </row>
    <row r="1150" spans="1:14">
      <c r="A1150" t="s">
        <v>9256</v>
      </c>
      <c r="B1150">
        <v>1325603</v>
      </c>
      <c r="C1150">
        <v>1326010</v>
      </c>
      <c r="E1150" t="s">
        <v>14314</v>
      </c>
      <c r="F1150" t="s">
        <v>17474</v>
      </c>
      <c r="H1150">
        <v>93522618</v>
      </c>
      <c r="I1150" t="s">
        <v>14292</v>
      </c>
      <c r="L1150" t="s">
        <v>17475</v>
      </c>
      <c r="M1150">
        <v>135</v>
      </c>
      <c r="N1150" t="s">
        <v>17476</v>
      </c>
    </row>
    <row r="1151" spans="1:14">
      <c r="A1151" t="s">
        <v>9256</v>
      </c>
      <c r="B1151">
        <v>1326160</v>
      </c>
      <c r="C1151">
        <v>1326717</v>
      </c>
      <c r="E1151" t="s">
        <v>14290</v>
      </c>
      <c r="F1151" t="s">
        <v>15442</v>
      </c>
      <c r="H1151">
        <v>93522619</v>
      </c>
      <c r="I1151" t="s">
        <v>14292</v>
      </c>
      <c r="L1151" t="s">
        <v>17477</v>
      </c>
      <c r="M1151">
        <v>185</v>
      </c>
      <c r="N1151" t="s">
        <v>17478</v>
      </c>
    </row>
    <row r="1152" spans="1:14">
      <c r="A1152" t="s">
        <v>9256</v>
      </c>
      <c r="B1152">
        <v>1326710</v>
      </c>
      <c r="C1152">
        <v>1327066</v>
      </c>
      <c r="E1152" t="s">
        <v>14290</v>
      </c>
      <c r="F1152" t="s">
        <v>14291</v>
      </c>
      <c r="H1152">
        <v>93522620</v>
      </c>
      <c r="I1152" t="s">
        <v>14292</v>
      </c>
      <c r="L1152" t="s">
        <v>17479</v>
      </c>
      <c r="M1152">
        <v>118</v>
      </c>
      <c r="N1152" t="s">
        <v>17480</v>
      </c>
    </row>
    <row r="1153" spans="1:14">
      <c r="A1153" t="s">
        <v>9256</v>
      </c>
      <c r="B1153">
        <v>1327011</v>
      </c>
      <c r="C1153">
        <v>1329156</v>
      </c>
      <c r="E1153" t="s">
        <v>14314</v>
      </c>
      <c r="F1153" t="s">
        <v>14414</v>
      </c>
      <c r="H1153">
        <v>93525985</v>
      </c>
      <c r="I1153" t="s">
        <v>14415</v>
      </c>
      <c r="N1153" t="s">
        <v>17481</v>
      </c>
    </row>
    <row r="1154" spans="1:14">
      <c r="A1154" t="s">
        <v>9256</v>
      </c>
      <c r="B1154">
        <v>1329153</v>
      </c>
      <c r="C1154">
        <v>1330445</v>
      </c>
      <c r="E1154" t="s">
        <v>14314</v>
      </c>
      <c r="F1154" t="s">
        <v>17482</v>
      </c>
      <c r="H1154">
        <v>93522621</v>
      </c>
      <c r="I1154" t="s">
        <v>14292</v>
      </c>
      <c r="L1154" t="s">
        <v>17483</v>
      </c>
      <c r="M1154">
        <v>430</v>
      </c>
      <c r="N1154" t="s">
        <v>17484</v>
      </c>
    </row>
    <row r="1155" spans="1:14">
      <c r="A1155" t="s">
        <v>9256</v>
      </c>
      <c r="B1155">
        <v>1330522</v>
      </c>
      <c r="C1155">
        <v>1330962</v>
      </c>
      <c r="E1155" t="s">
        <v>14314</v>
      </c>
      <c r="F1155" t="s">
        <v>14291</v>
      </c>
      <c r="H1155">
        <v>93522622</v>
      </c>
      <c r="I1155" t="s">
        <v>14292</v>
      </c>
      <c r="L1155" t="s">
        <v>17485</v>
      </c>
      <c r="M1155">
        <v>146</v>
      </c>
      <c r="N1155" t="s">
        <v>17486</v>
      </c>
    </row>
    <row r="1156" spans="1:14">
      <c r="A1156" t="s">
        <v>9256</v>
      </c>
      <c r="B1156">
        <v>1331093</v>
      </c>
      <c r="C1156">
        <v>1332883</v>
      </c>
      <c r="E1156" t="s">
        <v>14290</v>
      </c>
      <c r="F1156" t="s">
        <v>17487</v>
      </c>
      <c r="G1156" t="s">
        <v>17488</v>
      </c>
      <c r="H1156">
        <v>93522623</v>
      </c>
      <c r="I1156" t="s">
        <v>14292</v>
      </c>
      <c r="L1156" t="s">
        <v>17489</v>
      </c>
      <c r="M1156">
        <v>596</v>
      </c>
      <c r="N1156" t="s">
        <v>17490</v>
      </c>
    </row>
    <row r="1157" spans="1:14">
      <c r="A1157" t="s">
        <v>9256</v>
      </c>
      <c r="B1157">
        <v>1332966</v>
      </c>
      <c r="C1157">
        <v>1333208</v>
      </c>
      <c r="E1157" t="s">
        <v>14314</v>
      </c>
      <c r="F1157" t="s">
        <v>14291</v>
      </c>
      <c r="H1157">
        <v>93522624</v>
      </c>
      <c r="I1157" t="s">
        <v>14292</v>
      </c>
      <c r="L1157" t="s">
        <v>17491</v>
      </c>
      <c r="M1157">
        <v>80</v>
      </c>
      <c r="N1157" t="s">
        <v>17492</v>
      </c>
    </row>
    <row r="1158" spans="1:14">
      <c r="A1158" t="s">
        <v>9256</v>
      </c>
      <c r="B1158">
        <v>1333387</v>
      </c>
      <c r="C1158">
        <v>1334034</v>
      </c>
      <c r="E1158" t="s">
        <v>14290</v>
      </c>
      <c r="F1158" t="s">
        <v>17493</v>
      </c>
      <c r="H1158">
        <v>93522625</v>
      </c>
      <c r="I1158" t="s">
        <v>14292</v>
      </c>
      <c r="L1158" t="s">
        <v>17494</v>
      </c>
      <c r="M1158">
        <v>215</v>
      </c>
      <c r="N1158" t="s">
        <v>17495</v>
      </c>
    </row>
    <row r="1159" spans="1:14">
      <c r="A1159" t="s">
        <v>9256</v>
      </c>
      <c r="B1159">
        <v>1334380</v>
      </c>
      <c r="C1159">
        <v>1335300</v>
      </c>
      <c r="E1159" t="s">
        <v>14290</v>
      </c>
      <c r="F1159" t="s">
        <v>15711</v>
      </c>
      <c r="H1159">
        <v>93522626</v>
      </c>
      <c r="I1159" t="s">
        <v>14292</v>
      </c>
      <c r="L1159" t="s">
        <v>17496</v>
      </c>
      <c r="M1159">
        <v>306</v>
      </c>
      <c r="N1159" t="s">
        <v>17497</v>
      </c>
    </row>
    <row r="1160" spans="1:14">
      <c r="A1160" t="s">
        <v>9256</v>
      </c>
      <c r="B1160">
        <v>1335297</v>
      </c>
      <c r="C1160">
        <v>1335572</v>
      </c>
      <c r="E1160" t="s">
        <v>14290</v>
      </c>
      <c r="F1160" t="s">
        <v>15103</v>
      </c>
      <c r="H1160">
        <v>93522627</v>
      </c>
      <c r="I1160" t="s">
        <v>14292</v>
      </c>
      <c r="L1160" t="s">
        <v>17498</v>
      </c>
      <c r="M1160">
        <v>91</v>
      </c>
      <c r="N1160" t="s">
        <v>17499</v>
      </c>
    </row>
    <row r="1161" spans="1:14">
      <c r="A1161" t="s">
        <v>9256</v>
      </c>
      <c r="B1161">
        <v>1335653</v>
      </c>
      <c r="C1161">
        <v>1336747</v>
      </c>
      <c r="E1161" t="s">
        <v>14314</v>
      </c>
      <c r="F1161" t="s">
        <v>14985</v>
      </c>
      <c r="H1161">
        <v>93522628</v>
      </c>
      <c r="I1161" t="s">
        <v>14292</v>
      </c>
      <c r="L1161" t="s">
        <v>17500</v>
      </c>
      <c r="M1161">
        <v>364</v>
      </c>
      <c r="N1161" t="s">
        <v>17501</v>
      </c>
    </row>
    <row r="1162" spans="1:14">
      <c r="A1162" t="s">
        <v>9256</v>
      </c>
      <c r="B1162">
        <v>1337247</v>
      </c>
      <c r="C1162">
        <v>1339937</v>
      </c>
      <c r="E1162" t="s">
        <v>14314</v>
      </c>
      <c r="F1162" t="s">
        <v>17502</v>
      </c>
      <c r="H1162">
        <v>93522629</v>
      </c>
      <c r="I1162" t="s">
        <v>14292</v>
      </c>
      <c r="L1162" t="s">
        <v>17503</v>
      </c>
      <c r="M1162">
        <v>896</v>
      </c>
      <c r="N1162" t="s">
        <v>17504</v>
      </c>
    </row>
    <row r="1163" spans="1:14">
      <c r="A1163" t="s">
        <v>9256</v>
      </c>
      <c r="B1163">
        <v>1340009</v>
      </c>
      <c r="C1163">
        <v>1340533</v>
      </c>
      <c r="E1163" t="s">
        <v>14290</v>
      </c>
      <c r="F1163" t="s">
        <v>14439</v>
      </c>
      <c r="H1163">
        <v>93522630</v>
      </c>
      <c r="I1163" t="s">
        <v>14292</v>
      </c>
      <c r="L1163" t="s">
        <v>17505</v>
      </c>
      <c r="M1163">
        <v>174</v>
      </c>
      <c r="N1163" t="s">
        <v>17506</v>
      </c>
    </row>
    <row r="1164" spans="1:14">
      <c r="A1164" t="s">
        <v>9256</v>
      </c>
      <c r="B1164">
        <v>1340608</v>
      </c>
      <c r="C1164">
        <v>1341090</v>
      </c>
      <c r="E1164" t="s">
        <v>14314</v>
      </c>
      <c r="F1164" t="s">
        <v>14291</v>
      </c>
      <c r="H1164">
        <v>93522631</v>
      </c>
      <c r="I1164" t="s">
        <v>14292</v>
      </c>
      <c r="L1164" t="s">
        <v>17507</v>
      </c>
      <c r="M1164">
        <v>160</v>
      </c>
      <c r="N1164" t="s">
        <v>17508</v>
      </c>
    </row>
    <row r="1165" spans="1:14">
      <c r="A1165" t="s">
        <v>9256</v>
      </c>
      <c r="B1165">
        <v>1341097</v>
      </c>
      <c r="C1165">
        <v>1341792</v>
      </c>
      <c r="E1165" t="s">
        <v>14314</v>
      </c>
      <c r="F1165" t="s">
        <v>17509</v>
      </c>
      <c r="H1165">
        <v>93522632</v>
      </c>
      <c r="I1165" t="s">
        <v>14292</v>
      </c>
      <c r="L1165" t="s">
        <v>17510</v>
      </c>
      <c r="M1165">
        <v>231</v>
      </c>
      <c r="N1165" t="s">
        <v>17511</v>
      </c>
    </row>
    <row r="1166" spans="1:14">
      <c r="A1166" t="s">
        <v>9256</v>
      </c>
      <c r="B1166">
        <v>1341768</v>
      </c>
      <c r="C1166">
        <v>1342436</v>
      </c>
      <c r="E1166" t="s">
        <v>14314</v>
      </c>
      <c r="F1166" t="s">
        <v>15166</v>
      </c>
      <c r="H1166">
        <v>93522633</v>
      </c>
      <c r="I1166" t="s">
        <v>14292</v>
      </c>
      <c r="L1166" t="s">
        <v>17512</v>
      </c>
      <c r="M1166">
        <v>222</v>
      </c>
      <c r="N1166" t="s">
        <v>17513</v>
      </c>
    </row>
    <row r="1167" spans="1:14">
      <c r="A1167" t="s">
        <v>9256</v>
      </c>
      <c r="B1167">
        <v>1342414</v>
      </c>
      <c r="C1167">
        <v>1343235</v>
      </c>
      <c r="E1167" t="s">
        <v>14314</v>
      </c>
      <c r="F1167" t="s">
        <v>17514</v>
      </c>
      <c r="H1167">
        <v>93522634</v>
      </c>
      <c r="I1167" t="s">
        <v>14292</v>
      </c>
      <c r="L1167" t="s">
        <v>17515</v>
      </c>
      <c r="M1167">
        <v>273</v>
      </c>
      <c r="N1167" t="s">
        <v>17516</v>
      </c>
    </row>
    <row r="1168" spans="1:14">
      <c r="A1168" t="s">
        <v>9256</v>
      </c>
      <c r="B1168">
        <v>1343247</v>
      </c>
      <c r="C1168">
        <v>1344506</v>
      </c>
      <c r="E1168" t="s">
        <v>14314</v>
      </c>
      <c r="F1168" t="s">
        <v>17517</v>
      </c>
      <c r="H1168">
        <v>93522635</v>
      </c>
      <c r="I1168" t="s">
        <v>14292</v>
      </c>
      <c r="L1168" t="s">
        <v>17518</v>
      </c>
      <c r="M1168">
        <v>419</v>
      </c>
      <c r="N1168" t="s">
        <v>17519</v>
      </c>
    </row>
    <row r="1169" spans="1:14">
      <c r="A1169" t="s">
        <v>9256</v>
      </c>
      <c r="B1169">
        <v>1344730</v>
      </c>
      <c r="C1169">
        <v>1348185</v>
      </c>
      <c r="E1169" t="s">
        <v>14314</v>
      </c>
      <c r="F1169" t="s">
        <v>15863</v>
      </c>
      <c r="H1169">
        <v>93522636</v>
      </c>
      <c r="I1169" t="s">
        <v>14292</v>
      </c>
      <c r="L1169" t="s">
        <v>17520</v>
      </c>
      <c r="M1169">
        <v>1151</v>
      </c>
      <c r="N1169" t="s">
        <v>17521</v>
      </c>
    </row>
    <row r="1170" spans="1:14">
      <c r="A1170" t="s">
        <v>9256</v>
      </c>
      <c r="B1170">
        <v>1349228</v>
      </c>
      <c r="C1170">
        <v>1350157</v>
      </c>
      <c r="E1170" t="s">
        <v>14290</v>
      </c>
      <c r="F1170" t="s">
        <v>17522</v>
      </c>
      <c r="H1170">
        <v>93522637</v>
      </c>
      <c r="I1170" t="s">
        <v>14292</v>
      </c>
      <c r="L1170" t="s">
        <v>17523</v>
      </c>
      <c r="M1170">
        <v>309</v>
      </c>
      <c r="N1170" t="s">
        <v>17524</v>
      </c>
    </row>
    <row r="1171" spans="1:14">
      <c r="A1171" t="s">
        <v>9256</v>
      </c>
      <c r="B1171">
        <v>1350283</v>
      </c>
      <c r="C1171">
        <v>1351050</v>
      </c>
      <c r="E1171" t="s">
        <v>14290</v>
      </c>
      <c r="F1171" t="s">
        <v>17525</v>
      </c>
      <c r="G1171" t="s">
        <v>17526</v>
      </c>
      <c r="H1171">
        <v>93522638</v>
      </c>
      <c r="I1171" t="s">
        <v>14292</v>
      </c>
      <c r="L1171" t="s">
        <v>17527</v>
      </c>
      <c r="M1171">
        <v>255</v>
      </c>
      <c r="N1171" t="s">
        <v>17528</v>
      </c>
    </row>
    <row r="1172" spans="1:14">
      <c r="A1172" t="s">
        <v>9256</v>
      </c>
      <c r="B1172">
        <v>1351061</v>
      </c>
      <c r="C1172">
        <v>1352194</v>
      </c>
      <c r="E1172" t="s">
        <v>14290</v>
      </c>
      <c r="F1172" t="s">
        <v>17529</v>
      </c>
      <c r="G1172" t="s">
        <v>17530</v>
      </c>
      <c r="H1172">
        <v>93522639</v>
      </c>
      <c r="I1172" t="s">
        <v>14292</v>
      </c>
      <c r="L1172" t="s">
        <v>17531</v>
      </c>
      <c r="M1172">
        <v>377</v>
      </c>
      <c r="N1172" t="s">
        <v>17532</v>
      </c>
    </row>
    <row r="1173" spans="1:14">
      <c r="A1173" t="s">
        <v>9256</v>
      </c>
      <c r="B1173">
        <v>1352289</v>
      </c>
      <c r="C1173">
        <v>1353050</v>
      </c>
      <c r="E1173" t="s">
        <v>14290</v>
      </c>
      <c r="F1173" t="s">
        <v>17533</v>
      </c>
      <c r="H1173">
        <v>93522640</v>
      </c>
      <c r="I1173" t="s">
        <v>14292</v>
      </c>
      <c r="L1173" t="s">
        <v>17534</v>
      </c>
      <c r="M1173">
        <v>253</v>
      </c>
      <c r="N1173" t="s">
        <v>17535</v>
      </c>
    </row>
    <row r="1174" spans="1:14">
      <c r="A1174" t="s">
        <v>9256</v>
      </c>
      <c r="B1174">
        <v>1353183</v>
      </c>
      <c r="C1174">
        <v>1353713</v>
      </c>
      <c r="E1174" t="s">
        <v>14290</v>
      </c>
      <c r="F1174" t="s">
        <v>15442</v>
      </c>
      <c r="H1174">
        <v>93522641</v>
      </c>
      <c r="I1174" t="s">
        <v>14292</v>
      </c>
      <c r="L1174" t="s">
        <v>17536</v>
      </c>
      <c r="M1174">
        <v>176</v>
      </c>
      <c r="N1174" t="s">
        <v>17537</v>
      </c>
    </row>
    <row r="1175" spans="1:14">
      <c r="A1175" t="s">
        <v>9256</v>
      </c>
      <c r="B1175">
        <v>1353716</v>
      </c>
      <c r="C1175">
        <v>1354252</v>
      </c>
      <c r="E1175" t="s">
        <v>14290</v>
      </c>
      <c r="F1175" t="s">
        <v>14291</v>
      </c>
      <c r="H1175">
        <v>93522642</v>
      </c>
      <c r="I1175" t="s">
        <v>14292</v>
      </c>
      <c r="L1175" t="s">
        <v>17538</v>
      </c>
      <c r="M1175">
        <v>178</v>
      </c>
      <c r="N1175" t="s">
        <v>17539</v>
      </c>
    </row>
    <row r="1176" spans="1:14">
      <c r="A1176" t="s">
        <v>9256</v>
      </c>
      <c r="B1176">
        <v>1354278</v>
      </c>
      <c r="C1176">
        <v>1355363</v>
      </c>
      <c r="E1176" t="s">
        <v>14290</v>
      </c>
      <c r="F1176" t="s">
        <v>14291</v>
      </c>
      <c r="H1176">
        <v>93522643</v>
      </c>
      <c r="I1176" t="s">
        <v>14292</v>
      </c>
      <c r="L1176" t="s">
        <v>17540</v>
      </c>
      <c r="M1176">
        <v>361</v>
      </c>
      <c r="N1176" t="s">
        <v>17541</v>
      </c>
    </row>
    <row r="1177" spans="1:14">
      <c r="A1177" t="s">
        <v>9256</v>
      </c>
      <c r="B1177">
        <v>1355409</v>
      </c>
      <c r="C1177">
        <v>1355786</v>
      </c>
      <c r="E1177" t="s">
        <v>14314</v>
      </c>
      <c r="F1177" t="s">
        <v>14291</v>
      </c>
      <c r="H1177">
        <v>93522644</v>
      </c>
      <c r="I1177" t="s">
        <v>14292</v>
      </c>
      <c r="L1177" t="s">
        <v>17542</v>
      </c>
      <c r="M1177">
        <v>125</v>
      </c>
      <c r="N1177" t="s">
        <v>17543</v>
      </c>
    </row>
    <row r="1178" spans="1:14">
      <c r="A1178" t="s">
        <v>9256</v>
      </c>
      <c r="B1178">
        <v>1355789</v>
      </c>
      <c r="C1178">
        <v>1356352</v>
      </c>
      <c r="E1178" t="s">
        <v>14314</v>
      </c>
      <c r="F1178" t="s">
        <v>15442</v>
      </c>
      <c r="H1178">
        <v>93522645</v>
      </c>
      <c r="I1178" t="s">
        <v>14292</v>
      </c>
      <c r="L1178" t="s">
        <v>17544</v>
      </c>
      <c r="M1178">
        <v>187</v>
      </c>
      <c r="N1178" t="s">
        <v>17545</v>
      </c>
    </row>
    <row r="1179" spans="1:14">
      <c r="A1179" t="s">
        <v>9256</v>
      </c>
      <c r="B1179">
        <v>1356363</v>
      </c>
      <c r="C1179">
        <v>1356770</v>
      </c>
      <c r="E1179" t="s">
        <v>14314</v>
      </c>
      <c r="F1179" t="s">
        <v>17474</v>
      </c>
      <c r="H1179">
        <v>93522646</v>
      </c>
      <c r="I1179" t="s">
        <v>14292</v>
      </c>
      <c r="L1179" t="s">
        <v>17546</v>
      </c>
      <c r="M1179">
        <v>135</v>
      </c>
      <c r="N1179" t="s">
        <v>17547</v>
      </c>
    </row>
    <row r="1180" spans="1:14">
      <c r="A1180" t="s">
        <v>9256</v>
      </c>
      <c r="B1180">
        <v>1356948</v>
      </c>
      <c r="C1180">
        <v>1358606</v>
      </c>
      <c r="E1180" t="s">
        <v>14314</v>
      </c>
      <c r="F1180" t="s">
        <v>15836</v>
      </c>
      <c r="H1180">
        <v>93522647</v>
      </c>
      <c r="I1180" t="s">
        <v>14292</v>
      </c>
      <c r="L1180" t="s">
        <v>17548</v>
      </c>
      <c r="M1180">
        <v>552</v>
      </c>
      <c r="N1180" t="s">
        <v>17549</v>
      </c>
    </row>
    <row r="1181" spans="1:14">
      <c r="A1181" t="s">
        <v>9256</v>
      </c>
      <c r="B1181">
        <v>1358612</v>
      </c>
      <c r="C1181">
        <v>1359118</v>
      </c>
      <c r="E1181" t="s">
        <v>14314</v>
      </c>
      <c r="F1181" t="s">
        <v>17550</v>
      </c>
      <c r="H1181">
        <v>93522648</v>
      </c>
      <c r="I1181" t="s">
        <v>14292</v>
      </c>
      <c r="L1181" t="s">
        <v>17551</v>
      </c>
      <c r="M1181">
        <v>168</v>
      </c>
      <c r="N1181" t="s">
        <v>17552</v>
      </c>
    </row>
    <row r="1182" spans="1:14">
      <c r="A1182" t="s">
        <v>9256</v>
      </c>
      <c r="B1182">
        <v>1359236</v>
      </c>
      <c r="C1182">
        <v>1360090</v>
      </c>
      <c r="E1182" t="s">
        <v>14314</v>
      </c>
      <c r="F1182" t="s">
        <v>15435</v>
      </c>
      <c r="H1182">
        <v>93522649</v>
      </c>
      <c r="I1182" t="s">
        <v>14292</v>
      </c>
      <c r="L1182" t="s">
        <v>17553</v>
      </c>
      <c r="M1182">
        <v>284</v>
      </c>
      <c r="N1182" t="s">
        <v>17554</v>
      </c>
    </row>
    <row r="1183" spans="1:14">
      <c r="A1183" t="s">
        <v>9256</v>
      </c>
      <c r="B1183">
        <v>1360113</v>
      </c>
      <c r="C1183">
        <v>1361603</v>
      </c>
      <c r="E1183" t="s">
        <v>14314</v>
      </c>
      <c r="F1183" t="s">
        <v>15836</v>
      </c>
      <c r="H1183">
        <v>93522650</v>
      </c>
      <c r="I1183" t="s">
        <v>14292</v>
      </c>
      <c r="L1183" t="s">
        <v>17555</v>
      </c>
      <c r="M1183">
        <v>496</v>
      </c>
      <c r="N1183" t="s">
        <v>17556</v>
      </c>
    </row>
    <row r="1184" spans="1:14">
      <c r="A1184" t="s">
        <v>9256</v>
      </c>
      <c r="B1184">
        <v>1361895</v>
      </c>
      <c r="C1184">
        <v>1362122</v>
      </c>
      <c r="E1184" t="s">
        <v>14290</v>
      </c>
      <c r="F1184" t="s">
        <v>17557</v>
      </c>
      <c r="H1184">
        <v>93522651</v>
      </c>
      <c r="I1184" t="s">
        <v>14292</v>
      </c>
      <c r="L1184" t="s">
        <v>17558</v>
      </c>
      <c r="M1184">
        <v>75</v>
      </c>
      <c r="N1184" t="s">
        <v>17559</v>
      </c>
    </row>
    <row r="1185" spans="1:14">
      <c r="A1185" t="s">
        <v>9256</v>
      </c>
      <c r="B1185">
        <v>1362136</v>
      </c>
      <c r="C1185">
        <v>1363692</v>
      </c>
      <c r="E1185" t="s">
        <v>14290</v>
      </c>
      <c r="F1185" t="s">
        <v>17560</v>
      </c>
      <c r="H1185">
        <v>93522652</v>
      </c>
      <c r="I1185" t="s">
        <v>14292</v>
      </c>
      <c r="L1185" t="s">
        <v>17561</v>
      </c>
      <c r="M1185">
        <v>518</v>
      </c>
      <c r="N1185" t="s">
        <v>17562</v>
      </c>
    </row>
    <row r="1186" spans="1:14">
      <c r="A1186" t="s">
        <v>9256</v>
      </c>
      <c r="B1186">
        <v>1363733</v>
      </c>
      <c r="C1186">
        <v>1364884</v>
      </c>
      <c r="E1186" t="s">
        <v>14290</v>
      </c>
      <c r="F1186" t="s">
        <v>17563</v>
      </c>
      <c r="H1186">
        <v>93522653</v>
      </c>
      <c r="I1186" t="s">
        <v>14292</v>
      </c>
      <c r="L1186" t="s">
        <v>17564</v>
      </c>
      <c r="M1186">
        <v>383</v>
      </c>
      <c r="N1186" t="s">
        <v>17565</v>
      </c>
    </row>
    <row r="1187" spans="1:14">
      <c r="A1187" t="s">
        <v>9256</v>
      </c>
      <c r="B1187">
        <v>1365008</v>
      </c>
      <c r="C1187">
        <v>1366603</v>
      </c>
      <c r="E1187" t="s">
        <v>14314</v>
      </c>
      <c r="F1187" t="s">
        <v>17566</v>
      </c>
      <c r="H1187">
        <v>93522654</v>
      </c>
      <c r="I1187" t="s">
        <v>14292</v>
      </c>
      <c r="L1187" t="s">
        <v>17567</v>
      </c>
      <c r="M1187">
        <v>531</v>
      </c>
      <c r="N1187" t="s">
        <v>17568</v>
      </c>
    </row>
    <row r="1188" spans="1:14">
      <c r="A1188" t="s">
        <v>9256</v>
      </c>
      <c r="B1188">
        <v>1366928</v>
      </c>
      <c r="C1188">
        <v>1367842</v>
      </c>
      <c r="E1188" t="s">
        <v>14290</v>
      </c>
      <c r="F1188" t="s">
        <v>17569</v>
      </c>
      <c r="H1188">
        <v>93522655</v>
      </c>
      <c r="I1188" t="s">
        <v>14292</v>
      </c>
      <c r="L1188" t="s">
        <v>17570</v>
      </c>
      <c r="M1188">
        <v>304</v>
      </c>
      <c r="N1188" t="s">
        <v>17571</v>
      </c>
    </row>
    <row r="1189" spans="1:14">
      <c r="A1189" t="s">
        <v>9256</v>
      </c>
      <c r="B1189">
        <v>1367929</v>
      </c>
      <c r="C1189">
        <v>1368249</v>
      </c>
      <c r="E1189" t="s">
        <v>14290</v>
      </c>
      <c r="F1189" t="s">
        <v>15847</v>
      </c>
      <c r="H1189">
        <v>93522656</v>
      </c>
      <c r="I1189" t="s">
        <v>14292</v>
      </c>
      <c r="L1189" t="s">
        <v>17572</v>
      </c>
      <c r="M1189">
        <v>106</v>
      </c>
      <c r="N1189" t="s">
        <v>17573</v>
      </c>
    </row>
    <row r="1190" spans="1:14">
      <c r="A1190" t="s">
        <v>9256</v>
      </c>
      <c r="B1190">
        <v>1368466</v>
      </c>
      <c r="C1190">
        <v>1371741</v>
      </c>
      <c r="E1190" t="s">
        <v>14314</v>
      </c>
      <c r="F1190" t="s">
        <v>15863</v>
      </c>
      <c r="H1190">
        <v>93522657</v>
      </c>
      <c r="I1190" t="s">
        <v>14292</v>
      </c>
      <c r="L1190" t="s">
        <v>17574</v>
      </c>
      <c r="M1190">
        <v>1091</v>
      </c>
      <c r="N1190" t="s">
        <v>17575</v>
      </c>
    </row>
    <row r="1191" spans="1:14">
      <c r="A1191" t="s">
        <v>9256</v>
      </c>
      <c r="B1191">
        <v>1373116</v>
      </c>
      <c r="C1191">
        <v>1374021</v>
      </c>
      <c r="E1191" t="s">
        <v>14290</v>
      </c>
      <c r="F1191" t="s">
        <v>17522</v>
      </c>
      <c r="H1191">
        <v>93522658</v>
      </c>
      <c r="I1191" t="s">
        <v>14292</v>
      </c>
      <c r="L1191" t="s">
        <v>17576</v>
      </c>
      <c r="M1191">
        <v>301</v>
      </c>
      <c r="N1191" t="s">
        <v>17577</v>
      </c>
    </row>
    <row r="1192" spans="1:14">
      <c r="A1192" t="s">
        <v>9256</v>
      </c>
      <c r="B1192">
        <v>1374115</v>
      </c>
      <c r="C1192">
        <v>1374696</v>
      </c>
      <c r="E1192" t="s">
        <v>14314</v>
      </c>
      <c r="F1192" t="s">
        <v>17578</v>
      </c>
      <c r="H1192">
        <v>93522659</v>
      </c>
      <c r="I1192" t="s">
        <v>14292</v>
      </c>
      <c r="L1192" t="s">
        <v>17579</v>
      </c>
      <c r="M1192">
        <v>193</v>
      </c>
      <c r="N1192" t="s">
        <v>17580</v>
      </c>
    </row>
    <row r="1193" spans="1:14">
      <c r="A1193" t="s">
        <v>9256</v>
      </c>
      <c r="B1193">
        <v>1374713</v>
      </c>
      <c r="C1193">
        <v>1376236</v>
      </c>
      <c r="E1193" t="s">
        <v>14314</v>
      </c>
      <c r="F1193" t="s">
        <v>17581</v>
      </c>
      <c r="G1193" t="s">
        <v>17582</v>
      </c>
      <c r="H1193">
        <v>93522660</v>
      </c>
      <c r="I1193" t="s">
        <v>14292</v>
      </c>
      <c r="L1193" t="s">
        <v>17583</v>
      </c>
      <c r="M1193">
        <v>507</v>
      </c>
      <c r="N1193" t="s">
        <v>17584</v>
      </c>
    </row>
    <row r="1194" spans="1:14">
      <c r="A1194" t="s">
        <v>9256</v>
      </c>
      <c r="B1194">
        <v>1376343</v>
      </c>
      <c r="C1194">
        <v>1377041</v>
      </c>
      <c r="E1194" t="s">
        <v>14290</v>
      </c>
      <c r="F1194" t="s">
        <v>17585</v>
      </c>
      <c r="H1194">
        <v>93522661</v>
      </c>
      <c r="I1194" t="s">
        <v>14292</v>
      </c>
      <c r="L1194" t="s">
        <v>17586</v>
      </c>
      <c r="M1194">
        <v>232</v>
      </c>
      <c r="N1194" t="s">
        <v>17587</v>
      </c>
    </row>
    <row r="1195" spans="1:14">
      <c r="A1195" t="s">
        <v>9256</v>
      </c>
      <c r="B1195">
        <v>1377092</v>
      </c>
      <c r="C1195">
        <v>1379806</v>
      </c>
      <c r="E1195" t="s">
        <v>14314</v>
      </c>
      <c r="F1195" t="s">
        <v>15450</v>
      </c>
      <c r="H1195">
        <v>93522662</v>
      </c>
      <c r="I1195" t="s">
        <v>14292</v>
      </c>
      <c r="L1195" t="s">
        <v>17588</v>
      </c>
      <c r="M1195">
        <v>904</v>
      </c>
      <c r="N1195" t="s">
        <v>17589</v>
      </c>
    </row>
    <row r="1196" spans="1:14">
      <c r="A1196" t="s">
        <v>9256</v>
      </c>
      <c r="B1196">
        <v>1379907</v>
      </c>
      <c r="C1196">
        <v>1387325</v>
      </c>
      <c r="E1196" t="s">
        <v>14314</v>
      </c>
      <c r="F1196" t="s">
        <v>17590</v>
      </c>
      <c r="G1196" t="s">
        <v>17591</v>
      </c>
      <c r="H1196">
        <v>93522663</v>
      </c>
      <c r="I1196" t="s">
        <v>14292</v>
      </c>
      <c r="L1196" t="s">
        <v>17592</v>
      </c>
      <c r="M1196">
        <v>2472</v>
      </c>
      <c r="N1196" t="s">
        <v>17593</v>
      </c>
    </row>
    <row r="1197" spans="1:14">
      <c r="A1197" t="s">
        <v>9256</v>
      </c>
      <c r="B1197">
        <v>1387376</v>
      </c>
      <c r="C1197">
        <v>1387966</v>
      </c>
      <c r="E1197" t="s">
        <v>14314</v>
      </c>
      <c r="F1197" t="s">
        <v>17594</v>
      </c>
      <c r="G1197" t="s">
        <v>17595</v>
      </c>
      <c r="H1197">
        <v>93522664</v>
      </c>
      <c r="I1197" t="s">
        <v>14292</v>
      </c>
      <c r="L1197" t="s">
        <v>17596</v>
      </c>
      <c r="M1197">
        <v>196</v>
      </c>
      <c r="N1197" t="s">
        <v>17597</v>
      </c>
    </row>
    <row r="1198" spans="1:14">
      <c r="A1198" t="s">
        <v>9256</v>
      </c>
      <c r="B1198">
        <v>1388031</v>
      </c>
      <c r="C1198">
        <v>1388918</v>
      </c>
      <c r="E1198" t="s">
        <v>14314</v>
      </c>
      <c r="F1198" t="s">
        <v>17598</v>
      </c>
      <c r="H1198">
        <v>93522665</v>
      </c>
      <c r="I1198" t="s">
        <v>14292</v>
      </c>
      <c r="L1198" t="s">
        <v>17599</v>
      </c>
      <c r="M1198">
        <v>295</v>
      </c>
      <c r="N1198" t="s">
        <v>17600</v>
      </c>
    </row>
    <row r="1199" spans="1:14">
      <c r="A1199" t="s">
        <v>9256</v>
      </c>
      <c r="B1199">
        <v>1388930</v>
      </c>
      <c r="C1199">
        <v>1390384</v>
      </c>
      <c r="E1199" t="s">
        <v>14314</v>
      </c>
      <c r="F1199" t="s">
        <v>14579</v>
      </c>
      <c r="H1199">
        <v>93522666</v>
      </c>
      <c r="I1199" t="s">
        <v>14292</v>
      </c>
      <c r="L1199" t="s">
        <v>17601</v>
      </c>
      <c r="M1199">
        <v>484</v>
      </c>
      <c r="N1199" t="s">
        <v>17602</v>
      </c>
    </row>
    <row r="1200" spans="1:14">
      <c r="A1200" t="s">
        <v>9256</v>
      </c>
      <c r="B1200">
        <v>1390394</v>
      </c>
      <c r="C1200">
        <v>1391731</v>
      </c>
      <c r="E1200" t="s">
        <v>14314</v>
      </c>
      <c r="F1200" t="s">
        <v>17603</v>
      </c>
      <c r="G1200" t="s">
        <v>17604</v>
      </c>
      <c r="H1200">
        <v>93522667</v>
      </c>
      <c r="I1200" t="s">
        <v>14292</v>
      </c>
      <c r="L1200" t="s">
        <v>17605</v>
      </c>
      <c r="M1200">
        <v>445</v>
      </c>
      <c r="N1200" t="s">
        <v>17606</v>
      </c>
    </row>
    <row r="1201" spans="1:14">
      <c r="A1201" t="s">
        <v>9256</v>
      </c>
      <c r="B1201">
        <v>1391752</v>
      </c>
      <c r="C1201">
        <v>1393650</v>
      </c>
      <c r="E1201" t="s">
        <v>14314</v>
      </c>
      <c r="F1201" t="s">
        <v>17607</v>
      </c>
      <c r="G1201" t="s">
        <v>17608</v>
      </c>
      <c r="H1201">
        <v>93522668</v>
      </c>
      <c r="I1201" t="s">
        <v>14292</v>
      </c>
      <c r="L1201" t="s">
        <v>17609</v>
      </c>
      <c r="M1201">
        <v>632</v>
      </c>
      <c r="N1201" t="s">
        <v>17610</v>
      </c>
    </row>
    <row r="1202" spans="1:14">
      <c r="A1202" t="s">
        <v>9256</v>
      </c>
      <c r="B1202">
        <v>1394269</v>
      </c>
      <c r="C1202">
        <v>1394634</v>
      </c>
      <c r="E1202" t="s">
        <v>14314</v>
      </c>
      <c r="F1202" t="s">
        <v>17611</v>
      </c>
      <c r="H1202">
        <v>93522669</v>
      </c>
      <c r="I1202" t="s">
        <v>14292</v>
      </c>
      <c r="L1202" t="s">
        <v>17612</v>
      </c>
      <c r="M1202">
        <v>121</v>
      </c>
      <c r="N1202" t="s">
        <v>17613</v>
      </c>
    </row>
    <row r="1203" spans="1:14">
      <c r="A1203" t="s">
        <v>9256</v>
      </c>
      <c r="B1203">
        <v>1394723</v>
      </c>
      <c r="C1203">
        <v>1396453</v>
      </c>
      <c r="E1203" t="s">
        <v>14314</v>
      </c>
      <c r="F1203" t="s">
        <v>14805</v>
      </c>
      <c r="H1203">
        <v>93522670</v>
      </c>
      <c r="I1203" t="s">
        <v>14292</v>
      </c>
      <c r="L1203" t="s">
        <v>17614</v>
      </c>
      <c r="M1203">
        <v>576</v>
      </c>
      <c r="N1203" t="s">
        <v>17615</v>
      </c>
    </row>
    <row r="1204" spans="1:14">
      <c r="A1204" t="s">
        <v>9256</v>
      </c>
      <c r="B1204">
        <v>1396680</v>
      </c>
      <c r="C1204">
        <v>1397465</v>
      </c>
      <c r="E1204" t="s">
        <v>14314</v>
      </c>
      <c r="F1204" t="s">
        <v>17616</v>
      </c>
      <c r="H1204">
        <v>93522671</v>
      </c>
      <c r="I1204" t="s">
        <v>14292</v>
      </c>
      <c r="L1204" t="s">
        <v>17617</v>
      </c>
      <c r="M1204">
        <v>261</v>
      </c>
      <c r="N1204" t="s">
        <v>17618</v>
      </c>
    </row>
    <row r="1205" spans="1:14">
      <c r="A1205" t="s">
        <v>9256</v>
      </c>
      <c r="B1205">
        <v>1397643</v>
      </c>
      <c r="C1205">
        <v>1398317</v>
      </c>
      <c r="E1205" t="s">
        <v>14290</v>
      </c>
      <c r="F1205" t="s">
        <v>15450</v>
      </c>
      <c r="H1205">
        <v>93522672</v>
      </c>
      <c r="I1205" t="s">
        <v>14292</v>
      </c>
      <c r="L1205" t="s">
        <v>17619</v>
      </c>
      <c r="M1205">
        <v>224</v>
      </c>
      <c r="N1205" t="s">
        <v>17620</v>
      </c>
    </row>
    <row r="1206" spans="1:14">
      <c r="A1206" t="s">
        <v>9256</v>
      </c>
      <c r="B1206">
        <v>1398347</v>
      </c>
      <c r="C1206">
        <v>1402957</v>
      </c>
      <c r="E1206" t="s">
        <v>14290</v>
      </c>
      <c r="F1206" t="s">
        <v>17621</v>
      </c>
      <c r="H1206">
        <v>93522673</v>
      </c>
      <c r="I1206" t="s">
        <v>14292</v>
      </c>
      <c r="L1206" t="s">
        <v>17622</v>
      </c>
      <c r="M1206">
        <v>1536</v>
      </c>
      <c r="N1206" t="s">
        <v>17623</v>
      </c>
    </row>
    <row r="1207" spans="1:14">
      <c r="A1207" t="s">
        <v>9256</v>
      </c>
      <c r="B1207">
        <v>1402954</v>
      </c>
      <c r="C1207">
        <v>1405407</v>
      </c>
      <c r="E1207" t="s">
        <v>14290</v>
      </c>
      <c r="F1207" t="s">
        <v>17624</v>
      </c>
      <c r="H1207">
        <v>93522674</v>
      </c>
      <c r="I1207" t="s">
        <v>14292</v>
      </c>
      <c r="L1207" t="s">
        <v>17625</v>
      </c>
      <c r="M1207">
        <v>817</v>
      </c>
      <c r="N1207" t="s">
        <v>17626</v>
      </c>
    </row>
    <row r="1208" spans="1:14">
      <c r="A1208" t="s">
        <v>9256</v>
      </c>
      <c r="B1208">
        <v>1405537</v>
      </c>
      <c r="C1208">
        <v>1406808</v>
      </c>
      <c r="E1208" t="s">
        <v>14290</v>
      </c>
      <c r="F1208" t="s">
        <v>14291</v>
      </c>
      <c r="H1208">
        <v>93522675</v>
      </c>
      <c r="I1208" t="s">
        <v>14292</v>
      </c>
      <c r="L1208" t="s">
        <v>17627</v>
      </c>
      <c r="M1208">
        <v>423</v>
      </c>
      <c r="N1208" t="s">
        <v>17628</v>
      </c>
    </row>
    <row r="1209" spans="1:14">
      <c r="A1209" t="s">
        <v>9256</v>
      </c>
      <c r="B1209">
        <v>1406914</v>
      </c>
      <c r="C1209">
        <v>1407810</v>
      </c>
      <c r="E1209" t="s">
        <v>14314</v>
      </c>
      <c r="F1209" t="s">
        <v>17629</v>
      </c>
      <c r="G1209" t="s">
        <v>17630</v>
      </c>
      <c r="H1209">
        <v>93522676</v>
      </c>
      <c r="I1209" t="s">
        <v>14292</v>
      </c>
      <c r="L1209" t="s">
        <v>17631</v>
      </c>
      <c r="M1209">
        <v>298</v>
      </c>
      <c r="N1209" t="s">
        <v>17632</v>
      </c>
    </row>
    <row r="1210" spans="1:14">
      <c r="A1210" t="s">
        <v>9256</v>
      </c>
      <c r="B1210">
        <v>1407814</v>
      </c>
      <c r="C1210">
        <v>1409022</v>
      </c>
      <c r="E1210" t="s">
        <v>14314</v>
      </c>
      <c r="F1210" t="s">
        <v>17633</v>
      </c>
      <c r="G1210" t="s">
        <v>17634</v>
      </c>
      <c r="H1210">
        <v>93522677</v>
      </c>
      <c r="I1210" t="s">
        <v>14292</v>
      </c>
      <c r="L1210" t="s">
        <v>17635</v>
      </c>
      <c r="M1210">
        <v>402</v>
      </c>
      <c r="N1210" t="s">
        <v>17636</v>
      </c>
    </row>
    <row r="1211" spans="1:14">
      <c r="A1211" t="s">
        <v>9256</v>
      </c>
      <c r="B1211">
        <v>1409212</v>
      </c>
      <c r="C1211">
        <v>1411341</v>
      </c>
      <c r="E1211" t="s">
        <v>14314</v>
      </c>
      <c r="F1211" t="s">
        <v>15894</v>
      </c>
      <c r="H1211">
        <v>93522678</v>
      </c>
      <c r="I1211" t="s">
        <v>14292</v>
      </c>
      <c r="L1211" t="s">
        <v>17637</v>
      </c>
      <c r="M1211">
        <v>709</v>
      </c>
      <c r="N1211" t="s">
        <v>17638</v>
      </c>
    </row>
    <row r="1212" spans="1:14">
      <c r="A1212" t="s">
        <v>9256</v>
      </c>
      <c r="B1212">
        <v>1411343</v>
      </c>
      <c r="C1212">
        <v>1415509</v>
      </c>
      <c r="E1212" t="s">
        <v>14314</v>
      </c>
      <c r="F1212" t="s">
        <v>14291</v>
      </c>
      <c r="H1212">
        <v>93522679</v>
      </c>
      <c r="I1212" t="s">
        <v>14292</v>
      </c>
      <c r="L1212" t="s">
        <v>17639</v>
      </c>
      <c r="M1212">
        <v>1388</v>
      </c>
      <c r="N1212" t="s">
        <v>17640</v>
      </c>
    </row>
    <row r="1213" spans="1:14">
      <c r="A1213" t="s">
        <v>9256</v>
      </c>
      <c r="B1213">
        <v>1415547</v>
      </c>
      <c r="C1213">
        <v>1416359</v>
      </c>
      <c r="E1213" t="s">
        <v>14314</v>
      </c>
      <c r="F1213" t="s">
        <v>14933</v>
      </c>
      <c r="H1213">
        <v>93522680</v>
      </c>
      <c r="I1213" t="s">
        <v>14292</v>
      </c>
      <c r="L1213" t="s">
        <v>17641</v>
      </c>
      <c r="M1213">
        <v>270</v>
      </c>
      <c r="N1213" t="s">
        <v>17642</v>
      </c>
    </row>
    <row r="1214" spans="1:14">
      <c r="A1214" t="s">
        <v>9256</v>
      </c>
      <c r="B1214">
        <v>1416421</v>
      </c>
      <c r="C1214">
        <v>1416633</v>
      </c>
      <c r="E1214" t="s">
        <v>14290</v>
      </c>
      <c r="F1214" t="s">
        <v>14291</v>
      </c>
      <c r="H1214">
        <v>93522681</v>
      </c>
      <c r="I1214" t="s">
        <v>14292</v>
      </c>
      <c r="L1214" t="s">
        <v>17643</v>
      </c>
      <c r="M1214">
        <v>70</v>
      </c>
      <c r="N1214" t="s">
        <v>17644</v>
      </c>
    </row>
    <row r="1215" spans="1:14">
      <c r="A1215" t="s">
        <v>9256</v>
      </c>
      <c r="B1215">
        <v>1416630</v>
      </c>
      <c r="C1215">
        <v>1418780</v>
      </c>
      <c r="E1215" t="s">
        <v>14314</v>
      </c>
      <c r="F1215" t="s">
        <v>17645</v>
      </c>
      <c r="H1215">
        <v>93522682</v>
      </c>
      <c r="I1215" t="s">
        <v>14292</v>
      </c>
      <c r="L1215" t="s">
        <v>17646</v>
      </c>
      <c r="M1215">
        <v>716</v>
      </c>
      <c r="N1215" t="s">
        <v>17647</v>
      </c>
    </row>
    <row r="1216" spans="1:14">
      <c r="A1216" t="s">
        <v>9256</v>
      </c>
      <c r="B1216">
        <v>1418848</v>
      </c>
      <c r="C1216">
        <v>1419321</v>
      </c>
      <c r="E1216" t="s">
        <v>14314</v>
      </c>
      <c r="F1216" t="s">
        <v>17648</v>
      </c>
      <c r="H1216">
        <v>93522683</v>
      </c>
      <c r="I1216" t="s">
        <v>14292</v>
      </c>
      <c r="L1216" t="s">
        <v>17649</v>
      </c>
      <c r="M1216">
        <v>157</v>
      </c>
      <c r="N1216" t="s">
        <v>17650</v>
      </c>
    </row>
    <row r="1217" spans="1:14">
      <c r="A1217" t="s">
        <v>9256</v>
      </c>
      <c r="B1217">
        <v>1419618</v>
      </c>
      <c r="C1217">
        <v>1421297</v>
      </c>
      <c r="E1217" t="s">
        <v>14290</v>
      </c>
      <c r="F1217" t="s">
        <v>14805</v>
      </c>
      <c r="H1217">
        <v>93522684</v>
      </c>
      <c r="I1217" t="s">
        <v>14292</v>
      </c>
      <c r="L1217" t="s">
        <v>17651</v>
      </c>
      <c r="M1217">
        <v>559</v>
      </c>
      <c r="N1217" t="s">
        <v>17652</v>
      </c>
    </row>
    <row r="1218" spans="1:14">
      <c r="A1218" t="s">
        <v>9256</v>
      </c>
      <c r="B1218">
        <v>1421404</v>
      </c>
      <c r="C1218">
        <v>1422567</v>
      </c>
      <c r="E1218" t="s">
        <v>14314</v>
      </c>
      <c r="F1218" t="s">
        <v>15691</v>
      </c>
      <c r="H1218">
        <v>93522685</v>
      </c>
      <c r="I1218" t="s">
        <v>14292</v>
      </c>
      <c r="L1218" t="s">
        <v>17653</v>
      </c>
      <c r="M1218">
        <v>387</v>
      </c>
      <c r="N1218" t="s">
        <v>17654</v>
      </c>
    </row>
    <row r="1219" spans="1:14">
      <c r="A1219" t="s">
        <v>9256</v>
      </c>
      <c r="B1219">
        <v>1422574</v>
      </c>
      <c r="C1219">
        <v>1423566</v>
      </c>
      <c r="E1219" t="s">
        <v>14314</v>
      </c>
      <c r="F1219" t="s">
        <v>17655</v>
      </c>
      <c r="H1219">
        <v>93522686</v>
      </c>
      <c r="I1219" t="s">
        <v>14292</v>
      </c>
      <c r="L1219" t="s">
        <v>17656</v>
      </c>
      <c r="M1219">
        <v>330</v>
      </c>
      <c r="N1219" t="s">
        <v>17657</v>
      </c>
    </row>
    <row r="1220" spans="1:14">
      <c r="A1220" t="s">
        <v>9256</v>
      </c>
      <c r="B1220">
        <v>1423569</v>
      </c>
      <c r="C1220">
        <v>1424648</v>
      </c>
      <c r="E1220" t="s">
        <v>14314</v>
      </c>
      <c r="F1220" t="s">
        <v>16205</v>
      </c>
      <c r="H1220">
        <v>93522687</v>
      </c>
      <c r="I1220" t="s">
        <v>14292</v>
      </c>
      <c r="L1220" t="s">
        <v>17658</v>
      </c>
      <c r="M1220">
        <v>359</v>
      </c>
      <c r="N1220" t="s">
        <v>17659</v>
      </c>
    </row>
    <row r="1221" spans="1:14">
      <c r="A1221" t="s">
        <v>9256</v>
      </c>
      <c r="B1221">
        <v>1424653</v>
      </c>
      <c r="C1221">
        <v>1425279</v>
      </c>
      <c r="E1221" t="s">
        <v>14314</v>
      </c>
      <c r="F1221" t="s">
        <v>17660</v>
      </c>
      <c r="H1221">
        <v>93522688</v>
      </c>
      <c r="I1221" t="s">
        <v>14292</v>
      </c>
      <c r="L1221" t="s">
        <v>17661</v>
      </c>
      <c r="M1221">
        <v>208</v>
      </c>
      <c r="N1221" t="s">
        <v>17662</v>
      </c>
    </row>
    <row r="1222" spans="1:14">
      <c r="A1222" t="s">
        <v>9256</v>
      </c>
      <c r="B1222">
        <v>1425430</v>
      </c>
      <c r="C1222">
        <v>1425582</v>
      </c>
      <c r="E1222" t="s">
        <v>14314</v>
      </c>
      <c r="F1222" t="s">
        <v>17663</v>
      </c>
      <c r="G1222" t="s">
        <v>17664</v>
      </c>
      <c r="H1222">
        <v>93522689</v>
      </c>
      <c r="I1222" t="s">
        <v>14292</v>
      </c>
      <c r="L1222" t="s">
        <v>17665</v>
      </c>
      <c r="M1222">
        <v>50</v>
      </c>
      <c r="N1222" t="s">
        <v>17666</v>
      </c>
    </row>
    <row r="1223" spans="1:14">
      <c r="A1223" t="s">
        <v>9256</v>
      </c>
      <c r="B1223">
        <v>1425925</v>
      </c>
      <c r="C1223">
        <v>1427823</v>
      </c>
      <c r="E1223" t="s">
        <v>14314</v>
      </c>
      <c r="F1223" t="s">
        <v>14291</v>
      </c>
      <c r="H1223">
        <v>93522690</v>
      </c>
      <c r="I1223" t="s">
        <v>14292</v>
      </c>
      <c r="L1223" t="s">
        <v>17667</v>
      </c>
      <c r="M1223">
        <v>632</v>
      </c>
      <c r="N1223" t="s">
        <v>17668</v>
      </c>
    </row>
    <row r="1224" spans="1:14">
      <c r="A1224" t="s">
        <v>9256</v>
      </c>
      <c r="B1224">
        <v>1427844</v>
      </c>
      <c r="C1224">
        <v>1429877</v>
      </c>
      <c r="E1224" t="s">
        <v>14314</v>
      </c>
      <c r="F1224" t="s">
        <v>17669</v>
      </c>
      <c r="H1224">
        <v>93522691</v>
      </c>
      <c r="I1224" t="s">
        <v>14292</v>
      </c>
      <c r="L1224" t="s">
        <v>17670</v>
      </c>
      <c r="M1224">
        <v>677</v>
      </c>
      <c r="N1224" t="s">
        <v>17671</v>
      </c>
    </row>
    <row r="1225" spans="1:14">
      <c r="A1225" t="s">
        <v>9256</v>
      </c>
      <c r="B1225">
        <v>1429910</v>
      </c>
      <c r="C1225">
        <v>1431013</v>
      </c>
      <c r="E1225" t="s">
        <v>14314</v>
      </c>
      <c r="F1225" t="s">
        <v>14291</v>
      </c>
      <c r="H1225">
        <v>93522692</v>
      </c>
      <c r="I1225" t="s">
        <v>14292</v>
      </c>
      <c r="L1225" t="s">
        <v>17672</v>
      </c>
      <c r="M1225">
        <v>367</v>
      </c>
      <c r="N1225" t="s">
        <v>17673</v>
      </c>
    </row>
    <row r="1226" spans="1:14">
      <c r="A1226" t="s">
        <v>9256</v>
      </c>
      <c r="B1226">
        <v>1431540</v>
      </c>
      <c r="C1226">
        <v>1432427</v>
      </c>
      <c r="E1226" t="s">
        <v>14290</v>
      </c>
      <c r="F1226" t="s">
        <v>17522</v>
      </c>
      <c r="H1226">
        <v>93522693</v>
      </c>
      <c r="I1226" t="s">
        <v>14292</v>
      </c>
      <c r="L1226" t="s">
        <v>17674</v>
      </c>
      <c r="M1226">
        <v>295</v>
      </c>
      <c r="N1226" t="s">
        <v>17675</v>
      </c>
    </row>
    <row r="1227" spans="1:14">
      <c r="A1227" t="s">
        <v>9256</v>
      </c>
      <c r="B1227">
        <v>1432451</v>
      </c>
      <c r="C1227">
        <v>1433416</v>
      </c>
      <c r="E1227" t="s">
        <v>14314</v>
      </c>
      <c r="F1227" t="s">
        <v>14805</v>
      </c>
      <c r="H1227">
        <v>93522694</v>
      </c>
      <c r="I1227" t="s">
        <v>14292</v>
      </c>
      <c r="L1227" t="s">
        <v>17676</v>
      </c>
      <c r="M1227">
        <v>321</v>
      </c>
      <c r="N1227" t="s">
        <v>17677</v>
      </c>
    </row>
    <row r="1228" spans="1:14">
      <c r="A1228" t="s">
        <v>9256</v>
      </c>
      <c r="B1228">
        <v>1433728</v>
      </c>
      <c r="C1228">
        <v>1434024</v>
      </c>
      <c r="E1228" t="s">
        <v>14290</v>
      </c>
      <c r="F1228" t="s">
        <v>17678</v>
      </c>
      <c r="H1228">
        <v>93522695</v>
      </c>
      <c r="I1228" t="s">
        <v>14292</v>
      </c>
      <c r="L1228" t="s">
        <v>17679</v>
      </c>
      <c r="M1228">
        <v>98</v>
      </c>
      <c r="N1228" t="s">
        <v>17680</v>
      </c>
    </row>
    <row r="1229" spans="1:14">
      <c r="A1229" t="s">
        <v>9256</v>
      </c>
      <c r="B1229">
        <v>1434043</v>
      </c>
      <c r="C1229">
        <v>1435968</v>
      </c>
      <c r="E1229" t="s">
        <v>14290</v>
      </c>
      <c r="F1229" t="s">
        <v>17681</v>
      </c>
      <c r="H1229">
        <v>93522696</v>
      </c>
      <c r="I1229" t="s">
        <v>14292</v>
      </c>
      <c r="L1229" t="s">
        <v>17682</v>
      </c>
      <c r="M1229">
        <v>641</v>
      </c>
      <c r="N1229" t="s">
        <v>17683</v>
      </c>
    </row>
    <row r="1230" spans="1:14">
      <c r="A1230" t="s">
        <v>9256</v>
      </c>
      <c r="B1230">
        <v>1435968</v>
      </c>
      <c r="C1230">
        <v>1437203</v>
      </c>
      <c r="E1230" t="s">
        <v>14290</v>
      </c>
      <c r="F1230" t="s">
        <v>17684</v>
      </c>
      <c r="H1230">
        <v>93522697</v>
      </c>
      <c r="I1230" t="s">
        <v>14292</v>
      </c>
      <c r="L1230" t="s">
        <v>17685</v>
      </c>
      <c r="M1230">
        <v>411</v>
      </c>
      <c r="N1230" t="s">
        <v>17686</v>
      </c>
    </row>
    <row r="1231" spans="1:14">
      <c r="A1231" t="s">
        <v>9256</v>
      </c>
      <c r="B1231">
        <v>1437420</v>
      </c>
      <c r="C1231">
        <v>1439273</v>
      </c>
      <c r="E1231" t="s">
        <v>14290</v>
      </c>
      <c r="F1231" t="s">
        <v>17687</v>
      </c>
      <c r="H1231">
        <v>93522698</v>
      </c>
      <c r="I1231" t="s">
        <v>14292</v>
      </c>
      <c r="L1231" t="s">
        <v>17688</v>
      </c>
      <c r="M1231">
        <v>617</v>
      </c>
      <c r="N1231" t="s">
        <v>17689</v>
      </c>
    </row>
    <row r="1232" spans="1:14">
      <c r="A1232" t="s">
        <v>9256</v>
      </c>
      <c r="B1232">
        <v>1439337</v>
      </c>
      <c r="C1232">
        <v>1440545</v>
      </c>
      <c r="E1232" t="s">
        <v>14290</v>
      </c>
      <c r="F1232" t="s">
        <v>14291</v>
      </c>
      <c r="H1232">
        <v>93522699</v>
      </c>
      <c r="I1232" t="s">
        <v>14292</v>
      </c>
      <c r="L1232" t="s">
        <v>17690</v>
      </c>
      <c r="M1232">
        <v>402</v>
      </c>
      <c r="N1232" t="s">
        <v>17691</v>
      </c>
    </row>
    <row r="1233" spans="1:14">
      <c r="A1233" t="s">
        <v>9256</v>
      </c>
      <c r="B1233">
        <v>1440611</v>
      </c>
      <c r="C1233">
        <v>1441804</v>
      </c>
      <c r="E1233" t="s">
        <v>14290</v>
      </c>
      <c r="F1233" t="s">
        <v>15708</v>
      </c>
      <c r="H1233">
        <v>93522700</v>
      </c>
      <c r="I1233" t="s">
        <v>14292</v>
      </c>
      <c r="L1233" t="s">
        <v>17692</v>
      </c>
      <c r="M1233">
        <v>397</v>
      </c>
      <c r="N1233" t="s">
        <v>17693</v>
      </c>
    </row>
    <row r="1234" spans="1:14">
      <c r="A1234" t="s">
        <v>9256</v>
      </c>
      <c r="B1234">
        <v>1441854</v>
      </c>
      <c r="C1234">
        <v>1442489</v>
      </c>
      <c r="E1234" t="s">
        <v>14314</v>
      </c>
      <c r="F1234" t="s">
        <v>14919</v>
      </c>
      <c r="H1234">
        <v>93522701</v>
      </c>
      <c r="I1234" t="s">
        <v>14292</v>
      </c>
      <c r="L1234" t="s">
        <v>17694</v>
      </c>
      <c r="M1234">
        <v>211</v>
      </c>
      <c r="N1234" t="s">
        <v>17695</v>
      </c>
    </row>
    <row r="1235" spans="1:14">
      <c r="A1235" t="s">
        <v>9256</v>
      </c>
      <c r="B1235">
        <v>1442560</v>
      </c>
      <c r="C1235">
        <v>1443255</v>
      </c>
      <c r="E1235" t="s">
        <v>14314</v>
      </c>
      <c r="F1235" t="s">
        <v>14498</v>
      </c>
      <c r="H1235">
        <v>93522702</v>
      </c>
      <c r="I1235" t="s">
        <v>14292</v>
      </c>
      <c r="L1235" t="s">
        <v>17696</v>
      </c>
      <c r="M1235">
        <v>231</v>
      </c>
      <c r="N1235" t="s">
        <v>17697</v>
      </c>
    </row>
    <row r="1236" spans="1:14">
      <c r="A1236" t="s">
        <v>9256</v>
      </c>
      <c r="B1236">
        <v>1443252</v>
      </c>
      <c r="C1236">
        <v>1444310</v>
      </c>
      <c r="E1236" t="s">
        <v>14314</v>
      </c>
      <c r="F1236" t="s">
        <v>14493</v>
      </c>
      <c r="H1236">
        <v>93522703</v>
      </c>
      <c r="I1236" t="s">
        <v>14292</v>
      </c>
      <c r="L1236" t="s">
        <v>17698</v>
      </c>
      <c r="M1236">
        <v>352</v>
      </c>
      <c r="N1236" t="s">
        <v>17699</v>
      </c>
    </row>
    <row r="1237" spans="1:14">
      <c r="A1237" t="s">
        <v>9256</v>
      </c>
      <c r="B1237">
        <v>1444331</v>
      </c>
      <c r="C1237">
        <v>1446490</v>
      </c>
      <c r="E1237" t="s">
        <v>14314</v>
      </c>
      <c r="F1237" t="s">
        <v>14919</v>
      </c>
      <c r="H1237">
        <v>93522704</v>
      </c>
      <c r="I1237" t="s">
        <v>14292</v>
      </c>
      <c r="L1237" t="s">
        <v>17700</v>
      </c>
      <c r="M1237">
        <v>719</v>
      </c>
      <c r="N1237" t="s">
        <v>17701</v>
      </c>
    </row>
    <row r="1238" spans="1:14">
      <c r="A1238" t="s">
        <v>9256</v>
      </c>
      <c r="B1238">
        <v>1446585</v>
      </c>
      <c r="C1238">
        <v>1447841</v>
      </c>
      <c r="E1238" t="s">
        <v>14314</v>
      </c>
      <c r="F1238" t="s">
        <v>17702</v>
      </c>
      <c r="H1238">
        <v>93522705</v>
      </c>
      <c r="I1238" t="s">
        <v>14292</v>
      </c>
      <c r="L1238" t="s">
        <v>17703</v>
      </c>
      <c r="M1238">
        <v>418</v>
      </c>
      <c r="N1238" t="s">
        <v>17704</v>
      </c>
    </row>
    <row r="1239" spans="1:14">
      <c r="A1239" t="s">
        <v>9256</v>
      </c>
      <c r="B1239">
        <v>1448556</v>
      </c>
      <c r="C1239">
        <v>1448726</v>
      </c>
      <c r="E1239" t="s">
        <v>14290</v>
      </c>
      <c r="F1239" t="s">
        <v>14414</v>
      </c>
      <c r="H1239">
        <v>301046718</v>
      </c>
      <c r="I1239" t="s">
        <v>14415</v>
      </c>
      <c r="N1239" t="s">
        <v>17705</v>
      </c>
    </row>
    <row r="1240" spans="1:14">
      <c r="A1240" t="s">
        <v>9256</v>
      </c>
      <c r="B1240">
        <v>1448786</v>
      </c>
      <c r="C1240">
        <v>1448986</v>
      </c>
      <c r="E1240" t="s">
        <v>14290</v>
      </c>
      <c r="F1240" t="s">
        <v>14291</v>
      </c>
      <c r="H1240">
        <v>93522706</v>
      </c>
      <c r="I1240" t="s">
        <v>14292</v>
      </c>
      <c r="L1240" t="s">
        <v>17706</v>
      </c>
      <c r="M1240">
        <v>66</v>
      </c>
      <c r="N1240" t="s">
        <v>17707</v>
      </c>
    </row>
    <row r="1241" spans="1:14">
      <c r="A1241" t="s">
        <v>9256</v>
      </c>
      <c r="B1241">
        <v>1448990</v>
      </c>
      <c r="C1241">
        <v>1449261</v>
      </c>
      <c r="E1241" t="s">
        <v>14290</v>
      </c>
      <c r="F1241" t="s">
        <v>14414</v>
      </c>
      <c r="H1241">
        <v>93522707</v>
      </c>
      <c r="I1241" t="s">
        <v>14415</v>
      </c>
      <c r="N1241" t="s">
        <v>17708</v>
      </c>
    </row>
    <row r="1242" spans="1:14">
      <c r="A1242" t="s">
        <v>9256</v>
      </c>
      <c r="B1242">
        <v>1449258</v>
      </c>
      <c r="C1242">
        <v>1450517</v>
      </c>
      <c r="E1242" t="s">
        <v>14314</v>
      </c>
      <c r="F1242" t="s">
        <v>17702</v>
      </c>
      <c r="H1242">
        <v>93522708</v>
      </c>
      <c r="I1242" t="s">
        <v>14292</v>
      </c>
      <c r="L1242" t="s">
        <v>17709</v>
      </c>
      <c r="M1242">
        <v>419</v>
      </c>
      <c r="N1242" t="s">
        <v>17710</v>
      </c>
    </row>
    <row r="1243" spans="1:14">
      <c r="A1243" t="s">
        <v>9256</v>
      </c>
      <c r="B1243">
        <v>1450697</v>
      </c>
      <c r="C1243">
        <v>1451287</v>
      </c>
      <c r="E1243" t="s">
        <v>14314</v>
      </c>
      <c r="F1243" t="s">
        <v>17711</v>
      </c>
      <c r="G1243" t="s">
        <v>17712</v>
      </c>
      <c r="H1243">
        <v>93522709</v>
      </c>
      <c r="I1243" t="s">
        <v>14292</v>
      </c>
      <c r="L1243" t="s">
        <v>17713</v>
      </c>
      <c r="M1243">
        <v>196</v>
      </c>
      <c r="N1243" t="s">
        <v>17714</v>
      </c>
    </row>
    <row r="1244" spans="1:14">
      <c r="A1244" t="s">
        <v>9256</v>
      </c>
      <c r="B1244">
        <v>1451293</v>
      </c>
      <c r="C1244">
        <v>1451799</v>
      </c>
      <c r="E1244" t="s">
        <v>14314</v>
      </c>
      <c r="F1244" t="s">
        <v>14291</v>
      </c>
      <c r="H1244">
        <v>93522710</v>
      </c>
      <c r="I1244" t="s">
        <v>14292</v>
      </c>
      <c r="L1244" t="s">
        <v>17715</v>
      </c>
      <c r="M1244">
        <v>168</v>
      </c>
      <c r="N1244" t="s">
        <v>17716</v>
      </c>
    </row>
    <row r="1245" spans="1:14">
      <c r="A1245" t="s">
        <v>9256</v>
      </c>
      <c r="B1245">
        <v>1451870</v>
      </c>
      <c r="C1245">
        <v>1452625</v>
      </c>
      <c r="E1245" t="s">
        <v>14314</v>
      </c>
      <c r="F1245" t="s">
        <v>17717</v>
      </c>
      <c r="G1245" t="s">
        <v>17718</v>
      </c>
      <c r="H1245">
        <v>93522711</v>
      </c>
      <c r="I1245" t="s">
        <v>14292</v>
      </c>
      <c r="L1245" t="s">
        <v>17719</v>
      </c>
      <c r="M1245">
        <v>251</v>
      </c>
      <c r="N1245" t="s">
        <v>17720</v>
      </c>
    </row>
    <row r="1246" spans="1:14">
      <c r="A1246" t="s">
        <v>9256</v>
      </c>
      <c r="B1246">
        <v>1452662</v>
      </c>
      <c r="C1246">
        <v>1453945</v>
      </c>
      <c r="E1246" t="s">
        <v>14314</v>
      </c>
      <c r="F1246" t="s">
        <v>17721</v>
      </c>
      <c r="H1246">
        <v>93522712</v>
      </c>
      <c r="I1246" t="s">
        <v>14292</v>
      </c>
      <c r="L1246" t="s">
        <v>17722</v>
      </c>
      <c r="M1246">
        <v>427</v>
      </c>
      <c r="N1246" t="s">
        <v>17723</v>
      </c>
    </row>
    <row r="1247" spans="1:14">
      <c r="A1247" t="s">
        <v>9256</v>
      </c>
      <c r="B1247">
        <v>1453951</v>
      </c>
      <c r="C1247">
        <v>1454496</v>
      </c>
      <c r="E1247" t="s">
        <v>14314</v>
      </c>
      <c r="F1247" t="s">
        <v>17724</v>
      </c>
      <c r="H1247">
        <v>93522713</v>
      </c>
      <c r="I1247" t="s">
        <v>14292</v>
      </c>
      <c r="L1247" t="s">
        <v>17725</v>
      </c>
      <c r="M1247">
        <v>181</v>
      </c>
      <c r="N1247" t="s">
        <v>17726</v>
      </c>
    </row>
    <row r="1248" spans="1:14">
      <c r="A1248" t="s">
        <v>9256</v>
      </c>
      <c r="B1248">
        <v>1454655</v>
      </c>
      <c r="C1248">
        <v>1455905</v>
      </c>
      <c r="E1248" t="s">
        <v>14314</v>
      </c>
      <c r="F1248" t="s">
        <v>15974</v>
      </c>
      <c r="H1248">
        <v>93522714</v>
      </c>
      <c r="I1248" t="s">
        <v>14292</v>
      </c>
      <c r="L1248" t="s">
        <v>17727</v>
      </c>
      <c r="M1248">
        <v>416</v>
      </c>
      <c r="N1248" t="s">
        <v>17728</v>
      </c>
    </row>
    <row r="1249" spans="1:14">
      <c r="A1249" t="s">
        <v>9256</v>
      </c>
      <c r="B1249">
        <v>1456116</v>
      </c>
      <c r="C1249">
        <v>1458212</v>
      </c>
      <c r="E1249" t="s">
        <v>14314</v>
      </c>
      <c r="F1249" t="s">
        <v>17729</v>
      </c>
      <c r="G1249" t="s">
        <v>17730</v>
      </c>
      <c r="H1249">
        <v>93522715</v>
      </c>
      <c r="I1249" t="s">
        <v>14292</v>
      </c>
      <c r="L1249" t="s">
        <v>17731</v>
      </c>
      <c r="M1249">
        <v>698</v>
      </c>
      <c r="N1249" t="s">
        <v>17732</v>
      </c>
    </row>
    <row r="1250" spans="1:14">
      <c r="A1250" t="s">
        <v>9256</v>
      </c>
      <c r="B1250">
        <v>1458235</v>
      </c>
      <c r="C1250">
        <v>1458933</v>
      </c>
      <c r="E1250" t="s">
        <v>14314</v>
      </c>
      <c r="F1250" t="s">
        <v>17733</v>
      </c>
      <c r="H1250">
        <v>93522716</v>
      </c>
      <c r="I1250" t="s">
        <v>14292</v>
      </c>
      <c r="L1250" t="s">
        <v>17734</v>
      </c>
      <c r="M1250">
        <v>232</v>
      </c>
      <c r="N1250" t="s">
        <v>17735</v>
      </c>
    </row>
    <row r="1251" spans="1:14">
      <c r="A1251" t="s">
        <v>9256</v>
      </c>
      <c r="B1251">
        <v>1458933</v>
      </c>
      <c r="C1251">
        <v>1459130</v>
      </c>
      <c r="E1251" t="s">
        <v>14314</v>
      </c>
      <c r="F1251" t="s">
        <v>17736</v>
      </c>
      <c r="G1251" t="s">
        <v>17737</v>
      </c>
      <c r="H1251">
        <v>93522717</v>
      </c>
      <c r="I1251" t="s">
        <v>14292</v>
      </c>
      <c r="L1251" t="s">
        <v>17738</v>
      </c>
      <c r="M1251">
        <v>65</v>
      </c>
      <c r="N1251" t="s">
        <v>17739</v>
      </c>
    </row>
    <row r="1252" spans="1:14">
      <c r="A1252" t="s">
        <v>9256</v>
      </c>
      <c r="B1252">
        <v>1459170</v>
      </c>
      <c r="C1252">
        <v>1460504</v>
      </c>
      <c r="E1252" t="s">
        <v>14314</v>
      </c>
      <c r="F1252" t="s">
        <v>17740</v>
      </c>
      <c r="G1252" t="s">
        <v>17741</v>
      </c>
      <c r="H1252">
        <v>93522718</v>
      </c>
      <c r="I1252" t="s">
        <v>14292</v>
      </c>
      <c r="L1252" t="s">
        <v>17742</v>
      </c>
      <c r="M1252">
        <v>444</v>
      </c>
      <c r="N1252" t="s">
        <v>17743</v>
      </c>
    </row>
    <row r="1253" spans="1:14">
      <c r="A1253" t="s">
        <v>9256</v>
      </c>
      <c r="B1253">
        <v>1460485</v>
      </c>
      <c r="C1253">
        <v>1461867</v>
      </c>
      <c r="E1253" t="s">
        <v>14314</v>
      </c>
      <c r="F1253" t="s">
        <v>17744</v>
      </c>
      <c r="H1253">
        <v>93522719</v>
      </c>
      <c r="I1253" t="s">
        <v>14292</v>
      </c>
      <c r="L1253" t="s">
        <v>17745</v>
      </c>
      <c r="M1253">
        <v>460</v>
      </c>
      <c r="N1253" t="s">
        <v>17746</v>
      </c>
    </row>
    <row r="1254" spans="1:14">
      <c r="A1254" t="s">
        <v>9256</v>
      </c>
      <c r="B1254">
        <v>1461969</v>
      </c>
      <c r="C1254">
        <v>1462436</v>
      </c>
      <c r="E1254" t="s">
        <v>14314</v>
      </c>
      <c r="F1254" t="s">
        <v>17257</v>
      </c>
      <c r="H1254">
        <v>93522720</v>
      </c>
      <c r="I1254" t="s">
        <v>14292</v>
      </c>
      <c r="L1254" t="s">
        <v>17747</v>
      </c>
      <c r="M1254">
        <v>155</v>
      </c>
      <c r="N1254" t="s">
        <v>17748</v>
      </c>
    </row>
    <row r="1255" spans="1:14">
      <c r="A1255" t="s">
        <v>9256</v>
      </c>
      <c r="B1255">
        <v>1462621</v>
      </c>
      <c r="C1255">
        <v>1463331</v>
      </c>
      <c r="E1255" t="s">
        <v>14314</v>
      </c>
      <c r="F1255" t="s">
        <v>15930</v>
      </c>
      <c r="H1255">
        <v>93522721</v>
      </c>
      <c r="I1255" t="s">
        <v>14292</v>
      </c>
      <c r="L1255" t="s">
        <v>17749</v>
      </c>
      <c r="M1255">
        <v>236</v>
      </c>
      <c r="N1255" t="s">
        <v>17750</v>
      </c>
    </row>
    <row r="1256" spans="1:14">
      <c r="A1256" t="s">
        <v>9256</v>
      </c>
      <c r="B1256">
        <v>1463352</v>
      </c>
      <c r="C1256">
        <v>1463939</v>
      </c>
      <c r="E1256" t="s">
        <v>14314</v>
      </c>
      <c r="F1256" t="s">
        <v>15930</v>
      </c>
      <c r="H1256">
        <v>93522722</v>
      </c>
      <c r="I1256" t="s">
        <v>14292</v>
      </c>
      <c r="L1256" t="s">
        <v>17751</v>
      </c>
      <c r="M1256">
        <v>195</v>
      </c>
      <c r="N1256" t="s">
        <v>17752</v>
      </c>
    </row>
    <row r="1257" spans="1:14">
      <c r="A1257" t="s">
        <v>9256</v>
      </c>
      <c r="B1257">
        <v>1464101</v>
      </c>
      <c r="C1257">
        <v>1464790</v>
      </c>
      <c r="E1257" t="s">
        <v>14290</v>
      </c>
      <c r="F1257" t="s">
        <v>17753</v>
      </c>
      <c r="H1257">
        <v>93522723</v>
      </c>
      <c r="I1257" t="s">
        <v>14292</v>
      </c>
      <c r="L1257" t="s">
        <v>17754</v>
      </c>
      <c r="M1257">
        <v>229</v>
      </c>
      <c r="N1257" t="s">
        <v>17755</v>
      </c>
    </row>
    <row r="1258" spans="1:14">
      <c r="A1258" t="s">
        <v>9256</v>
      </c>
      <c r="B1258">
        <v>1465034</v>
      </c>
      <c r="C1258">
        <v>1468768</v>
      </c>
      <c r="E1258" t="s">
        <v>14314</v>
      </c>
      <c r="F1258" t="s">
        <v>15863</v>
      </c>
      <c r="H1258">
        <v>93522724</v>
      </c>
      <c r="I1258" t="s">
        <v>14292</v>
      </c>
      <c r="L1258" t="s">
        <v>17756</v>
      </c>
      <c r="M1258">
        <v>1244</v>
      </c>
      <c r="N1258" t="s">
        <v>17757</v>
      </c>
    </row>
    <row r="1259" spans="1:14">
      <c r="A1259" t="s">
        <v>9256</v>
      </c>
      <c r="B1259">
        <v>1469738</v>
      </c>
      <c r="C1259">
        <v>1470982</v>
      </c>
      <c r="E1259" t="s">
        <v>14314</v>
      </c>
      <c r="F1259" t="s">
        <v>17758</v>
      </c>
      <c r="H1259">
        <v>93522725</v>
      </c>
      <c r="I1259" t="s">
        <v>14292</v>
      </c>
      <c r="L1259" t="s">
        <v>17759</v>
      </c>
      <c r="M1259">
        <v>414</v>
      </c>
      <c r="N1259" t="s">
        <v>17760</v>
      </c>
    </row>
    <row r="1260" spans="1:14">
      <c r="A1260" t="s">
        <v>9256</v>
      </c>
      <c r="B1260">
        <v>1471087</v>
      </c>
      <c r="C1260">
        <v>1471380</v>
      </c>
      <c r="E1260" t="s">
        <v>14290</v>
      </c>
      <c r="F1260" t="s">
        <v>17648</v>
      </c>
      <c r="H1260">
        <v>93522726</v>
      </c>
      <c r="I1260" t="s">
        <v>14292</v>
      </c>
      <c r="L1260" t="s">
        <v>17761</v>
      </c>
      <c r="M1260">
        <v>97</v>
      </c>
      <c r="N1260" t="s">
        <v>17762</v>
      </c>
    </row>
    <row r="1261" spans="1:14">
      <c r="A1261" t="s">
        <v>9256</v>
      </c>
      <c r="B1261">
        <v>1471370</v>
      </c>
      <c r="C1261">
        <v>1472116</v>
      </c>
      <c r="E1261" t="s">
        <v>14290</v>
      </c>
      <c r="F1261" t="s">
        <v>17763</v>
      </c>
      <c r="H1261">
        <v>93522727</v>
      </c>
      <c r="I1261" t="s">
        <v>14292</v>
      </c>
      <c r="L1261" t="s">
        <v>17764</v>
      </c>
      <c r="M1261">
        <v>248</v>
      </c>
      <c r="N1261" t="s">
        <v>17765</v>
      </c>
    </row>
    <row r="1262" spans="1:14">
      <c r="A1262" t="s">
        <v>9256</v>
      </c>
      <c r="B1262">
        <v>1472193</v>
      </c>
      <c r="C1262">
        <v>1473152</v>
      </c>
      <c r="E1262" t="s">
        <v>14314</v>
      </c>
      <c r="F1262" t="s">
        <v>14520</v>
      </c>
      <c r="H1262">
        <v>93522728</v>
      </c>
      <c r="I1262" t="s">
        <v>14292</v>
      </c>
      <c r="L1262" t="s">
        <v>17766</v>
      </c>
      <c r="M1262">
        <v>319</v>
      </c>
      <c r="N1262" t="s">
        <v>17767</v>
      </c>
    </row>
    <row r="1263" spans="1:14">
      <c r="A1263" t="s">
        <v>9256</v>
      </c>
      <c r="B1263">
        <v>1473285</v>
      </c>
      <c r="C1263">
        <v>1474727</v>
      </c>
      <c r="E1263" t="s">
        <v>14290</v>
      </c>
      <c r="F1263" t="s">
        <v>14939</v>
      </c>
      <c r="H1263">
        <v>93522729</v>
      </c>
      <c r="I1263" t="s">
        <v>14292</v>
      </c>
      <c r="L1263" t="s">
        <v>17768</v>
      </c>
      <c r="M1263">
        <v>480</v>
      </c>
      <c r="N1263" t="s">
        <v>17769</v>
      </c>
    </row>
    <row r="1264" spans="1:14">
      <c r="A1264" t="s">
        <v>9256</v>
      </c>
      <c r="B1264">
        <v>1474811</v>
      </c>
      <c r="C1264">
        <v>1476277</v>
      </c>
      <c r="E1264" t="s">
        <v>14290</v>
      </c>
      <c r="F1264" t="s">
        <v>17770</v>
      </c>
      <c r="G1264" t="s">
        <v>17771</v>
      </c>
      <c r="H1264">
        <v>93522730</v>
      </c>
      <c r="I1264" t="s">
        <v>14292</v>
      </c>
      <c r="L1264" t="s">
        <v>17772</v>
      </c>
      <c r="M1264">
        <v>488</v>
      </c>
      <c r="N1264" t="s">
        <v>17773</v>
      </c>
    </row>
    <row r="1265" spans="1:14">
      <c r="A1265" t="s">
        <v>9256</v>
      </c>
      <c r="B1265">
        <v>1476246</v>
      </c>
      <c r="C1265">
        <v>1477418</v>
      </c>
      <c r="E1265" t="s">
        <v>14290</v>
      </c>
      <c r="F1265" t="s">
        <v>17774</v>
      </c>
      <c r="H1265">
        <v>93522731</v>
      </c>
      <c r="I1265" t="s">
        <v>14292</v>
      </c>
      <c r="L1265" t="s">
        <v>17775</v>
      </c>
      <c r="M1265">
        <v>390</v>
      </c>
      <c r="N1265" t="s">
        <v>17776</v>
      </c>
    </row>
    <row r="1266" spans="1:14">
      <c r="A1266" t="s">
        <v>9256</v>
      </c>
      <c r="B1266">
        <v>1477419</v>
      </c>
      <c r="C1266">
        <v>1477964</v>
      </c>
      <c r="E1266" t="s">
        <v>14314</v>
      </c>
      <c r="F1266" t="s">
        <v>14484</v>
      </c>
      <c r="H1266">
        <v>93522732</v>
      </c>
      <c r="I1266" t="s">
        <v>14292</v>
      </c>
      <c r="L1266" t="s">
        <v>17777</v>
      </c>
      <c r="M1266">
        <v>181</v>
      </c>
      <c r="N1266" t="s">
        <v>17778</v>
      </c>
    </row>
    <row r="1267" spans="1:14">
      <c r="A1267" t="s">
        <v>9256</v>
      </c>
      <c r="B1267">
        <v>1478049</v>
      </c>
      <c r="C1267">
        <v>1481282</v>
      </c>
      <c r="E1267" t="s">
        <v>14314</v>
      </c>
      <c r="F1267" t="s">
        <v>17779</v>
      </c>
      <c r="H1267">
        <v>93522733</v>
      </c>
      <c r="I1267" t="s">
        <v>14292</v>
      </c>
      <c r="L1267" t="s">
        <v>17780</v>
      </c>
      <c r="M1267">
        <v>1077</v>
      </c>
      <c r="N1267" t="s">
        <v>17781</v>
      </c>
    </row>
    <row r="1268" spans="1:14">
      <c r="A1268" t="s">
        <v>9256</v>
      </c>
      <c r="B1268">
        <v>1481742</v>
      </c>
      <c r="C1268">
        <v>1482026</v>
      </c>
      <c r="E1268" t="s">
        <v>14290</v>
      </c>
      <c r="F1268" t="s">
        <v>17782</v>
      </c>
      <c r="H1268">
        <v>93522734</v>
      </c>
      <c r="I1268" t="s">
        <v>14292</v>
      </c>
      <c r="L1268" t="s">
        <v>17783</v>
      </c>
      <c r="M1268">
        <v>94</v>
      </c>
      <c r="N1268" t="s">
        <v>17784</v>
      </c>
    </row>
    <row r="1269" spans="1:14">
      <c r="A1269" t="s">
        <v>9256</v>
      </c>
      <c r="B1269">
        <v>1482016</v>
      </c>
      <c r="C1269">
        <v>1482639</v>
      </c>
      <c r="E1269" t="s">
        <v>14290</v>
      </c>
      <c r="F1269" t="s">
        <v>17785</v>
      </c>
      <c r="H1269">
        <v>93522735</v>
      </c>
      <c r="I1269" t="s">
        <v>14292</v>
      </c>
      <c r="L1269" t="s">
        <v>17786</v>
      </c>
      <c r="M1269">
        <v>207</v>
      </c>
      <c r="N1269" t="s">
        <v>17787</v>
      </c>
    </row>
    <row r="1270" spans="1:14">
      <c r="A1270" t="s">
        <v>9256</v>
      </c>
      <c r="B1270">
        <v>1482873</v>
      </c>
      <c r="C1270">
        <v>1486322</v>
      </c>
      <c r="E1270" t="s">
        <v>14314</v>
      </c>
      <c r="F1270" t="s">
        <v>15863</v>
      </c>
      <c r="H1270">
        <v>93522736</v>
      </c>
      <c r="I1270" t="s">
        <v>14292</v>
      </c>
      <c r="L1270" t="s">
        <v>17788</v>
      </c>
      <c r="M1270">
        <v>1149</v>
      </c>
      <c r="N1270" t="s">
        <v>17789</v>
      </c>
    </row>
    <row r="1271" spans="1:14">
      <c r="A1271" t="s">
        <v>9256</v>
      </c>
      <c r="B1271">
        <v>1487131</v>
      </c>
      <c r="C1271">
        <v>1488018</v>
      </c>
      <c r="E1271" t="s">
        <v>14290</v>
      </c>
      <c r="F1271" t="s">
        <v>17522</v>
      </c>
      <c r="H1271">
        <v>93522737</v>
      </c>
      <c r="I1271" t="s">
        <v>14292</v>
      </c>
      <c r="L1271" t="s">
        <v>17790</v>
      </c>
      <c r="M1271">
        <v>295</v>
      </c>
      <c r="N1271" t="s">
        <v>17791</v>
      </c>
    </row>
    <row r="1272" spans="1:14">
      <c r="A1272" t="s">
        <v>9256</v>
      </c>
      <c r="B1272">
        <v>1488108</v>
      </c>
      <c r="C1272">
        <v>1490174</v>
      </c>
      <c r="E1272" t="s">
        <v>14314</v>
      </c>
      <c r="F1272" t="s">
        <v>17792</v>
      </c>
      <c r="H1272">
        <v>93522738</v>
      </c>
      <c r="I1272" t="s">
        <v>14292</v>
      </c>
      <c r="L1272" t="s">
        <v>17793</v>
      </c>
      <c r="M1272">
        <v>688</v>
      </c>
      <c r="N1272" t="s">
        <v>17794</v>
      </c>
    </row>
    <row r="1273" spans="1:14">
      <c r="A1273" t="s">
        <v>9256</v>
      </c>
      <c r="B1273">
        <v>1490268</v>
      </c>
      <c r="C1273">
        <v>1493498</v>
      </c>
      <c r="E1273" t="s">
        <v>14290</v>
      </c>
      <c r="F1273" t="s">
        <v>17779</v>
      </c>
      <c r="H1273">
        <v>93522739</v>
      </c>
      <c r="I1273" t="s">
        <v>14292</v>
      </c>
      <c r="L1273" t="s">
        <v>17795</v>
      </c>
      <c r="M1273">
        <v>1076</v>
      </c>
      <c r="N1273" t="s">
        <v>17796</v>
      </c>
    </row>
    <row r="1274" spans="1:14">
      <c r="A1274" t="s">
        <v>9256</v>
      </c>
      <c r="B1274">
        <v>1493738</v>
      </c>
      <c r="C1274">
        <v>1494364</v>
      </c>
      <c r="E1274" t="s">
        <v>14314</v>
      </c>
      <c r="F1274" t="s">
        <v>17785</v>
      </c>
      <c r="H1274">
        <v>93522740</v>
      </c>
      <c r="I1274" t="s">
        <v>14292</v>
      </c>
      <c r="L1274" t="s">
        <v>17797</v>
      </c>
      <c r="M1274">
        <v>208</v>
      </c>
      <c r="N1274" t="s">
        <v>17798</v>
      </c>
    </row>
    <row r="1275" spans="1:14">
      <c r="A1275" t="s">
        <v>9256</v>
      </c>
      <c r="B1275">
        <v>1494361</v>
      </c>
      <c r="C1275">
        <v>1494639</v>
      </c>
      <c r="E1275" t="s">
        <v>14314</v>
      </c>
      <c r="F1275" t="s">
        <v>17782</v>
      </c>
      <c r="H1275">
        <v>93522741</v>
      </c>
      <c r="I1275" t="s">
        <v>14292</v>
      </c>
      <c r="L1275" t="s">
        <v>17799</v>
      </c>
      <c r="M1275">
        <v>92</v>
      </c>
      <c r="N1275" t="s">
        <v>17800</v>
      </c>
    </row>
    <row r="1276" spans="1:14">
      <c r="A1276" t="s">
        <v>9256</v>
      </c>
      <c r="B1276">
        <v>1494694</v>
      </c>
      <c r="C1276">
        <v>1495356</v>
      </c>
      <c r="E1276" t="s">
        <v>14314</v>
      </c>
      <c r="F1276" t="s">
        <v>14291</v>
      </c>
      <c r="H1276">
        <v>93522742</v>
      </c>
      <c r="I1276" t="s">
        <v>14292</v>
      </c>
      <c r="L1276" t="s">
        <v>17801</v>
      </c>
      <c r="M1276">
        <v>220</v>
      </c>
      <c r="N1276" t="s">
        <v>17802</v>
      </c>
    </row>
    <row r="1277" spans="1:14">
      <c r="A1277" t="s">
        <v>9256</v>
      </c>
      <c r="B1277">
        <v>1495375</v>
      </c>
      <c r="C1277">
        <v>1495632</v>
      </c>
      <c r="E1277" t="s">
        <v>14314</v>
      </c>
      <c r="F1277" t="s">
        <v>15442</v>
      </c>
      <c r="H1277">
        <v>93522743</v>
      </c>
      <c r="I1277" t="s">
        <v>14292</v>
      </c>
      <c r="L1277" t="s">
        <v>17803</v>
      </c>
      <c r="M1277">
        <v>85</v>
      </c>
      <c r="N1277" t="s">
        <v>17804</v>
      </c>
    </row>
    <row r="1278" spans="1:14">
      <c r="A1278" t="s">
        <v>9256</v>
      </c>
      <c r="B1278">
        <v>1495772</v>
      </c>
      <c r="C1278">
        <v>1498030</v>
      </c>
      <c r="E1278" t="s">
        <v>14290</v>
      </c>
      <c r="F1278" t="s">
        <v>14780</v>
      </c>
      <c r="H1278">
        <v>93522744</v>
      </c>
      <c r="I1278" t="s">
        <v>14292</v>
      </c>
      <c r="L1278" t="s">
        <v>17805</v>
      </c>
      <c r="M1278">
        <v>752</v>
      </c>
      <c r="N1278" t="s">
        <v>17806</v>
      </c>
    </row>
    <row r="1279" spans="1:14">
      <c r="A1279" t="s">
        <v>9256</v>
      </c>
      <c r="B1279">
        <v>1498125</v>
      </c>
      <c r="C1279">
        <v>1498445</v>
      </c>
      <c r="E1279" t="s">
        <v>14290</v>
      </c>
      <c r="F1279" t="s">
        <v>17807</v>
      </c>
      <c r="H1279">
        <v>93522745</v>
      </c>
      <c r="I1279" t="s">
        <v>14292</v>
      </c>
      <c r="L1279" t="s">
        <v>17808</v>
      </c>
      <c r="M1279">
        <v>106</v>
      </c>
      <c r="N1279" t="s">
        <v>17809</v>
      </c>
    </row>
    <row r="1280" spans="1:14">
      <c r="A1280" t="s">
        <v>9256</v>
      </c>
      <c r="B1280">
        <v>1498454</v>
      </c>
      <c r="C1280">
        <v>1499137</v>
      </c>
      <c r="E1280" t="s">
        <v>14290</v>
      </c>
      <c r="F1280" t="s">
        <v>17810</v>
      </c>
      <c r="H1280">
        <v>93522746</v>
      </c>
      <c r="I1280" t="s">
        <v>14292</v>
      </c>
      <c r="L1280" t="s">
        <v>17811</v>
      </c>
      <c r="M1280">
        <v>227</v>
      </c>
      <c r="N1280" t="s">
        <v>17812</v>
      </c>
    </row>
    <row r="1281" spans="1:14">
      <c r="A1281" t="s">
        <v>9256</v>
      </c>
      <c r="B1281">
        <v>1499203</v>
      </c>
      <c r="C1281">
        <v>1499313</v>
      </c>
      <c r="E1281" t="s">
        <v>14314</v>
      </c>
      <c r="F1281" t="s">
        <v>16989</v>
      </c>
      <c r="G1281" t="s">
        <v>16990</v>
      </c>
      <c r="H1281">
        <v>93522747</v>
      </c>
      <c r="I1281" t="s">
        <v>16991</v>
      </c>
      <c r="N1281" t="s">
        <v>17813</v>
      </c>
    </row>
    <row r="1282" spans="1:14">
      <c r="A1282" t="s">
        <v>9256</v>
      </c>
      <c r="B1282">
        <v>1499397</v>
      </c>
      <c r="C1282">
        <v>1502273</v>
      </c>
      <c r="E1282" t="s">
        <v>14314</v>
      </c>
      <c r="F1282" t="s">
        <v>16993</v>
      </c>
      <c r="H1282">
        <v>93522748</v>
      </c>
      <c r="I1282" t="s">
        <v>16991</v>
      </c>
      <c r="N1282" t="s">
        <v>17814</v>
      </c>
    </row>
    <row r="1283" spans="1:14">
      <c r="A1283" t="s">
        <v>9256</v>
      </c>
      <c r="B1283">
        <v>1502379</v>
      </c>
      <c r="C1283">
        <v>1502452</v>
      </c>
      <c r="E1283" t="s">
        <v>14314</v>
      </c>
      <c r="F1283" t="s">
        <v>16995</v>
      </c>
      <c r="H1283">
        <v>93522749</v>
      </c>
      <c r="I1283" t="s">
        <v>13638</v>
      </c>
      <c r="N1283" t="s">
        <v>17815</v>
      </c>
    </row>
    <row r="1284" spans="1:14">
      <c r="A1284" t="s">
        <v>9256</v>
      </c>
      <c r="B1284">
        <v>1502463</v>
      </c>
      <c r="C1284">
        <v>1502536</v>
      </c>
      <c r="E1284" t="s">
        <v>14314</v>
      </c>
      <c r="F1284" t="s">
        <v>16997</v>
      </c>
      <c r="H1284">
        <v>93522750</v>
      </c>
      <c r="I1284" t="s">
        <v>13638</v>
      </c>
      <c r="N1284" t="s">
        <v>17816</v>
      </c>
    </row>
    <row r="1285" spans="1:14">
      <c r="A1285" t="s">
        <v>9256</v>
      </c>
      <c r="B1285">
        <v>1502687</v>
      </c>
      <c r="C1285">
        <v>1504211</v>
      </c>
      <c r="E1285" t="s">
        <v>14314</v>
      </c>
      <c r="F1285" t="s">
        <v>16999</v>
      </c>
      <c r="H1285">
        <v>93522751</v>
      </c>
      <c r="I1285" t="s">
        <v>16991</v>
      </c>
      <c r="N1285" t="s">
        <v>17817</v>
      </c>
    </row>
    <row r="1286" spans="1:14">
      <c r="A1286" t="s">
        <v>9256</v>
      </c>
      <c r="B1286">
        <v>1504982</v>
      </c>
      <c r="C1286">
        <v>1507042</v>
      </c>
      <c r="E1286" t="s">
        <v>14290</v>
      </c>
      <c r="F1286" t="s">
        <v>17818</v>
      </c>
      <c r="H1286">
        <v>93522752</v>
      </c>
      <c r="I1286" t="s">
        <v>14292</v>
      </c>
      <c r="L1286" t="s">
        <v>17819</v>
      </c>
      <c r="M1286">
        <v>686</v>
      </c>
      <c r="N1286" t="s">
        <v>17820</v>
      </c>
    </row>
    <row r="1287" spans="1:14">
      <c r="A1287" t="s">
        <v>9256</v>
      </c>
      <c r="B1287">
        <v>1507128</v>
      </c>
      <c r="C1287">
        <v>1509959</v>
      </c>
      <c r="E1287" t="s">
        <v>14314</v>
      </c>
      <c r="F1287" t="s">
        <v>14870</v>
      </c>
      <c r="H1287">
        <v>93522753</v>
      </c>
      <c r="I1287" t="s">
        <v>14292</v>
      </c>
      <c r="L1287" t="s">
        <v>17821</v>
      </c>
      <c r="M1287">
        <v>943</v>
      </c>
      <c r="N1287" t="s">
        <v>17822</v>
      </c>
    </row>
    <row r="1288" spans="1:14">
      <c r="A1288" t="s">
        <v>9256</v>
      </c>
      <c r="B1288">
        <v>1510231</v>
      </c>
      <c r="C1288">
        <v>1511205</v>
      </c>
      <c r="E1288" t="s">
        <v>14314</v>
      </c>
      <c r="F1288" t="s">
        <v>14985</v>
      </c>
      <c r="H1288">
        <v>93522754</v>
      </c>
      <c r="I1288" t="s">
        <v>14292</v>
      </c>
      <c r="L1288" t="s">
        <v>17823</v>
      </c>
      <c r="M1288">
        <v>324</v>
      </c>
      <c r="N1288" t="s">
        <v>17824</v>
      </c>
    </row>
    <row r="1289" spans="1:14">
      <c r="A1289" t="s">
        <v>9256</v>
      </c>
      <c r="B1289">
        <v>1511223</v>
      </c>
      <c r="C1289">
        <v>1512905</v>
      </c>
      <c r="E1289" t="s">
        <v>14314</v>
      </c>
      <c r="F1289" t="s">
        <v>17825</v>
      </c>
      <c r="H1289">
        <v>93522755</v>
      </c>
      <c r="I1289" t="s">
        <v>14292</v>
      </c>
      <c r="L1289" t="s">
        <v>17826</v>
      </c>
      <c r="M1289">
        <v>560</v>
      </c>
      <c r="N1289" t="s">
        <v>17827</v>
      </c>
    </row>
    <row r="1290" spans="1:14">
      <c r="A1290" t="s">
        <v>9256</v>
      </c>
      <c r="B1290">
        <v>1512919</v>
      </c>
      <c r="C1290">
        <v>1514490</v>
      </c>
      <c r="E1290" t="s">
        <v>14314</v>
      </c>
      <c r="F1290" t="s">
        <v>15179</v>
      </c>
      <c r="H1290">
        <v>93522756</v>
      </c>
      <c r="I1290" t="s">
        <v>14292</v>
      </c>
      <c r="L1290" t="s">
        <v>17828</v>
      </c>
      <c r="M1290">
        <v>523</v>
      </c>
      <c r="N1290" t="s">
        <v>17829</v>
      </c>
    </row>
    <row r="1291" spans="1:14">
      <c r="A1291" t="s">
        <v>9256</v>
      </c>
      <c r="B1291">
        <v>1514515</v>
      </c>
      <c r="C1291">
        <v>1517478</v>
      </c>
      <c r="E1291" t="s">
        <v>14314</v>
      </c>
      <c r="F1291" t="s">
        <v>14965</v>
      </c>
      <c r="H1291">
        <v>93522757</v>
      </c>
      <c r="I1291" t="s">
        <v>14292</v>
      </c>
      <c r="L1291" t="s">
        <v>17830</v>
      </c>
      <c r="M1291">
        <v>987</v>
      </c>
      <c r="N1291" t="s">
        <v>17831</v>
      </c>
    </row>
    <row r="1292" spans="1:14">
      <c r="A1292" t="s">
        <v>9256</v>
      </c>
      <c r="B1292">
        <v>1517621</v>
      </c>
      <c r="C1292">
        <v>1518961</v>
      </c>
      <c r="E1292" t="s">
        <v>14314</v>
      </c>
      <c r="F1292" t="s">
        <v>15339</v>
      </c>
      <c r="H1292">
        <v>93522758</v>
      </c>
      <c r="I1292" t="s">
        <v>14292</v>
      </c>
      <c r="L1292" t="s">
        <v>17832</v>
      </c>
      <c r="M1292">
        <v>446</v>
      </c>
      <c r="N1292" t="s">
        <v>17833</v>
      </c>
    </row>
    <row r="1293" spans="1:14">
      <c r="A1293" t="s">
        <v>9256</v>
      </c>
      <c r="B1293">
        <v>1518988</v>
      </c>
      <c r="C1293">
        <v>1519755</v>
      </c>
      <c r="E1293" t="s">
        <v>14314</v>
      </c>
      <c r="F1293" t="s">
        <v>15435</v>
      </c>
      <c r="H1293">
        <v>93522759</v>
      </c>
      <c r="I1293" t="s">
        <v>14292</v>
      </c>
      <c r="L1293" t="s">
        <v>17834</v>
      </c>
      <c r="M1293">
        <v>255</v>
      </c>
      <c r="N1293" t="s">
        <v>17835</v>
      </c>
    </row>
    <row r="1294" spans="1:14">
      <c r="A1294" t="s">
        <v>9256</v>
      </c>
      <c r="B1294">
        <v>1519921</v>
      </c>
      <c r="C1294">
        <v>1521009</v>
      </c>
      <c r="E1294" t="s">
        <v>14314</v>
      </c>
      <c r="F1294" t="s">
        <v>15836</v>
      </c>
      <c r="H1294">
        <v>93522760</v>
      </c>
      <c r="I1294" t="s">
        <v>14292</v>
      </c>
      <c r="L1294" t="s">
        <v>17836</v>
      </c>
      <c r="M1294">
        <v>362</v>
      </c>
      <c r="N1294" t="s">
        <v>17837</v>
      </c>
    </row>
    <row r="1295" spans="1:14">
      <c r="A1295" t="s">
        <v>9256</v>
      </c>
      <c r="B1295">
        <v>1521267</v>
      </c>
      <c r="C1295">
        <v>1525214</v>
      </c>
      <c r="E1295" t="s">
        <v>14290</v>
      </c>
      <c r="F1295" t="s">
        <v>17838</v>
      </c>
      <c r="H1295">
        <v>93522761</v>
      </c>
      <c r="I1295" t="s">
        <v>14292</v>
      </c>
      <c r="L1295" t="s">
        <v>17839</v>
      </c>
      <c r="M1295">
        <v>1315</v>
      </c>
      <c r="N1295" t="s">
        <v>17840</v>
      </c>
    </row>
    <row r="1296" spans="1:14">
      <c r="A1296" t="s">
        <v>9256</v>
      </c>
      <c r="B1296">
        <v>1525219</v>
      </c>
      <c r="C1296">
        <v>1526061</v>
      </c>
      <c r="E1296" t="s">
        <v>14314</v>
      </c>
      <c r="F1296" t="s">
        <v>14498</v>
      </c>
      <c r="H1296">
        <v>93522762</v>
      </c>
      <c r="I1296" t="s">
        <v>14292</v>
      </c>
      <c r="L1296" t="s">
        <v>17841</v>
      </c>
      <c r="M1296">
        <v>280</v>
      </c>
      <c r="N1296" t="s">
        <v>17842</v>
      </c>
    </row>
    <row r="1297" spans="1:14">
      <c r="A1297" t="s">
        <v>9256</v>
      </c>
      <c r="B1297">
        <v>1526241</v>
      </c>
      <c r="C1297">
        <v>1527386</v>
      </c>
      <c r="E1297" t="s">
        <v>14290</v>
      </c>
      <c r="F1297" t="s">
        <v>17843</v>
      </c>
      <c r="H1297">
        <v>93522763</v>
      </c>
      <c r="I1297" t="s">
        <v>14292</v>
      </c>
      <c r="L1297" t="s">
        <v>17844</v>
      </c>
      <c r="M1297">
        <v>381</v>
      </c>
      <c r="N1297" t="s">
        <v>17845</v>
      </c>
    </row>
    <row r="1298" spans="1:14">
      <c r="A1298" t="s">
        <v>9256</v>
      </c>
      <c r="B1298">
        <v>1527496</v>
      </c>
      <c r="C1298">
        <v>1527569</v>
      </c>
      <c r="E1298" t="s">
        <v>14314</v>
      </c>
      <c r="F1298" t="s">
        <v>16997</v>
      </c>
      <c r="H1298">
        <v>93522764</v>
      </c>
      <c r="I1298" t="s">
        <v>13638</v>
      </c>
      <c r="N1298" t="s">
        <v>17846</v>
      </c>
    </row>
    <row r="1299" spans="1:14">
      <c r="A1299" t="s">
        <v>9256</v>
      </c>
      <c r="B1299">
        <v>1527647</v>
      </c>
      <c r="C1299">
        <v>1528772</v>
      </c>
      <c r="E1299" t="s">
        <v>14314</v>
      </c>
      <c r="F1299" t="s">
        <v>17847</v>
      </c>
      <c r="G1299" t="s">
        <v>17848</v>
      </c>
      <c r="H1299">
        <v>93522765</v>
      </c>
      <c r="I1299" t="s">
        <v>14292</v>
      </c>
      <c r="L1299" t="s">
        <v>17849</v>
      </c>
      <c r="M1299">
        <v>374</v>
      </c>
      <c r="N1299" t="s">
        <v>17850</v>
      </c>
    </row>
    <row r="1300" spans="1:14">
      <c r="A1300" t="s">
        <v>9256</v>
      </c>
      <c r="B1300">
        <v>1528835</v>
      </c>
      <c r="C1300">
        <v>1530640</v>
      </c>
      <c r="E1300" t="s">
        <v>14314</v>
      </c>
      <c r="F1300" t="s">
        <v>14928</v>
      </c>
      <c r="H1300">
        <v>93522766</v>
      </c>
      <c r="I1300" t="s">
        <v>14292</v>
      </c>
      <c r="L1300" t="s">
        <v>17851</v>
      </c>
      <c r="M1300">
        <v>601</v>
      </c>
      <c r="N1300" t="s">
        <v>17852</v>
      </c>
    </row>
    <row r="1301" spans="1:14">
      <c r="A1301" t="s">
        <v>9256</v>
      </c>
      <c r="B1301">
        <v>1530828</v>
      </c>
      <c r="C1301">
        <v>1531154</v>
      </c>
      <c r="E1301" t="s">
        <v>14290</v>
      </c>
      <c r="F1301" t="s">
        <v>17853</v>
      </c>
      <c r="H1301">
        <v>93522767</v>
      </c>
      <c r="I1301" t="s">
        <v>14292</v>
      </c>
      <c r="L1301" t="s">
        <v>17854</v>
      </c>
      <c r="M1301">
        <v>108</v>
      </c>
      <c r="N1301" t="s">
        <v>17855</v>
      </c>
    </row>
    <row r="1302" spans="1:14">
      <c r="A1302" t="s">
        <v>9256</v>
      </c>
      <c r="B1302">
        <v>1531167</v>
      </c>
      <c r="C1302">
        <v>1532279</v>
      </c>
      <c r="E1302" t="s">
        <v>14290</v>
      </c>
      <c r="F1302" t="s">
        <v>17856</v>
      </c>
      <c r="H1302">
        <v>93522768</v>
      </c>
      <c r="I1302" t="s">
        <v>14292</v>
      </c>
      <c r="L1302" t="s">
        <v>17857</v>
      </c>
      <c r="M1302">
        <v>370</v>
      </c>
      <c r="N1302" t="s">
        <v>17858</v>
      </c>
    </row>
    <row r="1303" spans="1:14">
      <c r="A1303" t="s">
        <v>9256</v>
      </c>
      <c r="B1303">
        <v>1532521</v>
      </c>
      <c r="C1303">
        <v>1532916</v>
      </c>
      <c r="E1303" t="s">
        <v>14314</v>
      </c>
      <c r="F1303" t="s">
        <v>17859</v>
      </c>
      <c r="H1303">
        <v>93522769</v>
      </c>
      <c r="I1303" t="s">
        <v>14292</v>
      </c>
      <c r="L1303" t="s">
        <v>17860</v>
      </c>
      <c r="M1303">
        <v>131</v>
      </c>
      <c r="N1303" t="s">
        <v>17861</v>
      </c>
    </row>
    <row r="1304" spans="1:14">
      <c r="A1304" t="s">
        <v>9256</v>
      </c>
      <c r="B1304">
        <v>1532931</v>
      </c>
      <c r="C1304">
        <v>1533401</v>
      </c>
      <c r="E1304" t="s">
        <v>14314</v>
      </c>
      <c r="F1304" t="s">
        <v>17862</v>
      </c>
      <c r="G1304" t="s">
        <v>17863</v>
      </c>
      <c r="H1304">
        <v>93522770</v>
      </c>
      <c r="I1304" t="s">
        <v>14292</v>
      </c>
      <c r="L1304" t="s">
        <v>17864</v>
      </c>
      <c r="M1304">
        <v>156</v>
      </c>
      <c r="N1304" t="s">
        <v>17865</v>
      </c>
    </row>
    <row r="1305" spans="1:14">
      <c r="A1305" t="s">
        <v>9256</v>
      </c>
      <c r="B1305">
        <v>1533599</v>
      </c>
      <c r="C1305">
        <v>1534756</v>
      </c>
      <c r="E1305" t="s">
        <v>14314</v>
      </c>
      <c r="F1305" t="s">
        <v>17866</v>
      </c>
      <c r="H1305">
        <v>93522771</v>
      </c>
      <c r="I1305" t="s">
        <v>14292</v>
      </c>
      <c r="L1305" t="s">
        <v>17867</v>
      </c>
      <c r="M1305">
        <v>385</v>
      </c>
      <c r="N1305" t="s">
        <v>17868</v>
      </c>
    </row>
    <row r="1306" spans="1:14">
      <c r="A1306" t="s">
        <v>9256</v>
      </c>
      <c r="B1306">
        <v>1534960</v>
      </c>
      <c r="C1306">
        <v>1537209</v>
      </c>
      <c r="E1306" t="s">
        <v>14290</v>
      </c>
      <c r="F1306" t="s">
        <v>17869</v>
      </c>
      <c r="G1306" t="s">
        <v>17870</v>
      </c>
      <c r="H1306">
        <v>93522772</v>
      </c>
      <c r="I1306" t="s">
        <v>14292</v>
      </c>
      <c r="L1306" t="s">
        <v>17871</v>
      </c>
      <c r="M1306">
        <v>749</v>
      </c>
      <c r="N1306" t="s">
        <v>17872</v>
      </c>
    </row>
    <row r="1307" spans="1:14">
      <c r="A1307" t="s">
        <v>9256</v>
      </c>
      <c r="B1307">
        <v>1538300</v>
      </c>
      <c r="C1307">
        <v>1539280</v>
      </c>
      <c r="E1307" t="s">
        <v>14314</v>
      </c>
      <c r="F1307" t="s">
        <v>15696</v>
      </c>
      <c r="H1307">
        <v>93522773</v>
      </c>
      <c r="I1307" t="s">
        <v>14292</v>
      </c>
      <c r="L1307" t="s">
        <v>15697</v>
      </c>
      <c r="M1307">
        <v>326</v>
      </c>
      <c r="N1307" t="s">
        <v>17873</v>
      </c>
    </row>
    <row r="1308" spans="1:14">
      <c r="A1308" t="s">
        <v>9256</v>
      </c>
      <c r="B1308">
        <v>1539430</v>
      </c>
      <c r="C1308">
        <v>1540110</v>
      </c>
      <c r="E1308" t="s">
        <v>14314</v>
      </c>
      <c r="F1308" t="s">
        <v>14291</v>
      </c>
      <c r="H1308">
        <v>93522774</v>
      </c>
      <c r="I1308" t="s">
        <v>14292</v>
      </c>
      <c r="L1308" t="s">
        <v>17874</v>
      </c>
      <c r="M1308">
        <v>226</v>
      </c>
      <c r="N1308" t="s">
        <v>17875</v>
      </c>
    </row>
    <row r="1309" spans="1:14">
      <c r="A1309" t="s">
        <v>9256</v>
      </c>
      <c r="B1309">
        <v>1540130</v>
      </c>
      <c r="C1309">
        <v>1540510</v>
      </c>
      <c r="E1309" t="s">
        <v>14314</v>
      </c>
      <c r="F1309" t="s">
        <v>14291</v>
      </c>
      <c r="H1309">
        <v>93522775</v>
      </c>
      <c r="I1309" t="s">
        <v>14292</v>
      </c>
      <c r="L1309" t="s">
        <v>17876</v>
      </c>
      <c r="M1309">
        <v>126</v>
      </c>
      <c r="N1309" t="s">
        <v>17877</v>
      </c>
    </row>
    <row r="1310" spans="1:14">
      <c r="A1310" t="s">
        <v>9256</v>
      </c>
      <c r="B1310">
        <v>1540521</v>
      </c>
      <c r="C1310">
        <v>1541792</v>
      </c>
      <c r="E1310" t="s">
        <v>14314</v>
      </c>
      <c r="F1310" t="s">
        <v>16307</v>
      </c>
      <c r="H1310">
        <v>93522776</v>
      </c>
      <c r="I1310" t="s">
        <v>14292</v>
      </c>
      <c r="L1310" t="s">
        <v>17878</v>
      </c>
      <c r="M1310">
        <v>423</v>
      </c>
      <c r="N1310" t="s">
        <v>17879</v>
      </c>
    </row>
    <row r="1311" spans="1:14">
      <c r="A1311" t="s">
        <v>9256</v>
      </c>
      <c r="B1311">
        <v>1541919</v>
      </c>
      <c r="C1311">
        <v>1542254</v>
      </c>
      <c r="E1311" t="s">
        <v>14314</v>
      </c>
      <c r="F1311" t="s">
        <v>14291</v>
      </c>
      <c r="H1311">
        <v>93522777</v>
      </c>
      <c r="I1311" t="s">
        <v>14292</v>
      </c>
      <c r="L1311" t="s">
        <v>17880</v>
      </c>
      <c r="M1311">
        <v>111</v>
      </c>
      <c r="N1311" t="s">
        <v>17881</v>
      </c>
    </row>
    <row r="1312" spans="1:14">
      <c r="A1312" t="s">
        <v>9256</v>
      </c>
      <c r="B1312">
        <v>1542193</v>
      </c>
      <c r="C1312">
        <v>1543962</v>
      </c>
      <c r="E1312" t="s">
        <v>14314</v>
      </c>
      <c r="F1312" t="s">
        <v>14805</v>
      </c>
      <c r="H1312">
        <v>93522778</v>
      </c>
      <c r="I1312" t="s">
        <v>14292</v>
      </c>
      <c r="L1312" t="s">
        <v>17882</v>
      </c>
      <c r="M1312">
        <v>589</v>
      </c>
      <c r="N1312" t="s">
        <v>17883</v>
      </c>
    </row>
    <row r="1313" spans="1:14">
      <c r="A1313" t="s">
        <v>9256</v>
      </c>
      <c r="B1313">
        <v>1544207</v>
      </c>
      <c r="C1313">
        <v>1545406</v>
      </c>
      <c r="E1313" t="s">
        <v>14290</v>
      </c>
      <c r="F1313" t="s">
        <v>14870</v>
      </c>
      <c r="H1313">
        <v>93522779</v>
      </c>
      <c r="I1313" t="s">
        <v>14292</v>
      </c>
      <c r="L1313" t="s">
        <v>17884</v>
      </c>
      <c r="M1313">
        <v>399</v>
      </c>
      <c r="N1313" t="s">
        <v>17885</v>
      </c>
    </row>
    <row r="1314" spans="1:14">
      <c r="A1314" t="s">
        <v>9256</v>
      </c>
      <c r="B1314">
        <v>1545497</v>
      </c>
      <c r="C1314">
        <v>1547125</v>
      </c>
      <c r="E1314" t="s">
        <v>14314</v>
      </c>
      <c r="F1314" t="s">
        <v>17886</v>
      </c>
      <c r="H1314">
        <v>93522780</v>
      </c>
      <c r="I1314" t="s">
        <v>14292</v>
      </c>
      <c r="L1314" t="s">
        <v>17887</v>
      </c>
      <c r="M1314">
        <v>542</v>
      </c>
      <c r="N1314" t="s">
        <v>17888</v>
      </c>
    </row>
    <row r="1315" spans="1:14">
      <c r="A1315" t="s">
        <v>9256</v>
      </c>
      <c r="B1315">
        <v>1547251</v>
      </c>
      <c r="C1315">
        <v>1549500</v>
      </c>
      <c r="E1315" t="s">
        <v>14290</v>
      </c>
      <c r="F1315" t="s">
        <v>17889</v>
      </c>
      <c r="H1315">
        <v>93522781</v>
      </c>
      <c r="I1315" t="s">
        <v>14292</v>
      </c>
      <c r="L1315" t="s">
        <v>17890</v>
      </c>
      <c r="M1315">
        <v>749</v>
      </c>
      <c r="N1315" t="s">
        <v>17891</v>
      </c>
    </row>
    <row r="1316" spans="1:14">
      <c r="A1316" t="s">
        <v>9256</v>
      </c>
      <c r="B1316">
        <v>1549766</v>
      </c>
      <c r="C1316">
        <v>1551457</v>
      </c>
      <c r="E1316" t="s">
        <v>14290</v>
      </c>
      <c r="F1316" t="s">
        <v>14291</v>
      </c>
      <c r="H1316">
        <v>93522782</v>
      </c>
      <c r="I1316" t="s">
        <v>14292</v>
      </c>
      <c r="L1316" t="s">
        <v>17892</v>
      </c>
      <c r="M1316">
        <v>563</v>
      </c>
      <c r="N1316" t="s">
        <v>17893</v>
      </c>
    </row>
    <row r="1317" spans="1:14">
      <c r="A1317" t="s">
        <v>9256</v>
      </c>
      <c r="B1317">
        <v>1551666</v>
      </c>
      <c r="C1317">
        <v>1553414</v>
      </c>
      <c r="E1317" t="s">
        <v>14290</v>
      </c>
      <c r="F1317" t="s">
        <v>14861</v>
      </c>
      <c r="H1317">
        <v>93522783</v>
      </c>
      <c r="I1317" t="s">
        <v>14292</v>
      </c>
      <c r="L1317" t="s">
        <v>17894</v>
      </c>
      <c r="M1317">
        <v>582</v>
      </c>
      <c r="N1317" t="s">
        <v>17895</v>
      </c>
    </row>
    <row r="1318" spans="1:14">
      <c r="A1318" t="s">
        <v>9256</v>
      </c>
      <c r="B1318">
        <v>1553517</v>
      </c>
      <c r="C1318">
        <v>1555313</v>
      </c>
      <c r="E1318" t="s">
        <v>14314</v>
      </c>
      <c r="F1318" t="s">
        <v>17896</v>
      </c>
      <c r="G1318" t="s">
        <v>17897</v>
      </c>
      <c r="H1318">
        <v>93522784</v>
      </c>
      <c r="I1318" t="s">
        <v>14292</v>
      </c>
      <c r="L1318" t="s">
        <v>17898</v>
      </c>
      <c r="M1318">
        <v>598</v>
      </c>
      <c r="N1318" t="s">
        <v>17899</v>
      </c>
    </row>
    <row r="1319" spans="1:14">
      <c r="A1319" t="s">
        <v>9256</v>
      </c>
      <c r="B1319">
        <v>1555484</v>
      </c>
      <c r="C1319">
        <v>1555753</v>
      </c>
      <c r="E1319" t="s">
        <v>14290</v>
      </c>
      <c r="F1319" t="s">
        <v>17900</v>
      </c>
      <c r="G1319" t="s">
        <v>17901</v>
      </c>
      <c r="H1319">
        <v>93522785</v>
      </c>
      <c r="I1319" t="s">
        <v>14292</v>
      </c>
      <c r="L1319" t="s">
        <v>17902</v>
      </c>
      <c r="M1319">
        <v>89</v>
      </c>
      <c r="N1319" t="s">
        <v>17903</v>
      </c>
    </row>
    <row r="1320" spans="1:14">
      <c r="A1320" t="s">
        <v>9256</v>
      </c>
      <c r="B1320">
        <v>1555913</v>
      </c>
      <c r="C1320">
        <v>1556494</v>
      </c>
      <c r="E1320" t="s">
        <v>14290</v>
      </c>
      <c r="F1320" t="s">
        <v>14406</v>
      </c>
      <c r="H1320">
        <v>93522786</v>
      </c>
      <c r="I1320" t="s">
        <v>14292</v>
      </c>
      <c r="L1320" t="s">
        <v>17904</v>
      </c>
      <c r="M1320">
        <v>193</v>
      </c>
      <c r="N1320" t="s">
        <v>17905</v>
      </c>
    </row>
    <row r="1321" spans="1:14">
      <c r="A1321" t="s">
        <v>9256</v>
      </c>
      <c r="B1321">
        <v>1556507</v>
      </c>
      <c r="C1321">
        <v>1558156</v>
      </c>
      <c r="E1321" t="s">
        <v>14290</v>
      </c>
      <c r="F1321" t="s">
        <v>16424</v>
      </c>
      <c r="H1321">
        <v>93522787</v>
      </c>
      <c r="I1321" t="s">
        <v>14292</v>
      </c>
      <c r="L1321" t="s">
        <v>17906</v>
      </c>
      <c r="M1321">
        <v>549</v>
      </c>
      <c r="N1321" t="s">
        <v>17907</v>
      </c>
    </row>
    <row r="1322" spans="1:14">
      <c r="A1322" t="s">
        <v>9256</v>
      </c>
      <c r="B1322">
        <v>1558250</v>
      </c>
      <c r="C1322">
        <v>1559068</v>
      </c>
      <c r="E1322" t="s">
        <v>14290</v>
      </c>
      <c r="F1322" t="s">
        <v>14406</v>
      </c>
      <c r="H1322">
        <v>93522788</v>
      </c>
      <c r="I1322" t="s">
        <v>14292</v>
      </c>
      <c r="L1322" t="s">
        <v>17908</v>
      </c>
      <c r="M1322">
        <v>272</v>
      </c>
      <c r="N1322" t="s">
        <v>17909</v>
      </c>
    </row>
    <row r="1323" spans="1:14">
      <c r="A1323" t="s">
        <v>9256</v>
      </c>
      <c r="B1323">
        <v>1559181</v>
      </c>
      <c r="C1323">
        <v>1559936</v>
      </c>
      <c r="E1323" t="s">
        <v>14290</v>
      </c>
      <c r="F1323" t="s">
        <v>17910</v>
      </c>
      <c r="H1323">
        <v>93522789</v>
      </c>
      <c r="I1323" t="s">
        <v>14292</v>
      </c>
      <c r="L1323" t="s">
        <v>17911</v>
      </c>
      <c r="M1323">
        <v>251</v>
      </c>
      <c r="N1323" t="s">
        <v>17912</v>
      </c>
    </row>
    <row r="1324" spans="1:14">
      <c r="A1324" t="s">
        <v>9256</v>
      </c>
      <c r="B1324">
        <v>1560168</v>
      </c>
      <c r="C1324">
        <v>1561586</v>
      </c>
      <c r="E1324" t="s">
        <v>14290</v>
      </c>
      <c r="F1324" t="s">
        <v>17913</v>
      </c>
      <c r="G1324" t="s">
        <v>17914</v>
      </c>
      <c r="H1324">
        <v>93522790</v>
      </c>
      <c r="I1324" t="s">
        <v>14292</v>
      </c>
      <c r="L1324" t="s">
        <v>17915</v>
      </c>
      <c r="M1324">
        <v>472</v>
      </c>
      <c r="N1324" t="s">
        <v>17916</v>
      </c>
    </row>
    <row r="1325" spans="1:14">
      <c r="A1325" t="s">
        <v>9256</v>
      </c>
      <c r="B1325">
        <v>1561689</v>
      </c>
      <c r="C1325">
        <v>1562816</v>
      </c>
      <c r="E1325" t="s">
        <v>14290</v>
      </c>
      <c r="F1325" t="s">
        <v>14364</v>
      </c>
      <c r="H1325">
        <v>93522791</v>
      </c>
      <c r="I1325" t="s">
        <v>14292</v>
      </c>
      <c r="L1325" t="s">
        <v>17917</v>
      </c>
      <c r="M1325">
        <v>375</v>
      </c>
      <c r="N1325" t="s">
        <v>17918</v>
      </c>
    </row>
    <row r="1326" spans="1:14">
      <c r="A1326" t="s">
        <v>9256</v>
      </c>
      <c r="B1326">
        <v>1562860</v>
      </c>
      <c r="C1326">
        <v>1565364</v>
      </c>
      <c r="E1326" t="s">
        <v>14314</v>
      </c>
      <c r="F1326" t="s">
        <v>17919</v>
      </c>
      <c r="H1326">
        <v>93522792</v>
      </c>
      <c r="I1326" t="s">
        <v>14292</v>
      </c>
      <c r="L1326" t="s">
        <v>17920</v>
      </c>
      <c r="M1326">
        <v>834</v>
      </c>
      <c r="N1326" t="s">
        <v>17921</v>
      </c>
    </row>
    <row r="1327" spans="1:14">
      <c r="A1327" t="s">
        <v>9256</v>
      </c>
      <c r="B1327">
        <v>1565388</v>
      </c>
      <c r="C1327">
        <v>1566149</v>
      </c>
      <c r="E1327" t="s">
        <v>14314</v>
      </c>
      <c r="F1327" t="s">
        <v>14335</v>
      </c>
      <c r="H1327">
        <v>93522793</v>
      </c>
      <c r="I1327" t="s">
        <v>14292</v>
      </c>
      <c r="L1327" t="s">
        <v>17922</v>
      </c>
      <c r="M1327">
        <v>253</v>
      </c>
      <c r="N1327" t="s">
        <v>17923</v>
      </c>
    </row>
    <row r="1328" spans="1:14">
      <c r="A1328" t="s">
        <v>9256</v>
      </c>
      <c r="B1328">
        <v>1566162</v>
      </c>
      <c r="C1328">
        <v>1568024</v>
      </c>
      <c r="E1328" t="s">
        <v>14314</v>
      </c>
      <c r="F1328" t="s">
        <v>17924</v>
      </c>
      <c r="H1328">
        <v>93522794</v>
      </c>
      <c r="I1328" t="s">
        <v>14292</v>
      </c>
      <c r="L1328" t="s">
        <v>17925</v>
      </c>
      <c r="M1328">
        <v>620</v>
      </c>
      <c r="N1328" t="s">
        <v>17926</v>
      </c>
    </row>
    <row r="1329" spans="1:14">
      <c r="A1329" t="s">
        <v>9256</v>
      </c>
      <c r="B1329">
        <v>1568123</v>
      </c>
      <c r="C1329">
        <v>1569385</v>
      </c>
      <c r="E1329" t="s">
        <v>14314</v>
      </c>
      <c r="F1329" t="s">
        <v>14361</v>
      </c>
      <c r="H1329">
        <v>93522795</v>
      </c>
      <c r="I1329" t="s">
        <v>14292</v>
      </c>
      <c r="L1329" t="s">
        <v>17927</v>
      </c>
      <c r="M1329">
        <v>420</v>
      </c>
      <c r="N1329" t="s">
        <v>17928</v>
      </c>
    </row>
    <row r="1330" spans="1:14">
      <c r="A1330" t="s">
        <v>9256</v>
      </c>
      <c r="B1330">
        <v>1569478</v>
      </c>
      <c r="C1330">
        <v>1570266</v>
      </c>
      <c r="E1330" t="s">
        <v>14314</v>
      </c>
      <c r="F1330" t="s">
        <v>17929</v>
      </c>
      <c r="H1330">
        <v>93522796</v>
      </c>
      <c r="I1330" t="s">
        <v>14292</v>
      </c>
      <c r="L1330" t="s">
        <v>17930</v>
      </c>
      <c r="M1330">
        <v>262</v>
      </c>
      <c r="N1330" t="s">
        <v>17931</v>
      </c>
    </row>
    <row r="1331" spans="1:14">
      <c r="A1331" t="s">
        <v>9256</v>
      </c>
      <c r="B1331">
        <v>1570266</v>
      </c>
      <c r="C1331">
        <v>1571129</v>
      </c>
      <c r="E1331" t="s">
        <v>14314</v>
      </c>
      <c r="F1331" t="s">
        <v>14364</v>
      </c>
      <c r="H1331">
        <v>93522797</v>
      </c>
      <c r="I1331" t="s">
        <v>14292</v>
      </c>
      <c r="L1331" t="s">
        <v>17932</v>
      </c>
      <c r="M1331">
        <v>287</v>
      </c>
      <c r="N1331" t="s">
        <v>17933</v>
      </c>
    </row>
    <row r="1332" spans="1:14">
      <c r="A1332" t="s">
        <v>9256</v>
      </c>
      <c r="B1332">
        <v>1571132</v>
      </c>
      <c r="C1332">
        <v>1572259</v>
      </c>
      <c r="E1332" t="s">
        <v>14314</v>
      </c>
      <c r="F1332" t="s">
        <v>14361</v>
      </c>
      <c r="H1332">
        <v>93522798</v>
      </c>
      <c r="I1332" t="s">
        <v>14292</v>
      </c>
      <c r="L1332" t="s">
        <v>17934</v>
      </c>
      <c r="M1332">
        <v>375</v>
      </c>
      <c r="N1332" t="s">
        <v>17935</v>
      </c>
    </row>
    <row r="1333" spans="1:14">
      <c r="A1333" t="s">
        <v>9256</v>
      </c>
      <c r="B1333">
        <v>1572256</v>
      </c>
      <c r="C1333">
        <v>1573173</v>
      </c>
      <c r="E1333" t="s">
        <v>14314</v>
      </c>
      <c r="F1333" t="s">
        <v>14335</v>
      </c>
      <c r="H1333">
        <v>93522799</v>
      </c>
      <c r="I1333" t="s">
        <v>14292</v>
      </c>
      <c r="L1333" t="s">
        <v>17936</v>
      </c>
      <c r="M1333">
        <v>305</v>
      </c>
      <c r="N1333" t="s">
        <v>17937</v>
      </c>
    </row>
    <row r="1334" spans="1:14">
      <c r="A1334" t="s">
        <v>9256</v>
      </c>
      <c r="B1334">
        <v>1573170</v>
      </c>
      <c r="C1334">
        <v>1574207</v>
      </c>
      <c r="E1334" t="s">
        <v>14314</v>
      </c>
      <c r="F1334" t="s">
        <v>14291</v>
      </c>
      <c r="H1334">
        <v>93522800</v>
      </c>
      <c r="I1334" t="s">
        <v>14292</v>
      </c>
      <c r="L1334" t="s">
        <v>17938</v>
      </c>
      <c r="M1334">
        <v>345</v>
      </c>
      <c r="N1334" t="s">
        <v>17939</v>
      </c>
    </row>
    <row r="1335" spans="1:14">
      <c r="A1335" t="s">
        <v>9256</v>
      </c>
      <c r="B1335">
        <v>1574204</v>
      </c>
      <c r="C1335">
        <v>1575289</v>
      </c>
      <c r="E1335" t="s">
        <v>14314</v>
      </c>
      <c r="F1335" t="s">
        <v>14343</v>
      </c>
      <c r="G1335" t="s">
        <v>14344</v>
      </c>
      <c r="H1335">
        <v>93522801</v>
      </c>
      <c r="I1335" t="s">
        <v>14292</v>
      </c>
      <c r="L1335" t="s">
        <v>17940</v>
      </c>
      <c r="M1335">
        <v>361</v>
      </c>
      <c r="N1335" t="s">
        <v>17941</v>
      </c>
    </row>
    <row r="1336" spans="1:14">
      <c r="A1336" t="s">
        <v>9256</v>
      </c>
      <c r="B1336">
        <v>1575294</v>
      </c>
      <c r="C1336">
        <v>1576739</v>
      </c>
      <c r="E1336" t="s">
        <v>14314</v>
      </c>
      <c r="F1336" t="s">
        <v>14326</v>
      </c>
      <c r="H1336">
        <v>93522802</v>
      </c>
      <c r="I1336" t="s">
        <v>14292</v>
      </c>
      <c r="L1336" t="s">
        <v>17942</v>
      </c>
      <c r="M1336">
        <v>481</v>
      </c>
      <c r="N1336" t="s">
        <v>17943</v>
      </c>
    </row>
    <row r="1337" spans="1:14">
      <c r="A1337" t="s">
        <v>9256</v>
      </c>
      <c r="B1337">
        <v>1577079</v>
      </c>
      <c r="C1337">
        <v>1578104</v>
      </c>
      <c r="E1337" t="s">
        <v>14314</v>
      </c>
      <c r="F1337" t="s">
        <v>15836</v>
      </c>
      <c r="H1337">
        <v>93522803</v>
      </c>
      <c r="I1337" t="s">
        <v>14292</v>
      </c>
      <c r="L1337" t="s">
        <v>17944</v>
      </c>
      <c r="M1337">
        <v>341</v>
      </c>
      <c r="N1337" t="s">
        <v>17945</v>
      </c>
    </row>
    <row r="1338" spans="1:14">
      <c r="A1338" t="s">
        <v>9256</v>
      </c>
      <c r="B1338">
        <v>1578277</v>
      </c>
      <c r="C1338">
        <v>1578732</v>
      </c>
      <c r="E1338" t="s">
        <v>14290</v>
      </c>
      <c r="F1338" t="s">
        <v>14414</v>
      </c>
      <c r="H1338">
        <v>93525932</v>
      </c>
      <c r="I1338" t="s">
        <v>14415</v>
      </c>
      <c r="N1338" t="s">
        <v>17946</v>
      </c>
    </row>
    <row r="1339" spans="1:14">
      <c r="A1339" t="s">
        <v>9256</v>
      </c>
      <c r="B1339">
        <v>1578895</v>
      </c>
      <c r="C1339">
        <v>1579227</v>
      </c>
      <c r="E1339" t="s">
        <v>14290</v>
      </c>
      <c r="F1339" t="s">
        <v>16215</v>
      </c>
      <c r="H1339">
        <v>93525933</v>
      </c>
      <c r="I1339" t="s">
        <v>14292</v>
      </c>
      <c r="L1339" t="s">
        <v>17947</v>
      </c>
      <c r="M1339">
        <v>110</v>
      </c>
      <c r="N1339" t="s">
        <v>17948</v>
      </c>
    </row>
    <row r="1340" spans="1:14">
      <c r="A1340" t="s">
        <v>9256</v>
      </c>
      <c r="B1340">
        <v>1579246</v>
      </c>
      <c r="C1340">
        <v>1581789</v>
      </c>
      <c r="E1340" t="s">
        <v>14290</v>
      </c>
      <c r="F1340" t="s">
        <v>14291</v>
      </c>
      <c r="H1340">
        <v>93522804</v>
      </c>
      <c r="I1340" t="s">
        <v>14292</v>
      </c>
      <c r="L1340" t="s">
        <v>17949</v>
      </c>
      <c r="M1340">
        <v>847</v>
      </c>
      <c r="N1340" t="s">
        <v>17950</v>
      </c>
    </row>
    <row r="1341" spans="1:14">
      <c r="A1341" t="s">
        <v>9256</v>
      </c>
      <c r="B1341">
        <v>1581778</v>
      </c>
      <c r="C1341">
        <v>1582911</v>
      </c>
      <c r="E1341" t="s">
        <v>14314</v>
      </c>
      <c r="F1341" t="s">
        <v>17951</v>
      </c>
      <c r="H1341">
        <v>93522805</v>
      </c>
      <c r="I1341" t="s">
        <v>14292</v>
      </c>
      <c r="L1341" t="s">
        <v>17952</v>
      </c>
      <c r="M1341">
        <v>377</v>
      </c>
      <c r="N1341" t="s">
        <v>17953</v>
      </c>
    </row>
    <row r="1342" spans="1:14">
      <c r="A1342" t="s">
        <v>9256</v>
      </c>
      <c r="B1342">
        <v>1583007</v>
      </c>
      <c r="C1342">
        <v>1585046</v>
      </c>
      <c r="E1342" t="s">
        <v>14314</v>
      </c>
      <c r="F1342" t="s">
        <v>17954</v>
      </c>
      <c r="G1342" t="s">
        <v>17955</v>
      </c>
      <c r="H1342">
        <v>93522806</v>
      </c>
      <c r="I1342" t="s">
        <v>14292</v>
      </c>
      <c r="L1342" t="s">
        <v>17956</v>
      </c>
      <c r="M1342">
        <v>679</v>
      </c>
      <c r="N1342" t="s">
        <v>17957</v>
      </c>
    </row>
    <row r="1343" spans="1:14">
      <c r="A1343" t="s">
        <v>9256</v>
      </c>
      <c r="B1343">
        <v>1585205</v>
      </c>
      <c r="C1343">
        <v>1585342</v>
      </c>
      <c r="E1343" t="s">
        <v>14290</v>
      </c>
      <c r="F1343" t="s">
        <v>16913</v>
      </c>
      <c r="H1343">
        <v>301046719</v>
      </c>
      <c r="I1343" t="s">
        <v>14292</v>
      </c>
      <c r="L1343" t="s">
        <v>17958</v>
      </c>
      <c r="M1343">
        <v>45</v>
      </c>
      <c r="N1343" t="s">
        <v>17959</v>
      </c>
    </row>
    <row r="1344" spans="1:14">
      <c r="A1344" t="s">
        <v>9256</v>
      </c>
      <c r="B1344">
        <v>1586107</v>
      </c>
      <c r="C1344">
        <v>1586796</v>
      </c>
      <c r="E1344" t="s">
        <v>14314</v>
      </c>
      <c r="F1344" t="s">
        <v>17960</v>
      </c>
      <c r="H1344">
        <v>93522807</v>
      </c>
      <c r="I1344" t="s">
        <v>14292</v>
      </c>
      <c r="L1344" t="s">
        <v>17961</v>
      </c>
      <c r="M1344">
        <v>229</v>
      </c>
      <c r="N1344" t="s">
        <v>17962</v>
      </c>
    </row>
    <row r="1345" spans="1:14">
      <c r="A1345" t="s">
        <v>9256</v>
      </c>
      <c r="B1345">
        <v>1586809</v>
      </c>
      <c r="C1345">
        <v>1588896</v>
      </c>
      <c r="E1345" t="s">
        <v>14314</v>
      </c>
      <c r="F1345" t="s">
        <v>17960</v>
      </c>
      <c r="H1345">
        <v>93522808</v>
      </c>
      <c r="I1345" t="s">
        <v>14292</v>
      </c>
      <c r="L1345" t="s">
        <v>17963</v>
      </c>
      <c r="M1345">
        <v>695</v>
      </c>
      <c r="N1345" t="s">
        <v>17964</v>
      </c>
    </row>
    <row r="1346" spans="1:14">
      <c r="A1346" t="s">
        <v>9256</v>
      </c>
      <c r="B1346">
        <v>1588901</v>
      </c>
      <c r="C1346">
        <v>1590607</v>
      </c>
      <c r="E1346" t="s">
        <v>14314</v>
      </c>
      <c r="F1346" t="s">
        <v>14520</v>
      </c>
      <c r="H1346">
        <v>93522809</v>
      </c>
      <c r="I1346" t="s">
        <v>14292</v>
      </c>
      <c r="L1346" t="s">
        <v>17965</v>
      </c>
      <c r="M1346">
        <v>568</v>
      </c>
      <c r="N1346" t="s">
        <v>17966</v>
      </c>
    </row>
    <row r="1347" spans="1:14">
      <c r="A1347" t="s">
        <v>9256</v>
      </c>
      <c r="B1347">
        <v>1590614</v>
      </c>
      <c r="C1347">
        <v>1591363</v>
      </c>
      <c r="E1347" t="s">
        <v>14314</v>
      </c>
      <c r="F1347" t="s">
        <v>14291</v>
      </c>
      <c r="H1347">
        <v>93522810</v>
      </c>
      <c r="I1347" t="s">
        <v>14292</v>
      </c>
      <c r="L1347" t="s">
        <v>17967</v>
      </c>
      <c r="M1347">
        <v>249</v>
      </c>
      <c r="N1347" t="s">
        <v>17968</v>
      </c>
    </row>
    <row r="1348" spans="1:14">
      <c r="A1348" t="s">
        <v>9256</v>
      </c>
      <c r="B1348">
        <v>1591523</v>
      </c>
      <c r="C1348">
        <v>1593322</v>
      </c>
      <c r="E1348" t="s">
        <v>14314</v>
      </c>
      <c r="F1348" t="s">
        <v>17960</v>
      </c>
      <c r="H1348">
        <v>93522811</v>
      </c>
      <c r="I1348" t="s">
        <v>14292</v>
      </c>
      <c r="L1348" t="s">
        <v>17969</v>
      </c>
      <c r="M1348">
        <v>599</v>
      </c>
      <c r="N1348" t="s">
        <v>17970</v>
      </c>
    </row>
    <row r="1349" spans="1:14">
      <c r="A1349" t="s">
        <v>9256</v>
      </c>
      <c r="B1349">
        <v>1593324</v>
      </c>
      <c r="C1349">
        <v>1594610</v>
      </c>
      <c r="E1349" t="s">
        <v>14314</v>
      </c>
      <c r="F1349" t="s">
        <v>17960</v>
      </c>
      <c r="H1349">
        <v>93522812</v>
      </c>
      <c r="I1349" t="s">
        <v>14292</v>
      </c>
      <c r="L1349" t="s">
        <v>17971</v>
      </c>
      <c r="M1349">
        <v>428</v>
      </c>
      <c r="N1349" t="s">
        <v>17972</v>
      </c>
    </row>
    <row r="1350" spans="1:14">
      <c r="A1350" t="s">
        <v>9256</v>
      </c>
      <c r="B1350">
        <v>1594644</v>
      </c>
      <c r="C1350">
        <v>1595426</v>
      </c>
      <c r="E1350" t="s">
        <v>14314</v>
      </c>
      <c r="F1350" t="s">
        <v>17960</v>
      </c>
      <c r="H1350">
        <v>93522813</v>
      </c>
      <c r="I1350" t="s">
        <v>14292</v>
      </c>
      <c r="L1350" t="s">
        <v>17973</v>
      </c>
      <c r="M1350">
        <v>260</v>
      </c>
      <c r="N1350" t="s">
        <v>17974</v>
      </c>
    </row>
    <row r="1351" spans="1:14">
      <c r="A1351" t="s">
        <v>9256</v>
      </c>
      <c r="B1351">
        <v>1596389</v>
      </c>
      <c r="C1351">
        <v>1597237</v>
      </c>
      <c r="E1351" t="s">
        <v>14290</v>
      </c>
      <c r="F1351" t="s">
        <v>14406</v>
      </c>
      <c r="H1351">
        <v>93522814</v>
      </c>
      <c r="I1351" t="s">
        <v>14292</v>
      </c>
      <c r="L1351" t="s">
        <v>17975</v>
      </c>
      <c r="M1351">
        <v>282</v>
      </c>
      <c r="N1351" t="s">
        <v>17976</v>
      </c>
    </row>
    <row r="1352" spans="1:14">
      <c r="A1352" t="s">
        <v>9256</v>
      </c>
      <c r="B1352">
        <v>1597341</v>
      </c>
      <c r="C1352">
        <v>1597547</v>
      </c>
      <c r="E1352" t="s">
        <v>14314</v>
      </c>
      <c r="F1352" t="s">
        <v>16913</v>
      </c>
      <c r="H1352">
        <v>93522815</v>
      </c>
      <c r="I1352" t="s">
        <v>14292</v>
      </c>
      <c r="L1352" t="s">
        <v>17977</v>
      </c>
      <c r="M1352">
        <v>68</v>
      </c>
      <c r="N1352" t="s">
        <v>17978</v>
      </c>
    </row>
    <row r="1353" spans="1:14">
      <c r="A1353" t="s">
        <v>9256</v>
      </c>
      <c r="B1353">
        <v>1597598</v>
      </c>
      <c r="C1353">
        <v>1599136</v>
      </c>
      <c r="E1353" t="s">
        <v>14314</v>
      </c>
      <c r="F1353" t="s">
        <v>17979</v>
      </c>
      <c r="H1353">
        <v>93522816</v>
      </c>
      <c r="I1353" t="s">
        <v>14292</v>
      </c>
      <c r="L1353" t="s">
        <v>17980</v>
      </c>
      <c r="M1353">
        <v>512</v>
      </c>
      <c r="N1353" t="s">
        <v>17981</v>
      </c>
    </row>
    <row r="1354" spans="1:14">
      <c r="A1354" t="s">
        <v>9256</v>
      </c>
      <c r="B1354">
        <v>1599197</v>
      </c>
      <c r="C1354">
        <v>1600297</v>
      </c>
      <c r="E1354" t="s">
        <v>14314</v>
      </c>
      <c r="F1354" t="s">
        <v>17866</v>
      </c>
      <c r="H1354">
        <v>93522817</v>
      </c>
      <c r="I1354" t="s">
        <v>14292</v>
      </c>
      <c r="L1354" t="s">
        <v>17982</v>
      </c>
      <c r="M1354">
        <v>366</v>
      </c>
      <c r="N1354" t="s">
        <v>17983</v>
      </c>
    </row>
    <row r="1355" spans="1:14">
      <c r="A1355" t="s">
        <v>9256</v>
      </c>
      <c r="B1355">
        <v>1600487</v>
      </c>
      <c r="C1355">
        <v>1602094</v>
      </c>
      <c r="E1355" t="s">
        <v>14314</v>
      </c>
      <c r="F1355" t="s">
        <v>17984</v>
      </c>
      <c r="G1355" t="s">
        <v>17985</v>
      </c>
      <c r="H1355">
        <v>93522818</v>
      </c>
      <c r="I1355" t="s">
        <v>14292</v>
      </c>
      <c r="L1355" t="s">
        <v>17986</v>
      </c>
      <c r="M1355">
        <v>535</v>
      </c>
      <c r="N1355" t="s">
        <v>17987</v>
      </c>
    </row>
    <row r="1356" spans="1:14">
      <c r="A1356" t="s">
        <v>9256</v>
      </c>
      <c r="B1356">
        <v>1602509</v>
      </c>
      <c r="C1356">
        <v>1603525</v>
      </c>
      <c r="E1356" t="s">
        <v>14314</v>
      </c>
      <c r="F1356" t="s">
        <v>17988</v>
      </c>
      <c r="H1356">
        <v>93522819</v>
      </c>
      <c r="I1356" t="s">
        <v>14292</v>
      </c>
      <c r="L1356" t="s">
        <v>17989</v>
      </c>
      <c r="M1356">
        <v>338</v>
      </c>
      <c r="N1356" t="s">
        <v>17990</v>
      </c>
    </row>
    <row r="1357" spans="1:14">
      <c r="A1357" t="s">
        <v>9256</v>
      </c>
      <c r="B1357">
        <v>1603529</v>
      </c>
      <c r="C1357">
        <v>1605382</v>
      </c>
      <c r="E1357" t="s">
        <v>14314</v>
      </c>
      <c r="F1357" t="s">
        <v>17991</v>
      </c>
      <c r="H1357">
        <v>93522820</v>
      </c>
      <c r="I1357" t="s">
        <v>14292</v>
      </c>
      <c r="L1357" t="s">
        <v>17992</v>
      </c>
      <c r="M1357">
        <v>617</v>
      </c>
      <c r="N1357" t="s">
        <v>17993</v>
      </c>
    </row>
    <row r="1358" spans="1:14">
      <c r="A1358" t="s">
        <v>9256</v>
      </c>
      <c r="B1358">
        <v>1605471</v>
      </c>
      <c r="C1358">
        <v>1606682</v>
      </c>
      <c r="E1358" t="s">
        <v>14314</v>
      </c>
      <c r="F1358" t="s">
        <v>17994</v>
      </c>
      <c r="H1358">
        <v>93522821</v>
      </c>
      <c r="I1358" t="s">
        <v>14292</v>
      </c>
      <c r="L1358" t="s">
        <v>17995</v>
      </c>
      <c r="M1358">
        <v>403</v>
      </c>
      <c r="N1358" t="s">
        <v>17996</v>
      </c>
    </row>
    <row r="1359" spans="1:14">
      <c r="A1359" t="s">
        <v>9256</v>
      </c>
      <c r="B1359">
        <v>1606686</v>
      </c>
      <c r="C1359">
        <v>1607207</v>
      </c>
      <c r="E1359" t="s">
        <v>14314</v>
      </c>
      <c r="F1359" t="s">
        <v>17997</v>
      </c>
      <c r="H1359">
        <v>93522822</v>
      </c>
      <c r="I1359" t="s">
        <v>14292</v>
      </c>
      <c r="L1359" t="s">
        <v>17998</v>
      </c>
      <c r="M1359">
        <v>173</v>
      </c>
      <c r="N1359" t="s">
        <v>17999</v>
      </c>
    </row>
    <row r="1360" spans="1:14">
      <c r="A1360" t="s">
        <v>9256</v>
      </c>
      <c r="B1360">
        <v>1607289</v>
      </c>
      <c r="C1360">
        <v>1609349</v>
      </c>
      <c r="E1360" t="s">
        <v>14314</v>
      </c>
      <c r="F1360" t="s">
        <v>14291</v>
      </c>
      <c r="H1360">
        <v>93522823</v>
      </c>
      <c r="I1360" t="s">
        <v>14292</v>
      </c>
      <c r="L1360" t="s">
        <v>18000</v>
      </c>
      <c r="M1360">
        <v>686</v>
      </c>
      <c r="N1360" t="s">
        <v>18001</v>
      </c>
    </row>
    <row r="1361" spans="1:14">
      <c r="A1361" t="s">
        <v>9256</v>
      </c>
      <c r="B1361">
        <v>1609455</v>
      </c>
      <c r="C1361">
        <v>1610636</v>
      </c>
      <c r="E1361" t="s">
        <v>14290</v>
      </c>
      <c r="F1361" t="s">
        <v>18002</v>
      </c>
      <c r="H1361">
        <v>93522824</v>
      </c>
      <c r="I1361" t="s">
        <v>14292</v>
      </c>
      <c r="L1361" t="s">
        <v>18003</v>
      </c>
      <c r="M1361">
        <v>393</v>
      </c>
      <c r="N1361" t="s">
        <v>18004</v>
      </c>
    </row>
    <row r="1362" spans="1:14">
      <c r="A1362" t="s">
        <v>9256</v>
      </c>
      <c r="B1362">
        <v>1610642</v>
      </c>
      <c r="C1362">
        <v>1611358</v>
      </c>
      <c r="E1362" t="s">
        <v>14290</v>
      </c>
      <c r="F1362" t="s">
        <v>14335</v>
      </c>
      <c r="H1362">
        <v>93522825</v>
      </c>
      <c r="I1362" t="s">
        <v>14292</v>
      </c>
      <c r="L1362" t="s">
        <v>18005</v>
      </c>
      <c r="M1362">
        <v>238</v>
      </c>
      <c r="N1362" t="s">
        <v>18006</v>
      </c>
    </row>
    <row r="1363" spans="1:14">
      <c r="A1363" t="s">
        <v>9256</v>
      </c>
      <c r="B1363">
        <v>1611368</v>
      </c>
      <c r="C1363">
        <v>1612165</v>
      </c>
      <c r="E1363" t="s">
        <v>14290</v>
      </c>
      <c r="F1363" t="s">
        <v>18007</v>
      </c>
      <c r="H1363">
        <v>93522826</v>
      </c>
      <c r="I1363" t="s">
        <v>14292</v>
      </c>
      <c r="L1363" t="s">
        <v>18008</v>
      </c>
      <c r="M1363">
        <v>265</v>
      </c>
      <c r="N1363" t="s">
        <v>18009</v>
      </c>
    </row>
    <row r="1364" spans="1:14">
      <c r="A1364" t="s">
        <v>9256</v>
      </c>
      <c r="B1364">
        <v>1612152</v>
      </c>
      <c r="C1364">
        <v>1612787</v>
      </c>
      <c r="E1364" t="s">
        <v>14290</v>
      </c>
      <c r="F1364" t="s">
        <v>18010</v>
      </c>
      <c r="H1364">
        <v>93522827</v>
      </c>
      <c r="I1364" t="s">
        <v>14292</v>
      </c>
      <c r="L1364" t="s">
        <v>18011</v>
      </c>
      <c r="M1364">
        <v>211</v>
      </c>
      <c r="N1364" t="s">
        <v>18012</v>
      </c>
    </row>
    <row r="1365" spans="1:14">
      <c r="A1365" t="s">
        <v>9256</v>
      </c>
      <c r="B1365">
        <v>1612844</v>
      </c>
      <c r="C1365">
        <v>1613977</v>
      </c>
      <c r="E1365" t="s">
        <v>14290</v>
      </c>
      <c r="F1365" t="s">
        <v>14361</v>
      </c>
      <c r="H1365">
        <v>93522828</v>
      </c>
      <c r="I1365" t="s">
        <v>14292</v>
      </c>
      <c r="L1365" t="s">
        <v>18013</v>
      </c>
      <c r="M1365">
        <v>377</v>
      </c>
      <c r="N1365" t="s">
        <v>18014</v>
      </c>
    </row>
    <row r="1366" spans="1:14">
      <c r="A1366" t="s">
        <v>9256</v>
      </c>
      <c r="B1366">
        <v>1614001</v>
      </c>
      <c r="C1366">
        <v>1615065</v>
      </c>
      <c r="E1366" t="s">
        <v>14290</v>
      </c>
      <c r="F1366" t="s">
        <v>14364</v>
      </c>
      <c r="H1366">
        <v>93522829</v>
      </c>
      <c r="I1366" t="s">
        <v>14292</v>
      </c>
      <c r="L1366" t="s">
        <v>18015</v>
      </c>
      <c r="M1366">
        <v>354</v>
      </c>
      <c r="N1366" t="s">
        <v>18016</v>
      </c>
    </row>
    <row r="1367" spans="1:14">
      <c r="A1367" t="s">
        <v>9256</v>
      </c>
      <c r="B1367">
        <v>1615079</v>
      </c>
      <c r="C1367">
        <v>1615942</v>
      </c>
      <c r="E1367" t="s">
        <v>14314</v>
      </c>
      <c r="F1367" t="s">
        <v>14291</v>
      </c>
      <c r="H1367">
        <v>93522830</v>
      </c>
      <c r="I1367" t="s">
        <v>14292</v>
      </c>
      <c r="L1367" t="s">
        <v>18017</v>
      </c>
      <c r="M1367">
        <v>287</v>
      </c>
      <c r="N1367" t="s">
        <v>18018</v>
      </c>
    </row>
    <row r="1368" spans="1:14">
      <c r="A1368" t="s">
        <v>9256</v>
      </c>
      <c r="B1368">
        <v>1615949</v>
      </c>
      <c r="C1368">
        <v>1616683</v>
      </c>
      <c r="E1368" t="s">
        <v>14314</v>
      </c>
      <c r="F1368" t="s">
        <v>18019</v>
      </c>
      <c r="H1368">
        <v>93522831</v>
      </c>
      <c r="I1368" t="s">
        <v>14292</v>
      </c>
      <c r="L1368" t="s">
        <v>18020</v>
      </c>
      <c r="M1368">
        <v>244</v>
      </c>
      <c r="N1368" t="s">
        <v>18021</v>
      </c>
    </row>
    <row r="1369" spans="1:14">
      <c r="A1369" t="s">
        <v>9256</v>
      </c>
      <c r="B1369">
        <v>1616667</v>
      </c>
      <c r="C1369">
        <v>1617722</v>
      </c>
      <c r="E1369" t="s">
        <v>14314</v>
      </c>
      <c r="F1369" t="s">
        <v>18022</v>
      </c>
      <c r="H1369">
        <v>93522832</v>
      </c>
      <c r="I1369" t="s">
        <v>14292</v>
      </c>
      <c r="L1369" t="s">
        <v>18023</v>
      </c>
      <c r="M1369">
        <v>351</v>
      </c>
      <c r="N1369" t="s">
        <v>18024</v>
      </c>
    </row>
    <row r="1370" spans="1:14">
      <c r="A1370" t="s">
        <v>9256</v>
      </c>
      <c r="B1370">
        <v>1617722</v>
      </c>
      <c r="C1370">
        <v>1618327</v>
      </c>
      <c r="E1370" t="s">
        <v>14314</v>
      </c>
      <c r="F1370" t="s">
        <v>18025</v>
      </c>
      <c r="H1370">
        <v>93522833</v>
      </c>
      <c r="I1370" t="s">
        <v>14292</v>
      </c>
      <c r="L1370" t="s">
        <v>18026</v>
      </c>
      <c r="M1370">
        <v>201</v>
      </c>
      <c r="N1370" t="s">
        <v>18027</v>
      </c>
    </row>
    <row r="1371" spans="1:14">
      <c r="A1371" t="s">
        <v>9256</v>
      </c>
      <c r="B1371">
        <v>1618412</v>
      </c>
      <c r="C1371">
        <v>1619095</v>
      </c>
      <c r="E1371" t="s">
        <v>14314</v>
      </c>
      <c r="F1371" t="s">
        <v>14490</v>
      </c>
      <c r="H1371">
        <v>93522834</v>
      </c>
      <c r="I1371" t="s">
        <v>14292</v>
      </c>
      <c r="L1371" t="s">
        <v>18028</v>
      </c>
      <c r="M1371">
        <v>227</v>
      </c>
      <c r="N1371" t="s">
        <v>18029</v>
      </c>
    </row>
    <row r="1372" spans="1:14">
      <c r="A1372" t="s">
        <v>9256</v>
      </c>
      <c r="B1372">
        <v>1619092</v>
      </c>
      <c r="C1372">
        <v>1620507</v>
      </c>
      <c r="E1372" t="s">
        <v>14314</v>
      </c>
      <c r="F1372" t="s">
        <v>14493</v>
      </c>
      <c r="H1372">
        <v>93522835</v>
      </c>
      <c r="I1372" t="s">
        <v>14292</v>
      </c>
      <c r="L1372" t="s">
        <v>18030</v>
      </c>
      <c r="M1372">
        <v>471</v>
      </c>
      <c r="N1372" t="s">
        <v>18031</v>
      </c>
    </row>
    <row r="1373" spans="1:14">
      <c r="A1373" t="s">
        <v>9256</v>
      </c>
      <c r="B1373">
        <v>1620668</v>
      </c>
      <c r="C1373">
        <v>1621546</v>
      </c>
      <c r="E1373" t="s">
        <v>14290</v>
      </c>
      <c r="F1373" t="s">
        <v>18032</v>
      </c>
      <c r="H1373">
        <v>93522836</v>
      </c>
      <c r="I1373" t="s">
        <v>14292</v>
      </c>
      <c r="L1373" t="s">
        <v>18033</v>
      </c>
      <c r="M1373">
        <v>292</v>
      </c>
      <c r="N1373" t="s">
        <v>18034</v>
      </c>
    </row>
    <row r="1374" spans="1:14">
      <c r="A1374" t="s">
        <v>9256</v>
      </c>
      <c r="B1374">
        <v>1621543</v>
      </c>
      <c r="C1374">
        <v>1624068</v>
      </c>
      <c r="E1374" t="s">
        <v>14290</v>
      </c>
      <c r="F1374" t="s">
        <v>17137</v>
      </c>
      <c r="H1374">
        <v>93522837</v>
      </c>
      <c r="I1374" t="s">
        <v>14292</v>
      </c>
      <c r="L1374" t="s">
        <v>18035</v>
      </c>
      <c r="M1374">
        <v>841</v>
      </c>
      <c r="N1374" t="s">
        <v>18036</v>
      </c>
    </row>
    <row r="1375" spans="1:14">
      <c r="A1375" t="s">
        <v>9256</v>
      </c>
      <c r="B1375">
        <v>1624140</v>
      </c>
      <c r="C1375">
        <v>1625339</v>
      </c>
      <c r="E1375" t="s">
        <v>14290</v>
      </c>
      <c r="F1375" t="s">
        <v>14445</v>
      </c>
      <c r="H1375">
        <v>93522838</v>
      </c>
      <c r="I1375" t="s">
        <v>14292</v>
      </c>
      <c r="L1375" t="s">
        <v>18037</v>
      </c>
      <c r="M1375">
        <v>399</v>
      </c>
      <c r="N1375" t="s">
        <v>18038</v>
      </c>
    </row>
    <row r="1376" spans="1:14">
      <c r="A1376" t="s">
        <v>9256</v>
      </c>
      <c r="B1376">
        <v>1625655</v>
      </c>
      <c r="C1376">
        <v>1626764</v>
      </c>
      <c r="E1376" t="s">
        <v>14290</v>
      </c>
      <c r="F1376" t="s">
        <v>18039</v>
      </c>
      <c r="G1376" t="s">
        <v>18040</v>
      </c>
      <c r="H1376">
        <v>93522839</v>
      </c>
      <c r="I1376" t="s">
        <v>14292</v>
      </c>
      <c r="L1376" t="s">
        <v>18041</v>
      </c>
      <c r="M1376">
        <v>369</v>
      </c>
      <c r="N1376" t="s">
        <v>18042</v>
      </c>
    </row>
    <row r="1377" spans="1:14">
      <c r="A1377" t="s">
        <v>9256</v>
      </c>
      <c r="B1377">
        <v>1626778</v>
      </c>
      <c r="C1377">
        <v>1627338</v>
      </c>
      <c r="E1377" t="s">
        <v>14314</v>
      </c>
      <c r="F1377" t="s">
        <v>18043</v>
      </c>
      <c r="H1377">
        <v>93522840</v>
      </c>
      <c r="I1377" t="s">
        <v>14292</v>
      </c>
      <c r="L1377" t="s">
        <v>18044</v>
      </c>
      <c r="M1377">
        <v>186</v>
      </c>
      <c r="N1377" t="s">
        <v>18045</v>
      </c>
    </row>
    <row r="1378" spans="1:14">
      <c r="A1378" t="s">
        <v>9256</v>
      </c>
      <c r="B1378">
        <v>1627493</v>
      </c>
      <c r="C1378">
        <v>1627729</v>
      </c>
      <c r="E1378" t="s">
        <v>14290</v>
      </c>
      <c r="F1378" t="s">
        <v>18046</v>
      </c>
      <c r="H1378">
        <v>93522841</v>
      </c>
      <c r="I1378" t="s">
        <v>14292</v>
      </c>
      <c r="L1378" t="s">
        <v>18047</v>
      </c>
      <c r="M1378">
        <v>78</v>
      </c>
      <c r="N1378" t="s">
        <v>18048</v>
      </c>
    </row>
    <row r="1379" spans="1:14">
      <c r="A1379" t="s">
        <v>9256</v>
      </c>
      <c r="B1379">
        <v>1627751</v>
      </c>
      <c r="C1379">
        <v>1629016</v>
      </c>
      <c r="E1379" t="s">
        <v>14290</v>
      </c>
      <c r="F1379" t="s">
        <v>18049</v>
      </c>
      <c r="G1379" t="s">
        <v>18050</v>
      </c>
      <c r="H1379">
        <v>93522842</v>
      </c>
      <c r="I1379" t="s">
        <v>14292</v>
      </c>
      <c r="L1379" t="s">
        <v>18051</v>
      </c>
      <c r="M1379">
        <v>421</v>
      </c>
      <c r="N1379" t="s">
        <v>18052</v>
      </c>
    </row>
    <row r="1380" spans="1:14">
      <c r="A1380" t="s">
        <v>9256</v>
      </c>
      <c r="B1380">
        <v>1629018</v>
      </c>
      <c r="C1380">
        <v>1629860</v>
      </c>
      <c r="E1380" t="s">
        <v>14290</v>
      </c>
      <c r="F1380" t="s">
        <v>18053</v>
      </c>
      <c r="G1380" t="s">
        <v>18054</v>
      </c>
      <c r="H1380">
        <v>93522843</v>
      </c>
      <c r="I1380" t="s">
        <v>14292</v>
      </c>
      <c r="L1380" t="s">
        <v>18055</v>
      </c>
      <c r="M1380">
        <v>280</v>
      </c>
      <c r="N1380" t="s">
        <v>18056</v>
      </c>
    </row>
    <row r="1381" spans="1:14">
      <c r="A1381" t="s">
        <v>9256</v>
      </c>
      <c r="B1381">
        <v>1629942</v>
      </c>
      <c r="C1381">
        <v>1632535</v>
      </c>
      <c r="E1381" t="s">
        <v>14290</v>
      </c>
      <c r="F1381" t="s">
        <v>14414</v>
      </c>
      <c r="H1381">
        <v>93522844</v>
      </c>
      <c r="I1381" t="s">
        <v>14415</v>
      </c>
      <c r="N1381" t="s">
        <v>18057</v>
      </c>
    </row>
    <row r="1382" spans="1:14">
      <c r="A1382" t="s">
        <v>9256</v>
      </c>
      <c r="B1382">
        <v>1632600</v>
      </c>
      <c r="C1382">
        <v>1633613</v>
      </c>
      <c r="E1382" t="s">
        <v>14314</v>
      </c>
      <c r="F1382" t="s">
        <v>18058</v>
      </c>
      <c r="H1382">
        <v>93522845</v>
      </c>
      <c r="I1382" t="s">
        <v>14292</v>
      </c>
      <c r="L1382" t="s">
        <v>18059</v>
      </c>
      <c r="M1382">
        <v>337</v>
      </c>
      <c r="N1382" t="s">
        <v>18060</v>
      </c>
    </row>
    <row r="1383" spans="1:14">
      <c r="A1383" t="s">
        <v>9256</v>
      </c>
      <c r="B1383">
        <v>1633694</v>
      </c>
      <c r="C1383">
        <v>1635211</v>
      </c>
      <c r="E1383" t="s">
        <v>14290</v>
      </c>
      <c r="F1383" t="s">
        <v>18061</v>
      </c>
      <c r="H1383">
        <v>93522846</v>
      </c>
      <c r="I1383" t="s">
        <v>14292</v>
      </c>
      <c r="L1383" t="s">
        <v>18062</v>
      </c>
      <c r="M1383">
        <v>505</v>
      </c>
      <c r="N1383" t="s">
        <v>18063</v>
      </c>
    </row>
    <row r="1384" spans="1:14">
      <c r="A1384" t="s">
        <v>9256</v>
      </c>
      <c r="B1384">
        <v>1635241</v>
      </c>
      <c r="C1384">
        <v>1636026</v>
      </c>
      <c r="E1384" t="s">
        <v>14314</v>
      </c>
      <c r="F1384" t="s">
        <v>14474</v>
      </c>
      <c r="H1384">
        <v>93522847</v>
      </c>
      <c r="I1384" t="s">
        <v>14292</v>
      </c>
      <c r="L1384" t="s">
        <v>18064</v>
      </c>
      <c r="M1384">
        <v>261</v>
      </c>
      <c r="N1384" t="s">
        <v>18065</v>
      </c>
    </row>
    <row r="1385" spans="1:14">
      <c r="A1385" t="s">
        <v>9256</v>
      </c>
      <c r="B1385">
        <v>1636016</v>
      </c>
      <c r="C1385">
        <v>1637854</v>
      </c>
      <c r="E1385" t="s">
        <v>14314</v>
      </c>
      <c r="F1385" t="s">
        <v>18066</v>
      </c>
      <c r="H1385">
        <v>93522848</v>
      </c>
      <c r="I1385" t="s">
        <v>14292</v>
      </c>
      <c r="L1385" t="s">
        <v>18067</v>
      </c>
      <c r="M1385">
        <v>612</v>
      </c>
      <c r="N1385" t="s">
        <v>18068</v>
      </c>
    </row>
    <row r="1386" spans="1:14">
      <c r="A1386" t="s">
        <v>9256</v>
      </c>
      <c r="B1386">
        <v>1638034</v>
      </c>
      <c r="C1386">
        <v>1638411</v>
      </c>
      <c r="E1386" t="s">
        <v>14290</v>
      </c>
      <c r="F1386" t="s">
        <v>15759</v>
      </c>
      <c r="H1386">
        <v>93522849</v>
      </c>
      <c r="I1386" t="s">
        <v>14292</v>
      </c>
      <c r="L1386" t="s">
        <v>16390</v>
      </c>
      <c r="M1386">
        <v>125</v>
      </c>
      <c r="N1386" t="s">
        <v>18069</v>
      </c>
    </row>
    <row r="1387" spans="1:14">
      <c r="A1387" t="s">
        <v>9256</v>
      </c>
      <c r="B1387">
        <v>1638438</v>
      </c>
      <c r="C1387">
        <v>1639400</v>
      </c>
      <c r="E1387" t="s">
        <v>14290</v>
      </c>
      <c r="F1387" t="s">
        <v>15762</v>
      </c>
      <c r="H1387">
        <v>93522850</v>
      </c>
      <c r="I1387" t="s">
        <v>14292</v>
      </c>
      <c r="L1387" t="s">
        <v>16388</v>
      </c>
      <c r="M1387">
        <v>320</v>
      </c>
      <c r="N1387" t="s">
        <v>18070</v>
      </c>
    </row>
    <row r="1388" spans="1:14">
      <c r="A1388" t="s">
        <v>9256</v>
      </c>
      <c r="B1388">
        <v>1639654</v>
      </c>
      <c r="C1388">
        <v>1640922</v>
      </c>
      <c r="E1388" t="s">
        <v>14314</v>
      </c>
      <c r="F1388" t="s">
        <v>14493</v>
      </c>
      <c r="H1388">
        <v>93522851</v>
      </c>
      <c r="I1388" t="s">
        <v>14292</v>
      </c>
      <c r="L1388" t="s">
        <v>18071</v>
      </c>
      <c r="M1388">
        <v>422</v>
      </c>
      <c r="N1388" t="s">
        <v>18072</v>
      </c>
    </row>
    <row r="1389" spans="1:14">
      <c r="A1389" t="s">
        <v>9256</v>
      </c>
      <c r="B1389">
        <v>1640919</v>
      </c>
      <c r="C1389">
        <v>1642286</v>
      </c>
      <c r="E1389" t="s">
        <v>14314</v>
      </c>
      <c r="F1389" t="s">
        <v>14864</v>
      </c>
      <c r="H1389">
        <v>93522852</v>
      </c>
      <c r="I1389" t="s">
        <v>14292</v>
      </c>
      <c r="L1389" t="s">
        <v>18073</v>
      </c>
      <c r="M1389">
        <v>455</v>
      </c>
      <c r="N1389" t="s">
        <v>18074</v>
      </c>
    </row>
    <row r="1390" spans="1:14">
      <c r="A1390" t="s">
        <v>9256</v>
      </c>
      <c r="B1390">
        <v>1642482</v>
      </c>
      <c r="C1390">
        <v>1644848</v>
      </c>
      <c r="E1390" t="s">
        <v>14290</v>
      </c>
      <c r="F1390" t="s">
        <v>14562</v>
      </c>
      <c r="H1390">
        <v>93522853</v>
      </c>
      <c r="I1390" t="s">
        <v>14292</v>
      </c>
      <c r="L1390" t="s">
        <v>18075</v>
      </c>
      <c r="M1390">
        <v>788</v>
      </c>
      <c r="N1390" t="s">
        <v>18076</v>
      </c>
    </row>
    <row r="1391" spans="1:14">
      <c r="A1391" t="s">
        <v>9256</v>
      </c>
      <c r="B1391">
        <v>1644939</v>
      </c>
      <c r="C1391">
        <v>1646414</v>
      </c>
      <c r="E1391" t="s">
        <v>14290</v>
      </c>
      <c r="F1391" t="s">
        <v>18077</v>
      </c>
      <c r="G1391" t="s">
        <v>18078</v>
      </c>
      <c r="H1391">
        <v>93522854</v>
      </c>
      <c r="I1391" t="s">
        <v>14292</v>
      </c>
      <c r="L1391" t="s">
        <v>18079</v>
      </c>
      <c r="M1391">
        <v>491</v>
      </c>
      <c r="N1391" t="s">
        <v>18080</v>
      </c>
    </row>
    <row r="1392" spans="1:14">
      <c r="A1392" t="s">
        <v>9256</v>
      </c>
      <c r="B1392">
        <v>1646440</v>
      </c>
      <c r="C1392">
        <v>1646847</v>
      </c>
      <c r="E1392" t="s">
        <v>14290</v>
      </c>
      <c r="F1392" t="s">
        <v>18081</v>
      </c>
      <c r="H1392">
        <v>93522855</v>
      </c>
      <c r="I1392" t="s">
        <v>14292</v>
      </c>
      <c r="L1392" t="s">
        <v>18082</v>
      </c>
      <c r="M1392">
        <v>135</v>
      </c>
      <c r="N1392" t="s">
        <v>18083</v>
      </c>
    </row>
    <row r="1393" spans="1:14">
      <c r="A1393" t="s">
        <v>9256</v>
      </c>
      <c r="B1393">
        <v>1647142</v>
      </c>
      <c r="C1393">
        <v>1648008</v>
      </c>
      <c r="E1393" t="s">
        <v>14314</v>
      </c>
      <c r="F1393" t="s">
        <v>18084</v>
      </c>
      <c r="H1393">
        <v>93522856</v>
      </c>
      <c r="I1393" t="s">
        <v>14292</v>
      </c>
      <c r="L1393" t="s">
        <v>18085</v>
      </c>
      <c r="M1393">
        <v>288</v>
      </c>
      <c r="N1393" t="s">
        <v>18086</v>
      </c>
    </row>
    <row r="1394" spans="1:14">
      <c r="A1394" t="s">
        <v>9256</v>
      </c>
      <c r="B1394">
        <v>1647950</v>
      </c>
      <c r="C1394">
        <v>1649863</v>
      </c>
      <c r="E1394" t="s">
        <v>14314</v>
      </c>
      <c r="F1394" t="s">
        <v>15756</v>
      </c>
      <c r="H1394">
        <v>93522857</v>
      </c>
      <c r="I1394" t="s">
        <v>14292</v>
      </c>
      <c r="L1394" t="s">
        <v>18087</v>
      </c>
      <c r="M1394">
        <v>637</v>
      </c>
      <c r="N1394" t="s">
        <v>18088</v>
      </c>
    </row>
    <row r="1395" spans="1:14">
      <c r="A1395" t="s">
        <v>9256</v>
      </c>
      <c r="B1395">
        <v>1650267</v>
      </c>
      <c r="C1395">
        <v>1650518</v>
      </c>
      <c r="E1395" t="s">
        <v>14290</v>
      </c>
      <c r="F1395" t="s">
        <v>14291</v>
      </c>
      <c r="H1395">
        <v>93522858</v>
      </c>
      <c r="I1395" t="s">
        <v>14292</v>
      </c>
      <c r="L1395" t="s">
        <v>18089</v>
      </c>
      <c r="M1395">
        <v>83</v>
      </c>
      <c r="N1395" t="s">
        <v>18090</v>
      </c>
    </row>
    <row r="1396" spans="1:14">
      <c r="A1396" t="s">
        <v>9256</v>
      </c>
      <c r="B1396">
        <v>1650493</v>
      </c>
      <c r="C1396">
        <v>1650876</v>
      </c>
      <c r="E1396" t="s">
        <v>14290</v>
      </c>
      <c r="F1396" t="s">
        <v>14291</v>
      </c>
      <c r="H1396">
        <v>93522859</v>
      </c>
      <c r="I1396" t="s">
        <v>14292</v>
      </c>
      <c r="L1396" t="s">
        <v>18091</v>
      </c>
      <c r="M1396">
        <v>127</v>
      </c>
      <c r="N1396" t="s">
        <v>18092</v>
      </c>
    </row>
    <row r="1397" spans="1:14">
      <c r="A1397" t="s">
        <v>9256</v>
      </c>
      <c r="B1397">
        <v>1650860</v>
      </c>
      <c r="C1397">
        <v>1652140</v>
      </c>
      <c r="E1397" t="s">
        <v>14314</v>
      </c>
      <c r="F1397" t="s">
        <v>18093</v>
      </c>
      <c r="H1397">
        <v>93522860</v>
      </c>
      <c r="I1397" t="s">
        <v>14292</v>
      </c>
      <c r="L1397" t="s">
        <v>18094</v>
      </c>
      <c r="M1397">
        <v>426</v>
      </c>
      <c r="N1397" t="s">
        <v>18095</v>
      </c>
    </row>
    <row r="1398" spans="1:14">
      <c r="A1398" t="s">
        <v>9256</v>
      </c>
      <c r="B1398">
        <v>1652664</v>
      </c>
      <c r="C1398">
        <v>1653050</v>
      </c>
      <c r="E1398" t="s">
        <v>14290</v>
      </c>
      <c r="F1398" t="s">
        <v>14291</v>
      </c>
      <c r="H1398">
        <v>93522861</v>
      </c>
      <c r="I1398" t="s">
        <v>14292</v>
      </c>
      <c r="L1398" t="s">
        <v>18096</v>
      </c>
      <c r="M1398">
        <v>128</v>
      </c>
      <c r="N1398" t="s">
        <v>18097</v>
      </c>
    </row>
    <row r="1399" spans="1:14">
      <c r="A1399" t="s">
        <v>9256</v>
      </c>
      <c r="B1399">
        <v>1653212</v>
      </c>
      <c r="C1399">
        <v>1653427</v>
      </c>
      <c r="E1399" t="s">
        <v>14290</v>
      </c>
      <c r="F1399" t="s">
        <v>14291</v>
      </c>
      <c r="H1399">
        <v>93522862</v>
      </c>
      <c r="I1399" t="s">
        <v>14292</v>
      </c>
      <c r="L1399" t="s">
        <v>18098</v>
      </c>
      <c r="M1399">
        <v>71</v>
      </c>
      <c r="N1399" t="s">
        <v>18099</v>
      </c>
    </row>
    <row r="1400" spans="1:14">
      <c r="A1400" t="s">
        <v>9256</v>
      </c>
      <c r="B1400">
        <v>1653439</v>
      </c>
      <c r="C1400">
        <v>1653660</v>
      </c>
      <c r="E1400" t="s">
        <v>14290</v>
      </c>
      <c r="F1400" t="s">
        <v>14291</v>
      </c>
      <c r="H1400">
        <v>93522863</v>
      </c>
      <c r="I1400" t="s">
        <v>14292</v>
      </c>
      <c r="L1400" t="s">
        <v>18100</v>
      </c>
      <c r="M1400">
        <v>73</v>
      </c>
      <c r="N1400" t="s">
        <v>18101</v>
      </c>
    </row>
    <row r="1401" spans="1:14">
      <c r="A1401" t="s">
        <v>9256</v>
      </c>
      <c r="B1401">
        <v>1653674</v>
      </c>
      <c r="C1401">
        <v>1654090</v>
      </c>
      <c r="E1401" t="s">
        <v>14290</v>
      </c>
      <c r="F1401" t="s">
        <v>15191</v>
      </c>
      <c r="H1401">
        <v>93522864</v>
      </c>
      <c r="I1401" t="s">
        <v>14292</v>
      </c>
      <c r="L1401" t="s">
        <v>18102</v>
      </c>
      <c r="M1401">
        <v>138</v>
      </c>
      <c r="N1401" t="s">
        <v>18103</v>
      </c>
    </row>
    <row r="1402" spans="1:14">
      <c r="A1402" t="s">
        <v>9256</v>
      </c>
      <c r="B1402">
        <v>1654087</v>
      </c>
      <c r="C1402">
        <v>1655418</v>
      </c>
      <c r="E1402" t="s">
        <v>14290</v>
      </c>
      <c r="F1402" t="s">
        <v>15194</v>
      </c>
      <c r="H1402">
        <v>93522865</v>
      </c>
      <c r="I1402" t="s">
        <v>14292</v>
      </c>
      <c r="L1402" t="s">
        <v>18104</v>
      </c>
      <c r="M1402">
        <v>443</v>
      </c>
      <c r="N1402" t="s">
        <v>18105</v>
      </c>
    </row>
    <row r="1403" spans="1:14">
      <c r="A1403" t="s">
        <v>9256</v>
      </c>
      <c r="B1403">
        <v>1655443</v>
      </c>
      <c r="C1403">
        <v>1655700</v>
      </c>
      <c r="E1403" t="s">
        <v>14290</v>
      </c>
      <c r="F1403" t="s">
        <v>14291</v>
      </c>
      <c r="H1403">
        <v>93522866</v>
      </c>
      <c r="I1403" t="s">
        <v>14292</v>
      </c>
      <c r="L1403" t="s">
        <v>18106</v>
      </c>
      <c r="M1403">
        <v>85</v>
      </c>
      <c r="N1403" t="s">
        <v>18107</v>
      </c>
    </row>
    <row r="1404" spans="1:14">
      <c r="A1404" t="s">
        <v>9256</v>
      </c>
      <c r="B1404">
        <v>1655720</v>
      </c>
      <c r="C1404">
        <v>1655953</v>
      </c>
      <c r="E1404" t="s">
        <v>14290</v>
      </c>
      <c r="F1404" t="s">
        <v>15199</v>
      </c>
      <c r="H1404">
        <v>93522867</v>
      </c>
      <c r="I1404" t="s">
        <v>14292</v>
      </c>
      <c r="L1404" t="s">
        <v>18108</v>
      </c>
      <c r="M1404">
        <v>77</v>
      </c>
      <c r="N1404" t="s">
        <v>18109</v>
      </c>
    </row>
    <row r="1405" spans="1:14">
      <c r="A1405" t="s">
        <v>9256</v>
      </c>
      <c r="B1405">
        <v>1655950</v>
      </c>
      <c r="C1405">
        <v>1656195</v>
      </c>
      <c r="E1405" t="s">
        <v>14290</v>
      </c>
      <c r="F1405" t="s">
        <v>15202</v>
      </c>
      <c r="H1405">
        <v>93522868</v>
      </c>
      <c r="I1405" t="s">
        <v>14292</v>
      </c>
      <c r="L1405" t="s">
        <v>18110</v>
      </c>
      <c r="M1405">
        <v>81</v>
      </c>
      <c r="N1405" t="s">
        <v>18111</v>
      </c>
    </row>
    <row r="1406" spans="1:14">
      <c r="A1406" t="s">
        <v>9256</v>
      </c>
      <c r="B1406">
        <v>1656249</v>
      </c>
      <c r="C1406">
        <v>1656557</v>
      </c>
      <c r="E1406" t="s">
        <v>14290</v>
      </c>
      <c r="F1406" t="s">
        <v>14291</v>
      </c>
      <c r="H1406">
        <v>93522869</v>
      </c>
      <c r="I1406" t="s">
        <v>14292</v>
      </c>
      <c r="L1406" t="s">
        <v>18112</v>
      </c>
      <c r="M1406">
        <v>102</v>
      </c>
      <c r="N1406" t="s">
        <v>18113</v>
      </c>
    </row>
    <row r="1407" spans="1:14">
      <c r="A1407" t="s">
        <v>9256</v>
      </c>
      <c r="B1407">
        <v>1656591</v>
      </c>
      <c r="C1407">
        <v>1656980</v>
      </c>
      <c r="E1407" t="s">
        <v>14314</v>
      </c>
      <c r="F1407" t="s">
        <v>14291</v>
      </c>
      <c r="H1407">
        <v>93525987</v>
      </c>
      <c r="I1407" t="s">
        <v>14292</v>
      </c>
      <c r="L1407" t="s">
        <v>18114</v>
      </c>
      <c r="M1407">
        <v>129</v>
      </c>
      <c r="N1407" t="s">
        <v>18115</v>
      </c>
    </row>
    <row r="1408" spans="1:14">
      <c r="A1408" t="s">
        <v>9256</v>
      </c>
      <c r="B1408">
        <v>1657045</v>
      </c>
      <c r="C1408">
        <v>1657572</v>
      </c>
      <c r="E1408" t="s">
        <v>14314</v>
      </c>
      <c r="F1408" t="s">
        <v>15210</v>
      </c>
      <c r="H1408">
        <v>93522870</v>
      </c>
      <c r="I1408" t="s">
        <v>14292</v>
      </c>
      <c r="L1408" t="s">
        <v>18116</v>
      </c>
      <c r="M1408">
        <v>175</v>
      </c>
      <c r="N1408" t="s">
        <v>18117</v>
      </c>
    </row>
    <row r="1409" spans="1:14">
      <c r="A1409" t="s">
        <v>9256</v>
      </c>
      <c r="B1409">
        <v>1657569</v>
      </c>
      <c r="C1409">
        <v>1658072</v>
      </c>
      <c r="E1409" t="s">
        <v>14314</v>
      </c>
      <c r="F1409" t="s">
        <v>15213</v>
      </c>
      <c r="H1409">
        <v>93522871</v>
      </c>
      <c r="I1409" t="s">
        <v>14292</v>
      </c>
      <c r="L1409" t="s">
        <v>18118</v>
      </c>
      <c r="M1409">
        <v>167</v>
      </c>
      <c r="N1409" t="s">
        <v>18119</v>
      </c>
    </row>
    <row r="1410" spans="1:14">
      <c r="A1410" t="s">
        <v>9256</v>
      </c>
      <c r="B1410">
        <v>1658069</v>
      </c>
      <c r="C1410">
        <v>1658971</v>
      </c>
      <c r="E1410" t="s">
        <v>14314</v>
      </c>
      <c r="F1410" t="s">
        <v>15216</v>
      </c>
      <c r="H1410">
        <v>93522872</v>
      </c>
      <c r="I1410" t="s">
        <v>14292</v>
      </c>
      <c r="L1410" t="s">
        <v>18120</v>
      </c>
      <c r="M1410">
        <v>300</v>
      </c>
      <c r="N1410" t="s">
        <v>18121</v>
      </c>
    </row>
    <row r="1411" spans="1:14">
      <c r="A1411" t="s">
        <v>9256</v>
      </c>
      <c r="B1411">
        <v>1658979</v>
      </c>
      <c r="C1411">
        <v>1659554</v>
      </c>
      <c r="E1411" t="s">
        <v>14314</v>
      </c>
      <c r="F1411" t="s">
        <v>15219</v>
      </c>
      <c r="H1411">
        <v>93522873</v>
      </c>
      <c r="I1411" t="s">
        <v>14292</v>
      </c>
      <c r="L1411" t="s">
        <v>18122</v>
      </c>
      <c r="M1411">
        <v>191</v>
      </c>
      <c r="N1411" t="s">
        <v>18123</v>
      </c>
    </row>
    <row r="1412" spans="1:14">
      <c r="A1412" t="s">
        <v>9256</v>
      </c>
      <c r="B1412">
        <v>1659557</v>
      </c>
      <c r="C1412">
        <v>1660543</v>
      </c>
      <c r="E1412" t="s">
        <v>14314</v>
      </c>
      <c r="F1412" t="s">
        <v>15222</v>
      </c>
      <c r="G1412" t="s">
        <v>15223</v>
      </c>
      <c r="H1412">
        <v>93522874</v>
      </c>
      <c r="I1412" t="s">
        <v>14292</v>
      </c>
      <c r="L1412" t="s">
        <v>18124</v>
      </c>
      <c r="M1412">
        <v>328</v>
      </c>
      <c r="N1412" t="s">
        <v>18125</v>
      </c>
    </row>
    <row r="1413" spans="1:14">
      <c r="A1413" t="s">
        <v>9256</v>
      </c>
      <c r="B1413">
        <v>1660578</v>
      </c>
      <c r="C1413">
        <v>1661930</v>
      </c>
      <c r="E1413" t="s">
        <v>14314</v>
      </c>
      <c r="F1413" t="s">
        <v>15226</v>
      </c>
      <c r="G1413" t="s">
        <v>15227</v>
      </c>
      <c r="H1413">
        <v>93522875</v>
      </c>
      <c r="I1413" t="s">
        <v>14292</v>
      </c>
      <c r="L1413" t="s">
        <v>18126</v>
      </c>
      <c r="M1413">
        <v>450</v>
      </c>
      <c r="N1413" t="s">
        <v>18127</v>
      </c>
    </row>
    <row r="1414" spans="1:14">
      <c r="A1414" t="s">
        <v>9256</v>
      </c>
      <c r="B1414">
        <v>1661911</v>
      </c>
      <c r="C1414">
        <v>1662198</v>
      </c>
      <c r="E1414" t="s">
        <v>14314</v>
      </c>
      <c r="F1414" t="s">
        <v>15230</v>
      </c>
      <c r="H1414">
        <v>93522876</v>
      </c>
      <c r="I1414" t="s">
        <v>14292</v>
      </c>
      <c r="L1414" t="s">
        <v>18128</v>
      </c>
      <c r="M1414">
        <v>95</v>
      </c>
      <c r="N1414" t="s">
        <v>18129</v>
      </c>
    </row>
    <row r="1415" spans="1:14">
      <c r="A1415" t="s">
        <v>9256</v>
      </c>
      <c r="B1415">
        <v>1662226</v>
      </c>
      <c r="C1415">
        <v>1662849</v>
      </c>
      <c r="E1415" t="s">
        <v>14314</v>
      </c>
      <c r="F1415" t="s">
        <v>15233</v>
      </c>
      <c r="G1415" t="s">
        <v>15234</v>
      </c>
      <c r="H1415">
        <v>93522877</v>
      </c>
      <c r="I1415" t="s">
        <v>14292</v>
      </c>
      <c r="L1415" t="s">
        <v>18130</v>
      </c>
      <c r="M1415">
        <v>207</v>
      </c>
      <c r="N1415" t="s">
        <v>18131</v>
      </c>
    </row>
    <row r="1416" spans="1:14">
      <c r="A1416" t="s">
        <v>9256</v>
      </c>
      <c r="B1416">
        <v>1662881</v>
      </c>
      <c r="C1416">
        <v>1663885</v>
      </c>
      <c r="E1416" t="s">
        <v>14314</v>
      </c>
      <c r="F1416" t="s">
        <v>15237</v>
      </c>
      <c r="G1416" t="s">
        <v>15238</v>
      </c>
      <c r="H1416">
        <v>93522878</v>
      </c>
      <c r="I1416" t="s">
        <v>14292</v>
      </c>
      <c r="L1416" t="s">
        <v>15239</v>
      </c>
      <c r="M1416">
        <v>334</v>
      </c>
      <c r="N1416" t="s">
        <v>18132</v>
      </c>
    </row>
    <row r="1417" spans="1:14">
      <c r="A1417" t="s">
        <v>9256</v>
      </c>
      <c r="B1417">
        <v>1663889</v>
      </c>
      <c r="C1417">
        <v>1664518</v>
      </c>
      <c r="E1417" t="s">
        <v>14314</v>
      </c>
      <c r="F1417" t="s">
        <v>15241</v>
      </c>
      <c r="H1417">
        <v>93522879</v>
      </c>
      <c r="I1417" t="s">
        <v>14292</v>
      </c>
      <c r="L1417" t="s">
        <v>18133</v>
      </c>
      <c r="M1417">
        <v>209</v>
      </c>
      <c r="N1417" t="s">
        <v>18134</v>
      </c>
    </row>
    <row r="1418" spans="1:14">
      <c r="A1418" t="s">
        <v>9256</v>
      </c>
      <c r="B1418">
        <v>1664542</v>
      </c>
      <c r="C1418">
        <v>1664922</v>
      </c>
      <c r="E1418" t="s">
        <v>14314</v>
      </c>
      <c r="F1418" t="s">
        <v>15244</v>
      </c>
      <c r="H1418">
        <v>93522880</v>
      </c>
      <c r="I1418" t="s">
        <v>14292</v>
      </c>
      <c r="L1418" t="s">
        <v>18135</v>
      </c>
      <c r="M1418">
        <v>126</v>
      </c>
      <c r="N1418" t="s">
        <v>18136</v>
      </c>
    </row>
    <row r="1419" spans="1:14">
      <c r="A1419" t="s">
        <v>9256</v>
      </c>
      <c r="B1419">
        <v>1664963</v>
      </c>
      <c r="C1419">
        <v>1667467</v>
      </c>
      <c r="E1419" t="s">
        <v>14314</v>
      </c>
      <c r="F1419" t="s">
        <v>16339</v>
      </c>
      <c r="H1419">
        <v>93522881</v>
      </c>
      <c r="I1419" t="s">
        <v>14292</v>
      </c>
      <c r="L1419" t="s">
        <v>18137</v>
      </c>
      <c r="M1419">
        <v>834</v>
      </c>
      <c r="N1419" t="s">
        <v>18138</v>
      </c>
    </row>
    <row r="1420" spans="1:14">
      <c r="A1420" t="s">
        <v>9256</v>
      </c>
      <c r="B1420">
        <v>1667464</v>
      </c>
      <c r="C1420">
        <v>1667796</v>
      </c>
      <c r="E1420" t="s">
        <v>14314</v>
      </c>
      <c r="F1420" t="s">
        <v>15252</v>
      </c>
      <c r="H1420">
        <v>93522882</v>
      </c>
      <c r="I1420" t="s">
        <v>14292</v>
      </c>
      <c r="L1420" t="s">
        <v>15253</v>
      </c>
      <c r="M1420">
        <v>110</v>
      </c>
      <c r="N1420" t="s">
        <v>18139</v>
      </c>
    </row>
    <row r="1421" spans="1:14">
      <c r="A1421" t="s">
        <v>9256</v>
      </c>
      <c r="B1421">
        <v>1667807</v>
      </c>
      <c r="C1421">
        <v>1668124</v>
      </c>
      <c r="E1421" t="s">
        <v>14314</v>
      </c>
      <c r="F1421" t="s">
        <v>15255</v>
      </c>
      <c r="H1421">
        <v>93522883</v>
      </c>
      <c r="I1421" t="s">
        <v>14292</v>
      </c>
      <c r="L1421" t="s">
        <v>18140</v>
      </c>
      <c r="M1421">
        <v>105</v>
      </c>
      <c r="N1421" t="s">
        <v>18141</v>
      </c>
    </row>
    <row r="1422" spans="1:14">
      <c r="A1422" t="s">
        <v>9256</v>
      </c>
      <c r="B1422">
        <v>1668326</v>
      </c>
      <c r="C1422">
        <v>1669054</v>
      </c>
      <c r="E1422" t="s">
        <v>14314</v>
      </c>
      <c r="F1422" t="s">
        <v>14291</v>
      </c>
      <c r="H1422">
        <v>93522884</v>
      </c>
      <c r="I1422" t="s">
        <v>14292</v>
      </c>
      <c r="L1422" t="s">
        <v>18142</v>
      </c>
      <c r="M1422">
        <v>242</v>
      </c>
      <c r="N1422" t="s">
        <v>18143</v>
      </c>
    </row>
    <row r="1423" spans="1:14">
      <c r="A1423" t="s">
        <v>9256</v>
      </c>
      <c r="B1423">
        <v>1669071</v>
      </c>
      <c r="C1423">
        <v>1669424</v>
      </c>
      <c r="E1423" t="s">
        <v>14314</v>
      </c>
      <c r="F1423" t="s">
        <v>15260</v>
      </c>
      <c r="H1423">
        <v>93522885</v>
      </c>
      <c r="I1423" t="s">
        <v>14292</v>
      </c>
      <c r="L1423" t="s">
        <v>18144</v>
      </c>
      <c r="M1423">
        <v>117</v>
      </c>
      <c r="N1423" t="s">
        <v>18145</v>
      </c>
    </row>
    <row r="1424" spans="1:14">
      <c r="A1424" t="s">
        <v>9256</v>
      </c>
      <c r="B1424">
        <v>1669427</v>
      </c>
      <c r="C1424">
        <v>1669867</v>
      </c>
      <c r="E1424" t="s">
        <v>14314</v>
      </c>
      <c r="F1424" t="s">
        <v>15260</v>
      </c>
      <c r="H1424">
        <v>93522886</v>
      </c>
      <c r="I1424" t="s">
        <v>14292</v>
      </c>
      <c r="L1424" t="s">
        <v>18146</v>
      </c>
      <c r="M1424">
        <v>146</v>
      </c>
      <c r="N1424" t="s">
        <v>18147</v>
      </c>
    </row>
    <row r="1425" spans="1:14">
      <c r="A1425" t="s">
        <v>9256</v>
      </c>
      <c r="B1425">
        <v>1669870</v>
      </c>
      <c r="C1425">
        <v>1670796</v>
      </c>
      <c r="E1425" t="s">
        <v>14314</v>
      </c>
      <c r="F1425" t="s">
        <v>15265</v>
      </c>
      <c r="H1425">
        <v>93522887</v>
      </c>
      <c r="I1425" t="s">
        <v>14292</v>
      </c>
      <c r="L1425" t="s">
        <v>18148</v>
      </c>
      <c r="M1425">
        <v>308</v>
      </c>
      <c r="N1425" t="s">
        <v>18149</v>
      </c>
    </row>
    <row r="1426" spans="1:14">
      <c r="A1426" t="s">
        <v>9256</v>
      </c>
      <c r="B1426">
        <v>1670795</v>
      </c>
      <c r="C1426">
        <v>1670959</v>
      </c>
      <c r="E1426" t="s">
        <v>14290</v>
      </c>
      <c r="F1426" t="s">
        <v>14291</v>
      </c>
      <c r="H1426">
        <v>93525934</v>
      </c>
      <c r="I1426" t="s">
        <v>14292</v>
      </c>
      <c r="L1426" t="s">
        <v>18150</v>
      </c>
      <c r="M1426">
        <v>54</v>
      </c>
      <c r="N1426" t="s">
        <v>18151</v>
      </c>
    </row>
    <row r="1427" spans="1:14">
      <c r="A1427" t="s">
        <v>9256</v>
      </c>
      <c r="B1427">
        <v>1671341</v>
      </c>
      <c r="C1427">
        <v>1671769</v>
      </c>
      <c r="E1427" t="s">
        <v>14290</v>
      </c>
      <c r="F1427" t="s">
        <v>15270</v>
      </c>
      <c r="G1427" t="s">
        <v>15271</v>
      </c>
      <c r="H1427">
        <v>93522888</v>
      </c>
      <c r="I1427" t="s">
        <v>14292</v>
      </c>
      <c r="L1427" t="s">
        <v>18152</v>
      </c>
      <c r="M1427">
        <v>142</v>
      </c>
      <c r="N1427" t="s">
        <v>18153</v>
      </c>
    </row>
    <row r="1428" spans="1:14">
      <c r="A1428" t="s">
        <v>9256</v>
      </c>
      <c r="B1428">
        <v>1671748</v>
      </c>
      <c r="C1428">
        <v>1672995</v>
      </c>
      <c r="E1428" t="s">
        <v>14290</v>
      </c>
      <c r="F1428" t="s">
        <v>15274</v>
      </c>
      <c r="G1428" t="s">
        <v>15275</v>
      </c>
      <c r="H1428">
        <v>93522889</v>
      </c>
      <c r="I1428" t="s">
        <v>14292</v>
      </c>
      <c r="L1428" t="s">
        <v>18154</v>
      </c>
      <c r="M1428">
        <v>415</v>
      </c>
      <c r="N1428" t="s">
        <v>18155</v>
      </c>
    </row>
    <row r="1429" spans="1:14">
      <c r="A1429" t="s">
        <v>9256</v>
      </c>
      <c r="B1429">
        <v>1673026</v>
      </c>
      <c r="C1429">
        <v>1675044</v>
      </c>
      <c r="E1429" t="s">
        <v>14290</v>
      </c>
      <c r="F1429" t="s">
        <v>15278</v>
      </c>
      <c r="G1429" t="s">
        <v>15279</v>
      </c>
      <c r="H1429">
        <v>93522890</v>
      </c>
      <c r="I1429" t="s">
        <v>14292</v>
      </c>
      <c r="L1429" t="s">
        <v>18156</v>
      </c>
      <c r="M1429">
        <v>672</v>
      </c>
      <c r="N1429" t="s">
        <v>18157</v>
      </c>
    </row>
    <row r="1430" spans="1:14">
      <c r="A1430" t="s">
        <v>9256</v>
      </c>
      <c r="B1430">
        <v>1675176</v>
      </c>
      <c r="C1430">
        <v>1678430</v>
      </c>
      <c r="E1430" t="s">
        <v>14314</v>
      </c>
      <c r="F1430" t="s">
        <v>18158</v>
      </c>
      <c r="H1430">
        <v>93522891</v>
      </c>
      <c r="I1430" t="s">
        <v>14292</v>
      </c>
      <c r="L1430" t="s">
        <v>18159</v>
      </c>
      <c r="M1430">
        <v>1084</v>
      </c>
      <c r="N1430" t="s">
        <v>18160</v>
      </c>
    </row>
    <row r="1431" spans="1:14">
      <c r="A1431" t="s">
        <v>9256</v>
      </c>
      <c r="B1431">
        <v>1678447</v>
      </c>
      <c r="C1431">
        <v>1679577</v>
      </c>
      <c r="E1431" t="s">
        <v>14314</v>
      </c>
      <c r="F1431" t="s">
        <v>14870</v>
      </c>
      <c r="H1431">
        <v>93522892</v>
      </c>
      <c r="I1431" t="s">
        <v>14292</v>
      </c>
      <c r="L1431" t="s">
        <v>18161</v>
      </c>
      <c r="M1431">
        <v>376</v>
      </c>
      <c r="N1431" t="s">
        <v>18162</v>
      </c>
    </row>
    <row r="1432" spans="1:14">
      <c r="A1432" t="s">
        <v>9256</v>
      </c>
      <c r="B1432">
        <v>1679879</v>
      </c>
      <c r="C1432">
        <v>1680484</v>
      </c>
      <c r="E1432" t="s">
        <v>14314</v>
      </c>
      <c r="F1432" t="s">
        <v>15286</v>
      </c>
      <c r="H1432">
        <v>93522893</v>
      </c>
      <c r="I1432" t="s">
        <v>14292</v>
      </c>
      <c r="L1432" t="s">
        <v>18163</v>
      </c>
      <c r="M1432">
        <v>201</v>
      </c>
      <c r="N1432" t="s">
        <v>18164</v>
      </c>
    </row>
    <row r="1433" spans="1:14">
      <c r="A1433" t="s">
        <v>9256</v>
      </c>
      <c r="B1433">
        <v>1680723</v>
      </c>
      <c r="C1433">
        <v>1681145</v>
      </c>
      <c r="E1433" t="s">
        <v>14314</v>
      </c>
      <c r="F1433" t="s">
        <v>15289</v>
      </c>
      <c r="H1433">
        <v>93522894</v>
      </c>
      <c r="I1433" t="s">
        <v>14292</v>
      </c>
      <c r="L1433" t="s">
        <v>18165</v>
      </c>
      <c r="M1433">
        <v>140</v>
      </c>
      <c r="N1433" t="s">
        <v>18166</v>
      </c>
    </row>
    <row r="1434" spans="1:14">
      <c r="A1434" t="s">
        <v>9256</v>
      </c>
      <c r="B1434">
        <v>1681425</v>
      </c>
      <c r="C1434">
        <v>1682747</v>
      </c>
      <c r="E1434" t="s">
        <v>14314</v>
      </c>
      <c r="F1434" t="s">
        <v>14864</v>
      </c>
      <c r="H1434">
        <v>93522895</v>
      </c>
      <c r="I1434" t="s">
        <v>14292</v>
      </c>
      <c r="L1434" t="s">
        <v>18167</v>
      </c>
      <c r="M1434">
        <v>440</v>
      </c>
      <c r="N1434" t="s">
        <v>18168</v>
      </c>
    </row>
    <row r="1435" spans="1:14">
      <c r="A1435" t="s">
        <v>9256</v>
      </c>
      <c r="B1435">
        <v>1682740</v>
      </c>
      <c r="C1435">
        <v>1685058</v>
      </c>
      <c r="E1435" t="s">
        <v>14314</v>
      </c>
      <c r="F1435" t="s">
        <v>14621</v>
      </c>
      <c r="H1435">
        <v>93522896</v>
      </c>
      <c r="I1435" t="s">
        <v>14292</v>
      </c>
      <c r="L1435" t="s">
        <v>18169</v>
      </c>
      <c r="M1435">
        <v>772</v>
      </c>
      <c r="N1435" t="s">
        <v>18170</v>
      </c>
    </row>
    <row r="1436" spans="1:14">
      <c r="A1436" t="s">
        <v>9256</v>
      </c>
      <c r="B1436">
        <v>1685058</v>
      </c>
      <c r="C1436">
        <v>1686983</v>
      </c>
      <c r="E1436" t="s">
        <v>14314</v>
      </c>
      <c r="F1436" t="s">
        <v>18171</v>
      </c>
      <c r="G1436" t="s">
        <v>18172</v>
      </c>
      <c r="H1436">
        <v>93522897</v>
      </c>
      <c r="I1436" t="s">
        <v>14292</v>
      </c>
      <c r="L1436" t="s">
        <v>18173</v>
      </c>
      <c r="M1436">
        <v>641</v>
      </c>
      <c r="N1436" t="s">
        <v>18174</v>
      </c>
    </row>
    <row r="1437" spans="1:14">
      <c r="A1437" t="s">
        <v>9256</v>
      </c>
      <c r="B1437">
        <v>1687641</v>
      </c>
      <c r="C1437">
        <v>1693457</v>
      </c>
      <c r="E1437" t="s">
        <v>14314</v>
      </c>
      <c r="F1437" t="s">
        <v>15311</v>
      </c>
      <c r="H1437">
        <v>93522898</v>
      </c>
      <c r="I1437" t="s">
        <v>14292</v>
      </c>
      <c r="L1437" t="s">
        <v>18175</v>
      </c>
      <c r="M1437">
        <v>1938</v>
      </c>
      <c r="N1437" t="s">
        <v>18176</v>
      </c>
    </row>
    <row r="1438" spans="1:14">
      <c r="A1438" t="s">
        <v>9256</v>
      </c>
      <c r="B1438">
        <v>1693447</v>
      </c>
      <c r="C1438">
        <v>1693899</v>
      </c>
      <c r="E1438" t="s">
        <v>14314</v>
      </c>
      <c r="F1438" t="s">
        <v>15314</v>
      </c>
      <c r="H1438">
        <v>93522899</v>
      </c>
      <c r="I1438" t="s">
        <v>14292</v>
      </c>
      <c r="L1438" t="s">
        <v>18177</v>
      </c>
      <c r="M1438">
        <v>150</v>
      </c>
      <c r="N1438" t="s">
        <v>18178</v>
      </c>
    </row>
    <row r="1439" spans="1:14">
      <c r="A1439" t="s">
        <v>9256</v>
      </c>
      <c r="B1439">
        <v>1694062</v>
      </c>
      <c r="C1439">
        <v>1696149</v>
      </c>
      <c r="E1439" t="s">
        <v>14314</v>
      </c>
      <c r="F1439" t="s">
        <v>15317</v>
      </c>
      <c r="G1439" t="s">
        <v>18179</v>
      </c>
      <c r="H1439">
        <v>93522900</v>
      </c>
      <c r="I1439" t="s">
        <v>14292</v>
      </c>
      <c r="L1439" t="s">
        <v>18180</v>
      </c>
      <c r="M1439">
        <v>695</v>
      </c>
      <c r="N1439" t="s">
        <v>18181</v>
      </c>
    </row>
    <row r="1440" spans="1:14">
      <c r="A1440" t="s">
        <v>9256</v>
      </c>
      <c r="B1440">
        <v>1696210</v>
      </c>
      <c r="C1440">
        <v>1697781</v>
      </c>
      <c r="E1440" t="s">
        <v>14314</v>
      </c>
      <c r="F1440" t="s">
        <v>16274</v>
      </c>
      <c r="H1440">
        <v>93522901</v>
      </c>
      <c r="I1440" t="s">
        <v>14292</v>
      </c>
      <c r="L1440" t="s">
        <v>18182</v>
      </c>
      <c r="M1440">
        <v>523</v>
      </c>
      <c r="N1440" t="s">
        <v>18183</v>
      </c>
    </row>
    <row r="1441" spans="1:14">
      <c r="A1441" t="s">
        <v>9256</v>
      </c>
      <c r="B1441">
        <v>1697802</v>
      </c>
      <c r="C1441">
        <v>1698152</v>
      </c>
      <c r="E1441" t="s">
        <v>14314</v>
      </c>
      <c r="F1441" t="s">
        <v>14406</v>
      </c>
      <c r="H1441">
        <v>93522902</v>
      </c>
      <c r="I1441" t="s">
        <v>14292</v>
      </c>
      <c r="L1441" t="s">
        <v>18184</v>
      </c>
      <c r="M1441">
        <v>116</v>
      </c>
      <c r="N1441" t="s">
        <v>18185</v>
      </c>
    </row>
    <row r="1442" spans="1:14">
      <c r="A1442" t="s">
        <v>9256</v>
      </c>
      <c r="B1442">
        <v>1698156</v>
      </c>
      <c r="C1442">
        <v>1698581</v>
      </c>
      <c r="E1442" t="s">
        <v>14314</v>
      </c>
      <c r="F1442" t="s">
        <v>14406</v>
      </c>
      <c r="H1442">
        <v>93522903</v>
      </c>
      <c r="I1442" t="s">
        <v>14292</v>
      </c>
      <c r="L1442" t="s">
        <v>18186</v>
      </c>
      <c r="M1442">
        <v>141</v>
      </c>
      <c r="N1442" t="s">
        <v>18187</v>
      </c>
    </row>
    <row r="1443" spans="1:14">
      <c r="A1443" t="s">
        <v>9256</v>
      </c>
      <c r="B1443">
        <v>1698720</v>
      </c>
      <c r="C1443">
        <v>1699019</v>
      </c>
      <c r="E1443" t="s">
        <v>14290</v>
      </c>
      <c r="F1443" t="s">
        <v>14406</v>
      </c>
      <c r="H1443">
        <v>93522904</v>
      </c>
      <c r="I1443" t="s">
        <v>14292</v>
      </c>
      <c r="L1443" t="s">
        <v>18188</v>
      </c>
      <c r="M1443">
        <v>99</v>
      </c>
      <c r="N1443" t="s">
        <v>18189</v>
      </c>
    </row>
    <row r="1444" spans="1:14">
      <c r="A1444" t="s">
        <v>9256</v>
      </c>
      <c r="B1444">
        <v>1699051</v>
      </c>
      <c r="C1444">
        <v>1699356</v>
      </c>
      <c r="E1444" t="s">
        <v>14290</v>
      </c>
      <c r="F1444" t="s">
        <v>14406</v>
      </c>
      <c r="H1444">
        <v>93522905</v>
      </c>
      <c r="I1444" t="s">
        <v>14292</v>
      </c>
      <c r="L1444" t="s">
        <v>18190</v>
      </c>
      <c r="M1444">
        <v>101</v>
      </c>
      <c r="N1444" t="s">
        <v>18191</v>
      </c>
    </row>
    <row r="1445" spans="1:14">
      <c r="A1445" t="s">
        <v>9256</v>
      </c>
      <c r="B1445">
        <v>1699434</v>
      </c>
      <c r="C1445">
        <v>1699796</v>
      </c>
      <c r="E1445" t="s">
        <v>14314</v>
      </c>
      <c r="F1445" t="s">
        <v>14291</v>
      </c>
      <c r="H1445">
        <v>93522906</v>
      </c>
      <c r="I1445" t="s">
        <v>14292</v>
      </c>
      <c r="L1445" t="s">
        <v>18192</v>
      </c>
      <c r="M1445">
        <v>120</v>
      </c>
      <c r="N1445" t="s">
        <v>18193</v>
      </c>
    </row>
    <row r="1446" spans="1:14">
      <c r="A1446" t="s">
        <v>9256</v>
      </c>
      <c r="B1446">
        <v>1699808</v>
      </c>
      <c r="C1446">
        <v>1701043</v>
      </c>
      <c r="E1446" t="s">
        <v>14314</v>
      </c>
      <c r="F1446" t="s">
        <v>15333</v>
      </c>
      <c r="H1446">
        <v>93522907</v>
      </c>
      <c r="I1446" t="s">
        <v>14292</v>
      </c>
      <c r="L1446" t="s">
        <v>18194</v>
      </c>
      <c r="M1446">
        <v>411</v>
      </c>
      <c r="N1446" t="s">
        <v>18195</v>
      </c>
    </row>
    <row r="1447" spans="1:14">
      <c r="A1447" t="s">
        <v>9256</v>
      </c>
      <c r="B1447">
        <v>1701393</v>
      </c>
      <c r="C1447">
        <v>1702109</v>
      </c>
      <c r="E1447" t="s">
        <v>14290</v>
      </c>
      <c r="F1447" t="s">
        <v>18196</v>
      </c>
      <c r="G1447" t="s">
        <v>18197</v>
      </c>
      <c r="H1447">
        <v>93522908</v>
      </c>
      <c r="I1447" t="s">
        <v>14292</v>
      </c>
      <c r="L1447" t="s">
        <v>18198</v>
      </c>
      <c r="M1447">
        <v>238</v>
      </c>
      <c r="N1447" t="s">
        <v>18199</v>
      </c>
    </row>
    <row r="1448" spans="1:14">
      <c r="A1448" t="s">
        <v>9256</v>
      </c>
      <c r="B1448">
        <v>1702126</v>
      </c>
      <c r="C1448">
        <v>1703523</v>
      </c>
      <c r="E1448" t="s">
        <v>14290</v>
      </c>
      <c r="F1448" t="s">
        <v>18200</v>
      </c>
      <c r="H1448">
        <v>93522909</v>
      </c>
      <c r="I1448" t="s">
        <v>14292</v>
      </c>
      <c r="L1448" t="s">
        <v>18201</v>
      </c>
      <c r="M1448">
        <v>465</v>
      </c>
      <c r="N1448" t="s">
        <v>18202</v>
      </c>
    </row>
    <row r="1449" spans="1:14">
      <c r="A1449" t="s">
        <v>9256</v>
      </c>
      <c r="B1449">
        <v>1703543</v>
      </c>
      <c r="C1449">
        <v>1704403</v>
      </c>
      <c r="E1449" t="s">
        <v>14290</v>
      </c>
      <c r="F1449" t="s">
        <v>18203</v>
      </c>
      <c r="G1449" t="s">
        <v>18204</v>
      </c>
      <c r="H1449">
        <v>93522910</v>
      </c>
      <c r="I1449" t="s">
        <v>14292</v>
      </c>
      <c r="L1449" t="s">
        <v>18205</v>
      </c>
      <c r="M1449">
        <v>286</v>
      </c>
      <c r="N1449" t="s">
        <v>18206</v>
      </c>
    </row>
    <row r="1450" spans="1:14">
      <c r="A1450" t="s">
        <v>9256</v>
      </c>
      <c r="B1450">
        <v>1704405</v>
      </c>
      <c r="C1450">
        <v>1705034</v>
      </c>
      <c r="E1450" t="s">
        <v>14290</v>
      </c>
      <c r="F1450" t="s">
        <v>18207</v>
      </c>
      <c r="H1450">
        <v>93522911</v>
      </c>
      <c r="I1450" t="s">
        <v>14292</v>
      </c>
      <c r="L1450" t="s">
        <v>18208</v>
      </c>
      <c r="M1450">
        <v>209</v>
      </c>
      <c r="N1450" t="s">
        <v>18209</v>
      </c>
    </row>
    <row r="1451" spans="1:14">
      <c r="A1451" t="s">
        <v>9256</v>
      </c>
      <c r="B1451">
        <v>1705018</v>
      </c>
      <c r="C1451">
        <v>1706103</v>
      </c>
      <c r="E1451" t="s">
        <v>14314</v>
      </c>
      <c r="F1451" t="s">
        <v>18210</v>
      </c>
      <c r="G1451" t="s">
        <v>18211</v>
      </c>
      <c r="H1451">
        <v>93522912</v>
      </c>
      <c r="I1451" t="s">
        <v>14292</v>
      </c>
      <c r="L1451" t="s">
        <v>18212</v>
      </c>
      <c r="M1451">
        <v>361</v>
      </c>
      <c r="N1451" t="s">
        <v>18213</v>
      </c>
    </row>
    <row r="1452" spans="1:14">
      <c r="A1452" t="s">
        <v>9256</v>
      </c>
      <c r="B1452">
        <v>1706135</v>
      </c>
      <c r="C1452">
        <v>1706923</v>
      </c>
      <c r="E1452" t="s">
        <v>14314</v>
      </c>
      <c r="F1452" t="s">
        <v>18214</v>
      </c>
      <c r="G1452" t="s">
        <v>18215</v>
      </c>
      <c r="H1452">
        <v>93522913</v>
      </c>
      <c r="I1452" t="s">
        <v>14292</v>
      </c>
      <c r="L1452" t="s">
        <v>18216</v>
      </c>
      <c r="M1452">
        <v>262</v>
      </c>
      <c r="N1452" t="s">
        <v>18217</v>
      </c>
    </row>
    <row r="1453" spans="1:14">
      <c r="A1453" t="s">
        <v>9256</v>
      </c>
      <c r="B1453">
        <v>1706958</v>
      </c>
      <c r="C1453">
        <v>1708301</v>
      </c>
      <c r="E1453" t="s">
        <v>14314</v>
      </c>
      <c r="F1453" t="s">
        <v>18218</v>
      </c>
      <c r="H1453">
        <v>93522914</v>
      </c>
      <c r="I1453" t="s">
        <v>14292</v>
      </c>
      <c r="L1453" t="s">
        <v>18219</v>
      </c>
      <c r="M1453">
        <v>447</v>
      </c>
      <c r="N1453" t="s">
        <v>18220</v>
      </c>
    </row>
    <row r="1454" spans="1:14">
      <c r="A1454" t="s">
        <v>9256</v>
      </c>
      <c r="B1454">
        <v>1708498</v>
      </c>
      <c r="C1454">
        <v>1709370</v>
      </c>
      <c r="E1454" t="s">
        <v>14290</v>
      </c>
      <c r="F1454" t="s">
        <v>14291</v>
      </c>
      <c r="H1454">
        <v>93522915</v>
      </c>
      <c r="I1454" t="s">
        <v>14292</v>
      </c>
      <c r="L1454" t="s">
        <v>18221</v>
      </c>
      <c r="M1454">
        <v>290</v>
      </c>
      <c r="N1454" t="s">
        <v>18222</v>
      </c>
    </row>
    <row r="1455" spans="1:14">
      <c r="A1455" t="s">
        <v>9256</v>
      </c>
      <c r="B1455">
        <v>1709427</v>
      </c>
      <c r="C1455">
        <v>1711682</v>
      </c>
      <c r="E1455" t="s">
        <v>14314</v>
      </c>
      <c r="F1455" t="s">
        <v>18223</v>
      </c>
      <c r="H1455">
        <v>93522916</v>
      </c>
      <c r="I1455" t="s">
        <v>14292</v>
      </c>
      <c r="L1455" t="s">
        <v>18224</v>
      </c>
      <c r="M1455">
        <v>751</v>
      </c>
      <c r="N1455" t="s">
        <v>18225</v>
      </c>
    </row>
    <row r="1456" spans="1:14">
      <c r="A1456" t="s">
        <v>9256</v>
      </c>
      <c r="B1456">
        <v>1711940</v>
      </c>
      <c r="C1456">
        <v>1712479</v>
      </c>
      <c r="E1456" t="s">
        <v>14290</v>
      </c>
      <c r="F1456" t="s">
        <v>14982</v>
      </c>
      <c r="H1456">
        <v>93522917</v>
      </c>
      <c r="I1456" t="s">
        <v>14292</v>
      </c>
      <c r="L1456" t="s">
        <v>18226</v>
      </c>
      <c r="M1456">
        <v>179</v>
      </c>
      <c r="N1456" t="s">
        <v>18227</v>
      </c>
    </row>
    <row r="1457" spans="1:14">
      <c r="A1457" t="s">
        <v>9256</v>
      </c>
      <c r="B1457">
        <v>1712587</v>
      </c>
      <c r="C1457">
        <v>1712697</v>
      </c>
      <c r="E1457" t="s">
        <v>14314</v>
      </c>
      <c r="F1457" t="s">
        <v>16989</v>
      </c>
      <c r="G1457" t="s">
        <v>16990</v>
      </c>
      <c r="H1457">
        <v>93522918</v>
      </c>
      <c r="I1457" t="s">
        <v>16991</v>
      </c>
      <c r="N1457" t="s">
        <v>18228</v>
      </c>
    </row>
    <row r="1458" spans="1:14">
      <c r="A1458" t="s">
        <v>9256</v>
      </c>
      <c r="B1458">
        <v>1712781</v>
      </c>
      <c r="C1458">
        <v>1715657</v>
      </c>
      <c r="E1458" t="s">
        <v>14314</v>
      </c>
      <c r="F1458" t="s">
        <v>16993</v>
      </c>
      <c r="H1458">
        <v>93522919</v>
      </c>
      <c r="I1458" t="s">
        <v>16991</v>
      </c>
      <c r="N1458" t="s">
        <v>18229</v>
      </c>
    </row>
    <row r="1459" spans="1:14">
      <c r="A1459" t="s">
        <v>9256</v>
      </c>
      <c r="B1459">
        <v>1715763</v>
      </c>
      <c r="C1459">
        <v>1715836</v>
      </c>
      <c r="E1459" t="s">
        <v>14314</v>
      </c>
      <c r="F1459" t="s">
        <v>16995</v>
      </c>
      <c r="H1459">
        <v>93522920</v>
      </c>
      <c r="I1459" t="s">
        <v>13638</v>
      </c>
      <c r="N1459" t="s">
        <v>18230</v>
      </c>
    </row>
    <row r="1460" spans="1:14">
      <c r="A1460" t="s">
        <v>9256</v>
      </c>
      <c r="B1460">
        <v>1715847</v>
      </c>
      <c r="C1460">
        <v>1715920</v>
      </c>
      <c r="E1460" t="s">
        <v>14314</v>
      </c>
      <c r="F1460" t="s">
        <v>16997</v>
      </c>
      <c r="H1460">
        <v>93522921</v>
      </c>
      <c r="I1460" t="s">
        <v>13638</v>
      </c>
      <c r="N1460" t="s">
        <v>18231</v>
      </c>
    </row>
    <row r="1461" spans="1:14">
      <c r="A1461" t="s">
        <v>9256</v>
      </c>
      <c r="B1461">
        <v>1716071</v>
      </c>
      <c r="C1461">
        <v>1717595</v>
      </c>
      <c r="E1461" t="s">
        <v>14314</v>
      </c>
      <c r="F1461" t="s">
        <v>16999</v>
      </c>
      <c r="H1461">
        <v>93522922</v>
      </c>
      <c r="I1461" t="s">
        <v>16991</v>
      </c>
      <c r="N1461" t="s">
        <v>18232</v>
      </c>
    </row>
    <row r="1462" spans="1:14">
      <c r="A1462" t="s">
        <v>9256</v>
      </c>
      <c r="B1462">
        <v>1718200</v>
      </c>
      <c r="C1462">
        <v>1718424</v>
      </c>
      <c r="E1462" t="s">
        <v>14290</v>
      </c>
      <c r="F1462" t="s">
        <v>14291</v>
      </c>
      <c r="H1462">
        <v>93522923</v>
      </c>
      <c r="I1462" t="s">
        <v>14292</v>
      </c>
      <c r="L1462" t="s">
        <v>18233</v>
      </c>
      <c r="M1462">
        <v>74</v>
      </c>
      <c r="N1462" t="s">
        <v>18234</v>
      </c>
    </row>
    <row r="1463" spans="1:14">
      <c r="A1463" t="s">
        <v>9256</v>
      </c>
      <c r="B1463">
        <v>1718672</v>
      </c>
      <c r="C1463">
        <v>1718983</v>
      </c>
      <c r="E1463" t="s">
        <v>14314</v>
      </c>
      <c r="F1463" t="s">
        <v>15759</v>
      </c>
      <c r="H1463">
        <v>93522924</v>
      </c>
      <c r="I1463" t="s">
        <v>14292</v>
      </c>
      <c r="L1463" t="s">
        <v>18235</v>
      </c>
      <c r="M1463">
        <v>103</v>
      </c>
      <c r="N1463" t="s">
        <v>18236</v>
      </c>
    </row>
    <row r="1464" spans="1:14">
      <c r="A1464" t="s">
        <v>9256</v>
      </c>
      <c r="B1464">
        <v>1719482</v>
      </c>
      <c r="C1464">
        <v>1720597</v>
      </c>
      <c r="E1464" t="s">
        <v>14314</v>
      </c>
      <c r="F1464" t="s">
        <v>15166</v>
      </c>
      <c r="H1464">
        <v>93522925</v>
      </c>
      <c r="I1464" t="s">
        <v>14292</v>
      </c>
      <c r="L1464" t="s">
        <v>18237</v>
      </c>
      <c r="M1464">
        <v>371</v>
      </c>
      <c r="N1464" t="s">
        <v>18238</v>
      </c>
    </row>
    <row r="1465" spans="1:14">
      <c r="A1465" t="s">
        <v>9256</v>
      </c>
      <c r="B1465">
        <v>1720792</v>
      </c>
      <c r="C1465">
        <v>1721226</v>
      </c>
      <c r="E1465" t="s">
        <v>14290</v>
      </c>
      <c r="F1465" t="s">
        <v>15103</v>
      </c>
      <c r="H1465">
        <v>93522926</v>
      </c>
      <c r="I1465" t="s">
        <v>14292</v>
      </c>
      <c r="L1465" t="s">
        <v>18239</v>
      </c>
      <c r="M1465">
        <v>144</v>
      </c>
      <c r="N1465" t="s">
        <v>18240</v>
      </c>
    </row>
    <row r="1466" spans="1:14">
      <c r="A1466" t="s">
        <v>9256</v>
      </c>
      <c r="B1466">
        <v>1721223</v>
      </c>
      <c r="C1466">
        <v>1721693</v>
      </c>
      <c r="E1466" t="s">
        <v>14290</v>
      </c>
      <c r="F1466" t="s">
        <v>14487</v>
      </c>
      <c r="H1466">
        <v>93522927</v>
      </c>
      <c r="I1466" t="s">
        <v>14292</v>
      </c>
      <c r="L1466" t="s">
        <v>18241</v>
      </c>
      <c r="M1466">
        <v>156</v>
      </c>
      <c r="N1466" t="s">
        <v>18242</v>
      </c>
    </row>
    <row r="1467" spans="1:14">
      <c r="A1467" t="s">
        <v>9256</v>
      </c>
      <c r="B1467">
        <v>1721764</v>
      </c>
      <c r="C1467">
        <v>1722738</v>
      </c>
      <c r="E1467" t="s">
        <v>14290</v>
      </c>
      <c r="F1467" t="s">
        <v>14972</v>
      </c>
      <c r="H1467">
        <v>93522928</v>
      </c>
      <c r="I1467" t="s">
        <v>14292</v>
      </c>
      <c r="L1467" t="s">
        <v>18243</v>
      </c>
      <c r="M1467">
        <v>324</v>
      </c>
      <c r="N1467" t="s">
        <v>18244</v>
      </c>
    </row>
    <row r="1468" spans="1:14">
      <c r="A1468" t="s">
        <v>9256</v>
      </c>
      <c r="B1468">
        <v>1723001</v>
      </c>
      <c r="C1468">
        <v>1726144</v>
      </c>
      <c r="E1468" t="s">
        <v>14290</v>
      </c>
      <c r="F1468" t="s">
        <v>14965</v>
      </c>
      <c r="H1468">
        <v>93522929</v>
      </c>
      <c r="I1468" t="s">
        <v>14292</v>
      </c>
      <c r="L1468" t="s">
        <v>18245</v>
      </c>
      <c r="M1468">
        <v>1047</v>
      </c>
      <c r="N1468" t="s">
        <v>18246</v>
      </c>
    </row>
    <row r="1469" spans="1:14">
      <c r="A1469" t="s">
        <v>9256</v>
      </c>
      <c r="B1469">
        <v>1726164</v>
      </c>
      <c r="C1469">
        <v>1727732</v>
      </c>
      <c r="E1469" t="s">
        <v>14290</v>
      </c>
      <c r="F1469" t="s">
        <v>15179</v>
      </c>
      <c r="H1469">
        <v>93522930</v>
      </c>
      <c r="I1469" t="s">
        <v>14292</v>
      </c>
      <c r="L1469" t="s">
        <v>18247</v>
      </c>
      <c r="M1469">
        <v>522</v>
      </c>
      <c r="N1469" t="s">
        <v>18248</v>
      </c>
    </row>
    <row r="1470" spans="1:14">
      <c r="A1470" t="s">
        <v>9256</v>
      </c>
      <c r="B1470">
        <v>1727805</v>
      </c>
      <c r="C1470">
        <v>1729349</v>
      </c>
      <c r="E1470" t="s">
        <v>14290</v>
      </c>
      <c r="F1470" t="s">
        <v>15836</v>
      </c>
      <c r="H1470">
        <v>93522931</v>
      </c>
      <c r="I1470" t="s">
        <v>14292</v>
      </c>
      <c r="L1470" t="s">
        <v>18249</v>
      </c>
      <c r="M1470">
        <v>514</v>
      </c>
      <c r="N1470" t="s">
        <v>18250</v>
      </c>
    </row>
    <row r="1471" spans="1:14">
      <c r="A1471" t="s">
        <v>9256</v>
      </c>
      <c r="B1471">
        <v>1729448</v>
      </c>
      <c r="C1471">
        <v>1730254</v>
      </c>
      <c r="E1471" t="s">
        <v>14290</v>
      </c>
      <c r="F1471" t="s">
        <v>15435</v>
      </c>
      <c r="H1471">
        <v>93522932</v>
      </c>
      <c r="I1471" t="s">
        <v>14292</v>
      </c>
      <c r="L1471" t="s">
        <v>18251</v>
      </c>
      <c r="M1471">
        <v>268</v>
      </c>
      <c r="N1471" t="s">
        <v>18252</v>
      </c>
    </row>
    <row r="1472" spans="1:14">
      <c r="A1472" t="s">
        <v>9256</v>
      </c>
      <c r="B1472">
        <v>1730261</v>
      </c>
      <c r="C1472">
        <v>1730983</v>
      </c>
      <c r="E1472" t="s">
        <v>14290</v>
      </c>
      <c r="F1472" t="s">
        <v>18253</v>
      </c>
      <c r="H1472">
        <v>93522933</v>
      </c>
      <c r="I1472" t="s">
        <v>14292</v>
      </c>
      <c r="L1472" t="s">
        <v>18254</v>
      </c>
      <c r="M1472">
        <v>240</v>
      </c>
      <c r="N1472" t="s">
        <v>18255</v>
      </c>
    </row>
    <row r="1473" spans="1:14">
      <c r="A1473" t="s">
        <v>9256</v>
      </c>
      <c r="B1473">
        <v>1730999</v>
      </c>
      <c r="C1473">
        <v>1731925</v>
      </c>
      <c r="E1473" t="s">
        <v>14290</v>
      </c>
      <c r="F1473" t="s">
        <v>18256</v>
      </c>
      <c r="H1473">
        <v>93522934</v>
      </c>
      <c r="I1473" t="s">
        <v>14292</v>
      </c>
      <c r="L1473" t="s">
        <v>18257</v>
      </c>
      <c r="M1473">
        <v>308</v>
      </c>
      <c r="N1473" t="s">
        <v>18258</v>
      </c>
    </row>
    <row r="1474" spans="1:14">
      <c r="A1474" t="s">
        <v>9256</v>
      </c>
      <c r="B1474">
        <v>1731937</v>
      </c>
      <c r="C1474">
        <v>1733208</v>
      </c>
      <c r="E1474" t="s">
        <v>14290</v>
      </c>
      <c r="F1474" t="s">
        <v>14445</v>
      </c>
      <c r="H1474">
        <v>93522935</v>
      </c>
      <c r="I1474" t="s">
        <v>14292</v>
      </c>
      <c r="L1474" t="s">
        <v>18259</v>
      </c>
      <c r="M1474">
        <v>423</v>
      </c>
      <c r="N1474" t="s">
        <v>18260</v>
      </c>
    </row>
    <row r="1475" spans="1:14">
      <c r="A1475" t="s">
        <v>9256</v>
      </c>
      <c r="B1475">
        <v>1733243</v>
      </c>
      <c r="C1475">
        <v>1735225</v>
      </c>
      <c r="E1475" t="s">
        <v>14290</v>
      </c>
      <c r="F1475" t="s">
        <v>18261</v>
      </c>
      <c r="H1475">
        <v>93522936</v>
      </c>
      <c r="I1475" t="s">
        <v>14292</v>
      </c>
      <c r="L1475" t="s">
        <v>18262</v>
      </c>
      <c r="M1475">
        <v>660</v>
      </c>
      <c r="N1475" t="s">
        <v>18263</v>
      </c>
    </row>
    <row r="1476" spans="1:14">
      <c r="A1476" t="s">
        <v>9256</v>
      </c>
      <c r="B1476">
        <v>1735406</v>
      </c>
      <c r="C1476">
        <v>1736122</v>
      </c>
      <c r="E1476" t="s">
        <v>14290</v>
      </c>
      <c r="F1476" t="s">
        <v>18264</v>
      </c>
      <c r="H1476">
        <v>93522937</v>
      </c>
      <c r="I1476" t="s">
        <v>14292</v>
      </c>
      <c r="L1476" t="s">
        <v>18265</v>
      </c>
      <c r="M1476">
        <v>238</v>
      </c>
      <c r="N1476" t="s">
        <v>18266</v>
      </c>
    </row>
    <row r="1477" spans="1:14">
      <c r="A1477" t="s">
        <v>9256</v>
      </c>
      <c r="B1477">
        <v>1736119</v>
      </c>
      <c r="C1477">
        <v>1736778</v>
      </c>
      <c r="E1477" t="s">
        <v>14290</v>
      </c>
      <c r="F1477" t="s">
        <v>14403</v>
      </c>
      <c r="H1477">
        <v>93522938</v>
      </c>
      <c r="I1477" t="s">
        <v>14292</v>
      </c>
      <c r="L1477" t="s">
        <v>18267</v>
      </c>
      <c r="M1477">
        <v>219</v>
      </c>
      <c r="N1477" t="s">
        <v>18268</v>
      </c>
    </row>
    <row r="1478" spans="1:14">
      <c r="A1478" t="s">
        <v>9256</v>
      </c>
      <c r="B1478">
        <v>1736772</v>
      </c>
      <c r="C1478">
        <v>1742606</v>
      </c>
      <c r="E1478" t="s">
        <v>14314</v>
      </c>
      <c r="F1478" t="s">
        <v>14291</v>
      </c>
      <c r="H1478">
        <v>93522939</v>
      </c>
      <c r="I1478" t="s">
        <v>14292</v>
      </c>
      <c r="L1478" t="s">
        <v>18269</v>
      </c>
      <c r="M1478">
        <v>1944</v>
      </c>
      <c r="N1478" t="s">
        <v>18270</v>
      </c>
    </row>
    <row r="1479" spans="1:14">
      <c r="A1479" t="s">
        <v>9256</v>
      </c>
      <c r="B1479">
        <v>1742644</v>
      </c>
      <c r="C1479">
        <v>1744280</v>
      </c>
      <c r="E1479" t="s">
        <v>14314</v>
      </c>
      <c r="F1479" t="s">
        <v>14414</v>
      </c>
      <c r="H1479">
        <v>93525988</v>
      </c>
      <c r="I1479" t="s">
        <v>14415</v>
      </c>
      <c r="N1479" t="s">
        <v>18271</v>
      </c>
    </row>
    <row r="1480" spans="1:14">
      <c r="A1480" t="s">
        <v>9256</v>
      </c>
      <c r="B1480">
        <v>1744305</v>
      </c>
      <c r="C1480">
        <v>1745414</v>
      </c>
      <c r="E1480" t="s">
        <v>14314</v>
      </c>
      <c r="F1480" t="s">
        <v>18272</v>
      </c>
      <c r="H1480">
        <v>93522940</v>
      </c>
      <c r="I1480" t="s">
        <v>14292</v>
      </c>
      <c r="L1480" t="s">
        <v>18273</v>
      </c>
      <c r="M1480">
        <v>369</v>
      </c>
      <c r="N1480" t="s">
        <v>18274</v>
      </c>
    </row>
    <row r="1481" spans="1:14">
      <c r="A1481" t="s">
        <v>9256</v>
      </c>
      <c r="B1481">
        <v>1745582</v>
      </c>
      <c r="C1481">
        <v>1747690</v>
      </c>
      <c r="E1481" t="s">
        <v>14314</v>
      </c>
      <c r="F1481" t="s">
        <v>18275</v>
      </c>
      <c r="H1481">
        <v>93522941</v>
      </c>
      <c r="I1481" t="s">
        <v>14292</v>
      </c>
      <c r="L1481" t="s">
        <v>18276</v>
      </c>
      <c r="M1481">
        <v>702</v>
      </c>
      <c r="N1481" t="s">
        <v>18277</v>
      </c>
    </row>
    <row r="1482" spans="1:14">
      <c r="A1482" t="s">
        <v>9256</v>
      </c>
      <c r="B1482">
        <v>1747754</v>
      </c>
      <c r="C1482">
        <v>1749223</v>
      </c>
      <c r="E1482" t="s">
        <v>14314</v>
      </c>
      <c r="F1482" t="s">
        <v>17424</v>
      </c>
      <c r="H1482">
        <v>93522942</v>
      </c>
      <c r="I1482" t="s">
        <v>14292</v>
      </c>
      <c r="L1482" t="s">
        <v>18278</v>
      </c>
      <c r="M1482">
        <v>489</v>
      </c>
      <c r="N1482" t="s">
        <v>18279</v>
      </c>
    </row>
    <row r="1483" spans="1:14">
      <c r="A1483" t="s">
        <v>9256</v>
      </c>
      <c r="B1483">
        <v>1749243</v>
      </c>
      <c r="C1483">
        <v>1749833</v>
      </c>
      <c r="E1483" t="s">
        <v>14314</v>
      </c>
      <c r="F1483" t="s">
        <v>17427</v>
      </c>
      <c r="H1483">
        <v>93522943</v>
      </c>
      <c r="I1483" t="s">
        <v>14292</v>
      </c>
      <c r="L1483" t="s">
        <v>18280</v>
      </c>
      <c r="M1483">
        <v>196</v>
      </c>
      <c r="N1483" t="s">
        <v>18281</v>
      </c>
    </row>
    <row r="1484" spans="1:14">
      <c r="A1484" t="s">
        <v>9256</v>
      </c>
      <c r="B1484">
        <v>1750444</v>
      </c>
      <c r="C1484">
        <v>1751403</v>
      </c>
      <c r="E1484" t="s">
        <v>14314</v>
      </c>
      <c r="F1484" t="s">
        <v>15126</v>
      </c>
      <c r="H1484">
        <v>93522944</v>
      </c>
      <c r="I1484" t="s">
        <v>14292</v>
      </c>
      <c r="L1484" t="s">
        <v>18282</v>
      </c>
      <c r="M1484">
        <v>319</v>
      </c>
      <c r="N1484" t="s">
        <v>18283</v>
      </c>
    </row>
    <row r="1485" spans="1:14">
      <c r="A1485" t="s">
        <v>9256</v>
      </c>
      <c r="B1485">
        <v>1751522</v>
      </c>
      <c r="C1485">
        <v>1752886</v>
      </c>
      <c r="E1485" t="s">
        <v>14290</v>
      </c>
      <c r="F1485" t="s">
        <v>18284</v>
      </c>
      <c r="H1485">
        <v>93522945</v>
      </c>
      <c r="I1485" t="s">
        <v>14292</v>
      </c>
      <c r="L1485" t="s">
        <v>18285</v>
      </c>
      <c r="M1485">
        <v>454</v>
      </c>
      <c r="N1485" t="s">
        <v>18286</v>
      </c>
    </row>
    <row r="1486" spans="1:14">
      <c r="A1486" t="s">
        <v>9256</v>
      </c>
      <c r="B1486">
        <v>1752964</v>
      </c>
      <c r="C1486">
        <v>1753692</v>
      </c>
      <c r="E1486" t="s">
        <v>14290</v>
      </c>
      <c r="F1486" t="s">
        <v>18287</v>
      </c>
      <c r="H1486">
        <v>93522946</v>
      </c>
      <c r="I1486" t="s">
        <v>14292</v>
      </c>
      <c r="L1486" t="s">
        <v>18288</v>
      </c>
      <c r="M1486">
        <v>242</v>
      </c>
      <c r="N1486" t="s">
        <v>18289</v>
      </c>
    </row>
    <row r="1487" spans="1:14">
      <c r="A1487" t="s">
        <v>9256</v>
      </c>
      <c r="B1487">
        <v>1753728</v>
      </c>
      <c r="C1487">
        <v>1754492</v>
      </c>
      <c r="E1487" t="s">
        <v>14290</v>
      </c>
      <c r="F1487" t="s">
        <v>15166</v>
      </c>
      <c r="H1487">
        <v>93522947</v>
      </c>
      <c r="I1487" t="s">
        <v>14292</v>
      </c>
      <c r="L1487" t="s">
        <v>18290</v>
      </c>
      <c r="M1487">
        <v>254</v>
      </c>
      <c r="N1487" t="s">
        <v>18291</v>
      </c>
    </row>
    <row r="1488" spans="1:14">
      <c r="A1488" t="s">
        <v>9256</v>
      </c>
      <c r="B1488">
        <v>1754495</v>
      </c>
      <c r="C1488">
        <v>1755001</v>
      </c>
      <c r="E1488" t="s">
        <v>14314</v>
      </c>
      <c r="F1488" t="s">
        <v>16172</v>
      </c>
      <c r="H1488">
        <v>93522948</v>
      </c>
      <c r="I1488" t="s">
        <v>14292</v>
      </c>
      <c r="L1488" t="s">
        <v>18292</v>
      </c>
      <c r="M1488">
        <v>168</v>
      </c>
      <c r="N1488" t="s">
        <v>18293</v>
      </c>
    </row>
    <row r="1489" spans="1:14">
      <c r="A1489" t="s">
        <v>9256</v>
      </c>
      <c r="B1489">
        <v>1755041</v>
      </c>
      <c r="C1489">
        <v>1757368</v>
      </c>
      <c r="E1489" t="s">
        <v>14314</v>
      </c>
      <c r="F1489" t="s">
        <v>15450</v>
      </c>
      <c r="H1489">
        <v>93522949</v>
      </c>
      <c r="I1489" t="s">
        <v>14292</v>
      </c>
      <c r="L1489" t="s">
        <v>18294</v>
      </c>
      <c r="M1489">
        <v>775</v>
      </c>
      <c r="N1489" t="s">
        <v>18295</v>
      </c>
    </row>
    <row r="1490" spans="1:14">
      <c r="A1490" t="s">
        <v>9256</v>
      </c>
      <c r="B1490">
        <v>1757544</v>
      </c>
      <c r="C1490">
        <v>1758944</v>
      </c>
      <c r="E1490" t="s">
        <v>14290</v>
      </c>
      <c r="F1490" t="s">
        <v>14874</v>
      </c>
      <c r="H1490">
        <v>93522950</v>
      </c>
      <c r="I1490" t="s">
        <v>14292</v>
      </c>
      <c r="L1490" t="s">
        <v>18296</v>
      </c>
      <c r="M1490">
        <v>466</v>
      </c>
      <c r="N1490" t="s">
        <v>18297</v>
      </c>
    </row>
    <row r="1491" spans="1:14">
      <c r="A1491" t="s">
        <v>9256</v>
      </c>
      <c r="B1491">
        <v>1758965</v>
      </c>
      <c r="C1491">
        <v>1760173</v>
      </c>
      <c r="E1491" t="s">
        <v>14290</v>
      </c>
      <c r="F1491" t="s">
        <v>18298</v>
      </c>
      <c r="H1491">
        <v>93522951</v>
      </c>
      <c r="I1491" t="s">
        <v>14292</v>
      </c>
      <c r="L1491" t="s">
        <v>18299</v>
      </c>
      <c r="M1491">
        <v>402</v>
      </c>
      <c r="N1491" t="s">
        <v>18300</v>
      </c>
    </row>
    <row r="1492" spans="1:14">
      <c r="A1492" t="s">
        <v>9256</v>
      </c>
      <c r="B1492">
        <v>1760176</v>
      </c>
      <c r="C1492">
        <v>1761396</v>
      </c>
      <c r="E1492" t="s">
        <v>14314</v>
      </c>
      <c r="F1492" t="s">
        <v>18301</v>
      </c>
      <c r="H1492">
        <v>93522952</v>
      </c>
      <c r="I1492" t="s">
        <v>14292</v>
      </c>
      <c r="L1492" t="s">
        <v>18302</v>
      </c>
      <c r="M1492">
        <v>406</v>
      </c>
      <c r="N1492" t="s">
        <v>18303</v>
      </c>
    </row>
    <row r="1493" spans="1:14">
      <c r="A1493" t="s">
        <v>9256</v>
      </c>
      <c r="B1493">
        <v>1761571</v>
      </c>
      <c r="C1493">
        <v>1763139</v>
      </c>
      <c r="E1493" t="s">
        <v>14290</v>
      </c>
      <c r="F1493" t="s">
        <v>14870</v>
      </c>
      <c r="H1493">
        <v>93522953</v>
      </c>
      <c r="I1493" t="s">
        <v>14292</v>
      </c>
      <c r="L1493" t="s">
        <v>18304</v>
      </c>
      <c r="M1493">
        <v>522</v>
      </c>
      <c r="N1493" t="s">
        <v>18305</v>
      </c>
    </row>
    <row r="1494" spans="1:14">
      <c r="A1494" t="s">
        <v>9256</v>
      </c>
      <c r="B1494">
        <v>1763144</v>
      </c>
      <c r="C1494">
        <v>1764790</v>
      </c>
      <c r="E1494" t="s">
        <v>14290</v>
      </c>
      <c r="F1494" t="s">
        <v>18306</v>
      </c>
      <c r="H1494">
        <v>93522954</v>
      </c>
      <c r="I1494" t="s">
        <v>14292</v>
      </c>
      <c r="L1494" t="s">
        <v>18307</v>
      </c>
      <c r="M1494">
        <v>548</v>
      </c>
      <c r="N1494" t="s">
        <v>18308</v>
      </c>
    </row>
    <row r="1495" spans="1:14">
      <c r="A1495" t="s">
        <v>9256</v>
      </c>
      <c r="B1495">
        <v>1764885</v>
      </c>
      <c r="C1495">
        <v>1765496</v>
      </c>
      <c r="E1495" t="s">
        <v>14290</v>
      </c>
      <c r="F1495" t="s">
        <v>15057</v>
      </c>
      <c r="H1495">
        <v>93522955</v>
      </c>
      <c r="I1495" t="s">
        <v>14292</v>
      </c>
      <c r="L1495" t="s">
        <v>18309</v>
      </c>
      <c r="M1495">
        <v>203</v>
      </c>
      <c r="N1495" t="s">
        <v>18310</v>
      </c>
    </row>
    <row r="1496" spans="1:14">
      <c r="A1496" t="s">
        <v>9256</v>
      </c>
      <c r="B1496">
        <v>1765515</v>
      </c>
      <c r="C1496">
        <v>1766444</v>
      </c>
      <c r="E1496" t="s">
        <v>14290</v>
      </c>
      <c r="F1496" t="s">
        <v>18311</v>
      </c>
      <c r="H1496">
        <v>93522956</v>
      </c>
      <c r="I1496" t="s">
        <v>14292</v>
      </c>
      <c r="L1496" t="s">
        <v>18312</v>
      </c>
      <c r="M1496">
        <v>309</v>
      </c>
      <c r="N1496" t="s">
        <v>18313</v>
      </c>
    </row>
    <row r="1497" spans="1:14">
      <c r="A1497" t="s">
        <v>9256</v>
      </c>
      <c r="B1497">
        <v>1766518</v>
      </c>
      <c r="C1497">
        <v>1767573</v>
      </c>
      <c r="E1497" t="s">
        <v>14290</v>
      </c>
      <c r="F1497" t="s">
        <v>18314</v>
      </c>
      <c r="H1497">
        <v>93522957</v>
      </c>
      <c r="I1497" t="s">
        <v>14292</v>
      </c>
      <c r="L1497" t="s">
        <v>18315</v>
      </c>
      <c r="M1497">
        <v>351</v>
      </c>
      <c r="N1497" t="s">
        <v>18316</v>
      </c>
    </row>
    <row r="1498" spans="1:14">
      <c r="A1498" t="s">
        <v>9256</v>
      </c>
      <c r="B1498">
        <v>1767697</v>
      </c>
      <c r="C1498">
        <v>1769460</v>
      </c>
      <c r="E1498" t="s">
        <v>14290</v>
      </c>
      <c r="F1498" t="s">
        <v>18317</v>
      </c>
      <c r="H1498">
        <v>93522958</v>
      </c>
      <c r="I1498" t="s">
        <v>14292</v>
      </c>
      <c r="L1498" t="s">
        <v>18318</v>
      </c>
      <c r="M1498">
        <v>587</v>
      </c>
      <c r="N1498" t="s">
        <v>18319</v>
      </c>
    </row>
    <row r="1499" spans="1:14">
      <c r="A1499" t="s">
        <v>9256</v>
      </c>
      <c r="B1499">
        <v>1769581</v>
      </c>
      <c r="C1499">
        <v>1770621</v>
      </c>
      <c r="E1499" t="s">
        <v>14290</v>
      </c>
      <c r="F1499" t="s">
        <v>16249</v>
      </c>
      <c r="H1499">
        <v>93522959</v>
      </c>
      <c r="I1499" t="s">
        <v>14292</v>
      </c>
      <c r="L1499" t="s">
        <v>18320</v>
      </c>
      <c r="M1499">
        <v>346</v>
      </c>
      <c r="N1499" t="s">
        <v>18321</v>
      </c>
    </row>
    <row r="1500" spans="1:14">
      <c r="A1500" t="s">
        <v>9256</v>
      </c>
      <c r="B1500">
        <v>1770649</v>
      </c>
      <c r="C1500">
        <v>1772259</v>
      </c>
      <c r="E1500" t="s">
        <v>14290</v>
      </c>
      <c r="F1500" t="s">
        <v>18322</v>
      </c>
      <c r="H1500">
        <v>93522960</v>
      </c>
      <c r="I1500" t="s">
        <v>14292</v>
      </c>
      <c r="L1500" t="s">
        <v>18323</v>
      </c>
      <c r="M1500">
        <v>536</v>
      </c>
      <c r="N1500" t="s">
        <v>18324</v>
      </c>
    </row>
    <row r="1501" spans="1:14">
      <c r="A1501" t="s">
        <v>9256</v>
      </c>
      <c r="B1501">
        <v>1772333</v>
      </c>
      <c r="C1501">
        <v>1773502</v>
      </c>
      <c r="E1501" t="s">
        <v>14290</v>
      </c>
      <c r="F1501" t="s">
        <v>16402</v>
      </c>
      <c r="H1501">
        <v>93522961</v>
      </c>
      <c r="I1501" t="s">
        <v>14292</v>
      </c>
      <c r="L1501" t="s">
        <v>18325</v>
      </c>
      <c r="M1501">
        <v>389</v>
      </c>
      <c r="N1501" t="s">
        <v>18326</v>
      </c>
    </row>
    <row r="1502" spans="1:14">
      <c r="A1502" t="s">
        <v>9256</v>
      </c>
      <c r="B1502">
        <v>1773642</v>
      </c>
      <c r="C1502">
        <v>1775774</v>
      </c>
      <c r="E1502" t="s">
        <v>14314</v>
      </c>
      <c r="F1502" t="s">
        <v>18327</v>
      </c>
      <c r="H1502">
        <v>93522962</v>
      </c>
      <c r="I1502" t="s">
        <v>14292</v>
      </c>
      <c r="L1502" t="s">
        <v>18328</v>
      </c>
      <c r="M1502">
        <v>710</v>
      </c>
      <c r="N1502" t="s">
        <v>18329</v>
      </c>
    </row>
    <row r="1503" spans="1:14">
      <c r="A1503" t="s">
        <v>9256</v>
      </c>
      <c r="B1503">
        <v>1775804</v>
      </c>
      <c r="C1503">
        <v>1777162</v>
      </c>
      <c r="E1503" t="s">
        <v>14314</v>
      </c>
      <c r="F1503" t="s">
        <v>18330</v>
      </c>
      <c r="H1503">
        <v>93522963</v>
      </c>
      <c r="I1503" t="s">
        <v>14292</v>
      </c>
      <c r="L1503" t="s">
        <v>18331</v>
      </c>
      <c r="M1503">
        <v>452</v>
      </c>
      <c r="N1503" t="s">
        <v>18332</v>
      </c>
    </row>
    <row r="1504" spans="1:14">
      <c r="A1504" t="s">
        <v>9256</v>
      </c>
      <c r="B1504">
        <v>1777295</v>
      </c>
      <c r="C1504">
        <v>1779382</v>
      </c>
      <c r="E1504" t="s">
        <v>14290</v>
      </c>
      <c r="F1504" t="s">
        <v>14493</v>
      </c>
      <c r="H1504">
        <v>93522964</v>
      </c>
      <c r="I1504" t="s">
        <v>14292</v>
      </c>
      <c r="L1504" t="s">
        <v>18333</v>
      </c>
      <c r="M1504">
        <v>695</v>
      </c>
      <c r="N1504" t="s">
        <v>18334</v>
      </c>
    </row>
    <row r="1505" spans="1:14">
      <c r="A1505" t="s">
        <v>9256</v>
      </c>
      <c r="B1505">
        <v>1779379</v>
      </c>
      <c r="C1505">
        <v>1780875</v>
      </c>
      <c r="E1505" t="s">
        <v>14314</v>
      </c>
      <c r="F1505" t="s">
        <v>14326</v>
      </c>
      <c r="H1505">
        <v>93522965</v>
      </c>
      <c r="I1505" t="s">
        <v>14292</v>
      </c>
      <c r="L1505" t="s">
        <v>18335</v>
      </c>
      <c r="M1505">
        <v>498</v>
      </c>
      <c r="N1505" t="s">
        <v>18336</v>
      </c>
    </row>
    <row r="1506" spans="1:14">
      <c r="A1506" t="s">
        <v>9256</v>
      </c>
      <c r="B1506">
        <v>1780887</v>
      </c>
      <c r="C1506">
        <v>1781912</v>
      </c>
      <c r="E1506" t="s">
        <v>14314</v>
      </c>
      <c r="F1506" t="s">
        <v>18337</v>
      </c>
      <c r="G1506" t="s">
        <v>18338</v>
      </c>
      <c r="H1506">
        <v>93522966</v>
      </c>
      <c r="I1506" t="s">
        <v>14292</v>
      </c>
      <c r="L1506" t="s">
        <v>18339</v>
      </c>
      <c r="M1506">
        <v>341</v>
      </c>
      <c r="N1506" t="s">
        <v>18340</v>
      </c>
    </row>
    <row r="1507" spans="1:14">
      <c r="A1507" t="s">
        <v>9256</v>
      </c>
      <c r="B1507">
        <v>1782041</v>
      </c>
      <c r="C1507">
        <v>1783216</v>
      </c>
      <c r="E1507" t="s">
        <v>14290</v>
      </c>
      <c r="F1507" t="s">
        <v>18341</v>
      </c>
      <c r="H1507">
        <v>93522967</v>
      </c>
      <c r="I1507" t="s">
        <v>14292</v>
      </c>
      <c r="L1507" t="s">
        <v>18342</v>
      </c>
      <c r="M1507">
        <v>391</v>
      </c>
      <c r="N1507" t="s">
        <v>18343</v>
      </c>
    </row>
    <row r="1508" spans="1:14">
      <c r="A1508" t="s">
        <v>9256</v>
      </c>
      <c r="B1508">
        <v>1783499</v>
      </c>
      <c r="C1508">
        <v>1785067</v>
      </c>
      <c r="E1508" t="s">
        <v>14290</v>
      </c>
      <c r="F1508" t="s">
        <v>14870</v>
      </c>
      <c r="H1508">
        <v>93522968</v>
      </c>
      <c r="I1508" t="s">
        <v>14292</v>
      </c>
      <c r="L1508" t="s">
        <v>18344</v>
      </c>
      <c r="M1508">
        <v>522</v>
      </c>
      <c r="N1508" t="s">
        <v>18345</v>
      </c>
    </row>
    <row r="1509" spans="1:14">
      <c r="A1509" t="s">
        <v>9256</v>
      </c>
      <c r="B1509">
        <v>1785412</v>
      </c>
      <c r="C1509">
        <v>1786314</v>
      </c>
      <c r="E1509" t="s">
        <v>14314</v>
      </c>
      <c r="F1509" t="s">
        <v>15762</v>
      </c>
      <c r="H1509">
        <v>93522969</v>
      </c>
      <c r="I1509" t="s">
        <v>14292</v>
      </c>
      <c r="L1509" t="s">
        <v>18346</v>
      </c>
      <c r="M1509">
        <v>300</v>
      </c>
      <c r="N1509" t="s">
        <v>18347</v>
      </c>
    </row>
    <row r="1510" spans="1:14">
      <c r="A1510" t="s">
        <v>9256</v>
      </c>
      <c r="B1510">
        <v>1786272</v>
      </c>
      <c r="C1510">
        <v>1786679</v>
      </c>
      <c r="E1510" t="s">
        <v>14314</v>
      </c>
      <c r="F1510" t="s">
        <v>15759</v>
      </c>
      <c r="H1510">
        <v>93522970</v>
      </c>
      <c r="I1510" t="s">
        <v>14292</v>
      </c>
      <c r="L1510" t="s">
        <v>15760</v>
      </c>
      <c r="M1510">
        <v>135</v>
      </c>
      <c r="N1510" t="s">
        <v>18348</v>
      </c>
    </row>
    <row r="1511" spans="1:14">
      <c r="A1511" t="s">
        <v>9256</v>
      </c>
      <c r="B1511">
        <v>1787000</v>
      </c>
      <c r="C1511">
        <v>1788727</v>
      </c>
      <c r="E1511" t="s">
        <v>14290</v>
      </c>
      <c r="F1511" t="s">
        <v>14805</v>
      </c>
      <c r="H1511">
        <v>93522971</v>
      </c>
      <c r="I1511" t="s">
        <v>14292</v>
      </c>
      <c r="L1511" t="s">
        <v>18349</v>
      </c>
      <c r="M1511">
        <v>575</v>
      </c>
      <c r="N1511" t="s">
        <v>18350</v>
      </c>
    </row>
    <row r="1512" spans="1:14">
      <c r="A1512" t="s">
        <v>9256</v>
      </c>
      <c r="B1512">
        <v>1788832</v>
      </c>
      <c r="C1512">
        <v>1789197</v>
      </c>
      <c r="E1512" t="s">
        <v>14290</v>
      </c>
      <c r="F1512" t="s">
        <v>17611</v>
      </c>
      <c r="H1512">
        <v>93522972</v>
      </c>
      <c r="I1512" t="s">
        <v>14292</v>
      </c>
      <c r="L1512" t="s">
        <v>18351</v>
      </c>
      <c r="M1512">
        <v>121</v>
      </c>
      <c r="N1512" t="s">
        <v>18352</v>
      </c>
    </row>
    <row r="1513" spans="1:14">
      <c r="A1513" t="s">
        <v>9256</v>
      </c>
      <c r="B1513">
        <v>1789420</v>
      </c>
      <c r="C1513">
        <v>1789638</v>
      </c>
      <c r="E1513" t="s">
        <v>14290</v>
      </c>
      <c r="F1513" t="s">
        <v>17611</v>
      </c>
      <c r="H1513">
        <v>93522973</v>
      </c>
      <c r="I1513" t="s">
        <v>14292</v>
      </c>
      <c r="L1513" t="s">
        <v>18353</v>
      </c>
      <c r="M1513">
        <v>72</v>
      </c>
      <c r="N1513" t="s">
        <v>18354</v>
      </c>
    </row>
    <row r="1514" spans="1:14">
      <c r="A1514" t="s">
        <v>9256</v>
      </c>
      <c r="B1514">
        <v>1789644</v>
      </c>
      <c r="C1514">
        <v>1790351</v>
      </c>
      <c r="E1514" t="s">
        <v>14290</v>
      </c>
      <c r="F1514" t="s">
        <v>15074</v>
      </c>
      <c r="H1514">
        <v>93522974</v>
      </c>
      <c r="I1514" t="s">
        <v>14292</v>
      </c>
      <c r="L1514" t="s">
        <v>18355</v>
      </c>
      <c r="M1514">
        <v>235</v>
      </c>
      <c r="N1514" t="s">
        <v>18356</v>
      </c>
    </row>
    <row r="1515" spans="1:14">
      <c r="A1515" t="s">
        <v>9256</v>
      </c>
      <c r="B1515">
        <v>1790360</v>
      </c>
      <c r="C1515">
        <v>1790878</v>
      </c>
      <c r="E1515" t="s">
        <v>14290</v>
      </c>
      <c r="F1515" t="s">
        <v>14291</v>
      </c>
      <c r="H1515">
        <v>93522975</v>
      </c>
      <c r="I1515" t="s">
        <v>14292</v>
      </c>
      <c r="L1515" t="s">
        <v>18357</v>
      </c>
      <c r="M1515">
        <v>172</v>
      </c>
      <c r="N1515" t="s">
        <v>18358</v>
      </c>
    </row>
    <row r="1516" spans="1:14">
      <c r="A1516" t="s">
        <v>9256</v>
      </c>
      <c r="B1516">
        <v>1790889</v>
      </c>
      <c r="C1516">
        <v>1792712</v>
      </c>
      <c r="E1516" t="s">
        <v>14290</v>
      </c>
      <c r="F1516" t="s">
        <v>14291</v>
      </c>
      <c r="H1516">
        <v>93522976</v>
      </c>
      <c r="I1516" t="s">
        <v>14292</v>
      </c>
      <c r="L1516" t="s">
        <v>18359</v>
      </c>
      <c r="M1516">
        <v>607</v>
      </c>
      <c r="N1516" t="s">
        <v>18360</v>
      </c>
    </row>
    <row r="1517" spans="1:14">
      <c r="A1517" t="s">
        <v>9256</v>
      </c>
      <c r="B1517">
        <v>1792738</v>
      </c>
      <c r="C1517">
        <v>1793100</v>
      </c>
      <c r="E1517" t="s">
        <v>14290</v>
      </c>
      <c r="F1517" t="s">
        <v>18361</v>
      </c>
      <c r="H1517">
        <v>93522977</v>
      </c>
      <c r="I1517" t="s">
        <v>14292</v>
      </c>
      <c r="L1517" t="s">
        <v>18362</v>
      </c>
      <c r="M1517">
        <v>120</v>
      </c>
      <c r="N1517" t="s">
        <v>18363</v>
      </c>
    </row>
    <row r="1518" spans="1:14">
      <c r="A1518" t="s">
        <v>9256</v>
      </c>
      <c r="B1518">
        <v>1793216</v>
      </c>
      <c r="C1518">
        <v>1793395</v>
      </c>
      <c r="E1518" t="s">
        <v>14290</v>
      </c>
      <c r="F1518" t="s">
        <v>18364</v>
      </c>
      <c r="H1518">
        <v>93522978</v>
      </c>
      <c r="I1518" t="s">
        <v>14292</v>
      </c>
      <c r="L1518" t="s">
        <v>18365</v>
      </c>
      <c r="M1518">
        <v>59</v>
      </c>
      <c r="N1518" t="s">
        <v>18366</v>
      </c>
    </row>
    <row r="1519" spans="1:14">
      <c r="A1519" t="s">
        <v>9256</v>
      </c>
      <c r="B1519">
        <v>1793515</v>
      </c>
      <c r="C1519">
        <v>1794954</v>
      </c>
      <c r="E1519" t="s">
        <v>14290</v>
      </c>
      <c r="F1519" t="s">
        <v>18367</v>
      </c>
      <c r="H1519">
        <v>93522979</v>
      </c>
      <c r="I1519" t="s">
        <v>14292</v>
      </c>
      <c r="L1519" t="s">
        <v>18368</v>
      </c>
      <c r="M1519">
        <v>479</v>
      </c>
      <c r="N1519" t="s">
        <v>18369</v>
      </c>
    </row>
    <row r="1520" spans="1:14">
      <c r="A1520" t="s">
        <v>9256</v>
      </c>
      <c r="B1520">
        <v>1794960</v>
      </c>
      <c r="C1520">
        <v>1796111</v>
      </c>
      <c r="E1520" t="s">
        <v>14290</v>
      </c>
      <c r="F1520" t="s">
        <v>18370</v>
      </c>
      <c r="H1520">
        <v>93522980</v>
      </c>
      <c r="I1520" t="s">
        <v>14292</v>
      </c>
      <c r="L1520" t="s">
        <v>18371</v>
      </c>
      <c r="M1520">
        <v>383</v>
      </c>
      <c r="N1520" t="s">
        <v>18372</v>
      </c>
    </row>
    <row r="1521" spans="1:14">
      <c r="A1521" t="s">
        <v>9256</v>
      </c>
      <c r="B1521">
        <v>1796136</v>
      </c>
      <c r="C1521">
        <v>1797299</v>
      </c>
      <c r="E1521" t="s">
        <v>14290</v>
      </c>
      <c r="F1521" t="s">
        <v>18341</v>
      </c>
      <c r="H1521">
        <v>93522981</v>
      </c>
      <c r="I1521" t="s">
        <v>14292</v>
      </c>
      <c r="L1521" t="s">
        <v>18373</v>
      </c>
      <c r="M1521">
        <v>387</v>
      </c>
      <c r="N1521" t="s">
        <v>18374</v>
      </c>
    </row>
    <row r="1522" spans="1:14">
      <c r="A1522" t="s">
        <v>9256</v>
      </c>
      <c r="B1522">
        <v>1797312</v>
      </c>
      <c r="C1522">
        <v>1798184</v>
      </c>
      <c r="E1522" t="s">
        <v>14290</v>
      </c>
      <c r="F1522" t="s">
        <v>18375</v>
      </c>
      <c r="H1522">
        <v>93522982</v>
      </c>
      <c r="I1522" t="s">
        <v>14292</v>
      </c>
      <c r="L1522" t="s">
        <v>18376</v>
      </c>
      <c r="M1522">
        <v>290</v>
      </c>
      <c r="N1522" t="s">
        <v>18377</v>
      </c>
    </row>
    <row r="1523" spans="1:14">
      <c r="A1523" t="s">
        <v>9256</v>
      </c>
      <c r="B1523">
        <v>1798197</v>
      </c>
      <c r="C1523">
        <v>1799423</v>
      </c>
      <c r="E1523" t="s">
        <v>14290</v>
      </c>
      <c r="F1523" t="s">
        <v>18378</v>
      </c>
      <c r="H1523">
        <v>93522983</v>
      </c>
      <c r="I1523" t="s">
        <v>14292</v>
      </c>
      <c r="L1523" t="s">
        <v>18379</v>
      </c>
      <c r="M1523">
        <v>408</v>
      </c>
      <c r="N1523" t="s">
        <v>18380</v>
      </c>
    </row>
    <row r="1524" spans="1:14">
      <c r="A1524" t="s">
        <v>9256</v>
      </c>
      <c r="B1524">
        <v>1799423</v>
      </c>
      <c r="C1524">
        <v>1801495</v>
      </c>
      <c r="E1524" t="s">
        <v>14290</v>
      </c>
      <c r="F1524" t="s">
        <v>18378</v>
      </c>
      <c r="H1524">
        <v>93522984</v>
      </c>
      <c r="I1524" t="s">
        <v>14292</v>
      </c>
      <c r="L1524" t="s">
        <v>18381</v>
      </c>
      <c r="M1524">
        <v>690</v>
      </c>
      <c r="N1524" t="s">
        <v>18382</v>
      </c>
    </row>
    <row r="1525" spans="1:14">
      <c r="A1525" t="s">
        <v>9256</v>
      </c>
      <c r="B1525">
        <v>1801506</v>
      </c>
      <c r="C1525">
        <v>1802933</v>
      </c>
      <c r="E1525" t="s">
        <v>14290</v>
      </c>
      <c r="F1525" t="s">
        <v>15836</v>
      </c>
      <c r="H1525">
        <v>93522985</v>
      </c>
      <c r="I1525" t="s">
        <v>14292</v>
      </c>
      <c r="L1525" t="s">
        <v>18383</v>
      </c>
      <c r="M1525">
        <v>475</v>
      </c>
      <c r="N1525" t="s">
        <v>18384</v>
      </c>
    </row>
    <row r="1526" spans="1:14">
      <c r="A1526" t="s">
        <v>9256</v>
      </c>
      <c r="B1526">
        <v>1803479</v>
      </c>
      <c r="C1526">
        <v>1804672</v>
      </c>
      <c r="E1526" t="s">
        <v>14290</v>
      </c>
      <c r="F1526" t="s">
        <v>18341</v>
      </c>
      <c r="H1526">
        <v>93522986</v>
      </c>
      <c r="I1526" t="s">
        <v>14292</v>
      </c>
      <c r="L1526" t="s">
        <v>18385</v>
      </c>
      <c r="M1526">
        <v>397</v>
      </c>
      <c r="N1526" t="s">
        <v>18386</v>
      </c>
    </row>
    <row r="1527" spans="1:14">
      <c r="A1527" t="s">
        <v>9256</v>
      </c>
      <c r="B1527">
        <v>1804674</v>
      </c>
      <c r="C1527">
        <v>1805819</v>
      </c>
      <c r="E1527" t="s">
        <v>14290</v>
      </c>
      <c r="F1527" t="s">
        <v>18341</v>
      </c>
      <c r="H1527">
        <v>93522987</v>
      </c>
      <c r="I1527" t="s">
        <v>14292</v>
      </c>
      <c r="L1527" t="s">
        <v>18387</v>
      </c>
      <c r="M1527">
        <v>381</v>
      </c>
      <c r="N1527" t="s">
        <v>18388</v>
      </c>
    </row>
    <row r="1528" spans="1:14">
      <c r="A1528" t="s">
        <v>9256</v>
      </c>
      <c r="B1528">
        <v>1805856</v>
      </c>
      <c r="C1528">
        <v>1808051</v>
      </c>
      <c r="E1528" t="s">
        <v>14290</v>
      </c>
      <c r="F1528" t="s">
        <v>18389</v>
      </c>
      <c r="H1528">
        <v>93522988</v>
      </c>
      <c r="I1528" t="s">
        <v>14292</v>
      </c>
      <c r="L1528" t="s">
        <v>18390</v>
      </c>
      <c r="M1528">
        <v>731</v>
      </c>
      <c r="N1528" t="s">
        <v>18391</v>
      </c>
    </row>
    <row r="1529" spans="1:14">
      <c r="A1529" t="s">
        <v>9256</v>
      </c>
      <c r="B1529">
        <v>1808073</v>
      </c>
      <c r="C1529">
        <v>1809368</v>
      </c>
      <c r="E1529" t="s">
        <v>14290</v>
      </c>
      <c r="F1529" t="s">
        <v>14736</v>
      </c>
      <c r="H1529">
        <v>93522989</v>
      </c>
      <c r="I1529" t="s">
        <v>14292</v>
      </c>
      <c r="L1529" t="s">
        <v>18392</v>
      </c>
      <c r="M1529">
        <v>431</v>
      </c>
      <c r="N1529" t="s">
        <v>18393</v>
      </c>
    </row>
    <row r="1530" spans="1:14">
      <c r="A1530" t="s">
        <v>9256</v>
      </c>
      <c r="B1530">
        <v>1809569</v>
      </c>
      <c r="C1530">
        <v>1810777</v>
      </c>
      <c r="E1530" t="s">
        <v>14290</v>
      </c>
      <c r="F1530" t="s">
        <v>18394</v>
      </c>
      <c r="H1530">
        <v>93522990</v>
      </c>
      <c r="I1530" t="s">
        <v>14292</v>
      </c>
      <c r="L1530" t="s">
        <v>18395</v>
      </c>
      <c r="M1530">
        <v>402</v>
      </c>
      <c r="N1530" t="s">
        <v>18396</v>
      </c>
    </row>
    <row r="1531" spans="1:14">
      <c r="A1531" t="s">
        <v>9256</v>
      </c>
      <c r="B1531">
        <v>1810919</v>
      </c>
      <c r="C1531">
        <v>1811836</v>
      </c>
      <c r="E1531" t="s">
        <v>14290</v>
      </c>
      <c r="F1531" t="s">
        <v>18397</v>
      </c>
      <c r="H1531">
        <v>93522991</v>
      </c>
      <c r="I1531" t="s">
        <v>14292</v>
      </c>
      <c r="L1531" t="s">
        <v>18398</v>
      </c>
      <c r="M1531">
        <v>305</v>
      </c>
      <c r="N1531" t="s">
        <v>18399</v>
      </c>
    </row>
    <row r="1532" spans="1:14">
      <c r="A1532" t="s">
        <v>9256</v>
      </c>
      <c r="B1532">
        <v>1811840</v>
      </c>
      <c r="C1532">
        <v>1813042</v>
      </c>
      <c r="E1532" t="s">
        <v>14290</v>
      </c>
      <c r="F1532" t="s">
        <v>18400</v>
      </c>
      <c r="H1532">
        <v>93522992</v>
      </c>
      <c r="I1532" t="s">
        <v>14292</v>
      </c>
      <c r="L1532" t="s">
        <v>18401</v>
      </c>
      <c r="M1532">
        <v>400</v>
      </c>
      <c r="N1532" t="s">
        <v>18402</v>
      </c>
    </row>
    <row r="1533" spans="1:14">
      <c r="A1533" t="s">
        <v>9256</v>
      </c>
      <c r="B1533">
        <v>1813145</v>
      </c>
      <c r="C1533">
        <v>1814395</v>
      </c>
      <c r="E1533" t="s">
        <v>14290</v>
      </c>
      <c r="F1533" t="s">
        <v>14445</v>
      </c>
      <c r="H1533">
        <v>93522993</v>
      </c>
      <c r="I1533" t="s">
        <v>14292</v>
      </c>
      <c r="L1533" t="s">
        <v>18403</v>
      </c>
      <c r="M1533">
        <v>416</v>
      </c>
      <c r="N1533" t="s">
        <v>18404</v>
      </c>
    </row>
    <row r="1534" spans="1:14">
      <c r="A1534" t="s">
        <v>9256</v>
      </c>
      <c r="B1534">
        <v>1814443</v>
      </c>
      <c r="C1534">
        <v>1817718</v>
      </c>
      <c r="E1534" t="s">
        <v>14290</v>
      </c>
      <c r="F1534" t="s">
        <v>14965</v>
      </c>
      <c r="H1534">
        <v>93522994</v>
      </c>
      <c r="I1534" t="s">
        <v>14292</v>
      </c>
      <c r="L1534" t="s">
        <v>18405</v>
      </c>
      <c r="M1534">
        <v>1091</v>
      </c>
      <c r="N1534" t="s">
        <v>18406</v>
      </c>
    </row>
    <row r="1535" spans="1:14">
      <c r="A1535" t="s">
        <v>9256</v>
      </c>
      <c r="B1535">
        <v>1817744</v>
      </c>
      <c r="C1535">
        <v>1819309</v>
      </c>
      <c r="E1535" t="s">
        <v>14290</v>
      </c>
      <c r="F1535" t="s">
        <v>18407</v>
      </c>
      <c r="G1535" t="s">
        <v>18408</v>
      </c>
      <c r="H1535">
        <v>93522995</v>
      </c>
      <c r="I1535" t="s">
        <v>14292</v>
      </c>
      <c r="L1535" t="s">
        <v>18409</v>
      </c>
      <c r="M1535">
        <v>521</v>
      </c>
      <c r="N1535" t="s">
        <v>18410</v>
      </c>
    </row>
    <row r="1536" spans="1:14">
      <c r="A1536" t="s">
        <v>9256</v>
      </c>
      <c r="B1536">
        <v>1819447</v>
      </c>
      <c r="C1536">
        <v>1821069</v>
      </c>
      <c r="E1536" t="s">
        <v>14290</v>
      </c>
      <c r="F1536" t="s">
        <v>17517</v>
      </c>
      <c r="H1536">
        <v>93522996</v>
      </c>
      <c r="I1536" t="s">
        <v>14292</v>
      </c>
      <c r="L1536" t="s">
        <v>18411</v>
      </c>
      <c r="M1536">
        <v>540</v>
      </c>
      <c r="N1536" t="s">
        <v>18412</v>
      </c>
    </row>
    <row r="1537" spans="1:14">
      <c r="A1537" t="s">
        <v>9256</v>
      </c>
      <c r="B1537">
        <v>1821081</v>
      </c>
      <c r="C1537">
        <v>1823099</v>
      </c>
      <c r="E1537" t="s">
        <v>14290</v>
      </c>
      <c r="F1537" t="s">
        <v>18413</v>
      </c>
      <c r="H1537">
        <v>93522997</v>
      </c>
      <c r="I1537" t="s">
        <v>14292</v>
      </c>
      <c r="L1537" t="s">
        <v>18414</v>
      </c>
      <c r="M1537">
        <v>672</v>
      </c>
      <c r="N1537" t="s">
        <v>18415</v>
      </c>
    </row>
    <row r="1538" spans="1:14">
      <c r="A1538" t="s">
        <v>9256</v>
      </c>
      <c r="B1538">
        <v>1823121</v>
      </c>
      <c r="C1538">
        <v>1825196</v>
      </c>
      <c r="E1538" t="s">
        <v>14290</v>
      </c>
      <c r="F1538" t="s">
        <v>18416</v>
      </c>
      <c r="H1538">
        <v>93522998</v>
      </c>
      <c r="I1538" t="s">
        <v>14292</v>
      </c>
      <c r="L1538" t="s">
        <v>18417</v>
      </c>
      <c r="M1538">
        <v>691</v>
      </c>
      <c r="N1538" t="s">
        <v>18418</v>
      </c>
    </row>
    <row r="1539" spans="1:14">
      <c r="A1539" t="s">
        <v>9256</v>
      </c>
      <c r="B1539">
        <v>1825200</v>
      </c>
      <c r="C1539">
        <v>1826390</v>
      </c>
      <c r="E1539" t="s">
        <v>14290</v>
      </c>
      <c r="F1539" t="s">
        <v>18419</v>
      </c>
      <c r="H1539">
        <v>93522999</v>
      </c>
      <c r="I1539" t="s">
        <v>14292</v>
      </c>
      <c r="L1539" t="s">
        <v>18420</v>
      </c>
      <c r="M1539">
        <v>396</v>
      </c>
      <c r="N1539" t="s">
        <v>18421</v>
      </c>
    </row>
    <row r="1540" spans="1:14">
      <c r="A1540" t="s">
        <v>9256</v>
      </c>
      <c r="B1540">
        <v>1827181</v>
      </c>
      <c r="C1540">
        <v>1827378</v>
      </c>
      <c r="E1540" t="s">
        <v>14290</v>
      </c>
      <c r="F1540" t="s">
        <v>14291</v>
      </c>
      <c r="H1540">
        <v>93523000</v>
      </c>
      <c r="I1540" t="s">
        <v>14292</v>
      </c>
      <c r="L1540" t="s">
        <v>18422</v>
      </c>
      <c r="M1540">
        <v>65</v>
      </c>
      <c r="N1540" t="s">
        <v>18423</v>
      </c>
    </row>
    <row r="1541" spans="1:14">
      <c r="A1541" t="s">
        <v>9256</v>
      </c>
      <c r="B1541">
        <v>1827387</v>
      </c>
      <c r="C1541">
        <v>1828217</v>
      </c>
      <c r="E1541" t="s">
        <v>14314</v>
      </c>
      <c r="F1541" t="s">
        <v>17196</v>
      </c>
      <c r="H1541">
        <v>93523001</v>
      </c>
      <c r="I1541" t="s">
        <v>14292</v>
      </c>
      <c r="L1541" t="s">
        <v>18424</v>
      </c>
      <c r="M1541">
        <v>276</v>
      </c>
      <c r="N1541" t="s">
        <v>18425</v>
      </c>
    </row>
    <row r="1542" spans="1:14">
      <c r="A1542" t="s">
        <v>9256</v>
      </c>
      <c r="B1542">
        <v>1828279</v>
      </c>
      <c r="C1542">
        <v>1828881</v>
      </c>
      <c r="E1542" t="s">
        <v>14314</v>
      </c>
      <c r="F1542" t="s">
        <v>18426</v>
      </c>
      <c r="H1542">
        <v>93523002</v>
      </c>
      <c r="I1542" t="s">
        <v>14292</v>
      </c>
      <c r="L1542" t="s">
        <v>18427</v>
      </c>
      <c r="M1542">
        <v>200</v>
      </c>
      <c r="N1542" t="s">
        <v>18428</v>
      </c>
    </row>
    <row r="1543" spans="1:14">
      <c r="A1543" t="s">
        <v>9256</v>
      </c>
      <c r="B1543">
        <v>1828888</v>
      </c>
      <c r="C1543">
        <v>1829634</v>
      </c>
      <c r="E1543" t="s">
        <v>14314</v>
      </c>
      <c r="F1543" t="s">
        <v>18429</v>
      </c>
      <c r="H1543">
        <v>93523003</v>
      </c>
      <c r="I1543" t="s">
        <v>14292</v>
      </c>
      <c r="L1543" t="s">
        <v>18430</v>
      </c>
      <c r="M1543">
        <v>248</v>
      </c>
      <c r="N1543" t="s">
        <v>18431</v>
      </c>
    </row>
    <row r="1544" spans="1:14">
      <c r="A1544" t="s">
        <v>9256</v>
      </c>
      <c r="B1544">
        <v>1829636</v>
      </c>
      <c r="C1544">
        <v>1830343</v>
      </c>
      <c r="E1544" t="s">
        <v>14314</v>
      </c>
      <c r="F1544" t="s">
        <v>18432</v>
      </c>
      <c r="H1544">
        <v>93523004</v>
      </c>
      <c r="I1544" t="s">
        <v>14292</v>
      </c>
      <c r="L1544" t="s">
        <v>18433</v>
      </c>
      <c r="M1544">
        <v>235</v>
      </c>
      <c r="N1544" t="s">
        <v>18434</v>
      </c>
    </row>
    <row r="1545" spans="1:14">
      <c r="A1545" t="s">
        <v>9256</v>
      </c>
      <c r="B1545">
        <v>1830340</v>
      </c>
      <c r="C1545">
        <v>1831299</v>
      </c>
      <c r="E1545" t="s">
        <v>14314</v>
      </c>
      <c r="F1545" t="s">
        <v>18435</v>
      </c>
      <c r="H1545">
        <v>93523005</v>
      </c>
      <c r="I1545" t="s">
        <v>14292</v>
      </c>
      <c r="L1545" t="s">
        <v>18436</v>
      </c>
      <c r="M1545">
        <v>319</v>
      </c>
      <c r="N1545" t="s">
        <v>18437</v>
      </c>
    </row>
    <row r="1546" spans="1:14">
      <c r="A1546" t="s">
        <v>9256</v>
      </c>
      <c r="B1546">
        <v>1831384</v>
      </c>
      <c r="C1546">
        <v>1832613</v>
      </c>
      <c r="E1546" t="s">
        <v>14290</v>
      </c>
      <c r="F1546" t="s">
        <v>18438</v>
      </c>
      <c r="H1546">
        <v>93523006</v>
      </c>
      <c r="I1546" t="s">
        <v>14292</v>
      </c>
      <c r="L1546" t="s">
        <v>18439</v>
      </c>
      <c r="M1546">
        <v>409</v>
      </c>
      <c r="N1546" t="s">
        <v>18440</v>
      </c>
    </row>
    <row r="1547" spans="1:14">
      <c r="A1547" t="s">
        <v>9256</v>
      </c>
      <c r="B1547">
        <v>1832704</v>
      </c>
      <c r="C1547">
        <v>1833132</v>
      </c>
      <c r="E1547" t="s">
        <v>14290</v>
      </c>
      <c r="F1547" t="s">
        <v>18441</v>
      </c>
      <c r="G1547" t="s">
        <v>18442</v>
      </c>
      <c r="H1547">
        <v>93523007</v>
      </c>
      <c r="I1547" t="s">
        <v>14292</v>
      </c>
      <c r="L1547" t="s">
        <v>18443</v>
      </c>
      <c r="M1547">
        <v>142</v>
      </c>
      <c r="N1547" t="s">
        <v>18444</v>
      </c>
    </row>
    <row r="1548" spans="1:14">
      <c r="A1548" t="s">
        <v>9256</v>
      </c>
      <c r="B1548">
        <v>1833186</v>
      </c>
      <c r="C1548">
        <v>1833992</v>
      </c>
      <c r="E1548" t="s">
        <v>14290</v>
      </c>
      <c r="F1548" t="s">
        <v>14414</v>
      </c>
      <c r="H1548">
        <v>93523008</v>
      </c>
      <c r="I1548" t="s">
        <v>14415</v>
      </c>
      <c r="N1548" t="s">
        <v>18445</v>
      </c>
    </row>
    <row r="1549" spans="1:14">
      <c r="A1549" t="s">
        <v>9256</v>
      </c>
      <c r="B1549">
        <v>1834013</v>
      </c>
      <c r="C1549">
        <v>1834186</v>
      </c>
      <c r="E1549" t="s">
        <v>14290</v>
      </c>
      <c r="F1549" t="s">
        <v>14291</v>
      </c>
      <c r="H1549">
        <v>93523009</v>
      </c>
      <c r="I1549" t="s">
        <v>14292</v>
      </c>
      <c r="L1549" t="s">
        <v>18446</v>
      </c>
      <c r="M1549">
        <v>57</v>
      </c>
      <c r="N1549" t="s">
        <v>18447</v>
      </c>
    </row>
    <row r="1550" spans="1:14">
      <c r="A1550" t="s">
        <v>9256</v>
      </c>
      <c r="B1550">
        <v>1834159</v>
      </c>
      <c r="C1550">
        <v>1834797</v>
      </c>
      <c r="E1550" t="s">
        <v>14314</v>
      </c>
      <c r="F1550" t="s">
        <v>14464</v>
      </c>
      <c r="H1550">
        <v>93523010</v>
      </c>
      <c r="I1550" t="s">
        <v>14292</v>
      </c>
      <c r="L1550" t="s">
        <v>18448</v>
      </c>
      <c r="M1550">
        <v>212</v>
      </c>
      <c r="N1550" t="s">
        <v>18449</v>
      </c>
    </row>
    <row r="1551" spans="1:14">
      <c r="A1551" t="s">
        <v>9256</v>
      </c>
      <c r="B1551">
        <v>1834943</v>
      </c>
      <c r="C1551">
        <v>1836091</v>
      </c>
      <c r="E1551" t="s">
        <v>14314</v>
      </c>
      <c r="F1551" t="s">
        <v>16131</v>
      </c>
      <c r="H1551">
        <v>93523011</v>
      </c>
      <c r="I1551" t="s">
        <v>14292</v>
      </c>
      <c r="L1551" t="s">
        <v>18450</v>
      </c>
      <c r="M1551">
        <v>382</v>
      </c>
      <c r="N1551" t="s">
        <v>18451</v>
      </c>
    </row>
    <row r="1552" spans="1:14">
      <c r="A1552" t="s">
        <v>9256</v>
      </c>
      <c r="B1552">
        <v>1836210</v>
      </c>
      <c r="C1552">
        <v>1838087</v>
      </c>
      <c r="E1552" t="s">
        <v>14290</v>
      </c>
      <c r="F1552" t="s">
        <v>18452</v>
      </c>
      <c r="G1552" t="s">
        <v>18453</v>
      </c>
      <c r="H1552">
        <v>93523012</v>
      </c>
      <c r="I1552" t="s">
        <v>14292</v>
      </c>
      <c r="L1552" t="s">
        <v>18454</v>
      </c>
      <c r="M1552">
        <v>625</v>
      </c>
      <c r="N1552" t="s">
        <v>18455</v>
      </c>
    </row>
    <row r="1553" spans="1:14">
      <c r="A1553" t="s">
        <v>9256</v>
      </c>
      <c r="B1553">
        <v>1838132</v>
      </c>
      <c r="C1553">
        <v>1839769</v>
      </c>
      <c r="E1553" t="s">
        <v>14290</v>
      </c>
      <c r="F1553" t="s">
        <v>18456</v>
      </c>
      <c r="G1553" t="s">
        <v>18457</v>
      </c>
      <c r="H1553">
        <v>93523013</v>
      </c>
      <c r="I1553" t="s">
        <v>14292</v>
      </c>
      <c r="L1553" t="s">
        <v>18458</v>
      </c>
      <c r="M1553">
        <v>545</v>
      </c>
      <c r="N1553" t="s">
        <v>18459</v>
      </c>
    </row>
    <row r="1554" spans="1:14">
      <c r="A1554" t="s">
        <v>9256</v>
      </c>
      <c r="B1554">
        <v>1839766</v>
      </c>
      <c r="C1554">
        <v>1841601</v>
      </c>
      <c r="E1554" t="s">
        <v>14290</v>
      </c>
      <c r="F1554" t="s">
        <v>18460</v>
      </c>
      <c r="G1554" t="s">
        <v>18461</v>
      </c>
      <c r="H1554">
        <v>93523014</v>
      </c>
      <c r="I1554" t="s">
        <v>14292</v>
      </c>
      <c r="L1554" t="s">
        <v>18462</v>
      </c>
      <c r="M1554">
        <v>611</v>
      </c>
      <c r="N1554" t="s">
        <v>18463</v>
      </c>
    </row>
    <row r="1555" spans="1:14">
      <c r="A1555" t="s">
        <v>9256</v>
      </c>
      <c r="B1555">
        <v>1841629</v>
      </c>
      <c r="C1555">
        <v>1842081</v>
      </c>
      <c r="E1555" t="s">
        <v>14290</v>
      </c>
      <c r="F1555" t="s">
        <v>18464</v>
      </c>
      <c r="G1555" t="s">
        <v>18465</v>
      </c>
      <c r="H1555">
        <v>93523015</v>
      </c>
      <c r="I1555" t="s">
        <v>14292</v>
      </c>
      <c r="L1555" t="s">
        <v>18466</v>
      </c>
      <c r="M1555">
        <v>150</v>
      </c>
      <c r="N1555" t="s">
        <v>18467</v>
      </c>
    </row>
    <row r="1556" spans="1:14">
      <c r="A1556" t="s">
        <v>9256</v>
      </c>
      <c r="B1556">
        <v>1842084</v>
      </c>
      <c r="C1556">
        <v>1842416</v>
      </c>
      <c r="E1556" t="s">
        <v>14290</v>
      </c>
      <c r="F1556" t="s">
        <v>18468</v>
      </c>
      <c r="H1556">
        <v>93523016</v>
      </c>
      <c r="I1556" t="s">
        <v>14292</v>
      </c>
      <c r="L1556" t="s">
        <v>18469</v>
      </c>
      <c r="M1556">
        <v>110</v>
      </c>
      <c r="N1556" t="s">
        <v>18470</v>
      </c>
    </row>
    <row r="1557" spans="1:14">
      <c r="A1557" t="s">
        <v>9256</v>
      </c>
      <c r="B1557">
        <v>1842421</v>
      </c>
      <c r="C1557">
        <v>1843359</v>
      </c>
      <c r="E1557" t="s">
        <v>14290</v>
      </c>
      <c r="F1557" t="s">
        <v>18471</v>
      </c>
      <c r="G1557" t="s">
        <v>18472</v>
      </c>
      <c r="H1557">
        <v>93523017</v>
      </c>
      <c r="I1557" t="s">
        <v>14292</v>
      </c>
      <c r="L1557" t="s">
        <v>18473</v>
      </c>
      <c r="M1557">
        <v>312</v>
      </c>
      <c r="N1557" t="s">
        <v>18474</v>
      </c>
    </row>
    <row r="1558" spans="1:14">
      <c r="A1558" t="s">
        <v>9256</v>
      </c>
      <c r="B1558">
        <v>1843551</v>
      </c>
      <c r="C1558">
        <v>1844525</v>
      </c>
      <c r="E1558" t="s">
        <v>14314</v>
      </c>
      <c r="F1558" t="s">
        <v>17302</v>
      </c>
      <c r="H1558">
        <v>93523018</v>
      </c>
      <c r="I1558" t="s">
        <v>14292</v>
      </c>
      <c r="L1558" t="s">
        <v>18475</v>
      </c>
      <c r="M1558">
        <v>324</v>
      </c>
      <c r="N1558" t="s">
        <v>18476</v>
      </c>
    </row>
    <row r="1559" spans="1:14">
      <c r="A1559" t="s">
        <v>9256</v>
      </c>
      <c r="B1559">
        <v>1844627</v>
      </c>
      <c r="C1559">
        <v>1847392</v>
      </c>
      <c r="E1559" t="s">
        <v>14290</v>
      </c>
      <c r="F1559" t="s">
        <v>18477</v>
      </c>
      <c r="G1559" t="s">
        <v>18478</v>
      </c>
      <c r="H1559">
        <v>93523019</v>
      </c>
      <c r="I1559" t="s">
        <v>14292</v>
      </c>
      <c r="L1559" t="s">
        <v>18479</v>
      </c>
      <c r="M1559">
        <v>921</v>
      </c>
      <c r="N1559" t="s">
        <v>18480</v>
      </c>
    </row>
    <row r="1560" spans="1:14">
      <c r="A1560" t="s">
        <v>9256</v>
      </c>
      <c r="B1560">
        <v>1847575</v>
      </c>
      <c r="C1560">
        <v>1849482</v>
      </c>
      <c r="E1560" t="s">
        <v>14314</v>
      </c>
      <c r="F1560" t="s">
        <v>16307</v>
      </c>
      <c r="H1560">
        <v>93523020</v>
      </c>
      <c r="I1560" t="s">
        <v>14292</v>
      </c>
      <c r="L1560" t="s">
        <v>18481</v>
      </c>
      <c r="M1560">
        <v>635</v>
      </c>
      <c r="N1560" t="s">
        <v>18482</v>
      </c>
    </row>
    <row r="1561" spans="1:14">
      <c r="A1561" t="s">
        <v>9256</v>
      </c>
      <c r="B1561">
        <v>1849699</v>
      </c>
      <c r="C1561">
        <v>1850778</v>
      </c>
      <c r="E1561" t="s">
        <v>14290</v>
      </c>
      <c r="F1561" t="s">
        <v>14338</v>
      </c>
      <c r="H1561">
        <v>93523021</v>
      </c>
      <c r="I1561" t="s">
        <v>14292</v>
      </c>
      <c r="L1561" t="s">
        <v>18483</v>
      </c>
      <c r="M1561">
        <v>359</v>
      </c>
      <c r="N1561" t="s">
        <v>18484</v>
      </c>
    </row>
    <row r="1562" spans="1:14">
      <c r="A1562" t="s">
        <v>9256</v>
      </c>
      <c r="B1562">
        <v>1850882</v>
      </c>
      <c r="C1562">
        <v>1851985</v>
      </c>
      <c r="E1562" t="s">
        <v>14290</v>
      </c>
      <c r="F1562" t="s">
        <v>18485</v>
      </c>
      <c r="G1562" t="s">
        <v>18486</v>
      </c>
      <c r="H1562">
        <v>93523022</v>
      </c>
      <c r="I1562" t="s">
        <v>14292</v>
      </c>
      <c r="L1562" t="s">
        <v>18487</v>
      </c>
      <c r="M1562">
        <v>367</v>
      </c>
      <c r="N1562" t="s">
        <v>18488</v>
      </c>
    </row>
    <row r="1563" spans="1:14">
      <c r="A1563" t="s">
        <v>9256</v>
      </c>
      <c r="B1563">
        <v>1852081</v>
      </c>
      <c r="C1563">
        <v>1852995</v>
      </c>
      <c r="E1563" t="s">
        <v>14290</v>
      </c>
      <c r="F1563" t="s">
        <v>17184</v>
      </c>
      <c r="H1563">
        <v>93523023</v>
      </c>
      <c r="I1563" t="s">
        <v>14292</v>
      </c>
      <c r="L1563" t="s">
        <v>18489</v>
      </c>
      <c r="M1563">
        <v>304</v>
      </c>
      <c r="N1563" t="s">
        <v>18490</v>
      </c>
    </row>
    <row r="1564" spans="1:14">
      <c r="A1564" t="s">
        <v>9256</v>
      </c>
      <c r="B1564">
        <v>1852987</v>
      </c>
      <c r="C1564">
        <v>1854132</v>
      </c>
      <c r="E1564" t="s">
        <v>14314</v>
      </c>
      <c r="F1564" t="s">
        <v>15711</v>
      </c>
      <c r="H1564">
        <v>93523024</v>
      </c>
      <c r="I1564" t="s">
        <v>14292</v>
      </c>
      <c r="L1564" t="s">
        <v>18491</v>
      </c>
      <c r="M1564">
        <v>381</v>
      </c>
      <c r="N1564" t="s">
        <v>18492</v>
      </c>
    </row>
    <row r="1565" spans="1:14">
      <c r="A1565" t="s">
        <v>9256</v>
      </c>
      <c r="B1565">
        <v>1854337</v>
      </c>
      <c r="C1565">
        <v>1854759</v>
      </c>
      <c r="E1565" t="s">
        <v>14290</v>
      </c>
      <c r="F1565" t="s">
        <v>15717</v>
      </c>
      <c r="H1565">
        <v>93525935</v>
      </c>
      <c r="I1565" t="s">
        <v>14292</v>
      </c>
      <c r="L1565" t="s">
        <v>18493</v>
      </c>
      <c r="M1565">
        <v>140</v>
      </c>
      <c r="N1565" t="s">
        <v>18494</v>
      </c>
    </row>
    <row r="1566" spans="1:14">
      <c r="A1566" t="s">
        <v>9256</v>
      </c>
      <c r="B1566">
        <v>1854752</v>
      </c>
      <c r="C1566">
        <v>1855306</v>
      </c>
      <c r="E1566" t="s">
        <v>14290</v>
      </c>
      <c r="F1566" t="s">
        <v>15717</v>
      </c>
      <c r="H1566">
        <v>93525936</v>
      </c>
      <c r="I1566" t="s">
        <v>14292</v>
      </c>
      <c r="L1566" t="s">
        <v>18495</v>
      </c>
      <c r="M1566">
        <v>184</v>
      </c>
      <c r="N1566" t="s">
        <v>18496</v>
      </c>
    </row>
    <row r="1567" spans="1:14">
      <c r="A1567" t="s">
        <v>9256</v>
      </c>
      <c r="B1567">
        <v>1855809</v>
      </c>
      <c r="C1567">
        <v>1856756</v>
      </c>
      <c r="E1567" t="s">
        <v>14290</v>
      </c>
      <c r="F1567" t="s">
        <v>15717</v>
      </c>
      <c r="H1567">
        <v>93523025</v>
      </c>
      <c r="I1567" t="s">
        <v>14292</v>
      </c>
      <c r="L1567" t="s">
        <v>18497</v>
      </c>
      <c r="M1567">
        <v>315</v>
      </c>
      <c r="N1567" t="s">
        <v>18498</v>
      </c>
    </row>
    <row r="1568" spans="1:14">
      <c r="A1568" t="s">
        <v>9256</v>
      </c>
      <c r="B1568">
        <v>1856883</v>
      </c>
      <c r="C1568">
        <v>1857338</v>
      </c>
      <c r="E1568" t="s">
        <v>14290</v>
      </c>
      <c r="F1568" t="s">
        <v>18499</v>
      </c>
      <c r="H1568">
        <v>93523026</v>
      </c>
      <c r="I1568" t="s">
        <v>14292</v>
      </c>
      <c r="L1568" t="s">
        <v>18500</v>
      </c>
      <c r="M1568">
        <v>151</v>
      </c>
      <c r="N1568" t="s">
        <v>18501</v>
      </c>
    </row>
    <row r="1569" spans="1:14">
      <c r="A1569" t="s">
        <v>9256</v>
      </c>
      <c r="B1569">
        <v>1857350</v>
      </c>
      <c r="C1569">
        <v>1857862</v>
      </c>
      <c r="E1569" t="s">
        <v>14290</v>
      </c>
      <c r="F1569" t="s">
        <v>15442</v>
      </c>
      <c r="H1569">
        <v>93523027</v>
      </c>
      <c r="I1569" t="s">
        <v>14292</v>
      </c>
      <c r="L1569" t="s">
        <v>18502</v>
      </c>
      <c r="M1569">
        <v>170</v>
      </c>
      <c r="N1569" t="s">
        <v>18503</v>
      </c>
    </row>
    <row r="1570" spans="1:14">
      <c r="A1570" t="s">
        <v>9256</v>
      </c>
      <c r="B1570">
        <v>1857855</v>
      </c>
      <c r="C1570">
        <v>1858247</v>
      </c>
      <c r="E1570" t="s">
        <v>14290</v>
      </c>
      <c r="F1570" t="s">
        <v>14291</v>
      </c>
      <c r="H1570">
        <v>93523028</v>
      </c>
      <c r="I1570" t="s">
        <v>14292</v>
      </c>
      <c r="L1570" t="s">
        <v>18504</v>
      </c>
      <c r="M1570">
        <v>130</v>
      </c>
      <c r="N1570" t="s">
        <v>18505</v>
      </c>
    </row>
    <row r="1571" spans="1:14">
      <c r="A1571" t="s">
        <v>9256</v>
      </c>
      <c r="B1571">
        <v>1858240</v>
      </c>
      <c r="C1571">
        <v>1858716</v>
      </c>
      <c r="E1571" t="s">
        <v>14290</v>
      </c>
      <c r="F1571" t="s">
        <v>18499</v>
      </c>
      <c r="H1571">
        <v>93523029</v>
      </c>
      <c r="I1571" t="s">
        <v>14292</v>
      </c>
      <c r="L1571" t="s">
        <v>18506</v>
      </c>
      <c r="M1571">
        <v>158</v>
      </c>
      <c r="N1571" t="s">
        <v>18507</v>
      </c>
    </row>
    <row r="1572" spans="1:14">
      <c r="A1572" t="s">
        <v>9256</v>
      </c>
      <c r="B1572">
        <v>1858793</v>
      </c>
      <c r="C1572">
        <v>1859959</v>
      </c>
      <c r="E1572" t="s">
        <v>14290</v>
      </c>
      <c r="F1572" t="s">
        <v>18341</v>
      </c>
      <c r="H1572">
        <v>93523030</v>
      </c>
      <c r="I1572" t="s">
        <v>14292</v>
      </c>
      <c r="L1572" t="s">
        <v>18508</v>
      </c>
      <c r="M1572">
        <v>388</v>
      </c>
      <c r="N1572" t="s">
        <v>18509</v>
      </c>
    </row>
    <row r="1573" spans="1:14">
      <c r="A1573" t="s">
        <v>9256</v>
      </c>
      <c r="B1573">
        <v>1859995</v>
      </c>
      <c r="C1573">
        <v>1862580</v>
      </c>
      <c r="E1573" t="s">
        <v>14314</v>
      </c>
      <c r="F1573" t="s">
        <v>18510</v>
      </c>
      <c r="G1573" t="s">
        <v>18511</v>
      </c>
      <c r="H1573">
        <v>93523031</v>
      </c>
      <c r="I1573" t="s">
        <v>14292</v>
      </c>
      <c r="L1573" t="s">
        <v>18512</v>
      </c>
      <c r="M1573">
        <v>861</v>
      </c>
      <c r="N1573" t="s">
        <v>18513</v>
      </c>
    </row>
    <row r="1574" spans="1:14">
      <c r="A1574" t="s">
        <v>9256</v>
      </c>
      <c r="B1574">
        <v>1862666</v>
      </c>
      <c r="C1574">
        <v>1863322</v>
      </c>
      <c r="E1574" t="s">
        <v>14314</v>
      </c>
      <c r="F1574" t="s">
        <v>18514</v>
      </c>
      <c r="G1574" t="s">
        <v>18515</v>
      </c>
      <c r="H1574">
        <v>93523032</v>
      </c>
      <c r="I1574" t="s">
        <v>14292</v>
      </c>
      <c r="L1574" t="s">
        <v>18516</v>
      </c>
      <c r="M1574">
        <v>218</v>
      </c>
      <c r="N1574" t="s">
        <v>18517</v>
      </c>
    </row>
    <row r="1575" spans="1:14">
      <c r="A1575" t="s">
        <v>9256</v>
      </c>
      <c r="B1575">
        <v>1863518</v>
      </c>
      <c r="C1575">
        <v>1864789</v>
      </c>
      <c r="E1575" t="s">
        <v>14314</v>
      </c>
      <c r="F1575" t="s">
        <v>18518</v>
      </c>
      <c r="H1575">
        <v>93523033</v>
      </c>
      <c r="I1575" t="s">
        <v>14292</v>
      </c>
      <c r="L1575" t="s">
        <v>18519</v>
      </c>
      <c r="M1575">
        <v>423</v>
      </c>
      <c r="N1575" t="s">
        <v>18520</v>
      </c>
    </row>
    <row r="1576" spans="1:14">
      <c r="A1576" t="s">
        <v>9256</v>
      </c>
      <c r="B1576">
        <v>1865126</v>
      </c>
      <c r="C1576">
        <v>1865752</v>
      </c>
      <c r="E1576" t="s">
        <v>14314</v>
      </c>
      <c r="F1576" t="s">
        <v>14291</v>
      </c>
      <c r="H1576">
        <v>93523034</v>
      </c>
      <c r="I1576" t="s">
        <v>14292</v>
      </c>
      <c r="L1576" t="s">
        <v>18521</v>
      </c>
      <c r="M1576">
        <v>208</v>
      </c>
      <c r="N1576" t="s">
        <v>18522</v>
      </c>
    </row>
    <row r="1577" spans="1:14">
      <c r="A1577" t="s">
        <v>9256</v>
      </c>
      <c r="B1577">
        <v>1865759</v>
      </c>
      <c r="C1577">
        <v>1866832</v>
      </c>
      <c r="E1577" t="s">
        <v>14314</v>
      </c>
      <c r="F1577" t="s">
        <v>18523</v>
      </c>
      <c r="H1577">
        <v>93523035</v>
      </c>
      <c r="I1577" t="s">
        <v>14292</v>
      </c>
      <c r="L1577" t="s">
        <v>18524</v>
      </c>
      <c r="M1577">
        <v>357</v>
      </c>
      <c r="N1577" t="s">
        <v>18525</v>
      </c>
    </row>
    <row r="1578" spans="1:14">
      <c r="A1578" t="s">
        <v>9256</v>
      </c>
      <c r="B1578">
        <v>1866853</v>
      </c>
      <c r="C1578">
        <v>1867224</v>
      </c>
      <c r="E1578" t="s">
        <v>14314</v>
      </c>
      <c r="F1578" t="s">
        <v>17611</v>
      </c>
      <c r="H1578">
        <v>93523036</v>
      </c>
      <c r="I1578" t="s">
        <v>14292</v>
      </c>
      <c r="L1578" t="s">
        <v>18526</v>
      </c>
      <c r="M1578">
        <v>123</v>
      </c>
      <c r="N1578" t="s">
        <v>18527</v>
      </c>
    </row>
    <row r="1579" spans="1:14">
      <c r="A1579" t="s">
        <v>9256</v>
      </c>
      <c r="B1579">
        <v>1867412</v>
      </c>
      <c r="C1579">
        <v>1868416</v>
      </c>
      <c r="E1579" t="s">
        <v>14314</v>
      </c>
      <c r="F1579" t="s">
        <v>14291</v>
      </c>
      <c r="H1579">
        <v>93523037</v>
      </c>
      <c r="I1579" t="s">
        <v>14292</v>
      </c>
      <c r="L1579" t="s">
        <v>18528</v>
      </c>
      <c r="M1579">
        <v>334</v>
      </c>
      <c r="N1579" t="s">
        <v>18529</v>
      </c>
    </row>
    <row r="1580" spans="1:14">
      <c r="A1580" t="s">
        <v>9256</v>
      </c>
      <c r="B1580">
        <v>1868515</v>
      </c>
      <c r="C1580">
        <v>1869960</v>
      </c>
      <c r="E1580" t="s">
        <v>14290</v>
      </c>
      <c r="F1580" t="s">
        <v>18530</v>
      </c>
      <c r="H1580">
        <v>93523038</v>
      </c>
      <c r="I1580" t="s">
        <v>14292</v>
      </c>
      <c r="L1580" t="s">
        <v>18531</v>
      </c>
      <c r="M1580">
        <v>481</v>
      </c>
      <c r="N1580" t="s">
        <v>18532</v>
      </c>
    </row>
    <row r="1581" spans="1:14">
      <c r="A1581" t="s">
        <v>9256</v>
      </c>
      <c r="B1581">
        <v>1870062</v>
      </c>
      <c r="C1581">
        <v>1870796</v>
      </c>
      <c r="E1581" t="s">
        <v>14314</v>
      </c>
      <c r="F1581" t="s">
        <v>14291</v>
      </c>
      <c r="H1581">
        <v>93523039</v>
      </c>
      <c r="I1581" t="s">
        <v>14292</v>
      </c>
      <c r="L1581" t="s">
        <v>18533</v>
      </c>
      <c r="M1581">
        <v>244</v>
      </c>
      <c r="N1581" t="s">
        <v>18534</v>
      </c>
    </row>
    <row r="1582" spans="1:14">
      <c r="A1582" t="s">
        <v>9256</v>
      </c>
      <c r="B1582">
        <v>1871203</v>
      </c>
      <c r="C1582">
        <v>1871766</v>
      </c>
      <c r="E1582" t="s">
        <v>14290</v>
      </c>
      <c r="F1582" t="s">
        <v>18535</v>
      </c>
      <c r="H1582">
        <v>93523040</v>
      </c>
      <c r="I1582" t="s">
        <v>14292</v>
      </c>
      <c r="L1582" t="s">
        <v>18536</v>
      </c>
      <c r="M1582">
        <v>187</v>
      </c>
      <c r="N1582" t="s">
        <v>18537</v>
      </c>
    </row>
    <row r="1583" spans="1:14">
      <c r="A1583" t="s">
        <v>9256</v>
      </c>
      <c r="B1583">
        <v>1871791</v>
      </c>
      <c r="C1583">
        <v>1872348</v>
      </c>
      <c r="E1583" t="s">
        <v>14290</v>
      </c>
      <c r="F1583" t="s">
        <v>18535</v>
      </c>
      <c r="H1583">
        <v>93523041</v>
      </c>
      <c r="I1583" t="s">
        <v>14292</v>
      </c>
      <c r="L1583" t="s">
        <v>18538</v>
      </c>
      <c r="M1583">
        <v>185</v>
      </c>
      <c r="N1583" t="s">
        <v>18539</v>
      </c>
    </row>
    <row r="1584" spans="1:14">
      <c r="A1584" t="s">
        <v>9256</v>
      </c>
      <c r="B1584">
        <v>1872438</v>
      </c>
      <c r="C1584">
        <v>1875278</v>
      </c>
      <c r="E1584" t="s">
        <v>14290</v>
      </c>
      <c r="F1584" t="s">
        <v>18540</v>
      </c>
      <c r="G1584" t="s">
        <v>18541</v>
      </c>
      <c r="H1584">
        <v>93523042</v>
      </c>
      <c r="I1584" t="s">
        <v>14292</v>
      </c>
      <c r="L1584" t="s">
        <v>18542</v>
      </c>
      <c r="M1584">
        <v>946</v>
      </c>
      <c r="N1584" t="s">
        <v>18543</v>
      </c>
    </row>
    <row r="1585" spans="1:14">
      <c r="A1585" t="s">
        <v>9256</v>
      </c>
      <c r="B1585">
        <v>1875275</v>
      </c>
      <c r="C1585">
        <v>1876153</v>
      </c>
      <c r="E1585" t="s">
        <v>14290</v>
      </c>
      <c r="F1585" t="s">
        <v>15777</v>
      </c>
      <c r="H1585">
        <v>93523043</v>
      </c>
      <c r="I1585" t="s">
        <v>14292</v>
      </c>
      <c r="L1585" t="s">
        <v>18544</v>
      </c>
      <c r="M1585">
        <v>292</v>
      </c>
      <c r="N1585" t="s">
        <v>18545</v>
      </c>
    </row>
    <row r="1586" spans="1:14">
      <c r="A1586" t="s">
        <v>9256</v>
      </c>
      <c r="B1586">
        <v>1876241</v>
      </c>
      <c r="C1586">
        <v>1876822</v>
      </c>
      <c r="E1586" t="s">
        <v>14290</v>
      </c>
      <c r="F1586" t="s">
        <v>18546</v>
      </c>
      <c r="H1586">
        <v>93523044</v>
      </c>
      <c r="I1586" t="s">
        <v>14292</v>
      </c>
      <c r="L1586" t="s">
        <v>18547</v>
      </c>
      <c r="M1586">
        <v>193</v>
      </c>
      <c r="N1586" t="s">
        <v>18548</v>
      </c>
    </row>
    <row r="1587" spans="1:14">
      <c r="A1587" t="s">
        <v>9256</v>
      </c>
      <c r="B1587">
        <v>1876824</v>
      </c>
      <c r="C1587">
        <v>1879154</v>
      </c>
      <c r="E1587" t="s">
        <v>14290</v>
      </c>
      <c r="F1587" t="s">
        <v>18549</v>
      </c>
      <c r="H1587">
        <v>93523045</v>
      </c>
      <c r="I1587" t="s">
        <v>14292</v>
      </c>
      <c r="L1587" t="s">
        <v>18550</v>
      </c>
      <c r="M1587">
        <v>776</v>
      </c>
      <c r="N1587" t="s">
        <v>18551</v>
      </c>
    </row>
    <row r="1588" spans="1:14">
      <c r="A1588" t="s">
        <v>9256</v>
      </c>
      <c r="B1588">
        <v>1879159</v>
      </c>
      <c r="C1588">
        <v>1880211</v>
      </c>
      <c r="E1588" t="s">
        <v>14290</v>
      </c>
      <c r="F1588" t="s">
        <v>14338</v>
      </c>
      <c r="H1588">
        <v>93523046</v>
      </c>
      <c r="I1588" t="s">
        <v>14292</v>
      </c>
      <c r="L1588" t="s">
        <v>18552</v>
      </c>
      <c r="M1588">
        <v>350</v>
      </c>
      <c r="N1588" t="s">
        <v>18553</v>
      </c>
    </row>
    <row r="1589" spans="1:14">
      <c r="A1589" t="s">
        <v>9256</v>
      </c>
      <c r="B1589">
        <v>1880195</v>
      </c>
      <c r="C1589">
        <v>1881154</v>
      </c>
      <c r="E1589" t="s">
        <v>14314</v>
      </c>
      <c r="F1589" t="s">
        <v>14291</v>
      </c>
      <c r="H1589">
        <v>93523047</v>
      </c>
      <c r="I1589" t="s">
        <v>14292</v>
      </c>
      <c r="L1589" t="s">
        <v>18554</v>
      </c>
      <c r="M1589">
        <v>319</v>
      </c>
      <c r="N1589" t="s">
        <v>18555</v>
      </c>
    </row>
    <row r="1590" spans="1:14">
      <c r="A1590" t="s">
        <v>9256</v>
      </c>
      <c r="B1590">
        <v>1881190</v>
      </c>
      <c r="C1590">
        <v>1882632</v>
      </c>
      <c r="E1590" t="s">
        <v>14314</v>
      </c>
      <c r="F1590" t="s">
        <v>18556</v>
      </c>
      <c r="H1590">
        <v>93523048</v>
      </c>
      <c r="I1590" t="s">
        <v>14292</v>
      </c>
      <c r="L1590" t="s">
        <v>18557</v>
      </c>
      <c r="M1590">
        <v>480</v>
      </c>
      <c r="N1590" t="s">
        <v>18558</v>
      </c>
    </row>
    <row r="1591" spans="1:14">
      <c r="A1591" t="s">
        <v>9256</v>
      </c>
      <c r="B1591">
        <v>1882653</v>
      </c>
      <c r="C1591">
        <v>1885073</v>
      </c>
      <c r="E1591" t="s">
        <v>14314</v>
      </c>
      <c r="F1591" t="s">
        <v>15450</v>
      </c>
      <c r="H1591">
        <v>93523049</v>
      </c>
      <c r="I1591" t="s">
        <v>14292</v>
      </c>
      <c r="L1591" t="s">
        <v>18559</v>
      </c>
      <c r="M1591">
        <v>806</v>
      </c>
      <c r="N1591" t="s">
        <v>18560</v>
      </c>
    </row>
    <row r="1592" spans="1:14">
      <c r="A1592" t="s">
        <v>9256</v>
      </c>
      <c r="B1592">
        <v>1885655</v>
      </c>
      <c r="C1592">
        <v>1886641</v>
      </c>
      <c r="E1592" t="s">
        <v>14314</v>
      </c>
      <c r="F1592" t="s">
        <v>18561</v>
      </c>
      <c r="G1592" t="s">
        <v>18562</v>
      </c>
      <c r="H1592">
        <v>93523050</v>
      </c>
      <c r="I1592" t="s">
        <v>14292</v>
      </c>
      <c r="L1592" t="s">
        <v>18563</v>
      </c>
      <c r="M1592">
        <v>328</v>
      </c>
      <c r="N1592" t="s">
        <v>18564</v>
      </c>
    </row>
    <row r="1593" spans="1:14">
      <c r="A1593" t="s">
        <v>9256</v>
      </c>
      <c r="B1593">
        <v>1887337</v>
      </c>
      <c r="C1593">
        <v>1887867</v>
      </c>
      <c r="E1593" t="s">
        <v>14290</v>
      </c>
      <c r="F1593" t="s">
        <v>18565</v>
      </c>
      <c r="H1593">
        <v>93523051</v>
      </c>
      <c r="I1593" t="s">
        <v>14292</v>
      </c>
      <c r="L1593" t="s">
        <v>18566</v>
      </c>
      <c r="M1593">
        <v>176</v>
      </c>
      <c r="N1593" t="s">
        <v>18567</v>
      </c>
    </row>
    <row r="1594" spans="1:14">
      <c r="A1594" t="s">
        <v>9256</v>
      </c>
      <c r="B1594">
        <v>1887859</v>
      </c>
      <c r="C1594">
        <v>1888464</v>
      </c>
      <c r="E1594" t="s">
        <v>14314</v>
      </c>
      <c r="F1594" t="s">
        <v>18568</v>
      </c>
      <c r="H1594">
        <v>93523052</v>
      </c>
      <c r="I1594" t="s">
        <v>14292</v>
      </c>
      <c r="L1594" t="s">
        <v>18569</v>
      </c>
      <c r="M1594">
        <v>201</v>
      </c>
      <c r="N1594" t="s">
        <v>18570</v>
      </c>
    </row>
    <row r="1595" spans="1:14">
      <c r="A1595" t="s">
        <v>9256</v>
      </c>
      <c r="B1595">
        <v>1888584</v>
      </c>
      <c r="C1595">
        <v>1889411</v>
      </c>
      <c r="E1595" t="s">
        <v>14290</v>
      </c>
      <c r="F1595" t="s">
        <v>18571</v>
      </c>
      <c r="G1595" t="s">
        <v>18572</v>
      </c>
      <c r="H1595">
        <v>93523053</v>
      </c>
      <c r="I1595" t="s">
        <v>14292</v>
      </c>
      <c r="L1595" t="s">
        <v>18573</v>
      </c>
      <c r="M1595">
        <v>275</v>
      </c>
      <c r="N1595" t="s">
        <v>18574</v>
      </c>
    </row>
    <row r="1596" spans="1:14">
      <c r="A1596" t="s">
        <v>9256</v>
      </c>
      <c r="B1596">
        <v>1889433</v>
      </c>
      <c r="C1596">
        <v>1890242</v>
      </c>
      <c r="E1596" t="s">
        <v>14290</v>
      </c>
      <c r="F1596" t="s">
        <v>14291</v>
      </c>
      <c r="H1596">
        <v>93523054</v>
      </c>
      <c r="I1596" t="s">
        <v>14292</v>
      </c>
      <c r="L1596" t="s">
        <v>18575</v>
      </c>
      <c r="M1596">
        <v>269</v>
      </c>
      <c r="N1596" t="s">
        <v>18576</v>
      </c>
    </row>
    <row r="1597" spans="1:14">
      <c r="A1597" t="s">
        <v>9256</v>
      </c>
      <c r="B1597">
        <v>1890256</v>
      </c>
      <c r="C1597">
        <v>1892316</v>
      </c>
      <c r="E1597" t="s">
        <v>14290</v>
      </c>
      <c r="F1597" t="s">
        <v>18287</v>
      </c>
      <c r="H1597">
        <v>93523055</v>
      </c>
      <c r="I1597" t="s">
        <v>14292</v>
      </c>
      <c r="L1597" t="s">
        <v>18577</v>
      </c>
      <c r="M1597">
        <v>686</v>
      </c>
      <c r="N1597" t="s">
        <v>18578</v>
      </c>
    </row>
    <row r="1598" spans="1:14">
      <c r="A1598" t="s">
        <v>9256</v>
      </c>
      <c r="B1598">
        <v>1892350</v>
      </c>
      <c r="C1598">
        <v>1893129</v>
      </c>
      <c r="E1598" t="s">
        <v>14290</v>
      </c>
      <c r="F1598" t="s">
        <v>17245</v>
      </c>
      <c r="H1598">
        <v>93523056</v>
      </c>
      <c r="I1598" t="s">
        <v>14292</v>
      </c>
      <c r="L1598" t="s">
        <v>18579</v>
      </c>
      <c r="M1598">
        <v>259</v>
      </c>
      <c r="N1598" t="s">
        <v>18580</v>
      </c>
    </row>
    <row r="1599" spans="1:14">
      <c r="A1599" t="s">
        <v>9256</v>
      </c>
      <c r="B1599">
        <v>1893162</v>
      </c>
      <c r="C1599">
        <v>1896785</v>
      </c>
      <c r="E1599" t="s">
        <v>14290</v>
      </c>
      <c r="F1599" t="s">
        <v>18581</v>
      </c>
      <c r="H1599">
        <v>93523057</v>
      </c>
      <c r="I1599" t="s">
        <v>14292</v>
      </c>
      <c r="L1599" t="s">
        <v>18582</v>
      </c>
      <c r="M1599">
        <v>1207</v>
      </c>
      <c r="N1599" t="s">
        <v>18583</v>
      </c>
    </row>
    <row r="1600" spans="1:14">
      <c r="A1600" t="s">
        <v>9256</v>
      </c>
      <c r="B1600">
        <v>1896894</v>
      </c>
      <c r="C1600">
        <v>1897781</v>
      </c>
      <c r="E1600" t="s">
        <v>14290</v>
      </c>
      <c r="F1600" t="s">
        <v>14498</v>
      </c>
      <c r="H1600">
        <v>93523058</v>
      </c>
      <c r="I1600" t="s">
        <v>14292</v>
      </c>
      <c r="L1600" t="s">
        <v>18584</v>
      </c>
      <c r="M1600">
        <v>295</v>
      </c>
      <c r="N1600" t="s">
        <v>18585</v>
      </c>
    </row>
    <row r="1601" spans="1:14">
      <c r="A1601" t="s">
        <v>9256</v>
      </c>
      <c r="B1601">
        <v>1897926</v>
      </c>
      <c r="C1601">
        <v>1900229</v>
      </c>
      <c r="E1601" t="s">
        <v>14290</v>
      </c>
      <c r="F1601" t="s">
        <v>14919</v>
      </c>
      <c r="H1601">
        <v>93523059</v>
      </c>
      <c r="I1601" t="s">
        <v>14292</v>
      </c>
      <c r="L1601" t="s">
        <v>18586</v>
      </c>
      <c r="M1601">
        <v>767</v>
      </c>
      <c r="N1601" t="s">
        <v>18587</v>
      </c>
    </row>
    <row r="1602" spans="1:14">
      <c r="A1602" t="s">
        <v>9256</v>
      </c>
      <c r="B1602">
        <v>1900307</v>
      </c>
      <c r="C1602">
        <v>1901413</v>
      </c>
      <c r="E1602" t="s">
        <v>14314</v>
      </c>
      <c r="F1602" t="s">
        <v>14338</v>
      </c>
      <c r="H1602">
        <v>93523060</v>
      </c>
      <c r="I1602" t="s">
        <v>14292</v>
      </c>
      <c r="L1602" t="s">
        <v>18588</v>
      </c>
      <c r="M1602">
        <v>368</v>
      </c>
      <c r="N1602" t="s">
        <v>18589</v>
      </c>
    </row>
    <row r="1603" spans="1:14">
      <c r="A1603" t="s">
        <v>9256</v>
      </c>
      <c r="B1603">
        <v>1901735</v>
      </c>
      <c r="C1603">
        <v>1902430</v>
      </c>
      <c r="E1603" t="s">
        <v>14290</v>
      </c>
      <c r="F1603" t="s">
        <v>14291</v>
      </c>
      <c r="H1603">
        <v>93523061</v>
      </c>
      <c r="I1603" t="s">
        <v>14292</v>
      </c>
      <c r="L1603" t="s">
        <v>18590</v>
      </c>
      <c r="M1603">
        <v>231</v>
      </c>
      <c r="N1603" t="s">
        <v>18591</v>
      </c>
    </row>
    <row r="1604" spans="1:14">
      <c r="A1604" t="s">
        <v>9256</v>
      </c>
      <c r="B1604">
        <v>1902427</v>
      </c>
      <c r="C1604">
        <v>1903299</v>
      </c>
      <c r="E1604" t="s">
        <v>14290</v>
      </c>
      <c r="F1604" t="s">
        <v>16307</v>
      </c>
      <c r="H1604">
        <v>93523062</v>
      </c>
      <c r="I1604" t="s">
        <v>14292</v>
      </c>
      <c r="L1604" t="s">
        <v>18592</v>
      </c>
      <c r="M1604">
        <v>290</v>
      </c>
      <c r="N1604" t="s">
        <v>18593</v>
      </c>
    </row>
    <row r="1605" spans="1:14">
      <c r="A1605" t="s">
        <v>9256</v>
      </c>
      <c r="B1605">
        <v>1903296</v>
      </c>
      <c r="C1605">
        <v>1903712</v>
      </c>
      <c r="E1605" t="s">
        <v>14290</v>
      </c>
      <c r="F1605" t="s">
        <v>14291</v>
      </c>
      <c r="H1605">
        <v>93523063</v>
      </c>
      <c r="I1605" t="s">
        <v>14292</v>
      </c>
      <c r="L1605" t="s">
        <v>18594</v>
      </c>
      <c r="M1605">
        <v>138</v>
      </c>
      <c r="N1605" t="s">
        <v>18595</v>
      </c>
    </row>
    <row r="1606" spans="1:14">
      <c r="A1606" t="s">
        <v>9256</v>
      </c>
      <c r="B1606">
        <v>1904246</v>
      </c>
      <c r="C1606">
        <v>1904428</v>
      </c>
      <c r="E1606" t="s">
        <v>14290</v>
      </c>
      <c r="F1606" t="s">
        <v>14291</v>
      </c>
      <c r="H1606">
        <v>301046720</v>
      </c>
      <c r="I1606" t="s">
        <v>14292</v>
      </c>
      <c r="L1606" t="s">
        <v>18596</v>
      </c>
      <c r="M1606">
        <v>60</v>
      </c>
      <c r="N1606" t="s">
        <v>18597</v>
      </c>
    </row>
    <row r="1607" spans="1:14">
      <c r="A1607" t="s">
        <v>9256</v>
      </c>
      <c r="B1607">
        <v>1904464</v>
      </c>
      <c r="C1607">
        <v>1904685</v>
      </c>
      <c r="E1607" t="s">
        <v>14290</v>
      </c>
      <c r="F1607" t="s">
        <v>18598</v>
      </c>
      <c r="H1607">
        <v>301046721</v>
      </c>
      <c r="I1607" t="s">
        <v>14292</v>
      </c>
      <c r="L1607" t="s">
        <v>18599</v>
      </c>
      <c r="M1607">
        <v>73</v>
      </c>
      <c r="N1607" t="s">
        <v>18600</v>
      </c>
    </row>
    <row r="1608" spans="1:14">
      <c r="A1608" t="s">
        <v>9256</v>
      </c>
      <c r="B1608">
        <v>1904752</v>
      </c>
      <c r="C1608">
        <v>1905162</v>
      </c>
      <c r="E1608" t="s">
        <v>14290</v>
      </c>
      <c r="F1608" t="s">
        <v>14291</v>
      </c>
      <c r="H1608">
        <v>93523064</v>
      </c>
      <c r="I1608" t="s">
        <v>14292</v>
      </c>
      <c r="L1608" t="s">
        <v>18601</v>
      </c>
      <c r="M1608">
        <v>136</v>
      </c>
      <c r="N1608" t="s">
        <v>18602</v>
      </c>
    </row>
    <row r="1609" spans="1:14">
      <c r="A1609" t="s">
        <v>9256</v>
      </c>
      <c r="B1609">
        <v>1905278</v>
      </c>
      <c r="C1609">
        <v>1905733</v>
      </c>
      <c r="E1609" t="s">
        <v>14290</v>
      </c>
      <c r="F1609" t="s">
        <v>14291</v>
      </c>
      <c r="H1609">
        <v>93523065</v>
      </c>
      <c r="I1609" t="s">
        <v>14292</v>
      </c>
      <c r="L1609" t="s">
        <v>18603</v>
      </c>
      <c r="M1609">
        <v>151</v>
      </c>
      <c r="N1609" t="s">
        <v>18604</v>
      </c>
    </row>
    <row r="1610" spans="1:14">
      <c r="A1610" t="s">
        <v>9256</v>
      </c>
      <c r="B1610">
        <v>1905738</v>
      </c>
      <c r="C1610">
        <v>1906292</v>
      </c>
      <c r="E1610" t="s">
        <v>14290</v>
      </c>
      <c r="F1610" t="s">
        <v>18598</v>
      </c>
      <c r="H1610">
        <v>93523066</v>
      </c>
      <c r="I1610" t="s">
        <v>14292</v>
      </c>
      <c r="L1610" t="s">
        <v>18605</v>
      </c>
      <c r="M1610">
        <v>184</v>
      </c>
      <c r="N1610" t="s">
        <v>18606</v>
      </c>
    </row>
    <row r="1611" spans="1:14">
      <c r="A1611" t="s">
        <v>9256</v>
      </c>
      <c r="B1611">
        <v>1906467</v>
      </c>
      <c r="C1611">
        <v>1906625</v>
      </c>
      <c r="E1611" t="s">
        <v>14290</v>
      </c>
      <c r="F1611" t="s">
        <v>14291</v>
      </c>
      <c r="H1611">
        <v>93523067</v>
      </c>
      <c r="I1611" t="s">
        <v>14292</v>
      </c>
      <c r="L1611" t="s">
        <v>18607</v>
      </c>
      <c r="M1611">
        <v>52</v>
      </c>
      <c r="N1611" t="s">
        <v>18608</v>
      </c>
    </row>
    <row r="1612" spans="1:14">
      <c r="A1612" t="s">
        <v>9256</v>
      </c>
      <c r="B1612">
        <v>1906730</v>
      </c>
      <c r="C1612">
        <v>1908175</v>
      </c>
      <c r="E1612" t="s">
        <v>14290</v>
      </c>
      <c r="F1612" t="s">
        <v>18609</v>
      </c>
      <c r="H1612">
        <v>93523068</v>
      </c>
      <c r="I1612" t="s">
        <v>14292</v>
      </c>
      <c r="L1612" t="s">
        <v>18610</v>
      </c>
      <c r="M1612">
        <v>481</v>
      </c>
      <c r="N1612" t="s">
        <v>18611</v>
      </c>
    </row>
    <row r="1613" spans="1:14">
      <c r="A1613" t="s">
        <v>9256</v>
      </c>
      <c r="B1613">
        <v>1908229</v>
      </c>
      <c r="C1613">
        <v>1909908</v>
      </c>
      <c r="E1613" t="s">
        <v>14314</v>
      </c>
      <c r="F1613" t="s">
        <v>18612</v>
      </c>
      <c r="H1613">
        <v>93523069</v>
      </c>
      <c r="I1613" t="s">
        <v>14292</v>
      </c>
      <c r="L1613" t="s">
        <v>18613</v>
      </c>
      <c r="M1613">
        <v>559</v>
      </c>
      <c r="N1613" t="s">
        <v>18614</v>
      </c>
    </row>
    <row r="1614" spans="1:14">
      <c r="A1614" t="s">
        <v>9256</v>
      </c>
      <c r="B1614">
        <v>1910198</v>
      </c>
      <c r="C1614">
        <v>1910776</v>
      </c>
      <c r="E1614" t="s">
        <v>14290</v>
      </c>
      <c r="F1614" t="s">
        <v>18615</v>
      </c>
      <c r="G1614" t="s">
        <v>18616</v>
      </c>
      <c r="H1614">
        <v>93523070</v>
      </c>
      <c r="I1614" t="s">
        <v>14292</v>
      </c>
      <c r="L1614" t="s">
        <v>18617</v>
      </c>
      <c r="M1614">
        <v>192</v>
      </c>
      <c r="N1614" t="s">
        <v>18618</v>
      </c>
    </row>
    <row r="1615" spans="1:14">
      <c r="A1615" t="s">
        <v>9256</v>
      </c>
      <c r="B1615">
        <v>1910852</v>
      </c>
      <c r="C1615">
        <v>1912423</v>
      </c>
      <c r="E1615" t="s">
        <v>14314</v>
      </c>
      <c r="F1615" t="s">
        <v>18619</v>
      </c>
      <c r="G1615" t="s">
        <v>18620</v>
      </c>
      <c r="H1615">
        <v>93523071</v>
      </c>
      <c r="I1615" t="s">
        <v>14292</v>
      </c>
      <c r="L1615" t="s">
        <v>18621</v>
      </c>
      <c r="M1615">
        <v>523</v>
      </c>
      <c r="N1615" t="s">
        <v>18622</v>
      </c>
    </row>
    <row r="1616" spans="1:14">
      <c r="A1616" t="s">
        <v>9256</v>
      </c>
      <c r="B1616">
        <v>1912577</v>
      </c>
      <c r="C1616">
        <v>1915765</v>
      </c>
      <c r="E1616" t="s">
        <v>14314</v>
      </c>
      <c r="F1616" t="s">
        <v>14965</v>
      </c>
      <c r="H1616">
        <v>93523072</v>
      </c>
      <c r="I1616" t="s">
        <v>14292</v>
      </c>
      <c r="L1616" t="s">
        <v>18623</v>
      </c>
      <c r="M1616">
        <v>1062</v>
      </c>
      <c r="N1616" t="s">
        <v>18624</v>
      </c>
    </row>
    <row r="1617" spans="1:14">
      <c r="A1617" t="s">
        <v>9256</v>
      </c>
      <c r="B1617">
        <v>1915782</v>
      </c>
      <c r="C1617">
        <v>1917530</v>
      </c>
      <c r="E1617" t="s">
        <v>14314</v>
      </c>
      <c r="F1617" t="s">
        <v>15179</v>
      </c>
      <c r="H1617">
        <v>93523073</v>
      </c>
      <c r="I1617" t="s">
        <v>14292</v>
      </c>
      <c r="L1617" t="s">
        <v>18625</v>
      </c>
      <c r="M1617">
        <v>582</v>
      </c>
      <c r="N1617" t="s">
        <v>18626</v>
      </c>
    </row>
    <row r="1618" spans="1:14">
      <c r="A1618" t="s">
        <v>9256</v>
      </c>
      <c r="B1618">
        <v>1917527</v>
      </c>
      <c r="C1618">
        <v>1918528</v>
      </c>
      <c r="E1618" t="s">
        <v>14314</v>
      </c>
      <c r="F1618" t="s">
        <v>14972</v>
      </c>
      <c r="H1618">
        <v>93523074</v>
      </c>
      <c r="I1618" t="s">
        <v>14292</v>
      </c>
      <c r="L1618" t="s">
        <v>18627</v>
      </c>
      <c r="M1618">
        <v>333</v>
      </c>
      <c r="N1618" t="s">
        <v>18628</v>
      </c>
    </row>
    <row r="1619" spans="1:14">
      <c r="A1619" t="s">
        <v>9256</v>
      </c>
      <c r="B1619">
        <v>1918552</v>
      </c>
      <c r="C1619">
        <v>1919163</v>
      </c>
      <c r="E1619" t="s">
        <v>14314</v>
      </c>
      <c r="F1619" t="s">
        <v>14982</v>
      </c>
      <c r="H1619">
        <v>93523075</v>
      </c>
      <c r="I1619" t="s">
        <v>14292</v>
      </c>
      <c r="L1619" t="s">
        <v>18629</v>
      </c>
      <c r="M1619">
        <v>203</v>
      </c>
      <c r="N1619" t="s">
        <v>18630</v>
      </c>
    </row>
    <row r="1620" spans="1:14">
      <c r="A1620" t="s">
        <v>9256</v>
      </c>
      <c r="B1620">
        <v>1919377</v>
      </c>
      <c r="C1620">
        <v>1922391</v>
      </c>
      <c r="E1620" t="s">
        <v>14290</v>
      </c>
      <c r="F1620" t="s">
        <v>14965</v>
      </c>
      <c r="H1620">
        <v>93523076</v>
      </c>
      <c r="I1620" t="s">
        <v>14292</v>
      </c>
      <c r="L1620" t="s">
        <v>18631</v>
      </c>
      <c r="M1620">
        <v>1004</v>
      </c>
      <c r="N1620" t="s">
        <v>18632</v>
      </c>
    </row>
    <row r="1621" spans="1:14">
      <c r="A1621" t="s">
        <v>9256</v>
      </c>
      <c r="B1621">
        <v>1922408</v>
      </c>
      <c r="C1621">
        <v>1924075</v>
      </c>
      <c r="E1621" t="s">
        <v>14290</v>
      </c>
      <c r="F1621" t="s">
        <v>15179</v>
      </c>
      <c r="H1621">
        <v>93523077</v>
      </c>
      <c r="I1621" t="s">
        <v>14292</v>
      </c>
      <c r="L1621" t="s">
        <v>18633</v>
      </c>
      <c r="M1621">
        <v>555</v>
      </c>
      <c r="N1621" t="s">
        <v>18634</v>
      </c>
    </row>
    <row r="1622" spans="1:14">
      <c r="A1622" t="s">
        <v>9256</v>
      </c>
      <c r="B1622">
        <v>1924120</v>
      </c>
      <c r="C1622">
        <v>1925496</v>
      </c>
      <c r="E1622" t="s">
        <v>14314</v>
      </c>
      <c r="F1622" t="s">
        <v>16210</v>
      </c>
      <c r="H1622">
        <v>93523078</v>
      </c>
      <c r="I1622" t="s">
        <v>14292</v>
      </c>
      <c r="L1622" t="s">
        <v>18635</v>
      </c>
      <c r="M1622">
        <v>458</v>
      </c>
      <c r="N1622" t="s">
        <v>18636</v>
      </c>
    </row>
    <row r="1623" spans="1:14">
      <c r="A1623" t="s">
        <v>9256</v>
      </c>
      <c r="B1623">
        <v>1926057</v>
      </c>
      <c r="C1623">
        <v>1927826</v>
      </c>
      <c r="E1623" t="s">
        <v>14290</v>
      </c>
      <c r="F1623" t="s">
        <v>14805</v>
      </c>
      <c r="H1623">
        <v>93523079</v>
      </c>
      <c r="I1623" t="s">
        <v>14292</v>
      </c>
      <c r="L1623" t="s">
        <v>18637</v>
      </c>
      <c r="M1623">
        <v>589</v>
      </c>
      <c r="N1623" t="s">
        <v>18638</v>
      </c>
    </row>
    <row r="1624" spans="1:14">
      <c r="A1624" t="s">
        <v>9256</v>
      </c>
      <c r="B1624">
        <v>1927961</v>
      </c>
      <c r="C1624">
        <v>1928899</v>
      </c>
      <c r="E1624" t="s">
        <v>14290</v>
      </c>
      <c r="F1624" t="s">
        <v>14364</v>
      </c>
      <c r="H1624">
        <v>93523080</v>
      </c>
      <c r="I1624" t="s">
        <v>14292</v>
      </c>
      <c r="L1624" t="s">
        <v>18639</v>
      </c>
      <c r="M1624">
        <v>312</v>
      </c>
      <c r="N1624" t="s">
        <v>18640</v>
      </c>
    </row>
    <row r="1625" spans="1:14">
      <c r="A1625" t="s">
        <v>9256</v>
      </c>
      <c r="B1625">
        <v>1929077</v>
      </c>
      <c r="C1625">
        <v>1930114</v>
      </c>
      <c r="E1625" t="s">
        <v>14290</v>
      </c>
      <c r="F1625" t="s">
        <v>18641</v>
      </c>
      <c r="H1625">
        <v>93523081</v>
      </c>
      <c r="I1625" t="s">
        <v>14292</v>
      </c>
      <c r="L1625" t="s">
        <v>18642</v>
      </c>
      <c r="M1625">
        <v>345</v>
      </c>
      <c r="N1625" t="s">
        <v>18643</v>
      </c>
    </row>
    <row r="1626" spans="1:14">
      <c r="A1626" t="s">
        <v>9256</v>
      </c>
      <c r="B1626">
        <v>1930162</v>
      </c>
      <c r="C1626">
        <v>1930548</v>
      </c>
      <c r="E1626" t="s">
        <v>14290</v>
      </c>
      <c r="F1626" t="s">
        <v>14291</v>
      </c>
      <c r="H1626">
        <v>93523082</v>
      </c>
      <c r="I1626" t="s">
        <v>14292</v>
      </c>
      <c r="L1626" t="s">
        <v>18644</v>
      </c>
      <c r="M1626">
        <v>128</v>
      </c>
      <c r="N1626" t="s">
        <v>18645</v>
      </c>
    </row>
    <row r="1627" spans="1:14">
      <c r="A1627" t="s">
        <v>9256</v>
      </c>
      <c r="B1627">
        <v>1930577</v>
      </c>
      <c r="C1627">
        <v>1936723</v>
      </c>
      <c r="E1627" t="s">
        <v>14290</v>
      </c>
      <c r="F1627" t="s">
        <v>18646</v>
      </c>
      <c r="H1627">
        <v>93523083</v>
      </c>
      <c r="I1627" t="s">
        <v>14292</v>
      </c>
      <c r="L1627" t="s">
        <v>18647</v>
      </c>
      <c r="M1627">
        <v>2048</v>
      </c>
      <c r="N1627" t="s">
        <v>18648</v>
      </c>
    </row>
    <row r="1628" spans="1:14">
      <c r="A1628" t="s">
        <v>9256</v>
      </c>
      <c r="B1628">
        <v>1936850</v>
      </c>
      <c r="C1628">
        <v>1937260</v>
      </c>
      <c r="E1628" t="s">
        <v>14290</v>
      </c>
      <c r="F1628" t="s">
        <v>14291</v>
      </c>
      <c r="H1628">
        <v>93523084</v>
      </c>
      <c r="I1628" t="s">
        <v>14292</v>
      </c>
      <c r="L1628" t="s">
        <v>18649</v>
      </c>
      <c r="M1628">
        <v>136</v>
      </c>
      <c r="N1628" t="s">
        <v>18650</v>
      </c>
    </row>
    <row r="1629" spans="1:14">
      <c r="A1629" t="s">
        <v>9256</v>
      </c>
      <c r="B1629">
        <v>1937377</v>
      </c>
      <c r="C1629">
        <v>1937739</v>
      </c>
      <c r="E1629" t="s">
        <v>14290</v>
      </c>
      <c r="F1629" t="s">
        <v>14291</v>
      </c>
      <c r="H1629">
        <v>93523085</v>
      </c>
      <c r="I1629" t="s">
        <v>14292</v>
      </c>
      <c r="L1629" t="s">
        <v>18651</v>
      </c>
      <c r="M1629">
        <v>120</v>
      </c>
      <c r="N1629" t="s">
        <v>18652</v>
      </c>
    </row>
    <row r="1630" spans="1:14">
      <c r="A1630" t="s">
        <v>9256</v>
      </c>
      <c r="B1630">
        <v>1937733</v>
      </c>
      <c r="C1630">
        <v>1938068</v>
      </c>
      <c r="E1630" t="s">
        <v>14290</v>
      </c>
      <c r="F1630" t="s">
        <v>18653</v>
      </c>
      <c r="G1630" t="s">
        <v>18654</v>
      </c>
      <c r="H1630">
        <v>93523086</v>
      </c>
      <c r="I1630" t="s">
        <v>14292</v>
      </c>
      <c r="L1630" t="s">
        <v>18655</v>
      </c>
      <c r="M1630">
        <v>111</v>
      </c>
      <c r="N1630" t="s">
        <v>18656</v>
      </c>
    </row>
    <row r="1631" spans="1:14">
      <c r="A1631" t="s">
        <v>9256</v>
      </c>
      <c r="B1631">
        <v>1938141</v>
      </c>
      <c r="C1631">
        <v>1939934</v>
      </c>
      <c r="E1631" t="s">
        <v>14290</v>
      </c>
      <c r="F1631" t="s">
        <v>18657</v>
      </c>
      <c r="G1631" t="s">
        <v>18658</v>
      </c>
      <c r="H1631">
        <v>93523087</v>
      </c>
      <c r="I1631" t="s">
        <v>14292</v>
      </c>
      <c r="L1631" t="s">
        <v>18659</v>
      </c>
      <c r="M1631">
        <v>597</v>
      </c>
      <c r="N1631" t="s">
        <v>18660</v>
      </c>
    </row>
    <row r="1632" spans="1:14">
      <c r="A1632" t="s">
        <v>9256</v>
      </c>
      <c r="B1632">
        <v>1940736</v>
      </c>
      <c r="C1632">
        <v>1941419</v>
      </c>
      <c r="E1632" t="s">
        <v>14290</v>
      </c>
      <c r="F1632" t="s">
        <v>14291</v>
      </c>
      <c r="H1632">
        <v>93523088</v>
      </c>
      <c r="I1632" t="s">
        <v>14292</v>
      </c>
      <c r="L1632" t="s">
        <v>18661</v>
      </c>
      <c r="M1632">
        <v>227</v>
      </c>
      <c r="N1632" t="s">
        <v>18662</v>
      </c>
    </row>
    <row r="1633" spans="1:14">
      <c r="A1633" t="s">
        <v>9256</v>
      </c>
      <c r="B1633">
        <v>1941813</v>
      </c>
      <c r="C1633">
        <v>1942436</v>
      </c>
      <c r="E1633" t="s">
        <v>14290</v>
      </c>
      <c r="F1633" t="s">
        <v>18663</v>
      </c>
      <c r="H1633">
        <v>93523089</v>
      </c>
      <c r="I1633" t="s">
        <v>14292</v>
      </c>
      <c r="L1633" t="s">
        <v>18664</v>
      </c>
      <c r="M1633">
        <v>207</v>
      </c>
      <c r="N1633" t="s">
        <v>18665</v>
      </c>
    </row>
    <row r="1634" spans="1:14">
      <c r="A1634" t="s">
        <v>9256</v>
      </c>
      <c r="B1634">
        <v>1942506</v>
      </c>
      <c r="C1634">
        <v>1942883</v>
      </c>
      <c r="E1634" t="s">
        <v>14290</v>
      </c>
      <c r="F1634" t="s">
        <v>18666</v>
      </c>
      <c r="H1634">
        <v>93523090</v>
      </c>
      <c r="I1634" t="s">
        <v>14292</v>
      </c>
      <c r="L1634" t="s">
        <v>18667</v>
      </c>
      <c r="M1634">
        <v>125</v>
      </c>
      <c r="N1634" t="s">
        <v>18668</v>
      </c>
    </row>
    <row r="1635" spans="1:14">
      <c r="A1635" t="s">
        <v>9256</v>
      </c>
      <c r="B1635">
        <v>1942979</v>
      </c>
      <c r="C1635">
        <v>1943314</v>
      </c>
      <c r="E1635" t="s">
        <v>14290</v>
      </c>
      <c r="F1635" t="s">
        <v>14291</v>
      </c>
      <c r="H1635">
        <v>93523091</v>
      </c>
      <c r="I1635" t="s">
        <v>14292</v>
      </c>
      <c r="L1635" t="s">
        <v>18669</v>
      </c>
      <c r="M1635">
        <v>111</v>
      </c>
      <c r="N1635" t="s">
        <v>18670</v>
      </c>
    </row>
    <row r="1636" spans="1:14">
      <c r="A1636" t="s">
        <v>9256</v>
      </c>
      <c r="B1636">
        <v>1943473</v>
      </c>
      <c r="C1636">
        <v>1943787</v>
      </c>
      <c r="E1636" t="s">
        <v>14290</v>
      </c>
      <c r="F1636" t="s">
        <v>18671</v>
      </c>
      <c r="H1636">
        <v>93523092</v>
      </c>
      <c r="I1636" t="s">
        <v>14292</v>
      </c>
      <c r="L1636" t="s">
        <v>18672</v>
      </c>
      <c r="M1636">
        <v>104</v>
      </c>
      <c r="N1636" t="s">
        <v>18673</v>
      </c>
    </row>
    <row r="1637" spans="1:14">
      <c r="A1637" t="s">
        <v>9256</v>
      </c>
      <c r="B1637">
        <v>1943868</v>
      </c>
      <c r="C1637">
        <v>1944491</v>
      </c>
      <c r="E1637" t="s">
        <v>14290</v>
      </c>
      <c r="F1637" t="s">
        <v>18663</v>
      </c>
      <c r="H1637">
        <v>93523093</v>
      </c>
      <c r="I1637" t="s">
        <v>14292</v>
      </c>
      <c r="L1637" t="s">
        <v>18674</v>
      </c>
      <c r="M1637">
        <v>207</v>
      </c>
      <c r="N1637" t="s">
        <v>18675</v>
      </c>
    </row>
    <row r="1638" spans="1:14">
      <c r="A1638" t="s">
        <v>9256</v>
      </c>
      <c r="B1638">
        <v>1944552</v>
      </c>
      <c r="C1638">
        <v>1944941</v>
      </c>
      <c r="E1638" t="s">
        <v>14290</v>
      </c>
      <c r="F1638" t="s">
        <v>18666</v>
      </c>
      <c r="H1638">
        <v>93523094</v>
      </c>
      <c r="I1638" t="s">
        <v>14292</v>
      </c>
      <c r="L1638" t="s">
        <v>18676</v>
      </c>
      <c r="M1638">
        <v>129</v>
      </c>
      <c r="N1638" t="s">
        <v>18677</v>
      </c>
    </row>
    <row r="1639" spans="1:14">
      <c r="A1639" t="s">
        <v>9256</v>
      </c>
      <c r="B1639">
        <v>1945520</v>
      </c>
      <c r="C1639">
        <v>1947097</v>
      </c>
      <c r="E1639" t="s">
        <v>14290</v>
      </c>
      <c r="F1639" t="s">
        <v>17263</v>
      </c>
      <c r="H1639">
        <v>93523095</v>
      </c>
      <c r="I1639" t="s">
        <v>14292</v>
      </c>
      <c r="L1639" t="s">
        <v>18678</v>
      </c>
      <c r="M1639">
        <v>525</v>
      </c>
      <c r="N1639" t="s">
        <v>18679</v>
      </c>
    </row>
    <row r="1640" spans="1:14">
      <c r="A1640" t="s">
        <v>9256</v>
      </c>
      <c r="B1640">
        <v>1947282</v>
      </c>
      <c r="C1640">
        <v>1947986</v>
      </c>
      <c r="E1640" t="s">
        <v>14290</v>
      </c>
      <c r="F1640" t="s">
        <v>14291</v>
      </c>
      <c r="H1640">
        <v>93523096</v>
      </c>
      <c r="I1640" t="s">
        <v>14292</v>
      </c>
      <c r="L1640" t="s">
        <v>18680</v>
      </c>
      <c r="M1640">
        <v>234</v>
      </c>
      <c r="N1640" t="s">
        <v>18681</v>
      </c>
    </row>
    <row r="1641" spans="1:14">
      <c r="A1641" t="s">
        <v>9256</v>
      </c>
      <c r="B1641">
        <v>1948137</v>
      </c>
      <c r="C1641">
        <v>1948541</v>
      </c>
      <c r="E1641" t="s">
        <v>14290</v>
      </c>
      <c r="F1641" t="s">
        <v>18682</v>
      </c>
      <c r="H1641">
        <v>93523097</v>
      </c>
      <c r="I1641" t="s">
        <v>14292</v>
      </c>
      <c r="L1641" t="s">
        <v>18683</v>
      </c>
      <c r="M1641">
        <v>134</v>
      </c>
      <c r="N1641" t="s">
        <v>18684</v>
      </c>
    </row>
    <row r="1642" spans="1:14">
      <c r="A1642" t="s">
        <v>9256</v>
      </c>
      <c r="B1642">
        <v>1948552</v>
      </c>
      <c r="C1642">
        <v>1949898</v>
      </c>
      <c r="E1642" t="s">
        <v>14290</v>
      </c>
      <c r="F1642" t="s">
        <v>14715</v>
      </c>
      <c r="G1642" t="s">
        <v>14716</v>
      </c>
      <c r="H1642">
        <v>93523098</v>
      </c>
      <c r="I1642" t="s">
        <v>14292</v>
      </c>
      <c r="L1642" t="s">
        <v>18685</v>
      </c>
      <c r="M1642">
        <v>448</v>
      </c>
      <c r="N1642" t="s">
        <v>18686</v>
      </c>
    </row>
    <row r="1643" spans="1:14">
      <c r="A1643" t="s">
        <v>9256</v>
      </c>
      <c r="B1643">
        <v>1949935</v>
      </c>
      <c r="C1643">
        <v>1950660</v>
      </c>
      <c r="E1643" t="s">
        <v>14290</v>
      </c>
      <c r="F1643" t="s">
        <v>18687</v>
      </c>
      <c r="H1643">
        <v>93523099</v>
      </c>
      <c r="I1643" t="s">
        <v>14292</v>
      </c>
      <c r="L1643" t="s">
        <v>18688</v>
      </c>
      <c r="M1643">
        <v>241</v>
      </c>
      <c r="N1643" t="s">
        <v>18689</v>
      </c>
    </row>
    <row r="1644" spans="1:14">
      <c r="A1644" t="s">
        <v>9256</v>
      </c>
      <c r="B1644">
        <v>1950657</v>
      </c>
      <c r="C1644">
        <v>1951412</v>
      </c>
      <c r="E1644" t="s">
        <v>14290</v>
      </c>
      <c r="F1644" t="s">
        <v>18690</v>
      </c>
      <c r="H1644">
        <v>93523100</v>
      </c>
      <c r="I1644" t="s">
        <v>14292</v>
      </c>
      <c r="L1644" t="s">
        <v>18691</v>
      </c>
      <c r="M1644">
        <v>251</v>
      </c>
      <c r="N1644" t="s">
        <v>18692</v>
      </c>
    </row>
    <row r="1645" spans="1:14">
      <c r="A1645" t="s">
        <v>9256</v>
      </c>
      <c r="B1645">
        <v>1951412</v>
      </c>
      <c r="C1645">
        <v>1951798</v>
      </c>
      <c r="E1645" t="s">
        <v>14290</v>
      </c>
      <c r="F1645" t="s">
        <v>18693</v>
      </c>
      <c r="G1645" t="s">
        <v>18694</v>
      </c>
      <c r="H1645">
        <v>93523101</v>
      </c>
      <c r="I1645" t="s">
        <v>14292</v>
      </c>
      <c r="L1645" t="s">
        <v>18695</v>
      </c>
      <c r="M1645">
        <v>128</v>
      </c>
      <c r="N1645" t="s">
        <v>18696</v>
      </c>
    </row>
    <row r="1646" spans="1:14">
      <c r="A1646" t="s">
        <v>9256</v>
      </c>
      <c r="B1646">
        <v>1951798</v>
      </c>
      <c r="C1646">
        <v>1952019</v>
      </c>
      <c r="E1646" t="s">
        <v>14290</v>
      </c>
      <c r="F1646" t="s">
        <v>18697</v>
      </c>
      <c r="G1646" t="s">
        <v>18698</v>
      </c>
      <c r="H1646">
        <v>93523102</v>
      </c>
      <c r="I1646" t="s">
        <v>14292</v>
      </c>
      <c r="L1646" t="s">
        <v>18699</v>
      </c>
      <c r="M1646">
        <v>73</v>
      </c>
      <c r="N1646" t="s">
        <v>18700</v>
      </c>
    </row>
    <row r="1647" spans="1:14">
      <c r="A1647" t="s">
        <v>9256</v>
      </c>
      <c r="B1647">
        <v>1952003</v>
      </c>
      <c r="C1647">
        <v>1952674</v>
      </c>
      <c r="E1647" t="s">
        <v>14290</v>
      </c>
      <c r="F1647" t="s">
        <v>18701</v>
      </c>
      <c r="H1647">
        <v>93523103</v>
      </c>
      <c r="I1647" t="s">
        <v>14292</v>
      </c>
      <c r="L1647" t="s">
        <v>18702</v>
      </c>
      <c r="M1647">
        <v>223</v>
      </c>
      <c r="N1647" t="s">
        <v>18703</v>
      </c>
    </row>
    <row r="1648" spans="1:14">
      <c r="A1648" t="s">
        <v>9256</v>
      </c>
      <c r="B1648">
        <v>1952778</v>
      </c>
      <c r="C1648">
        <v>1954070</v>
      </c>
      <c r="E1648" t="s">
        <v>14290</v>
      </c>
      <c r="F1648" t="s">
        <v>18704</v>
      </c>
      <c r="G1648" t="s">
        <v>18705</v>
      </c>
      <c r="H1648">
        <v>93523104</v>
      </c>
      <c r="I1648" t="s">
        <v>14292</v>
      </c>
      <c r="L1648" t="s">
        <v>18706</v>
      </c>
      <c r="M1648">
        <v>430</v>
      </c>
      <c r="N1648" t="s">
        <v>18707</v>
      </c>
    </row>
    <row r="1649" spans="1:14">
      <c r="A1649" t="s">
        <v>9256</v>
      </c>
      <c r="B1649">
        <v>1954405</v>
      </c>
      <c r="C1649">
        <v>1954974</v>
      </c>
      <c r="E1649" t="s">
        <v>14290</v>
      </c>
      <c r="F1649" t="s">
        <v>14982</v>
      </c>
      <c r="H1649">
        <v>93523105</v>
      </c>
      <c r="I1649" t="s">
        <v>14292</v>
      </c>
      <c r="L1649" t="s">
        <v>18708</v>
      </c>
      <c r="M1649">
        <v>189</v>
      </c>
      <c r="N1649" t="s">
        <v>18709</v>
      </c>
    </row>
    <row r="1650" spans="1:14">
      <c r="A1650" t="s">
        <v>9256</v>
      </c>
      <c r="B1650">
        <v>1954978</v>
      </c>
      <c r="C1650">
        <v>1955955</v>
      </c>
      <c r="E1650" t="s">
        <v>14290</v>
      </c>
      <c r="F1650" t="s">
        <v>14972</v>
      </c>
      <c r="H1650">
        <v>93523106</v>
      </c>
      <c r="I1650" t="s">
        <v>14292</v>
      </c>
      <c r="L1650" t="s">
        <v>18710</v>
      </c>
      <c r="M1650">
        <v>325</v>
      </c>
      <c r="N1650" t="s">
        <v>18711</v>
      </c>
    </row>
    <row r="1651" spans="1:14">
      <c r="A1651" t="s">
        <v>9256</v>
      </c>
      <c r="B1651">
        <v>1955970</v>
      </c>
      <c r="C1651">
        <v>1957832</v>
      </c>
      <c r="E1651" t="s">
        <v>14290</v>
      </c>
      <c r="F1651" t="s">
        <v>18712</v>
      </c>
      <c r="H1651">
        <v>93523107</v>
      </c>
      <c r="I1651" t="s">
        <v>14292</v>
      </c>
      <c r="L1651" t="s">
        <v>18713</v>
      </c>
      <c r="M1651">
        <v>620</v>
      </c>
      <c r="N1651" t="s">
        <v>18714</v>
      </c>
    </row>
    <row r="1652" spans="1:14">
      <c r="A1652" t="s">
        <v>9256</v>
      </c>
      <c r="B1652">
        <v>1958003</v>
      </c>
      <c r="C1652">
        <v>1961191</v>
      </c>
      <c r="E1652" t="s">
        <v>14290</v>
      </c>
      <c r="F1652" t="s">
        <v>15450</v>
      </c>
      <c r="H1652">
        <v>93523108</v>
      </c>
      <c r="I1652" t="s">
        <v>14292</v>
      </c>
      <c r="L1652" t="s">
        <v>18715</v>
      </c>
      <c r="M1652">
        <v>1062</v>
      </c>
      <c r="N1652" t="s">
        <v>18716</v>
      </c>
    </row>
    <row r="1653" spans="1:14">
      <c r="A1653" t="s">
        <v>9256</v>
      </c>
      <c r="B1653">
        <v>1961216</v>
      </c>
      <c r="C1653">
        <v>1962736</v>
      </c>
      <c r="E1653" t="s">
        <v>14290</v>
      </c>
      <c r="F1653" t="s">
        <v>15179</v>
      </c>
      <c r="H1653">
        <v>93523109</v>
      </c>
      <c r="I1653" t="s">
        <v>14292</v>
      </c>
      <c r="L1653" t="s">
        <v>18717</v>
      </c>
      <c r="M1653">
        <v>506</v>
      </c>
      <c r="N1653" t="s">
        <v>18718</v>
      </c>
    </row>
    <row r="1654" spans="1:14">
      <c r="A1654" t="s">
        <v>9256</v>
      </c>
      <c r="B1654">
        <v>1962874</v>
      </c>
      <c r="C1654">
        <v>1963704</v>
      </c>
      <c r="E1654" t="s">
        <v>14290</v>
      </c>
      <c r="F1654" t="s">
        <v>18719</v>
      </c>
      <c r="H1654">
        <v>93523110</v>
      </c>
      <c r="I1654" t="s">
        <v>14292</v>
      </c>
      <c r="L1654" t="s">
        <v>18720</v>
      </c>
      <c r="M1654">
        <v>276</v>
      </c>
      <c r="N1654" t="s">
        <v>18721</v>
      </c>
    </row>
    <row r="1655" spans="1:14">
      <c r="A1655" t="s">
        <v>9256</v>
      </c>
      <c r="B1655">
        <v>1963796</v>
      </c>
      <c r="C1655">
        <v>1966654</v>
      </c>
      <c r="E1655" t="s">
        <v>14290</v>
      </c>
      <c r="F1655" t="s">
        <v>18722</v>
      </c>
      <c r="H1655">
        <v>93523111</v>
      </c>
      <c r="I1655" t="s">
        <v>14292</v>
      </c>
      <c r="L1655" t="s">
        <v>18723</v>
      </c>
      <c r="M1655">
        <v>952</v>
      </c>
      <c r="N1655" t="s">
        <v>18724</v>
      </c>
    </row>
    <row r="1656" spans="1:14">
      <c r="A1656" t="s">
        <v>9256</v>
      </c>
      <c r="B1656">
        <v>1966989</v>
      </c>
      <c r="C1656">
        <v>1970030</v>
      </c>
      <c r="E1656" t="s">
        <v>14290</v>
      </c>
      <c r="F1656" t="s">
        <v>14965</v>
      </c>
      <c r="H1656">
        <v>93523112</v>
      </c>
      <c r="I1656" t="s">
        <v>14292</v>
      </c>
      <c r="L1656" t="s">
        <v>18725</v>
      </c>
      <c r="M1656">
        <v>1013</v>
      </c>
      <c r="N1656" t="s">
        <v>18726</v>
      </c>
    </row>
    <row r="1657" spans="1:14">
      <c r="A1657" t="s">
        <v>9256</v>
      </c>
      <c r="B1657">
        <v>1970055</v>
      </c>
      <c r="C1657">
        <v>1971551</v>
      </c>
      <c r="E1657" t="s">
        <v>14290</v>
      </c>
      <c r="F1657" t="s">
        <v>15179</v>
      </c>
      <c r="H1657">
        <v>93523113</v>
      </c>
      <c r="I1657" t="s">
        <v>14292</v>
      </c>
      <c r="L1657" t="s">
        <v>18727</v>
      </c>
      <c r="M1657">
        <v>498</v>
      </c>
      <c r="N1657" t="s">
        <v>18728</v>
      </c>
    </row>
    <row r="1658" spans="1:14">
      <c r="A1658" t="s">
        <v>9256</v>
      </c>
      <c r="B1658">
        <v>1971666</v>
      </c>
      <c r="C1658">
        <v>1973831</v>
      </c>
      <c r="E1658" t="s">
        <v>14290</v>
      </c>
      <c r="F1658" t="s">
        <v>18729</v>
      </c>
      <c r="H1658">
        <v>93523114</v>
      </c>
      <c r="I1658" t="s">
        <v>14292</v>
      </c>
      <c r="L1658" t="s">
        <v>18730</v>
      </c>
      <c r="M1658">
        <v>721</v>
      </c>
      <c r="N1658" t="s">
        <v>18731</v>
      </c>
    </row>
    <row r="1659" spans="1:14">
      <c r="A1659" t="s">
        <v>9256</v>
      </c>
      <c r="B1659">
        <v>1973972</v>
      </c>
      <c r="C1659">
        <v>1976128</v>
      </c>
      <c r="E1659" t="s">
        <v>14290</v>
      </c>
      <c r="F1659" t="s">
        <v>16202</v>
      </c>
      <c r="H1659">
        <v>93523115</v>
      </c>
      <c r="I1659" t="s">
        <v>14292</v>
      </c>
      <c r="L1659" t="s">
        <v>18732</v>
      </c>
      <c r="M1659">
        <v>718</v>
      </c>
      <c r="N1659" t="s">
        <v>18733</v>
      </c>
    </row>
    <row r="1660" spans="1:14">
      <c r="A1660" t="s">
        <v>9256</v>
      </c>
      <c r="B1660">
        <v>1976138</v>
      </c>
      <c r="C1660">
        <v>1977532</v>
      </c>
      <c r="E1660" t="s">
        <v>14290</v>
      </c>
      <c r="F1660" t="s">
        <v>18729</v>
      </c>
      <c r="H1660">
        <v>93523116</v>
      </c>
      <c r="I1660" t="s">
        <v>14292</v>
      </c>
      <c r="L1660" t="s">
        <v>18734</v>
      </c>
      <c r="M1660">
        <v>464</v>
      </c>
      <c r="N1660" t="s">
        <v>18735</v>
      </c>
    </row>
    <row r="1661" spans="1:14">
      <c r="A1661" t="s">
        <v>9256</v>
      </c>
      <c r="B1661">
        <v>1977545</v>
      </c>
      <c r="C1661">
        <v>1979800</v>
      </c>
      <c r="E1661" t="s">
        <v>14290</v>
      </c>
      <c r="F1661" t="s">
        <v>18736</v>
      </c>
      <c r="G1661" t="s">
        <v>18737</v>
      </c>
      <c r="H1661">
        <v>93523117</v>
      </c>
      <c r="I1661" t="s">
        <v>14292</v>
      </c>
      <c r="L1661" t="s">
        <v>18738</v>
      </c>
      <c r="M1661">
        <v>751</v>
      </c>
      <c r="N1661" t="s">
        <v>18739</v>
      </c>
    </row>
    <row r="1662" spans="1:14">
      <c r="A1662" t="s">
        <v>9256</v>
      </c>
      <c r="B1662">
        <v>1979815</v>
      </c>
      <c r="C1662">
        <v>1982091</v>
      </c>
      <c r="E1662" t="s">
        <v>14290</v>
      </c>
      <c r="F1662" t="s">
        <v>18736</v>
      </c>
      <c r="G1662" t="s">
        <v>18737</v>
      </c>
      <c r="H1662">
        <v>93523118</v>
      </c>
      <c r="I1662" t="s">
        <v>14292</v>
      </c>
      <c r="L1662" t="s">
        <v>18740</v>
      </c>
      <c r="M1662">
        <v>758</v>
      </c>
      <c r="N1662" t="s">
        <v>18741</v>
      </c>
    </row>
    <row r="1663" spans="1:14">
      <c r="A1663" t="s">
        <v>9256</v>
      </c>
      <c r="B1663">
        <v>1982110</v>
      </c>
      <c r="C1663">
        <v>1983903</v>
      </c>
      <c r="E1663" t="s">
        <v>14290</v>
      </c>
      <c r="F1663" t="s">
        <v>16202</v>
      </c>
      <c r="H1663">
        <v>93523119</v>
      </c>
      <c r="I1663" t="s">
        <v>14292</v>
      </c>
      <c r="L1663" t="s">
        <v>18742</v>
      </c>
      <c r="M1663">
        <v>597</v>
      </c>
      <c r="N1663" t="s">
        <v>18743</v>
      </c>
    </row>
    <row r="1664" spans="1:14">
      <c r="A1664" t="s">
        <v>9256</v>
      </c>
      <c r="B1664">
        <v>1984175</v>
      </c>
      <c r="C1664">
        <v>1984972</v>
      </c>
      <c r="E1664" t="s">
        <v>14290</v>
      </c>
      <c r="F1664" t="s">
        <v>18744</v>
      </c>
      <c r="H1664">
        <v>93523120</v>
      </c>
      <c r="I1664" t="s">
        <v>14292</v>
      </c>
      <c r="L1664" t="s">
        <v>18745</v>
      </c>
      <c r="M1664">
        <v>265</v>
      </c>
      <c r="N1664" t="s">
        <v>18746</v>
      </c>
    </row>
    <row r="1665" spans="1:14">
      <c r="A1665" t="s">
        <v>9256</v>
      </c>
      <c r="B1665">
        <v>1985266</v>
      </c>
      <c r="C1665">
        <v>1985721</v>
      </c>
      <c r="E1665" t="s">
        <v>14290</v>
      </c>
      <c r="F1665" t="s">
        <v>14291</v>
      </c>
      <c r="H1665">
        <v>93523121</v>
      </c>
      <c r="I1665" t="s">
        <v>14292</v>
      </c>
      <c r="L1665" t="s">
        <v>18747</v>
      </c>
      <c r="M1665">
        <v>151</v>
      </c>
      <c r="N1665" t="s">
        <v>18748</v>
      </c>
    </row>
    <row r="1666" spans="1:14">
      <c r="A1666" t="s">
        <v>9256</v>
      </c>
      <c r="B1666">
        <v>1986421</v>
      </c>
      <c r="C1666">
        <v>1987323</v>
      </c>
      <c r="E1666" t="s">
        <v>14290</v>
      </c>
      <c r="F1666" t="s">
        <v>15777</v>
      </c>
      <c r="H1666">
        <v>93523122</v>
      </c>
      <c r="I1666" t="s">
        <v>14292</v>
      </c>
      <c r="L1666" t="s">
        <v>18749</v>
      </c>
      <c r="M1666">
        <v>300</v>
      </c>
      <c r="N1666" t="s">
        <v>18750</v>
      </c>
    </row>
    <row r="1667" spans="1:14">
      <c r="A1667" t="s">
        <v>9256</v>
      </c>
      <c r="B1667">
        <v>1987363</v>
      </c>
      <c r="C1667">
        <v>1990185</v>
      </c>
      <c r="E1667" t="s">
        <v>14314</v>
      </c>
      <c r="F1667" t="s">
        <v>18301</v>
      </c>
      <c r="H1667">
        <v>93523123</v>
      </c>
      <c r="I1667" t="s">
        <v>14292</v>
      </c>
      <c r="L1667" t="s">
        <v>18751</v>
      </c>
      <c r="M1667">
        <v>940</v>
      </c>
      <c r="N1667" t="s">
        <v>18752</v>
      </c>
    </row>
    <row r="1668" spans="1:14">
      <c r="A1668" t="s">
        <v>9256</v>
      </c>
      <c r="B1668">
        <v>1990318</v>
      </c>
      <c r="C1668">
        <v>1990542</v>
      </c>
      <c r="E1668" t="s">
        <v>14314</v>
      </c>
      <c r="F1668" t="s">
        <v>18753</v>
      </c>
      <c r="H1668">
        <v>93523124</v>
      </c>
      <c r="I1668" t="s">
        <v>14292</v>
      </c>
      <c r="L1668" t="s">
        <v>18754</v>
      </c>
      <c r="M1668">
        <v>74</v>
      </c>
      <c r="N1668" t="s">
        <v>18755</v>
      </c>
    </row>
    <row r="1669" spans="1:14">
      <c r="A1669" t="s">
        <v>9256</v>
      </c>
      <c r="B1669">
        <v>1990561</v>
      </c>
      <c r="C1669">
        <v>1990860</v>
      </c>
      <c r="E1669" t="s">
        <v>14314</v>
      </c>
      <c r="F1669" t="s">
        <v>14439</v>
      </c>
      <c r="H1669">
        <v>93523125</v>
      </c>
      <c r="I1669" t="s">
        <v>14292</v>
      </c>
      <c r="L1669" t="s">
        <v>18756</v>
      </c>
      <c r="M1669">
        <v>99</v>
      </c>
      <c r="N1669" t="s">
        <v>18757</v>
      </c>
    </row>
    <row r="1670" spans="1:14">
      <c r="A1670" t="s">
        <v>9256</v>
      </c>
      <c r="B1670">
        <v>1991056</v>
      </c>
      <c r="C1670">
        <v>1994313</v>
      </c>
      <c r="E1670" t="s">
        <v>14290</v>
      </c>
      <c r="F1670" t="s">
        <v>18758</v>
      </c>
      <c r="H1670">
        <v>93523126</v>
      </c>
      <c r="I1670" t="s">
        <v>14292</v>
      </c>
      <c r="L1670" t="s">
        <v>18759</v>
      </c>
      <c r="M1670">
        <v>1085</v>
      </c>
      <c r="N1670" t="s">
        <v>18760</v>
      </c>
    </row>
    <row r="1671" spans="1:14">
      <c r="A1671" t="s">
        <v>9256</v>
      </c>
      <c r="B1671">
        <v>1994320</v>
      </c>
      <c r="C1671">
        <v>1994931</v>
      </c>
      <c r="E1671" t="s">
        <v>14290</v>
      </c>
      <c r="F1671" t="s">
        <v>18007</v>
      </c>
      <c r="H1671">
        <v>93523127</v>
      </c>
      <c r="I1671" t="s">
        <v>14292</v>
      </c>
      <c r="L1671" t="s">
        <v>18761</v>
      </c>
      <c r="M1671">
        <v>203</v>
      </c>
      <c r="N1671" t="s">
        <v>18762</v>
      </c>
    </row>
    <row r="1672" spans="1:14">
      <c r="A1672" t="s">
        <v>9256</v>
      </c>
      <c r="B1672">
        <v>1994931</v>
      </c>
      <c r="C1672">
        <v>1995848</v>
      </c>
      <c r="E1672" t="s">
        <v>14290</v>
      </c>
      <c r="F1672" t="s">
        <v>18763</v>
      </c>
      <c r="G1672" t="s">
        <v>18764</v>
      </c>
      <c r="H1672">
        <v>93523128</v>
      </c>
      <c r="I1672" t="s">
        <v>14292</v>
      </c>
      <c r="L1672" t="s">
        <v>18765</v>
      </c>
      <c r="M1672">
        <v>305</v>
      </c>
      <c r="N1672" t="s">
        <v>18766</v>
      </c>
    </row>
    <row r="1673" spans="1:14">
      <c r="A1673" t="s">
        <v>9256</v>
      </c>
      <c r="B1673">
        <v>1995855</v>
      </c>
      <c r="C1673">
        <v>1997144</v>
      </c>
      <c r="E1673" t="s">
        <v>14290</v>
      </c>
      <c r="F1673" t="s">
        <v>18767</v>
      </c>
      <c r="H1673">
        <v>93523129</v>
      </c>
      <c r="I1673" t="s">
        <v>14292</v>
      </c>
      <c r="L1673" t="s">
        <v>18768</v>
      </c>
      <c r="M1673">
        <v>429</v>
      </c>
      <c r="N1673" t="s">
        <v>18769</v>
      </c>
    </row>
    <row r="1674" spans="1:14">
      <c r="A1674" t="s">
        <v>9256</v>
      </c>
      <c r="B1674">
        <v>1997284</v>
      </c>
      <c r="C1674">
        <v>1998102</v>
      </c>
      <c r="E1674" t="s">
        <v>14290</v>
      </c>
      <c r="F1674" t="s">
        <v>18770</v>
      </c>
      <c r="H1674">
        <v>93523130</v>
      </c>
      <c r="I1674" t="s">
        <v>14292</v>
      </c>
      <c r="L1674" t="s">
        <v>18771</v>
      </c>
      <c r="M1674">
        <v>272</v>
      </c>
      <c r="N1674" t="s">
        <v>18772</v>
      </c>
    </row>
    <row r="1675" spans="1:14">
      <c r="A1675" t="s">
        <v>9256</v>
      </c>
      <c r="B1675">
        <v>1998173</v>
      </c>
      <c r="C1675">
        <v>1999057</v>
      </c>
      <c r="E1675" t="s">
        <v>14290</v>
      </c>
      <c r="F1675" t="s">
        <v>18773</v>
      </c>
      <c r="H1675">
        <v>93523131</v>
      </c>
      <c r="I1675" t="s">
        <v>14292</v>
      </c>
      <c r="L1675" t="s">
        <v>18774</v>
      </c>
      <c r="M1675">
        <v>294</v>
      </c>
      <c r="N1675" t="s">
        <v>18775</v>
      </c>
    </row>
    <row r="1676" spans="1:14">
      <c r="A1676" t="s">
        <v>9256</v>
      </c>
      <c r="B1676">
        <v>1999041</v>
      </c>
      <c r="C1676">
        <v>1999802</v>
      </c>
      <c r="E1676" t="s">
        <v>14290</v>
      </c>
      <c r="F1676" t="s">
        <v>18776</v>
      </c>
      <c r="H1676">
        <v>93523132</v>
      </c>
      <c r="I1676" t="s">
        <v>14292</v>
      </c>
      <c r="L1676" t="s">
        <v>18777</v>
      </c>
      <c r="M1676">
        <v>253</v>
      </c>
      <c r="N1676" t="s">
        <v>18778</v>
      </c>
    </row>
    <row r="1677" spans="1:14">
      <c r="A1677" t="s">
        <v>9256</v>
      </c>
      <c r="B1677">
        <v>1999830</v>
      </c>
      <c r="C1677">
        <v>2000036</v>
      </c>
      <c r="E1677" t="s">
        <v>14290</v>
      </c>
      <c r="F1677" t="s">
        <v>14291</v>
      </c>
      <c r="H1677">
        <v>93523133</v>
      </c>
      <c r="I1677" t="s">
        <v>14292</v>
      </c>
      <c r="L1677" t="s">
        <v>18779</v>
      </c>
      <c r="M1677">
        <v>68</v>
      </c>
      <c r="N1677" t="s">
        <v>18780</v>
      </c>
    </row>
    <row r="1678" spans="1:14">
      <c r="A1678" t="s">
        <v>9256</v>
      </c>
      <c r="B1678">
        <v>2000033</v>
      </c>
      <c r="C1678">
        <v>2001049</v>
      </c>
      <c r="E1678" t="s">
        <v>14290</v>
      </c>
      <c r="F1678" t="s">
        <v>15066</v>
      </c>
      <c r="H1678">
        <v>93523134</v>
      </c>
      <c r="I1678" t="s">
        <v>14292</v>
      </c>
      <c r="L1678" t="s">
        <v>18781</v>
      </c>
      <c r="M1678">
        <v>338</v>
      </c>
      <c r="N1678" t="s">
        <v>18782</v>
      </c>
    </row>
    <row r="1679" spans="1:14">
      <c r="A1679" t="s">
        <v>9256</v>
      </c>
      <c r="B1679">
        <v>2001053</v>
      </c>
      <c r="C1679">
        <v>2001853</v>
      </c>
      <c r="E1679" t="s">
        <v>14314</v>
      </c>
      <c r="F1679" t="s">
        <v>18783</v>
      </c>
      <c r="H1679">
        <v>93523135</v>
      </c>
      <c r="I1679" t="s">
        <v>14292</v>
      </c>
      <c r="L1679" t="s">
        <v>18784</v>
      </c>
      <c r="M1679">
        <v>266</v>
      </c>
      <c r="N1679" t="s">
        <v>18785</v>
      </c>
    </row>
    <row r="1680" spans="1:14">
      <c r="A1680" t="s">
        <v>9256</v>
      </c>
      <c r="B1680">
        <v>2001850</v>
      </c>
      <c r="C1680">
        <v>2002638</v>
      </c>
      <c r="E1680" t="s">
        <v>14314</v>
      </c>
      <c r="F1680" t="s">
        <v>18783</v>
      </c>
      <c r="H1680">
        <v>93523136</v>
      </c>
      <c r="I1680" t="s">
        <v>14292</v>
      </c>
      <c r="L1680" t="s">
        <v>18786</v>
      </c>
      <c r="M1680">
        <v>262</v>
      </c>
      <c r="N1680" t="s">
        <v>18787</v>
      </c>
    </row>
    <row r="1681" spans="1:14">
      <c r="A1681" t="s">
        <v>9256</v>
      </c>
      <c r="B1681">
        <v>2002789</v>
      </c>
      <c r="C1681">
        <v>2003613</v>
      </c>
      <c r="E1681" t="s">
        <v>14314</v>
      </c>
      <c r="F1681" t="s">
        <v>18783</v>
      </c>
      <c r="H1681">
        <v>93523137</v>
      </c>
      <c r="I1681" t="s">
        <v>14292</v>
      </c>
      <c r="L1681" t="s">
        <v>18788</v>
      </c>
      <c r="M1681">
        <v>274</v>
      </c>
      <c r="N1681" t="s">
        <v>18789</v>
      </c>
    </row>
    <row r="1682" spans="1:14">
      <c r="A1682" t="s">
        <v>9256</v>
      </c>
      <c r="B1682">
        <v>2003634</v>
      </c>
      <c r="C1682">
        <v>2004443</v>
      </c>
      <c r="E1682" t="s">
        <v>14314</v>
      </c>
      <c r="F1682" t="s">
        <v>18783</v>
      </c>
      <c r="H1682">
        <v>93523138</v>
      </c>
      <c r="I1682" t="s">
        <v>14292</v>
      </c>
      <c r="L1682" t="s">
        <v>18790</v>
      </c>
      <c r="M1682">
        <v>269</v>
      </c>
      <c r="N1682" t="s">
        <v>18791</v>
      </c>
    </row>
    <row r="1683" spans="1:14">
      <c r="A1683" t="s">
        <v>9256</v>
      </c>
      <c r="B1683">
        <v>2004556</v>
      </c>
      <c r="C1683">
        <v>2005035</v>
      </c>
      <c r="E1683" t="s">
        <v>14290</v>
      </c>
      <c r="F1683" t="s">
        <v>15822</v>
      </c>
      <c r="H1683">
        <v>93523139</v>
      </c>
      <c r="I1683" t="s">
        <v>14292</v>
      </c>
      <c r="L1683" t="s">
        <v>18792</v>
      </c>
      <c r="M1683">
        <v>159</v>
      </c>
      <c r="N1683" t="s">
        <v>18793</v>
      </c>
    </row>
    <row r="1684" spans="1:14">
      <c r="A1684" t="s">
        <v>9256</v>
      </c>
      <c r="B1684">
        <v>2005049</v>
      </c>
      <c r="C1684">
        <v>2006257</v>
      </c>
      <c r="E1684" t="s">
        <v>14290</v>
      </c>
      <c r="F1684" t="s">
        <v>14291</v>
      </c>
      <c r="H1684">
        <v>93523140</v>
      </c>
      <c r="I1684" t="s">
        <v>14292</v>
      </c>
      <c r="L1684" t="s">
        <v>18794</v>
      </c>
      <c r="M1684">
        <v>402</v>
      </c>
      <c r="N1684" t="s">
        <v>18795</v>
      </c>
    </row>
    <row r="1685" spans="1:14">
      <c r="A1685" t="s">
        <v>9256</v>
      </c>
      <c r="B1685">
        <v>2006727</v>
      </c>
      <c r="C1685">
        <v>2007863</v>
      </c>
      <c r="E1685" t="s">
        <v>14290</v>
      </c>
      <c r="F1685" t="s">
        <v>18341</v>
      </c>
      <c r="H1685">
        <v>93523141</v>
      </c>
      <c r="I1685" t="s">
        <v>14292</v>
      </c>
      <c r="L1685" t="s">
        <v>18796</v>
      </c>
      <c r="M1685">
        <v>378</v>
      </c>
      <c r="N1685" t="s">
        <v>18797</v>
      </c>
    </row>
    <row r="1686" spans="1:14">
      <c r="A1686" t="s">
        <v>9256</v>
      </c>
      <c r="B1686">
        <v>2007860</v>
      </c>
      <c r="C1686">
        <v>2008855</v>
      </c>
      <c r="E1686" t="s">
        <v>14290</v>
      </c>
      <c r="F1686" t="s">
        <v>14291</v>
      </c>
      <c r="H1686">
        <v>93523142</v>
      </c>
      <c r="I1686" t="s">
        <v>14292</v>
      </c>
      <c r="L1686" t="s">
        <v>18798</v>
      </c>
      <c r="M1686">
        <v>331</v>
      </c>
      <c r="N1686" t="s">
        <v>18799</v>
      </c>
    </row>
    <row r="1687" spans="1:14">
      <c r="A1687" t="s">
        <v>9256</v>
      </c>
      <c r="B1687">
        <v>2009032</v>
      </c>
      <c r="C1687">
        <v>2009931</v>
      </c>
      <c r="E1687" t="s">
        <v>14290</v>
      </c>
      <c r="F1687" t="s">
        <v>15081</v>
      </c>
      <c r="H1687">
        <v>93523143</v>
      </c>
      <c r="I1687" t="s">
        <v>14292</v>
      </c>
      <c r="L1687" t="s">
        <v>18800</v>
      </c>
      <c r="M1687">
        <v>299</v>
      </c>
      <c r="N1687" t="s">
        <v>18801</v>
      </c>
    </row>
    <row r="1688" spans="1:14">
      <c r="A1688" t="s">
        <v>9256</v>
      </c>
      <c r="B1688">
        <v>2010062</v>
      </c>
      <c r="C1688">
        <v>2011612</v>
      </c>
      <c r="E1688" t="s">
        <v>14290</v>
      </c>
      <c r="F1688" t="s">
        <v>18802</v>
      </c>
      <c r="H1688">
        <v>93523144</v>
      </c>
      <c r="I1688" t="s">
        <v>14292</v>
      </c>
      <c r="L1688" t="s">
        <v>18803</v>
      </c>
      <c r="M1688">
        <v>516</v>
      </c>
      <c r="N1688" t="s">
        <v>18804</v>
      </c>
    </row>
    <row r="1689" spans="1:14">
      <c r="A1689" t="s">
        <v>9256</v>
      </c>
      <c r="B1689">
        <v>2011593</v>
      </c>
      <c r="C1689">
        <v>2013794</v>
      </c>
      <c r="E1689" t="s">
        <v>14290</v>
      </c>
      <c r="F1689" t="s">
        <v>14648</v>
      </c>
      <c r="H1689">
        <v>93523145</v>
      </c>
      <c r="I1689" t="s">
        <v>14292</v>
      </c>
      <c r="L1689" t="s">
        <v>18805</v>
      </c>
      <c r="M1689">
        <v>733</v>
      </c>
      <c r="N1689" t="s">
        <v>18806</v>
      </c>
    </row>
    <row r="1690" spans="1:14">
      <c r="A1690" t="s">
        <v>9256</v>
      </c>
      <c r="B1690">
        <v>2013830</v>
      </c>
      <c r="C1690">
        <v>2015101</v>
      </c>
      <c r="E1690" t="s">
        <v>14290</v>
      </c>
      <c r="F1690" t="s">
        <v>18807</v>
      </c>
      <c r="G1690" t="s">
        <v>18808</v>
      </c>
      <c r="H1690">
        <v>93523146</v>
      </c>
      <c r="I1690" t="s">
        <v>14292</v>
      </c>
      <c r="L1690" t="s">
        <v>18809</v>
      </c>
      <c r="M1690">
        <v>423</v>
      </c>
      <c r="N1690" t="s">
        <v>18810</v>
      </c>
    </row>
    <row r="1691" spans="1:14">
      <c r="A1691" t="s">
        <v>9256</v>
      </c>
      <c r="B1691">
        <v>2015126</v>
      </c>
      <c r="C1691">
        <v>2017708</v>
      </c>
      <c r="E1691" t="s">
        <v>14290</v>
      </c>
      <c r="F1691" t="s">
        <v>18811</v>
      </c>
      <c r="H1691">
        <v>93523147</v>
      </c>
      <c r="I1691" t="s">
        <v>14292</v>
      </c>
      <c r="L1691" t="s">
        <v>18812</v>
      </c>
      <c r="M1691">
        <v>860</v>
      </c>
      <c r="N1691" t="s">
        <v>18813</v>
      </c>
    </row>
    <row r="1692" spans="1:14">
      <c r="A1692" t="s">
        <v>9256</v>
      </c>
      <c r="B1692">
        <v>2018388</v>
      </c>
      <c r="C1692">
        <v>2019404</v>
      </c>
      <c r="E1692" t="s">
        <v>14290</v>
      </c>
      <c r="F1692" t="s">
        <v>14291</v>
      </c>
      <c r="H1692">
        <v>93523148</v>
      </c>
      <c r="I1692" t="s">
        <v>14292</v>
      </c>
      <c r="L1692" t="s">
        <v>18814</v>
      </c>
      <c r="M1692">
        <v>338</v>
      </c>
      <c r="N1692" t="s">
        <v>18815</v>
      </c>
    </row>
    <row r="1693" spans="1:14">
      <c r="A1693" t="s">
        <v>9256</v>
      </c>
      <c r="B1693">
        <v>2019389</v>
      </c>
      <c r="C1693">
        <v>2019838</v>
      </c>
      <c r="E1693" t="s">
        <v>14290</v>
      </c>
      <c r="F1693" t="s">
        <v>18816</v>
      </c>
      <c r="H1693">
        <v>93523149</v>
      </c>
      <c r="I1693" t="s">
        <v>14292</v>
      </c>
      <c r="L1693" t="s">
        <v>18817</v>
      </c>
      <c r="M1693">
        <v>149</v>
      </c>
      <c r="N1693" t="s">
        <v>18818</v>
      </c>
    </row>
    <row r="1694" spans="1:14">
      <c r="A1694" t="s">
        <v>9256</v>
      </c>
      <c r="B1694">
        <v>2019935</v>
      </c>
      <c r="C1694">
        <v>2021209</v>
      </c>
      <c r="E1694" t="s">
        <v>14314</v>
      </c>
      <c r="F1694" t="s">
        <v>14326</v>
      </c>
      <c r="H1694">
        <v>93523150</v>
      </c>
      <c r="I1694" t="s">
        <v>14292</v>
      </c>
      <c r="L1694" t="s">
        <v>18819</v>
      </c>
      <c r="M1694">
        <v>424</v>
      </c>
      <c r="N1694" t="s">
        <v>18820</v>
      </c>
    </row>
    <row r="1695" spans="1:14">
      <c r="A1695" t="s">
        <v>9256</v>
      </c>
      <c r="B1695">
        <v>2021213</v>
      </c>
      <c r="C1695">
        <v>2022268</v>
      </c>
      <c r="E1695" t="s">
        <v>14314</v>
      </c>
      <c r="F1695" t="s">
        <v>18821</v>
      </c>
      <c r="H1695">
        <v>93523151</v>
      </c>
      <c r="I1695" t="s">
        <v>14292</v>
      </c>
      <c r="L1695" t="s">
        <v>18822</v>
      </c>
      <c r="M1695">
        <v>351</v>
      </c>
      <c r="N1695" t="s">
        <v>18823</v>
      </c>
    </row>
    <row r="1696" spans="1:14">
      <c r="A1696" t="s">
        <v>9256</v>
      </c>
      <c r="B1696">
        <v>2022270</v>
      </c>
      <c r="C1696">
        <v>2023190</v>
      </c>
      <c r="E1696" t="s">
        <v>14314</v>
      </c>
      <c r="F1696" t="s">
        <v>18824</v>
      </c>
      <c r="G1696" t="s">
        <v>18825</v>
      </c>
      <c r="H1696">
        <v>93523152</v>
      </c>
      <c r="I1696" t="s">
        <v>14292</v>
      </c>
      <c r="L1696" t="s">
        <v>18826</v>
      </c>
      <c r="M1696">
        <v>306</v>
      </c>
      <c r="N1696" t="s">
        <v>18827</v>
      </c>
    </row>
    <row r="1697" spans="1:14">
      <c r="A1697" t="s">
        <v>9256</v>
      </c>
      <c r="B1697">
        <v>2023394</v>
      </c>
      <c r="C1697">
        <v>2027473</v>
      </c>
      <c r="E1697" t="s">
        <v>14290</v>
      </c>
      <c r="F1697" t="s">
        <v>17838</v>
      </c>
      <c r="H1697">
        <v>93523153</v>
      </c>
      <c r="I1697" t="s">
        <v>14292</v>
      </c>
      <c r="L1697" t="s">
        <v>18828</v>
      </c>
      <c r="M1697">
        <v>1359</v>
      </c>
      <c r="N1697" t="s">
        <v>18829</v>
      </c>
    </row>
    <row r="1698" spans="1:14">
      <c r="A1698" t="s">
        <v>9256</v>
      </c>
      <c r="B1698">
        <v>2027704</v>
      </c>
      <c r="C1698">
        <v>2030550</v>
      </c>
      <c r="E1698" t="s">
        <v>14290</v>
      </c>
      <c r="F1698" t="s">
        <v>18830</v>
      </c>
      <c r="H1698">
        <v>93523154</v>
      </c>
      <c r="I1698" t="s">
        <v>14292</v>
      </c>
      <c r="L1698" t="s">
        <v>18831</v>
      </c>
      <c r="M1698">
        <v>948</v>
      </c>
      <c r="N1698" t="s">
        <v>18832</v>
      </c>
    </row>
    <row r="1699" spans="1:14">
      <c r="A1699" t="s">
        <v>9256</v>
      </c>
      <c r="B1699">
        <v>2030658</v>
      </c>
      <c r="C1699">
        <v>2033186</v>
      </c>
      <c r="E1699" t="s">
        <v>14290</v>
      </c>
      <c r="F1699" t="s">
        <v>18833</v>
      </c>
      <c r="H1699">
        <v>93523155</v>
      </c>
      <c r="I1699" t="s">
        <v>14292</v>
      </c>
      <c r="L1699" t="s">
        <v>18834</v>
      </c>
      <c r="M1699">
        <v>842</v>
      </c>
      <c r="N1699" t="s">
        <v>18835</v>
      </c>
    </row>
    <row r="1700" spans="1:14">
      <c r="A1700" t="s">
        <v>9256</v>
      </c>
      <c r="B1700">
        <v>2033209</v>
      </c>
      <c r="C1700">
        <v>2034993</v>
      </c>
      <c r="E1700" t="s">
        <v>14290</v>
      </c>
      <c r="F1700" t="s">
        <v>15161</v>
      </c>
      <c r="H1700">
        <v>93523156</v>
      </c>
      <c r="I1700" t="s">
        <v>14292</v>
      </c>
      <c r="L1700" t="s">
        <v>18836</v>
      </c>
      <c r="M1700">
        <v>594</v>
      </c>
      <c r="N1700" t="s">
        <v>18837</v>
      </c>
    </row>
    <row r="1701" spans="1:14">
      <c r="A1701" t="s">
        <v>9256</v>
      </c>
      <c r="B1701">
        <v>2035159</v>
      </c>
      <c r="C1701">
        <v>2035407</v>
      </c>
      <c r="E1701" t="s">
        <v>14290</v>
      </c>
      <c r="F1701" t="s">
        <v>18838</v>
      </c>
      <c r="H1701">
        <v>93525937</v>
      </c>
      <c r="I1701" t="s">
        <v>14292</v>
      </c>
      <c r="L1701" t="s">
        <v>18839</v>
      </c>
      <c r="M1701">
        <v>82</v>
      </c>
      <c r="N1701" t="s">
        <v>18840</v>
      </c>
    </row>
    <row r="1702" spans="1:14">
      <c r="A1702" t="s">
        <v>9256</v>
      </c>
      <c r="B1702">
        <v>2035556</v>
      </c>
      <c r="C1702">
        <v>2036506</v>
      </c>
      <c r="E1702" t="s">
        <v>14290</v>
      </c>
      <c r="F1702" t="s">
        <v>18841</v>
      </c>
      <c r="H1702">
        <v>93523157</v>
      </c>
      <c r="I1702" t="s">
        <v>14292</v>
      </c>
      <c r="L1702" t="s">
        <v>18842</v>
      </c>
      <c r="M1702">
        <v>316</v>
      </c>
      <c r="N1702" t="s">
        <v>18843</v>
      </c>
    </row>
    <row r="1703" spans="1:14">
      <c r="A1703" t="s">
        <v>9256</v>
      </c>
      <c r="B1703">
        <v>2037560</v>
      </c>
      <c r="C1703">
        <v>2038465</v>
      </c>
      <c r="E1703" t="s">
        <v>14290</v>
      </c>
      <c r="F1703" t="s">
        <v>14291</v>
      </c>
      <c r="H1703">
        <v>93523158</v>
      </c>
      <c r="I1703" t="s">
        <v>14292</v>
      </c>
      <c r="L1703" t="s">
        <v>18844</v>
      </c>
      <c r="M1703">
        <v>301</v>
      </c>
      <c r="N1703" t="s">
        <v>18845</v>
      </c>
    </row>
    <row r="1704" spans="1:14">
      <c r="A1704" t="s">
        <v>9256</v>
      </c>
      <c r="B1704">
        <v>2038712</v>
      </c>
      <c r="C1704">
        <v>2039278</v>
      </c>
      <c r="E1704" t="s">
        <v>14290</v>
      </c>
      <c r="F1704" t="s">
        <v>15442</v>
      </c>
      <c r="H1704">
        <v>93523159</v>
      </c>
      <c r="I1704" t="s">
        <v>14292</v>
      </c>
      <c r="L1704" t="s">
        <v>18846</v>
      </c>
      <c r="M1704">
        <v>188</v>
      </c>
      <c r="N1704" t="s">
        <v>18847</v>
      </c>
    </row>
    <row r="1705" spans="1:14">
      <c r="A1705" t="s">
        <v>9256</v>
      </c>
      <c r="B1705">
        <v>2039381</v>
      </c>
      <c r="C1705">
        <v>2040241</v>
      </c>
      <c r="E1705" t="s">
        <v>14290</v>
      </c>
      <c r="F1705" t="s">
        <v>18848</v>
      </c>
      <c r="H1705">
        <v>93523160</v>
      </c>
      <c r="I1705" t="s">
        <v>14292</v>
      </c>
      <c r="L1705" t="s">
        <v>18849</v>
      </c>
      <c r="M1705">
        <v>286</v>
      </c>
      <c r="N1705" t="s">
        <v>18850</v>
      </c>
    </row>
    <row r="1706" spans="1:14">
      <c r="A1706" t="s">
        <v>9256</v>
      </c>
      <c r="B1706">
        <v>2040449</v>
      </c>
      <c r="C1706">
        <v>2040667</v>
      </c>
      <c r="E1706" t="s">
        <v>14290</v>
      </c>
      <c r="F1706" t="s">
        <v>18851</v>
      </c>
      <c r="H1706">
        <v>93523161</v>
      </c>
      <c r="I1706" t="s">
        <v>14292</v>
      </c>
      <c r="L1706" t="s">
        <v>18852</v>
      </c>
      <c r="M1706">
        <v>72</v>
      </c>
      <c r="N1706" t="s">
        <v>18853</v>
      </c>
    </row>
    <row r="1707" spans="1:14">
      <c r="A1707" t="s">
        <v>9256</v>
      </c>
      <c r="B1707">
        <v>2040788</v>
      </c>
      <c r="C1707">
        <v>2041945</v>
      </c>
      <c r="E1707" t="s">
        <v>14290</v>
      </c>
      <c r="F1707" t="s">
        <v>18854</v>
      </c>
      <c r="H1707">
        <v>93523162</v>
      </c>
      <c r="I1707" t="s">
        <v>14292</v>
      </c>
      <c r="L1707" t="s">
        <v>18855</v>
      </c>
      <c r="M1707">
        <v>385</v>
      </c>
      <c r="N1707" t="s">
        <v>18856</v>
      </c>
    </row>
    <row r="1708" spans="1:14">
      <c r="A1708" t="s">
        <v>9256</v>
      </c>
      <c r="B1708">
        <v>2041929</v>
      </c>
      <c r="C1708">
        <v>2043017</v>
      </c>
      <c r="E1708" t="s">
        <v>14290</v>
      </c>
      <c r="F1708" t="s">
        <v>18857</v>
      </c>
      <c r="H1708">
        <v>93523163</v>
      </c>
      <c r="I1708" t="s">
        <v>14292</v>
      </c>
      <c r="L1708" t="s">
        <v>18858</v>
      </c>
      <c r="M1708">
        <v>362</v>
      </c>
      <c r="N1708" t="s">
        <v>18859</v>
      </c>
    </row>
    <row r="1709" spans="1:14">
      <c r="A1709" t="s">
        <v>9256</v>
      </c>
      <c r="B1709">
        <v>2043036</v>
      </c>
      <c r="C1709">
        <v>2045069</v>
      </c>
      <c r="E1709" t="s">
        <v>14290</v>
      </c>
      <c r="F1709" t="s">
        <v>18860</v>
      </c>
      <c r="H1709">
        <v>93523164</v>
      </c>
      <c r="I1709" t="s">
        <v>14292</v>
      </c>
      <c r="L1709" t="s">
        <v>18861</v>
      </c>
      <c r="M1709">
        <v>677</v>
      </c>
      <c r="N1709" t="s">
        <v>18862</v>
      </c>
    </row>
    <row r="1710" spans="1:14">
      <c r="A1710" t="s">
        <v>9256</v>
      </c>
      <c r="B1710">
        <v>2045145</v>
      </c>
      <c r="C1710">
        <v>2046149</v>
      </c>
      <c r="E1710" t="s">
        <v>14290</v>
      </c>
      <c r="F1710" t="s">
        <v>14972</v>
      </c>
      <c r="H1710">
        <v>93523165</v>
      </c>
      <c r="I1710" t="s">
        <v>14292</v>
      </c>
      <c r="L1710" t="s">
        <v>18863</v>
      </c>
      <c r="M1710">
        <v>334</v>
      </c>
      <c r="N1710" t="s">
        <v>18864</v>
      </c>
    </row>
    <row r="1711" spans="1:14">
      <c r="A1711" t="s">
        <v>9256</v>
      </c>
      <c r="B1711">
        <v>2046374</v>
      </c>
      <c r="C1711">
        <v>2049937</v>
      </c>
      <c r="E1711" t="s">
        <v>14290</v>
      </c>
      <c r="F1711" t="s">
        <v>14965</v>
      </c>
      <c r="H1711">
        <v>93523166</v>
      </c>
      <c r="I1711" t="s">
        <v>14292</v>
      </c>
      <c r="L1711" t="s">
        <v>18865</v>
      </c>
      <c r="M1711">
        <v>1187</v>
      </c>
      <c r="N1711" t="s">
        <v>18866</v>
      </c>
    </row>
    <row r="1712" spans="1:14">
      <c r="A1712" t="s">
        <v>9256</v>
      </c>
      <c r="B1712">
        <v>2049958</v>
      </c>
      <c r="C1712">
        <v>2051787</v>
      </c>
      <c r="E1712" t="s">
        <v>14290</v>
      </c>
      <c r="F1712" t="s">
        <v>15179</v>
      </c>
      <c r="H1712">
        <v>93523167</v>
      </c>
      <c r="I1712" t="s">
        <v>14292</v>
      </c>
      <c r="L1712" t="s">
        <v>18867</v>
      </c>
      <c r="M1712">
        <v>609</v>
      </c>
      <c r="N1712" t="s">
        <v>18868</v>
      </c>
    </row>
    <row r="1713" spans="1:14">
      <c r="A1713" t="s">
        <v>9256</v>
      </c>
      <c r="B1713">
        <v>2051801</v>
      </c>
      <c r="C1713">
        <v>2052643</v>
      </c>
      <c r="E1713" t="s">
        <v>14290</v>
      </c>
      <c r="F1713" t="s">
        <v>15336</v>
      </c>
      <c r="H1713">
        <v>93523168</v>
      </c>
      <c r="I1713" t="s">
        <v>14292</v>
      </c>
      <c r="L1713" t="s">
        <v>18869</v>
      </c>
      <c r="M1713">
        <v>280</v>
      </c>
      <c r="N1713" t="s">
        <v>18870</v>
      </c>
    </row>
    <row r="1714" spans="1:14">
      <c r="A1714" t="s">
        <v>9256</v>
      </c>
      <c r="B1714">
        <v>2052681</v>
      </c>
      <c r="C1714">
        <v>2053598</v>
      </c>
      <c r="E1714" t="s">
        <v>14290</v>
      </c>
      <c r="F1714" t="s">
        <v>15336</v>
      </c>
      <c r="H1714">
        <v>93523169</v>
      </c>
      <c r="I1714" t="s">
        <v>14292</v>
      </c>
      <c r="L1714" t="s">
        <v>18871</v>
      </c>
      <c r="M1714">
        <v>305</v>
      </c>
      <c r="N1714" t="s">
        <v>18872</v>
      </c>
    </row>
    <row r="1715" spans="1:14">
      <c r="A1715" t="s">
        <v>9256</v>
      </c>
      <c r="B1715">
        <v>2053673</v>
      </c>
      <c r="C1715">
        <v>2055055</v>
      </c>
      <c r="E1715" t="s">
        <v>14314</v>
      </c>
      <c r="F1715" t="s">
        <v>18873</v>
      </c>
      <c r="H1715">
        <v>93523170</v>
      </c>
      <c r="I1715" t="s">
        <v>14292</v>
      </c>
      <c r="L1715" t="s">
        <v>18874</v>
      </c>
      <c r="M1715">
        <v>460</v>
      </c>
      <c r="N1715" t="s">
        <v>18875</v>
      </c>
    </row>
    <row r="1716" spans="1:14">
      <c r="A1716" t="s">
        <v>9256</v>
      </c>
      <c r="B1716">
        <v>2055493</v>
      </c>
      <c r="C1716">
        <v>2056035</v>
      </c>
      <c r="E1716" t="s">
        <v>14290</v>
      </c>
      <c r="F1716" t="s">
        <v>15442</v>
      </c>
      <c r="H1716">
        <v>93523171</v>
      </c>
      <c r="I1716" t="s">
        <v>14292</v>
      </c>
      <c r="L1716" t="s">
        <v>18876</v>
      </c>
      <c r="M1716">
        <v>180</v>
      </c>
      <c r="N1716" t="s">
        <v>18877</v>
      </c>
    </row>
    <row r="1717" spans="1:14">
      <c r="A1717" t="s">
        <v>9256</v>
      </c>
      <c r="B1717">
        <v>2056111</v>
      </c>
      <c r="C1717">
        <v>2057094</v>
      </c>
      <c r="E1717" t="s">
        <v>14290</v>
      </c>
      <c r="F1717" t="s">
        <v>14972</v>
      </c>
      <c r="H1717">
        <v>93523172</v>
      </c>
      <c r="I1717" t="s">
        <v>14292</v>
      </c>
      <c r="L1717" t="s">
        <v>18878</v>
      </c>
      <c r="M1717">
        <v>327</v>
      </c>
      <c r="N1717" t="s">
        <v>18879</v>
      </c>
    </row>
    <row r="1718" spans="1:14">
      <c r="A1718" t="s">
        <v>9256</v>
      </c>
      <c r="B1718">
        <v>2057237</v>
      </c>
      <c r="C1718">
        <v>2060677</v>
      </c>
      <c r="E1718" t="s">
        <v>14290</v>
      </c>
      <c r="F1718" t="s">
        <v>15450</v>
      </c>
      <c r="H1718">
        <v>93523173</v>
      </c>
      <c r="I1718" t="s">
        <v>14292</v>
      </c>
      <c r="L1718" t="s">
        <v>18880</v>
      </c>
      <c r="M1718">
        <v>1146</v>
      </c>
      <c r="N1718" t="s">
        <v>18881</v>
      </c>
    </row>
    <row r="1719" spans="1:14">
      <c r="A1719" t="s">
        <v>9256</v>
      </c>
      <c r="B1719">
        <v>2060696</v>
      </c>
      <c r="C1719">
        <v>2062360</v>
      </c>
      <c r="E1719" t="s">
        <v>14290</v>
      </c>
      <c r="F1719" t="s">
        <v>15179</v>
      </c>
      <c r="H1719">
        <v>93523174</v>
      </c>
      <c r="I1719" t="s">
        <v>14292</v>
      </c>
      <c r="L1719" t="s">
        <v>18882</v>
      </c>
      <c r="M1719">
        <v>554</v>
      </c>
      <c r="N1719" t="s">
        <v>18883</v>
      </c>
    </row>
    <row r="1720" spans="1:14">
      <c r="A1720" t="s">
        <v>9256</v>
      </c>
      <c r="B1720">
        <v>2062624</v>
      </c>
      <c r="C1720">
        <v>2064306</v>
      </c>
      <c r="E1720" t="s">
        <v>14290</v>
      </c>
      <c r="F1720" t="s">
        <v>14291</v>
      </c>
      <c r="H1720">
        <v>93523175</v>
      </c>
      <c r="I1720" t="s">
        <v>14292</v>
      </c>
      <c r="L1720" t="s">
        <v>18884</v>
      </c>
      <c r="M1720">
        <v>560</v>
      </c>
      <c r="N1720" t="s">
        <v>18885</v>
      </c>
    </row>
    <row r="1721" spans="1:14">
      <c r="A1721" t="s">
        <v>9256</v>
      </c>
      <c r="B1721">
        <v>2064293</v>
      </c>
      <c r="C1721">
        <v>2065726</v>
      </c>
      <c r="E1721" t="s">
        <v>14290</v>
      </c>
      <c r="F1721" t="s">
        <v>18886</v>
      </c>
      <c r="H1721">
        <v>93523176</v>
      </c>
      <c r="I1721" t="s">
        <v>14292</v>
      </c>
      <c r="L1721" t="s">
        <v>18887</v>
      </c>
      <c r="M1721">
        <v>477</v>
      </c>
      <c r="N1721" t="s">
        <v>18888</v>
      </c>
    </row>
    <row r="1722" spans="1:14">
      <c r="A1722" t="s">
        <v>9256</v>
      </c>
      <c r="B1722">
        <v>2065734</v>
      </c>
      <c r="C1722">
        <v>2067566</v>
      </c>
      <c r="E1722" t="s">
        <v>14290</v>
      </c>
      <c r="F1722" t="s">
        <v>18889</v>
      </c>
      <c r="H1722">
        <v>93523177</v>
      </c>
      <c r="I1722" t="s">
        <v>14292</v>
      </c>
      <c r="L1722" t="s">
        <v>18890</v>
      </c>
      <c r="M1722">
        <v>610</v>
      </c>
      <c r="N1722" t="s">
        <v>18891</v>
      </c>
    </row>
    <row r="1723" spans="1:14">
      <c r="A1723" t="s">
        <v>9256</v>
      </c>
      <c r="B1723">
        <v>2067666</v>
      </c>
      <c r="C1723">
        <v>2068811</v>
      </c>
      <c r="E1723" t="s">
        <v>14290</v>
      </c>
      <c r="F1723" t="s">
        <v>18892</v>
      </c>
      <c r="H1723">
        <v>93523178</v>
      </c>
      <c r="I1723" t="s">
        <v>14292</v>
      </c>
      <c r="L1723" t="s">
        <v>18893</v>
      </c>
      <c r="M1723">
        <v>381</v>
      </c>
      <c r="N1723" t="s">
        <v>18894</v>
      </c>
    </row>
    <row r="1724" spans="1:14">
      <c r="A1724" t="s">
        <v>9256</v>
      </c>
      <c r="B1724">
        <v>2068824</v>
      </c>
      <c r="C1724">
        <v>2070071</v>
      </c>
      <c r="E1724" t="s">
        <v>14290</v>
      </c>
      <c r="F1724" t="s">
        <v>18895</v>
      </c>
      <c r="H1724">
        <v>93523179</v>
      </c>
      <c r="I1724" t="s">
        <v>14292</v>
      </c>
      <c r="L1724" t="s">
        <v>18896</v>
      </c>
      <c r="M1724">
        <v>415</v>
      </c>
      <c r="N1724" t="s">
        <v>18897</v>
      </c>
    </row>
    <row r="1725" spans="1:14">
      <c r="A1725" t="s">
        <v>9256</v>
      </c>
      <c r="B1725">
        <v>2070253</v>
      </c>
      <c r="C1725">
        <v>2070908</v>
      </c>
      <c r="E1725" t="s">
        <v>14314</v>
      </c>
      <c r="F1725" t="s">
        <v>14414</v>
      </c>
      <c r="H1725">
        <v>93523180</v>
      </c>
      <c r="I1725" t="s">
        <v>14415</v>
      </c>
      <c r="N1725" t="s">
        <v>18898</v>
      </c>
    </row>
    <row r="1726" spans="1:14">
      <c r="A1726" t="s">
        <v>9256</v>
      </c>
      <c r="B1726">
        <v>2071288</v>
      </c>
      <c r="C1726">
        <v>2071986</v>
      </c>
      <c r="E1726" t="s">
        <v>14290</v>
      </c>
      <c r="F1726" t="s">
        <v>14414</v>
      </c>
      <c r="H1726">
        <v>93523181</v>
      </c>
      <c r="I1726" t="s">
        <v>14415</v>
      </c>
      <c r="N1726" t="s">
        <v>18899</v>
      </c>
    </row>
    <row r="1727" spans="1:14">
      <c r="A1727" t="s">
        <v>9256</v>
      </c>
      <c r="B1727">
        <v>2072187</v>
      </c>
      <c r="C1727">
        <v>2074388</v>
      </c>
      <c r="E1727" t="s">
        <v>14290</v>
      </c>
      <c r="F1727" t="s">
        <v>14780</v>
      </c>
      <c r="H1727">
        <v>93523182</v>
      </c>
      <c r="I1727" t="s">
        <v>14292</v>
      </c>
      <c r="L1727" t="s">
        <v>18900</v>
      </c>
      <c r="M1727">
        <v>733</v>
      </c>
      <c r="N1727" t="s">
        <v>18901</v>
      </c>
    </row>
    <row r="1728" spans="1:14">
      <c r="A1728" t="s">
        <v>9256</v>
      </c>
      <c r="B1728">
        <v>2074517</v>
      </c>
      <c r="C1728">
        <v>2076259</v>
      </c>
      <c r="E1728" t="s">
        <v>14290</v>
      </c>
      <c r="F1728" t="s">
        <v>14870</v>
      </c>
      <c r="H1728">
        <v>93523183</v>
      </c>
      <c r="I1728" t="s">
        <v>14292</v>
      </c>
      <c r="L1728" t="s">
        <v>18902</v>
      </c>
      <c r="M1728">
        <v>580</v>
      </c>
      <c r="N1728" t="s">
        <v>18903</v>
      </c>
    </row>
    <row r="1729" spans="1:14">
      <c r="A1729" t="s">
        <v>9256</v>
      </c>
      <c r="B1729">
        <v>2076322</v>
      </c>
      <c r="C1729">
        <v>2077269</v>
      </c>
      <c r="E1729" t="s">
        <v>14290</v>
      </c>
      <c r="F1729" t="s">
        <v>15126</v>
      </c>
      <c r="H1729">
        <v>93523184</v>
      </c>
      <c r="I1729" t="s">
        <v>14292</v>
      </c>
      <c r="L1729" t="s">
        <v>18904</v>
      </c>
      <c r="M1729">
        <v>315</v>
      </c>
      <c r="N1729" t="s">
        <v>18905</v>
      </c>
    </row>
    <row r="1730" spans="1:14">
      <c r="A1730" t="s">
        <v>9256</v>
      </c>
      <c r="B1730">
        <v>2077629</v>
      </c>
      <c r="C1730">
        <v>2078393</v>
      </c>
      <c r="E1730" t="s">
        <v>14290</v>
      </c>
      <c r="F1730" t="s">
        <v>15590</v>
      </c>
      <c r="H1730">
        <v>93523185</v>
      </c>
      <c r="I1730" t="s">
        <v>14292</v>
      </c>
      <c r="L1730" t="s">
        <v>18906</v>
      </c>
      <c r="M1730">
        <v>254</v>
      </c>
      <c r="N1730" t="s">
        <v>18907</v>
      </c>
    </row>
    <row r="1731" spans="1:14">
      <c r="A1731" t="s">
        <v>9256</v>
      </c>
      <c r="B1731">
        <v>2078575</v>
      </c>
      <c r="C1731">
        <v>2083545</v>
      </c>
      <c r="E1731" t="s">
        <v>14290</v>
      </c>
      <c r="F1731" t="s">
        <v>16307</v>
      </c>
      <c r="H1731">
        <v>93523186</v>
      </c>
      <c r="I1731" t="s">
        <v>14292</v>
      </c>
      <c r="L1731" t="s">
        <v>18908</v>
      </c>
      <c r="M1731">
        <v>1656</v>
      </c>
      <c r="N1731" t="s">
        <v>18909</v>
      </c>
    </row>
    <row r="1732" spans="1:14">
      <c r="A1732" t="s">
        <v>9256</v>
      </c>
      <c r="B1732">
        <v>2083663</v>
      </c>
      <c r="C1732">
        <v>2086347</v>
      </c>
      <c r="E1732" t="s">
        <v>14290</v>
      </c>
      <c r="F1732" t="s">
        <v>18811</v>
      </c>
      <c r="H1732">
        <v>93523187</v>
      </c>
      <c r="I1732" t="s">
        <v>14292</v>
      </c>
      <c r="L1732" t="s">
        <v>18910</v>
      </c>
      <c r="M1732">
        <v>894</v>
      </c>
      <c r="N1732" t="s">
        <v>18911</v>
      </c>
    </row>
    <row r="1733" spans="1:14">
      <c r="A1733" t="s">
        <v>9256</v>
      </c>
      <c r="B1733">
        <v>2086405</v>
      </c>
      <c r="C1733">
        <v>2088723</v>
      </c>
      <c r="E1733" t="s">
        <v>14290</v>
      </c>
      <c r="F1733" t="s">
        <v>14780</v>
      </c>
      <c r="H1733">
        <v>93523188</v>
      </c>
      <c r="I1733" t="s">
        <v>14292</v>
      </c>
      <c r="L1733" t="s">
        <v>18912</v>
      </c>
      <c r="M1733">
        <v>772</v>
      </c>
      <c r="N1733" t="s">
        <v>18913</v>
      </c>
    </row>
    <row r="1734" spans="1:14">
      <c r="A1734" t="s">
        <v>9256</v>
      </c>
      <c r="B1734">
        <v>2088796</v>
      </c>
      <c r="C1734">
        <v>2089617</v>
      </c>
      <c r="E1734" t="s">
        <v>14290</v>
      </c>
      <c r="F1734" t="s">
        <v>15800</v>
      </c>
      <c r="H1734">
        <v>93523189</v>
      </c>
      <c r="I1734" t="s">
        <v>14292</v>
      </c>
      <c r="L1734" t="s">
        <v>18914</v>
      </c>
      <c r="M1734">
        <v>273</v>
      </c>
      <c r="N1734" t="s">
        <v>18915</v>
      </c>
    </row>
    <row r="1735" spans="1:14">
      <c r="A1735" t="s">
        <v>9256</v>
      </c>
      <c r="B1735">
        <v>2090166</v>
      </c>
      <c r="C1735">
        <v>2091401</v>
      </c>
      <c r="E1735" t="s">
        <v>14290</v>
      </c>
      <c r="F1735" t="s">
        <v>18916</v>
      </c>
      <c r="H1735">
        <v>93523190</v>
      </c>
      <c r="I1735" t="s">
        <v>14292</v>
      </c>
      <c r="L1735" t="s">
        <v>18917</v>
      </c>
      <c r="M1735">
        <v>411</v>
      </c>
      <c r="N1735" t="s">
        <v>18918</v>
      </c>
    </row>
    <row r="1736" spans="1:14">
      <c r="A1736" t="s">
        <v>9256</v>
      </c>
      <c r="B1736">
        <v>2091437</v>
      </c>
      <c r="C1736">
        <v>2091856</v>
      </c>
      <c r="E1736" t="s">
        <v>14290</v>
      </c>
      <c r="F1736" t="s">
        <v>14291</v>
      </c>
      <c r="H1736">
        <v>93523191</v>
      </c>
      <c r="I1736" t="s">
        <v>14292</v>
      </c>
      <c r="L1736" t="s">
        <v>18919</v>
      </c>
      <c r="M1736">
        <v>139</v>
      </c>
      <c r="N1736" t="s">
        <v>18920</v>
      </c>
    </row>
    <row r="1737" spans="1:14">
      <c r="A1737" t="s">
        <v>9256</v>
      </c>
      <c r="B1737">
        <v>2091874</v>
      </c>
      <c r="C1737">
        <v>2092677</v>
      </c>
      <c r="E1737" t="s">
        <v>14290</v>
      </c>
      <c r="F1737" t="s">
        <v>18921</v>
      </c>
      <c r="H1737">
        <v>93523192</v>
      </c>
      <c r="I1737" t="s">
        <v>14292</v>
      </c>
      <c r="L1737" t="s">
        <v>18922</v>
      </c>
      <c r="M1737">
        <v>267</v>
      </c>
      <c r="N1737" t="s">
        <v>18923</v>
      </c>
    </row>
    <row r="1738" spans="1:14">
      <c r="A1738" t="s">
        <v>9256</v>
      </c>
      <c r="B1738">
        <v>2092685</v>
      </c>
      <c r="C1738">
        <v>2096245</v>
      </c>
      <c r="E1738" t="s">
        <v>14290</v>
      </c>
      <c r="F1738" t="s">
        <v>14805</v>
      </c>
      <c r="H1738">
        <v>93523193</v>
      </c>
      <c r="I1738" t="s">
        <v>14292</v>
      </c>
      <c r="L1738" t="s">
        <v>18924</v>
      </c>
      <c r="M1738">
        <v>1186</v>
      </c>
      <c r="N1738" t="s">
        <v>18925</v>
      </c>
    </row>
    <row r="1739" spans="1:14">
      <c r="A1739" t="s">
        <v>9256</v>
      </c>
      <c r="B1739">
        <v>2096262</v>
      </c>
      <c r="C1739">
        <v>2097275</v>
      </c>
      <c r="E1739" t="s">
        <v>14314</v>
      </c>
      <c r="F1739" t="s">
        <v>18926</v>
      </c>
      <c r="H1739">
        <v>93523194</v>
      </c>
      <c r="I1739" t="s">
        <v>14292</v>
      </c>
      <c r="L1739" t="s">
        <v>18927</v>
      </c>
      <c r="M1739">
        <v>337</v>
      </c>
      <c r="N1739" t="s">
        <v>18928</v>
      </c>
    </row>
    <row r="1740" spans="1:14">
      <c r="A1740" t="s">
        <v>9256</v>
      </c>
      <c r="B1740">
        <v>2097332</v>
      </c>
      <c r="C1740">
        <v>2098507</v>
      </c>
      <c r="E1740" t="s">
        <v>14314</v>
      </c>
      <c r="F1740" t="s">
        <v>18929</v>
      </c>
      <c r="G1740" t="s">
        <v>18930</v>
      </c>
      <c r="H1740">
        <v>93523195</v>
      </c>
      <c r="I1740" t="s">
        <v>14292</v>
      </c>
      <c r="L1740" t="s">
        <v>18931</v>
      </c>
      <c r="M1740">
        <v>391</v>
      </c>
      <c r="N1740" t="s">
        <v>18932</v>
      </c>
    </row>
    <row r="1741" spans="1:14">
      <c r="A1741" t="s">
        <v>9256</v>
      </c>
      <c r="B1741">
        <v>2098519</v>
      </c>
      <c r="C1741">
        <v>2099901</v>
      </c>
      <c r="E1741" t="s">
        <v>14314</v>
      </c>
      <c r="F1741" t="s">
        <v>17779</v>
      </c>
      <c r="H1741">
        <v>93523196</v>
      </c>
      <c r="I1741" t="s">
        <v>14292</v>
      </c>
      <c r="L1741" t="s">
        <v>18933</v>
      </c>
      <c r="M1741">
        <v>460</v>
      </c>
      <c r="N1741" t="s">
        <v>18934</v>
      </c>
    </row>
    <row r="1742" spans="1:14">
      <c r="A1742" t="s">
        <v>9256</v>
      </c>
      <c r="B1742">
        <v>2099978</v>
      </c>
      <c r="C1742">
        <v>2101663</v>
      </c>
      <c r="E1742" t="s">
        <v>14314</v>
      </c>
      <c r="F1742" t="s">
        <v>18935</v>
      </c>
      <c r="H1742">
        <v>93523197</v>
      </c>
      <c r="I1742" t="s">
        <v>14292</v>
      </c>
      <c r="L1742" t="s">
        <v>18936</v>
      </c>
      <c r="M1742">
        <v>561</v>
      </c>
      <c r="N1742" t="s">
        <v>18937</v>
      </c>
    </row>
    <row r="1743" spans="1:14">
      <c r="A1743" t="s">
        <v>9256</v>
      </c>
      <c r="B1743">
        <v>2101747</v>
      </c>
      <c r="C1743">
        <v>2103414</v>
      </c>
      <c r="E1743" t="s">
        <v>14290</v>
      </c>
      <c r="F1743" t="s">
        <v>18938</v>
      </c>
      <c r="H1743">
        <v>93523198</v>
      </c>
      <c r="I1743" t="s">
        <v>14292</v>
      </c>
      <c r="L1743" t="s">
        <v>18939</v>
      </c>
      <c r="M1743">
        <v>555</v>
      </c>
      <c r="N1743" t="s">
        <v>18940</v>
      </c>
    </row>
    <row r="1744" spans="1:14">
      <c r="A1744" t="s">
        <v>9256</v>
      </c>
      <c r="B1744">
        <v>2103548</v>
      </c>
      <c r="C1744">
        <v>2105116</v>
      </c>
      <c r="E1744" t="s">
        <v>14290</v>
      </c>
      <c r="F1744" t="s">
        <v>14870</v>
      </c>
      <c r="H1744">
        <v>93523199</v>
      </c>
      <c r="I1744" t="s">
        <v>14292</v>
      </c>
      <c r="L1744" t="s">
        <v>18941</v>
      </c>
      <c r="M1744">
        <v>522</v>
      </c>
      <c r="N1744" t="s">
        <v>18942</v>
      </c>
    </row>
    <row r="1745" spans="1:14">
      <c r="A1745" t="s">
        <v>9256</v>
      </c>
      <c r="B1745">
        <v>2105436</v>
      </c>
      <c r="C1745">
        <v>2106338</v>
      </c>
      <c r="E1745" t="s">
        <v>14314</v>
      </c>
      <c r="F1745" t="s">
        <v>15762</v>
      </c>
      <c r="H1745">
        <v>93523200</v>
      </c>
      <c r="I1745" t="s">
        <v>14292</v>
      </c>
      <c r="L1745" t="s">
        <v>18346</v>
      </c>
      <c r="M1745">
        <v>300</v>
      </c>
      <c r="N1745" t="s">
        <v>18943</v>
      </c>
    </row>
    <row r="1746" spans="1:14">
      <c r="A1746" t="s">
        <v>9256</v>
      </c>
      <c r="B1746">
        <v>2106296</v>
      </c>
      <c r="C1746">
        <v>2106703</v>
      </c>
      <c r="E1746" t="s">
        <v>14314</v>
      </c>
      <c r="F1746" t="s">
        <v>15759</v>
      </c>
      <c r="H1746">
        <v>93523201</v>
      </c>
      <c r="I1746" t="s">
        <v>14292</v>
      </c>
      <c r="L1746" t="s">
        <v>15760</v>
      </c>
      <c r="M1746">
        <v>135</v>
      </c>
      <c r="N1746" t="s">
        <v>18944</v>
      </c>
    </row>
    <row r="1747" spans="1:14">
      <c r="A1747" t="s">
        <v>9256</v>
      </c>
      <c r="B1747">
        <v>2107025</v>
      </c>
      <c r="C1747">
        <v>2108836</v>
      </c>
      <c r="E1747" t="s">
        <v>14290</v>
      </c>
      <c r="F1747" t="s">
        <v>14805</v>
      </c>
      <c r="H1747">
        <v>93523202</v>
      </c>
      <c r="I1747" t="s">
        <v>14292</v>
      </c>
      <c r="L1747" t="s">
        <v>18945</v>
      </c>
      <c r="M1747">
        <v>603</v>
      </c>
      <c r="N1747" t="s">
        <v>18946</v>
      </c>
    </row>
    <row r="1748" spans="1:14">
      <c r="A1748" t="s">
        <v>9256</v>
      </c>
      <c r="B1748">
        <v>2109007</v>
      </c>
      <c r="C1748">
        <v>2109369</v>
      </c>
      <c r="E1748" t="s">
        <v>14290</v>
      </c>
      <c r="F1748" t="s">
        <v>17611</v>
      </c>
      <c r="H1748">
        <v>93523203</v>
      </c>
      <c r="I1748" t="s">
        <v>14292</v>
      </c>
      <c r="L1748" t="s">
        <v>18947</v>
      </c>
      <c r="M1748">
        <v>120</v>
      </c>
      <c r="N1748" t="s">
        <v>18948</v>
      </c>
    </row>
    <row r="1749" spans="1:14">
      <c r="A1749" t="s">
        <v>9256</v>
      </c>
      <c r="B1749">
        <v>2109514</v>
      </c>
      <c r="C1749">
        <v>2110320</v>
      </c>
      <c r="E1749" t="s">
        <v>14290</v>
      </c>
      <c r="F1749" t="s">
        <v>14490</v>
      </c>
      <c r="H1749">
        <v>93523204</v>
      </c>
      <c r="I1749" t="s">
        <v>14292</v>
      </c>
      <c r="L1749" t="s">
        <v>18949</v>
      </c>
      <c r="M1749">
        <v>268</v>
      </c>
      <c r="N1749" t="s">
        <v>18950</v>
      </c>
    </row>
    <row r="1750" spans="1:14">
      <c r="A1750" t="s">
        <v>9256</v>
      </c>
      <c r="B1750">
        <v>2110633</v>
      </c>
      <c r="C1750">
        <v>2110773</v>
      </c>
      <c r="E1750" t="s">
        <v>14290</v>
      </c>
      <c r="F1750" t="s">
        <v>18364</v>
      </c>
      <c r="H1750">
        <v>93523205</v>
      </c>
      <c r="I1750" t="s">
        <v>14292</v>
      </c>
      <c r="L1750" t="s">
        <v>18951</v>
      </c>
      <c r="M1750">
        <v>46</v>
      </c>
      <c r="N1750" t="s">
        <v>18952</v>
      </c>
    </row>
    <row r="1751" spans="1:14">
      <c r="A1751" t="s">
        <v>9256</v>
      </c>
      <c r="B1751">
        <v>2110860</v>
      </c>
      <c r="C1751">
        <v>2112302</v>
      </c>
      <c r="E1751" t="s">
        <v>14290</v>
      </c>
      <c r="F1751" t="s">
        <v>18367</v>
      </c>
      <c r="H1751">
        <v>93523206</v>
      </c>
      <c r="I1751" t="s">
        <v>14292</v>
      </c>
      <c r="L1751" t="s">
        <v>18953</v>
      </c>
      <c r="M1751">
        <v>480</v>
      </c>
      <c r="N1751" t="s">
        <v>18954</v>
      </c>
    </row>
    <row r="1752" spans="1:14">
      <c r="A1752" t="s">
        <v>9256</v>
      </c>
      <c r="B1752">
        <v>2112308</v>
      </c>
      <c r="C1752">
        <v>2113462</v>
      </c>
      <c r="E1752" t="s">
        <v>14290</v>
      </c>
      <c r="F1752" t="s">
        <v>18370</v>
      </c>
      <c r="H1752">
        <v>93523207</v>
      </c>
      <c r="I1752" t="s">
        <v>14292</v>
      </c>
      <c r="L1752" t="s">
        <v>18955</v>
      </c>
      <c r="M1752">
        <v>384</v>
      </c>
      <c r="N1752" t="s">
        <v>18956</v>
      </c>
    </row>
    <row r="1753" spans="1:14">
      <c r="A1753" t="s">
        <v>9256</v>
      </c>
      <c r="B1753">
        <v>2113513</v>
      </c>
      <c r="C1753">
        <v>2114724</v>
      </c>
      <c r="E1753" t="s">
        <v>14290</v>
      </c>
      <c r="F1753" t="s">
        <v>18341</v>
      </c>
      <c r="H1753">
        <v>93523208</v>
      </c>
      <c r="I1753" t="s">
        <v>14292</v>
      </c>
      <c r="L1753" t="s">
        <v>18957</v>
      </c>
      <c r="M1753">
        <v>403</v>
      </c>
      <c r="N1753" t="s">
        <v>18958</v>
      </c>
    </row>
    <row r="1754" spans="1:14">
      <c r="A1754" t="s">
        <v>9256</v>
      </c>
      <c r="B1754">
        <v>2114721</v>
      </c>
      <c r="C1754">
        <v>2115407</v>
      </c>
      <c r="E1754" t="s">
        <v>14290</v>
      </c>
      <c r="F1754" t="s">
        <v>14291</v>
      </c>
      <c r="H1754">
        <v>93523209</v>
      </c>
      <c r="I1754" t="s">
        <v>14292</v>
      </c>
      <c r="L1754" t="s">
        <v>18959</v>
      </c>
      <c r="M1754">
        <v>228</v>
      </c>
      <c r="N1754" t="s">
        <v>18960</v>
      </c>
    </row>
    <row r="1755" spans="1:14">
      <c r="A1755" t="s">
        <v>9256</v>
      </c>
      <c r="B1755">
        <v>2115437</v>
      </c>
      <c r="C1755">
        <v>2116687</v>
      </c>
      <c r="E1755" t="s">
        <v>14290</v>
      </c>
      <c r="F1755" t="s">
        <v>18378</v>
      </c>
      <c r="H1755">
        <v>93523210</v>
      </c>
      <c r="I1755" t="s">
        <v>14292</v>
      </c>
      <c r="L1755" t="s">
        <v>18961</v>
      </c>
      <c r="M1755">
        <v>416</v>
      </c>
      <c r="N1755" t="s">
        <v>18962</v>
      </c>
    </row>
    <row r="1756" spans="1:14">
      <c r="A1756" t="s">
        <v>9256</v>
      </c>
      <c r="B1756">
        <v>2116691</v>
      </c>
      <c r="C1756">
        <v>2118040</v>
      </c>
      <c r="E1756" t="s">
        <v>14290</v>
      </c>
      <c r="F1756" t="s">
        <v>14364</v>
      </c>
      <c r="H1756">
        <v>93523211</v>
      </c>
      <c r="I1756" t="s">
        <v>14292</v>
      </c>
      <c r="L1756" t="s">
        <v>18963</v>
      </c>
      <c r="M1756">
        <v>449</v>
      </c>
      <c r="N1756" t="s">
        <v>18964</v>
      </c>
    </row>
    <row r="1757" spans="1:14">
      <c r="A1757" t="s">
        <v>9256</v>
      </c>
      <c r="B1757">
        <v>2118040</v>
      </c>
      <c r="C1757">
        <v>2120235</v>
      </c>
      <c r="E1757" t="s">
        <v>14290</v>
      </c>
      <c r="F1757" t="s">
        <v>18389</v>
      </c>
      <c r="H1757">
        <v>93523212</v>
      </c>
      <c r="I1757" t="s">
        <v>14292</v>
      </c>
      <c r="L1757" t="s">
        <v>18965</v>
      </c>
      <c r="M1757">
        <v>731</v>
      </c>
      <c r="N1757" t="s">
        <v>18966</v>
      </c>
    </row>
    <row r="1758" spans="1:14">
      <c r="A1758" t="s">
        <v>9256</v>
      </c>
      <c r="B1758">
        <v>2120288</v>
      </c>
      <c r="C1758">
        <v>2121583</v>
      </c>
      <c r="E1758" t="s">
        <v>14290</v>
      </c>
      <c r="F1758" t="s">
        <v>14736</v>
      </c>
      <c r="H1758">
        <v>93523213</v>
      </c>
      <c r="I1758" t="s">
        <v>14292</v>
      </c>
      <c r="L1758" t="s">
        <v>18967</v>
      </c>
      <c r="M1758">
        <v>431</v>
      </c>
      <c r="N1758" t="s">
        <v>18968</v>
      </c>
    </row>
    <row r="1759" spans="1:14">
      <c r="A1759" t="s">
        <v>9256</v>
      </c>
      <c r="B1759">
        <v>2121726</v>
      </c>
      <c r="C1759">
        <v>2123183</v>
      </c>
      <c r="E1759" t="s">
        <v>14290</v>
      </c>
      <c r="F1759" t="s">
        <v>18969</v>
      </c>
      <c r="G1759" t="s">
        <v>18970</v>
      </c>
      <c r="H1759">
        <v>93523214</v>
      </c>
      <c r="I1759" t="s">
        <v>14292</v>
      </c>
      <c r="L1759" t="s">
        <v>18971</v>
      </c>
      <c r="M1759">
        <v>485</v>
      </c>
      <c r="N1759" t="s">
        <v>18972</v>
      </c>
    </row>
    <row r="1760" spans="1:14">
      <c r="A1760" t="s">
        <v>9256</v>
      </c>
      <c r="B1760">
        <v>2123190</v>
      </c>
      <c r="C1760">
        <v>2123810</v>
      </c>
      <c r="E1760" t="s">
        <v>14290</v>
      </c>
      <c r="F1760" t="s">
        <v>14291</v>
      </c>
      <c r="H1760">
        <v>93523215</v>
      </c>
      <c r="I1760" t="s">
        <v>14292</v>
      </c>
      <c r="L1760" t="s">
        <v>18973</v>
      </c>
      <c r="M1760">
        <v>206</v>
      </c>
      <c r="N1760" t="s">
        <v>18974</v>
      </c>
    </row>
    <row r="1761" spans="1:14">
      <c r="A1761" t="s">
        <v>9256</v>
      </c>
      <c r="B1761">
        <v>2123827</v>
      </c>
      <c r="C1761">
        <v>2124207</v>
      </c>
      <c r="E1761" t="s">
        <v>14290</v>
      </c>
      <c r="F1761" t="s">
        <v>18975</v>
      </c>
      <c r="G1761" t="s">
        <v>18976</v>
      </c>
      <c r="H1761">
        <v>93523216</v>
      </c>
      <c r="I1761" t="s">
        <v>14292</v>
      </c>
      <c r="L1761" t="s">
        <v>18977</v>
      </c>
      <c r="M1761">
        <v>126</v>
      </c>
      <c r="N1761" t="s">
        <v>18978</v>
      </c>
    </row>
    <row r="1762" spans="1:14">
      <c r="A1762" t="s">
        <v>9256</v>
      </c>
      <c r="B1762">
        <v>2124210</v>
      </c>
      <c r="C1762">
        <v>2124716</v>
      </c>
      <c r="E1762" t="s">
        <v>14290</v>
      </c>
      <c r="F1762" t="s">
        <v>18979</v>
      </c>
      <c r="G1762" t="s">
        <v>18980</v>
      </c>
      <c r="H1762">
        <v>93523217</v>
      </c>
      <c r="I1762" t="s">
        <v>14292</v>
      </c>
      <c r="L1762" t="s">
        <v>18981</v>
      </c>
      <c r="M1762">
        <v>168</v>
      </c>
      <c r="N1762" t="s">
        <v>18982</v>
      </c>
    </row>
    <row r="1763" spans="1:14">
      <c r="A1763" t="s">
        <v>9256</v>
      </c>
      <c r="B1763">
        <v>2124823</v>
      </c>
      <c r="C1763">
        <v>2126658</v>
      </c>
      <c r="E1763" t="s">
        <v>14290</v>
      </c>
      <c r="F1763" t="s">
        <v>18983</v>
      </c>
      <c r="H1763">
        <v>93523218</v>
      </c>
      <c r="I1763" t="s">
        <v>14292</v>
      </c>
      <c r="L1763" t="s">
        <v>18984</v>
      </c>
      <c r="M1763">
        <v>611</v>
      </c>
      <c r="N1763" t="s">
        <v>18985</v>
      </c>
    </row>
    <row r="1764" spans="1:14">
      <c r="A1764" t="s">
        <v>9256</v>
      </c>
      <c r="B1764">
        <v>2126708</v>
      </c>
      <c r="C1764">
        <v>2127001</v>
      </c>
      <c r="E1764" t="s">
        <v>14290</v>
      </c>
      <c r="F1764" t="s">
        <v>14291</v>
      </c>
      <c r="H1764">
        <v>93523219</v>
      </c>
      <c r="I1764" t="s">
        <v>14292</v>
      </c>
      <c r="L1764" t="s">
        <v>18986</v>
      </c>
      <c r="M1764">
        <v>97</v>
      </c>
      <c r="N1764" t="s">
        <v>18987</v>
      </c>
    </row>
    <row r="1765" spans="1:14">
      <c r="A1765" t="s">
        <v>9256</v>
      </c>
      <c r="B1765">
        <v>2126992</v>
      </c>
      <c r="C1765">
        <v>2127312</v>
      </c>
      <c r="E1765" t="s">
        <v>14290</v>
      </c>
      <c r="F1765" t="s">
        <v>15901</v>
      </c>
      <c r="H1765">
        <v>93523220</v>
      </c>
      <c r="I1765" t="s">
        <v>14292</v>
      </c>
      <c r="L1765" t="s">
        <v>18988</v>
      </c>
      <c r="M1765">
        <v>106</v>
      </c>
      <c r="N1765" t="s">
        <v>18989</v>
      </c>
    </row>
    <row r="1766" spans="1:14">
      <c r="A1766" t="s">
        <v>9256</v>
      </c>
      <c r="B1766">
        <v>2127316</v>
      </c>
      <c r="C1766">
        <v>2127750</v>
      </c>
      <c r="E1766" t="s">
        <v>14290</v>
      </c>
      <c r="F1766" t="s">
        <v>18990</v>
      </c>
      <c r="G1766" t="s">
        <v>18991</v>
      </c>
      <c r="H1766">
        <v>93523221</v>
      </c>
      <c r="I1766" t="s">
        <v>14292</v>
      </c>
      <c r="L1766" t="s">
        <v>18992</v>
      </c>
      <c r="M1766">
        <v>144</v>
      </c>
      <c r="N1766" t="s">
        <v>18993</v>
      </c>
    </row>
    <row r="1767" spans="1:14">
      <c r="A1767" t="s">
        <v>9256</v>
      </c>
      <c r="B1767">
        <v>2127779</v>
      </c>
      <c r="C1767">
        <v>2129497</v>
      </c>
      <c r="E1767" t="s">
        <v>14290</v>
      </c>
      <c r="F1767" t="s">
        <v>14805</v>
      </c>
      <c r="H1767">
        <v>93523222</v>
      </c>
      <c r="I1767" t="s">
        <v>14292</v>
      </c>
      <c r="L1767" t="s">
        <v>18994</v>
      </c>
      <c r="M1767">
        <v>572</v>
      </c>
      <c r="N1767" t="s">
        <v>18995</v>
      </c>
    </row>
    <row r="1768" spans="1:14">
      <c r="A1768" t="s">
        <v>9256</v>
      </c>
      <c r="B1768">
        <v>2129494</v>
      </c>
      <c r="C1768">
        <v>2130339</v>
      </c>
      <c r="E1768" t="s">
        <v>14290</v>
      </c>
      <c r="F1768" t="s">
        <v>18996</v>
      </c>
      <c r="H1768">
        <v>93523223</v>
      </c>
      <c r="I1768" t="s">
        <v>14292</v>
      </c>
      <c r="L1768" t="s">
        <v>18997</v>
      </c>
      <c r="M1768">
        <v>281</v>
      </c>
      <c r="N1768" t="s">
        <v>18998</v>
      </c>
    </row>
    <row r="1769" spans="1:14">
      <c r="A1769" t="s">
        <v>9256</v>
      </c>
      <c r="B1769">
        <v>2130346</v>
      </c>
      <c r="C1769">
        <v>2131665</v>
      </c>
      <c r="E1769" t="s">
        <v>14290</v>
      </c>
      <c r="F1769" t="s">
        <v>18999</v>
      </c>
      <c r="H1769">
        <v>93523224</v>
      </c>
      <c r="I1769" t="s">
        <v>14292</v>
      </c>
      <c r="L1769" t="s">
        <v>19000</v>
      </c>
      <c r="M1769">
        <v>439</v>
      </c>
      <c r="N1769" t="s">
        <v>19001</v>
      </c>
    </row>
    <row r="1770" spans="1:14">
      <c r="A1770" t="s">
        <v>9256</v>
      </c>
      <c r="B1770">
        <v>2131784</v>
      </c>
      <c r="C1770">
        <v>2132638</v>
      </c>
      <c r="E1770" t="s">
        <v>14314</v>
      </c>
      <c r="F1770" t="s">
        <v>19002</v>
      </c>
      <c r="H1770">
        <v>93523225</v>
      </c>
      <c r="I1770" t="s">
        <v>14292</v>
      </c>
      <c r="L1770" t="s">
        <v>19003</v>
      </c>
      <c r="M1770">
        <v>284</v>
      </c>
      <c r="N1770" t="s">
        <v>19004</v>
      </c>
    </row>
    <row r="1771" spans="1:14">
      <c r="A1771" t="s">
        <v>9256</v>
      </c>
      <c r="B1771">
        <v>2132720</v>
      </c>
      <c r="C1771">
        <v>2134348</v>
      </c>
      <c r="E1771" t="s">
        <v>14314</v>
      </c>
      <c r="F1771" t="s">
        <v>19005</v>
      </c>
      <c r="H1771">
        <v>93523226</v>
      </c>
      <c r="I1771" t="s">
        <v>14292</v>
      </c>
      <c r="L1771" t="s">
        <v>19006</v>
      </c>
      <c r="M1771">
        <v>542</v>
      </c>
      <c r="N1771" t="s">
        <v>19007</v>
      </c>
    </row>
    <row r="1772" spans="1:14">
      <c r="A1772" t="s">
        <v>9256</v>
      </c>
      <c r="B1772">
        <v>2134576</v>
      </c>
      <c r="C1772">
        <v>2135724</v>
      </c>
      <c r="E1772" t="s">
        <v>14314</v>
      </c>
      <c r="F1772" t="s">
        <v>19008</v>
      </c>
      <c r="H1772">
        <v>93523227</v>
      </c>
      <c r="I1772" t="s">
        <v>14292</v>
      </c>
      <c r="L1772" t="s">
        <v>19009</v>
      </c>
      <c r="M1772">
        <v>382</v>
      </c>
      <c r="N1772" t="s">
        <v>19010</v>
      </c>
    </row>
    <row r="1773" spans="1:14">
      <c r="A1773" t="s">
        <v>9256</v>
      </c>
      <c r="B1773">
        <v>2135746</v>
      </c>
      <c r="C1773">
        <v>2138619</v>
      </c>
      <c r="E1773" t="s">
        <v>14314</v>
      </c>
      <c r="F1773" t="s">
        <v>14780</v>
      </c>
      <c r="H1773">
        <v>93523228</v>
      </c>
      <c r="I1773" t="s">
        <v>14292</v>
      </c>
      <c r="L1773" t="s">
        <v>19011</v>
      </c>
      <c r="M1773">
        <v>957</v>
      </c>
      <c r="N1773" t="s">
        <v>19012</v>
      </c>
    </row>
    <row r="1774" spans="1:14">
      <c r="A1774" t="s">
        <v>9256</v>
      </c>
      <c r="B1774">
        <v>2138780</v>
      </c>
      <c r="C1774">
        <v>2140411</v>
      </c>
      <c r="E1774" t="s">
        <v>14314</v>
      </c>
      <c r="F1774" t="s">
        <v>15179</v>
      </c>
      <c r="H1774">
        <v>93523229</v>
      </c>
      <c r="I1774" t="s">
        <v>14292</v>
      </c>
      <c r="L1774" t="s">
        <v>19013</v>
      </c>
      <c r="M1774">
        <v>543</v>
      </c>
      <c r="N1774" t="s">
        <v>19014</v>
      </c>
    </row>
    <row r="1775" spans="1:14">
      <c r="A1775" t="s">
        <v>9256</v>
      </c>
      <c r="B1775">
        <v>2140453</v>
      </c>
      <c r="C1775">
        <v>2143701</v>
      </c>
      <c r="E1775" t="s">
        <v>14314</v>
      </c>
      <c r="F1775" t="s">
        <v>14965</v>
      </c>
      <c r="H1775">
        <v>93523230</v>
      </c>
      <c r="I1775" t="s">
        <v>14292</v>
      </c>
      <c r="L1775" t="s">
        <v>19015</v>
      </c>
      <c r="M1775">
        <v>1082</v>
      </c>
      <c r="N1775" t="s">
        <v>19016</v>
      </c>
    </row>
    <row r="1776" spans="1:14">
      <c r="A1776" t="s">
        <v>9256</v>
      </c>
      <c r="B1776">
        <v>2143895</v>
      </c>
      <c r="C1776">
        <v>2144875</v>
      </c>
      <c r="E1776" t="s">
        <v>14290</v>
      </c>
      <c r="F1776" t="s">
        <v>15696</v>
      </c>
      <c r="H1776">
        <v>93523231</v>
      </c>
      <c r="I1776" t="s">
        <v>14292</v>
      </c>
      <c r="L1776" t="s">
        <v>15697</v>
      </c>
      <c r="M1776">
        <v>326</v>
      </c>
      <c r="N1776" t="s">
        <v>19017</v>
      </c>
    </row>
    <row r="1777" spans="1:14">
      <c r="A1777" t="s">
        <v>9256</v>
      </c>
      <c r="B1777">
        <v>2145045</v>
      </c>
      <c r="C1777">
        <v>2146448</v>
      </c>
      <c r="E1777" t="s">
        <v>14314</v>
      </c>
      <c r="F1777" t="s">
        <v>19018</v>
      </c>
      <c r="G1777" t="s">
        <v>19019</v>
      </c>
      <c r="H1777">
        <v>93523232</v>
      </c>
      <c r="I1777" t="s">
        <v>14292</v>
      </c>
      <c r="L1777" t="s">
        <v>19020</v>
      </c>
      <c r="M1777">
        <v>467</v>
      </c>
      <c r="N1777" t="s">
        <v>19021</v>
      </c>
    </row>
    <row r="1778" spans="1:14">
      <c r="A1778" t="s">
        <v>9256</v>
      </c>
      <c r="B1778">
        <v>2146445</v>
      </c>
      <c r="C1778">
        <v>2147119</v>
      </c>
      <c r="E1778" t="s">
        <v>14314</v>
      </c>
      <c r="F1778" t="s">
        <v>19022</v>
      </c>
      <c r="H1778">
        <v>93523233</v>
      </c>
      <c r="I1778" t="s">
        <v>14292</v>
      </c>
      <c r="L1778" t="s">
        <v>19023</v>
      </c>
      <c r="M1778">
        <v>224</v>
      </c>
      <c r="N1778" t="s">
        <v>19024</v>
      </c>
    </row>
    <row r="1779" spans="1:14">
      <c r="A1779" t="s">
        <v>9256</v>
      </c>
      <c r="B1779">
        <v>2147156</v>
      </c>
      <c r="C1779">
        <v>2148199</v>
      </c>
      <c r="E1779" t="s">
        <v>14314</v>
      </c>
      <c r="F1779" t="s">
        <v>19025</v>
      </c>
      <c r="H1779">
        <v>93523234</v>
      </c>
      <c r="I1779" t="s">
        <v>14292</v>
      </c>
      <c r="L1779" t="s">
        <v>19026</v>
      </c>
      <c r="M1779">
        <v>347</v>
      </c>
      <c r="N1779" t="s">
        <v>19027</v>
      </c>
    </row>
    <row r="1780" spans="1:14">
      <c r="A1780" t="s">
        <v>9256</v>
      </c>
      <c r="B1780">
        <v>2148282</v>
      </c>
      <c r="C1780">
        <v>2149850</v>
      </c>
      <c r="E1780" t="s">
        <v>14314</v>
      </c>
      <c r="F1780" t="s">
        <v>14870</v>
      </c>
      <c r="H1780">
        <v>93523235</v>
      </c>
      <c r="I1780" t="s">
        <v>14292</v>
      </c>
      <c r="L1780" t="s">
        <v>19028</v>
      </c>
      <c r="M1780">
        <v>522</v>
      </c>
      <c r="N1780" t="s">
        <v>19029</v>
      </c>
    </row>
    <row r="1781" spans="1:14">
      <c r="A1781" t="s">
        <v>9256</v>
      </c>
      <c r="B1781">
        <v>2150150</v>
      </c>
      <c r="C1781">
        <v>2151139</v>
      </c>
      <c r="E1781" t="s">
        <v>14314</v>
      </c>
      <c r="F1781" t="s">
        <v>19030</v>
      </c>
      <c r="G1781" t="s">
        <v>19031</v>
      </c>
      <c r="H1781">
        <v>93523236</v>
      </c>
      <c r="I1781" t="s">
        <v>14292</v>
      </c>
      <c r="L1781" t="s">
        <v>19032</v>
      </c>
      <c r="M1781">
        <v>329</v>
      </c>
      <c r="N1781" t="s">
        <v>19033</v>
      </c>
    </row>
    <row r="1782" spans="1:14">
      <c r="A1782" t="s">
        <v>9256</v>
      </c>
      <c r="B1782">
        <v>2151419</v>
      </c>
      <c r="C1782">
        <v>2152678</v>
      </c>
      <c r="E1782" t="s">
        <v>14290</v>
      </c>
      <c r="F1782" t="s">
        <v>19034</v>
      </c>
      <c r="H1782">
        <v>93523237</v>
      </c>
      <c r="I1782" t="s">
        <v>14292</v>
      </c>
      <c r="L1782" t="s">
        <v>19035</v>
      </c>
      <c r="M1782">
        <v>419</v>
      </c>
      <c r="N1782" t="s">
        <v>19036</v>
      </c>
    </row>
    <row r="1783" spans="1:14">
      <c r="A1783" t="s">
        <v>9256</v>
      </c>
      <c r="B1783">
        <v>2152678</v>
      </c>
      <c r="C1783">
        <v>2153091</v>
      </c>
      <c r="E1783" t="s">
        <v>14290</v>
      </c>
      <c r="F1783" t="s">
        <v>19037</v>
      </c>
      <c r="H1783">
        <v>93523238</v>
      </c>
      <c r="I1783" t="s">
        <v>14292</v>
      </c>
      <c r="L1783" t="s">
        <v>19038</v>
      </c>
      <c r="M1783">
        <v>137</v>
      </c>
      <c r="N1783" t="s">
        <v>19039</v>
      </c>
    </row>
    <row r="1784" spans="1:14">
      <c r="A1784" t="s">
        <v>9256</v>
      </c>
      <c r="B1784">
        <v>2153092</v>
      </c>
      <c r="C1784">
        <v>2154210</v>
      </c>
      <c r="E1784" t="s">
        <v>14290</v>
      </c>
      <c r="F1784" t="s">
        <v>19040</v>
      </c>
      <c r="G1784" t="s">
        <v>19041</v>
      </c>
      <c r="H1784">
        <v>93523239</v>
      </c>
      <c r="I1784" t="s">
        <v>14292</v>
      </c>
      <c r="L1784" t="s">
        <v>19042</v>
      </c>
      <c r="M1784">
        <v>372</v>
      </c>
      <c r="N1784" t="s">
        <v>19043</v>
      </c>
    </row>
    <row r="1785" spans="1:14">
      <c r="A1785" t="s">
        <v>9256</v>
      </c>
      <c r="B1785">
        <v>2154539</v>
      </c>
      <c r="C1785">
        <v>2154620</v>
      </c>
      <c r="E1785" t="s">
        <v>14314</v>
      </c>
      <c r="F1785" t="s">
        <v>19044</v>
      </c>
      <c r="H1785">
        <v>93523240</v>
      </c>
      <c r="I1785" t="s">
        <v>13638</v>
      </c>
      <c r="N1785" t="s">
        <v>19045</v>
      </c>
    </row>
    <row r="1786" spans="1:14">
      <c r="A1786" t="s">
        <v>9256</v>
      </c>
      <c r="B1786">
        <v>2154693</v>
      </c>
      <c r="C1786">
        <v>2155709</v>
      </c>
      <c r="E1786" t="s">
        <v>14314</v>
      </c>
      <c r="F1786" t="s">
        <v>17779</v>
      </c>
      <c r="H1786">
        <v>93523241</v>
      </c>
      <c r="I1786" t="s">
        <v>14292</v>
      </c>
      <c r="L1786" t="s">
        <v>19046</v>
      </c>
      <c r="M1786">
        <v>338</v>
      </c>
      <c r="N1786" t="s">
        <v>19047</v>
      </c>
    </row>
    <row r="1787" spans="1:14">
      <c r="A1787" t="s">
        <v>9256</v>
      </c>
      <c r="B1787">
        <v>2155721</v>
      </c>
      <c r="C1787">
        <v>2156590</v>
      </c>
      <c r="E1787" t="s">
        <v>14314</v>
      </c>
      <c r="F1787" t="s">
        <v>19048</v>
      </c>
      <c r="H1787">
        <v>93523242</v>
      </c>
      <c r="I1787" t="s">
        <v>14292</v>
      </c>
      <c r="L1787" t="s">
        <v>19049</v>
      </c>
      <c r="M1787">
        <v>289</v>
      </c>
      <c r="N1787" t="s">
        <v>19050</v>
      </c>
    </row>
    <row r="1788" spans="1:14">
      <c r="A1788" t="s">
        <v>9256</v>
      </c>
      <c r="B1788">
        <v>2156594</v>
      </c>
      <c r="C1788">
        <v>2159329</v>
      </c>
      <c r="E1788" t="s">
        <v>14314</v>
      </c>
      <c r="F1788" t="s">
        <v>19051</v>
      </c>
      <c r="H1788">
        <v>93523243</v>
      </c>
      <c r="I1788" t="s">
        <v>14292</v>
      </c>
      <c r="L1788" t="s">
        <v>19052</v>
      </c>
      <c r="M1788">
        <v>911</v>
      </c>
      <c r="N1788" t="s">
        <v>19053</v>
      </c>
    </row>
    <row r="1789" spans="1:14">
      <c r="A1789" t="s">
        <v>9256</v>
      </c>
      <c r="B1789">
        <v>2159397</v>
      </c>
      <c r="C1789">
        <v>2159774</v>
      </c>
      <c r="E1789" t="s">
        <v>14314</v>
      </c>
      <c r="F1789" t="s">
        <v>15389</v>
      </c>
      <c r="H1789">
        <v>93523244</v>
      </c>
      <c r="I1789" t="s">
        <v>14292</v>
      </c>
      <c r="L1789" t="s">
        <v>19054</v>
      </c>
      <c r="M1789">
        <v>125</v>
      </c>
      <c r="N1789" t="s">
        <v>19055</v>
      </c>
    </row>
    <row r="1790" spans="1:14">
      <c r="A1790" t="s">
        <v>9256</v>
      </c>
      <c r="B1790">
        <v>2159758</v>
      </c>
      <c r="C1790">
        <v>2160051</v>
      </c>
      <c r="E1790" t="s">
        <v>14314</v>
      </c>
      <c r="F1790" t="s">
        <v>15392</v>
      </c>
      <c r="H1790">
        <v>93523245</v>
      </c>
      <c r="I1790" t="s">
        <v>14292</v>
      </c>
      <c r="L1790" t="s">
        <v>19056</v>
      </c>
      <c r="M1790">
        <v>97</v>
      </c>
      <c r="N1790" t="s">
        <v>19057</v>
      </c>
    </row>
    <row r="1791" spans="1:14">
      <c r="A1791" t="s">
        <v>9256</v>
      </c>
      <c r="B1791">
        <v>2160209</v>
      </c>
      <c r="C1791">
        <v>2160976</v>
      </c>
      <c r="E1791" t="s">
        <v>14290</v>
      </c>
      <c r="F1791" t="s">
        <v>14464</v>
      </c>
      <c r="H1791">
        <v>93523246</v>
      </c>
      <c r="I1791" t="s">
        <v>14292</v>
      </c>
      <c r="L1791" t="s">
        <v>19058</v>
      </c>
      <c r="M1791">
        <v>255</v>
      </c>
      <c r="N1791" t="s">
        <v>19059</v>
      </c>
    </row>
    <row r="1792" spans="1:14">
      <c r="A1792" t="s">
        <v>9256</v>
      </c>
      <c r="B1792">
        <v>2161098</v>
      </c>
      <c r="C1792">
        <v>2161898</v>
      </c>
      <c r="E1792" t="s">
        <v>14290</v>
      </c>
      <c r="F1792" t="s">
        <v>14291</v>
      </c>
      <c r="H1792">
        <v>93525938</v>
      </c>
      <c r="I1792" t="s">
        <v>14292</v>
      </c>
      <c r="L1792" t="s">
        <v>19060</v>
      </c>
      <c r="M1792">
        <v>266</v>
      </c>
      <c r="N1792" t="s">
        <v>19061</v>
      </c>
    </row>
    <row r="1793" spans="1:14">
      <c r="A1793" t="s">
        <v>9256</v>
      </c>
      <c r="B1793">
        <v>2162596</v>
      </c>
      <c r="C1793">
        <v>2164032</v>
      </c>
      <c r="E1793" t="s">
        <v>14314</v>
      </c>
      <c r="F1793" t="s">
        <v>15339</v>
      </c>
      <c r="H1793">
        <v>93523247</v>
      </c>
      <c r="I1793" t="s">
        <v>14292</v>
      </c>
      <c r="L1793" t="s">
        <v>19062</v>
      </c>
      <c r="M1793">
        <v>478</v>
      </c>
      <c r="N1793" t="s">
        <v>19063</v>
      </c>
    </row>
    <row r="1794" spans="1:14">
      <c r="A1794" t="s">
        <v>9256</v>
      </c>
      <c r="B1794">
        <v>2164240</v>
      </c>
      <c r="C1794">
        <v>2165784</v>
      </c>
      <c r="E1794" t="s">
        <v>14290</v>
      </c>
      <c r="F1794" t="s">
        <v>19064</v>
      </c>
      <c r="H1794">
        <v>93523248</v>
      </c>
      <c r="I1794" t="s">
        <v>14292</v>
      </c>
      <c r="L1794" t="s">
        <v>19065</v>
      </c>
      <c r="M1794">
        <v>514</v>
      </c>
      <c r="N1794" t="s">
        <v>19066</v>
      </c>
    </row>
    <row r="1795" spans="1:14">
      <c r="A1795" t="s">
        <v>9256</v>
      </c>
      <c r="B1795">
        <v>2165789</v>
      </c>
      <c r="C1795">
        <v>2166313</v>
      </c>
      <c r="E1795" t="s">
        <v>14290</v>
      </c>
      <c r="F1795" t="s">
        <v>15930</v>
      </c>
      <c r="H1795">
        <v>93523249</v>
      </c>
      <c r="I1795" t="s">
        <v>14292</v>
      </c>
      <c r="L1795" t="s">
        <v>19067</v>
      </c>
      <c r="M1795">
        <v>174</v>
      </c>
      <c r="N1795" t="s">
        <v>19068</v>
      </c>
    </row>
    <row r="1796" spans="1:14">
      <c r="A1796" t="s">
        <v>9256</v>
      </c>
      <c r="B1796">
        <v>2166654</v>
      </c>
      <c r="C1796">
        <v>2167448</v>
      </c>
      <c r="E1796" t="s">
        <v>14314</v>
      </c>
      <c r="F1796" t="s">
        <v>14498</v>
      </c>
      <c r="H1796">
        <v>93523250</v>
      </c>
      <c r="I1796" t="s">
        <v>14292</v>
      </c>
      <c r="L1796" t="s">
        <v>19069</v>
      </c>
      <c r="M1796">
        <v>264</v>
      </c>
      <c r="N1796" t="s">
        <v>19070</v>
      </c>
    </row>
    <row r="1797" spans="1:14">
      <c r="A1797" t="s">
        <v>9256</v>
      </c>
      <c r="B1797">
        <v>2167456</v>
      </c>
      <c r="C1797">
        <v>2168223</v>
      </c>
      <c r="E1797" t="s">
        <v>14314</v>
      </c>
      <c r="F1797" t="s">
        <v>19071</v>
      </c>
      <c r="H1797">
        <v>93523251</v>
      </c>
      <c r="I1797" t="s">
        <v>14292</v>
      </c>
      <c r="L1797" t="s">
        <v>19072</v>
      </c>
      <c r="M1797">
        <v>255</v>
      </c>
      <c r="N1797" t="s">
        <v>19073</v>
      </c>
    </row>
    <row r="1798" spans="1:14">
      <c r="A1798" t="s">
        <v>9256</v>
      </c>
      <c r="B1798">
        <v>2168463</v>
      </c>
      <c r="C1798">
        <v>2171600</v>
      </c>
      <c r="E1798" t="s">
        <v>14290</v>
      </c>
      <c r="F1798" t="s">
        <v>14414</v>
      </c>
      <c r="H1798">
        <v>301046722</v>
      </c>
      <c r="I1798" t="s">
        <v>14415</v>
      </c>
      <c r="N1798" t="s">
        <v>19074</v>
      </c>
    </row>
    <row r="1799" spans="1:14">
      <c r="A1799" t="s">
        <v>9256</v>
      </c>
      <c r="B1799">
        <v>2171806</v>
      </c>
      <c r="C1799">
        <v>2173038</v>
      </c>
      <c r="E1799" t="s">
        <v>14314</v>
      </c>
      <c r="F1799" t="s">
        <v>14364</v>
      </c>
      <c r="H1799">
        <v>93523252</v>
      </c>
      <c r="I1799" t="s">
        <v>14292</v>
      </c>
      <c r="L1799" t="s">
        <v>19075</v>
      </c>
      <c r="M1799">
        <v>410</v>
      </c>
      <c r="N1799" t="s">
        <v>19076</v>
      </c>
    </row>
    <row r="1800" spans="1:14">
      <c r="A1800" t="s">
        <v>9256</v>
      </c>
      <c r="B1800">
        <v>2173072</v>
      </c>
      <c r="C1800">
        <v>2174283</v>
      </c>
      <c r="E1800" t="s">
        <v>14314</v>
      </c>
      <c r="F1800" t="s">
        <v>17245</v>
      </c>
      <c r="H1800">
        <v>93523253</v>
      </c>
      <c r="I1800" t="s">
        <v>14292</v>
      </c>
      <c r="L1800" t="s">
        <v>19077</v>
      </c>
      <c r="M1800">
        <v>403</v>
      </c>
      <c r="N1800" t="s">
        <v>19078</v>
      </c>
    </row>
    <row r="1801" spans="1:14">
      <c r="A1801" t="s">
        <v>9256</v>
      </c>
      <c r="B1801">
        <v>2174706</v>
      </c>
      <c r="C1801">
        <v>2175461</v>
      </c>
      <c r="E1801" t="s">
        <v>14314</v>
      </c>
      <c r="F1801" t="s">
        <v>19079</v>
      </c>
      <c r="H1801">
        <v>93523254</v>
      </c>
      <c r="I1801" t="s">
        <v>14292</v>
      </c>
      <c r="L1801" t="s">
        <v>19080</v>
      </c>
      <c r="M1801">
        <v>251</v>
      </c>
      <c r="N1801" t="s">
        <v>19081</v>
      </c>
    </row>
    <row r="1802" spans="1:14">
      <c r="A1802" t="s">
        <v>9256</v>
      </c>
      <c r="B1802">
        <v>2175492</v>
      </c>
      <c r="C1802">
        <v>2177435</v>
      </c>
      <c r="E1802" t="s">
        <v>14314</v>
      </c>
      <c r="F1802" t="s">
        <v>19082</v>
      </c>
      <c r="H1802">
        <v>93523255</v>
      </c>
      <c r="I1802" t="s">
        <v>14292</v>
      </c>
      <c r="L1802" t="s">
        <v>19083</v>
      </c>
      <c r="M1802">
        <v>647</v>
      </c>
      <c r="N1802" t="s">
        <v>19084</v>
      </c>
    </row>
    <row r="1803" spans="1:14">
      <c r="A1803" t="s">
        <v>9256</v>
      </c>
      <c r="B1803">
        <v>2177484</v>
      </c>
      <c r="C1803">
        <v>2178176</v>
      </c>
      <c r="E1803" t="s">
        <v>14314</v>
      </c>
      <c r="F1803" t="s">
        <v>19085</v>
      </c>
      <c r="H1803">
        <v>93523256</v>
      </c>
      <c r="I1803" t="s">
        <v>14292</v>
      </c>
      <c r="L1803" t="s">
        <v>19086</v>
      </c>
      <c r="M1803">
        <v>230</v>
      </c>
      <c r="N1803" t="s">
        <v>19087</v>
      </c>
    </row>
    <row r="1804" spans="1:14">
      <c r="A1804" t="s">
        <v>9256</v>
      </c>
      <c r="B1804">
        <v>2178362</v>
      </c>
      <c r="C1804">
        <v>2179777</v>
      </c>
      <c r="E1804" t="s">
        <v>14290</v>
      </c>
      <c r="F1804" t="s">
        <v>14805</v>
      </c>
      <c r="H1804">
        <v>93523257</v>
      </c>
      <c r="I1804" t="s">
        <v>14292</v>
      </c>
      <c r="L1804" t="s">
        <v>19088</v>
      </c>
      <c r="M1804">
        <v>471</v>
      </c>
      <c r="N1804" t="s">
        <v>19089</v>
      </c>
    </row>
    <row r="1805" spans="1:14">
      <c r="A1805" t="s">
        <v>9256</v>
      </c>
      <c r="B1805">
        <v>2179887</v>
      </c>
      <c r="C1805">
        <v>2181110</v>
      </c>
      <c r="E1805" t="s">
        <v>14290</v>
      </c>
      <c r="F1805" t="s">
        <v>18341</v>
      </c>
      <c r="H1805">
        <v>93523258</v>
      </c>
      <c r="I1805" t="s">
        <v>14292</v>
      </c>
      <c r="L1805" t="s">
        <v>19090</v>
      </c>
      <c r="M1805">
        <v>407</v>
      </c>
      <c r="N1805" t="s">
        <v>19091</v>
      </c>
    </row>
    <row r="1806" spans="1:14">
      <c r="A1806" t="s">
        <v>9256</v>
      </c>
      <c r="B1806">
        <v>2181521</v>
      </c>
      <c r="C1806">
        <v>2182012</v>
      </c>
      <c r="E1806" t="s">
        <v>14290</v>
      </c>
      <c r="F1806" t="s">
        <v>19092</v>
      </c>
      <c r="H1806">
        <v>93523259</v>
      </c>
      <c r="I1806" t="s">
        <v>14292</v>
      </c>
      <c r="L1806" t="s">
        <v>19093</v>
      </c>
      <c r="M1806">
        <v>163</v>
      </c>
      <c r="N1806" t="s">
        <v>19094</v>
      </c>
    </row>
    <row r="1807" spans="1:14">
      <c r="A1807" t="s">
        <v>9256</v>
      </c>
      <c r="B1807">
        <v>2182128</v>
      </c>
      <c r="C1807">
        <v>2182490</v>
      </c>
      <c r="E1807" t="s">
        <v>14290</v>
      </c>
      <c r="F1807" t="s">
        <v>14417</v>
      </c>
      <c r="H1807">
        <v>93523260</v>
      </c>
      <c r="I1807" t="s">
        <v>14292</v>
      </c>
      <c r="L1807" t="s">
        <v>19095</v>
      </c>
      <c r="M1807">
        <v>120</v>
      </c>
      <c r="N1807" t="s">
        <v>19096</v>
      </c>
    </row>
    <row r="1808" spans="1:14">
      <c r="A1808" t="s">
        <v>9256</v>
      </c>
      <c r="B1808">
        <v>2182508</v>
      </c>
      <c r="C1808">
        <v>2184331</v>
      </c>
      <c r="E1808" t="s">
        <v>14290</v>
      </c>
      <c r="F1808" t="s">
        <v>19097</v>
      </c>
      <c r="H1808">
        <v>93523261</v>
      </c>
      <c r="I1808" t="s">
        <v>14292</v>
      </c>
      <c r="L1808" t="s">
        <v>19098</v>
      </c>
      <c r="M1808">
        <v>607</v>
      </c>
      <c r="N1808" t="s">
        <v>19099</v>
      </c>
    </row>
    <row r="1809" spans="1:14">
      <c r="A1809" t="s">
        <v>9256</v>
      </c>
      <c r="B1809">
        <v>2184388</v>
      </c>
      <c r="C1809">
        <v>2186250</v>
      </c>
      <c r="E1809" t="s">
        <v>14290</v>
      </c>
      <c r="F1809" t="s">
        <v>14805</v>
      </c>
      <c r="H1809">
        <v>93523262</v>
      </c>
      <c r="I1809" t="s">
        <v>14292</v>
      </c>
      <c r="L1809" t="s">
        <v>19100</v>
      </c>
      <c r="M1809">
        <v>620</v>
      </c>
      <c r="N1809" t="s">
        <v>19101</v>
      </c>
    </row>
    <row r="1810" spans="1:14">
      <c r="A1810" t="s">
        <v>9256</v>
      </c>
      <c r="B1810">
        <v>2186283</v>
      </c>
      <c r="C1810">
        <v>2187440</v>
      </c>
      <c r="E1810" t="s">
        <v>14290</v>
      </c>
      <c r="F1810" t="s">
        <v>18341</v>
      </c>
      <c r="H1810">
        <v>93523263</v>
      </c>
      <c r="I1810" t="s">
        <v>14292</v>
      </c>
      <c r="L1810" t="s">
        <v>19102</v>
      </c>
      <c r="M1810">
        <v>385</v>
      </c>
      <c r="N1810" t="s">
        <v>19103</v>
      </c>
    </row>
    <row r="1811" spans="1:14">
      <c r="A1811" t="s">
        <v>9256</v>
      </c>
      <c r="B1811">
        <v>2187886</v>
      </c>
      <c r="C1811">
        <v>2190090</v>
      </c>
      <c r="E1811" t="s">
        <v>14290</v>
      </c>
      <c r="F1811" t="s">
        <v>14748</v>
      </c>
      <c r="H1811">
        <v>93523264</v>
      </c>
      <c r="I1811" t="s">
        <v>14292</v>
      </c>
      <c r="L1811" t="s">
        <v>19104</v>
      </c>
      <c r="M1811">
        <v>734</v>
      </c>
      <c r="N1811" t="s">
        <v>19105</v>
      </c>
    </row>
    <row r="1812" spans="1:14">
      <c r="A1812" t="s">
        <v>9256</v>
      </c>
      <c r="B1812">
        <v>2190128</v>
      </c>
      <c r="C1812">
        <v>2190799</v>
      </c>
      <c r="E1812" t="s">
        <v>14290</v>
      </c>
      <c r="F1812" t="s">
        <v>19106</v>
      </c>
      <c r="H1812">
        <v>93523265</v>
      </c>
      <c r="I1812" t="s">
        <v>14292</v>
      </c>
      <c r="L1812" t="s">
        <v>19107</v>
      </c>
      <c r="M1812">
        <v>223</v>
      </c>
      <c r="N1812" t="s">
        <v>19108</v>
      </c>
    </row>
    <row r="1813" spans="1:14">
      <c r="A1813" t="s">
        <v>9256</v>
      </c>
      <c r="B1813">
        <v>2190811</v>
      </c>
      <c r="C1813">
        <v>2191959</v>
      </c>
      <c r="E1813" t="s">
        <v>14314</v>
      </c>
      <c r="F1813" t="s">
        <v>19109</v>
      </c>
      <c r="H1813">
        <v>93523266</v>
      </c>
      <c r="I1813" t="s">
        <v>14292</v>
      </c>
      <c r="L1813" t="s">
        <v>19110</v>
      </c>
      <c r="M1813">
        <v>382</v>
      </c>
      <c r="N1813" t="s">
        <v>19111</v>
      </c>
    </row>
    <row r="1814" spans="1:14">
      <c r="A1814" t="s">
        <v>9256</v>
      </c>
      <c r="B1814">
        <v>2191981</v>
      </c>
      <c r="C1814">
        <v>2193180</v>
      </c>
      <c r="E1814" t="s">
        <v>14314</v>
      </c>
      <c r="F1814" t="s">
        <v>14861</v>
      </c>
      <c r="H1814">
        <v>93523267</v>
      </c>
      <c r="I1814" t="s">
        <v>14292</v>
      </c>
      <c r="L1814" t="s">
        <v>19112</v>
      </c>
      <c r="M1814">
        <v>399</v>
      </c>
      <c r="N1814" t="s">
        <v>19113</v>
      </c>
    </row>
    <row r="1815" spans="1:14">
      <c r="A1815" t="s">
        <v>9256</v>
      </c>
      <c r="B1815">
        <v>2193513</v>
      </c>
      <c r="C1815">
        <v>2193923</v>
      </c>
      <c r="E1815" t="s">
        <v>14290</v>
      </c>
      <c r="F1815" t="s">
        <v>19114</v>
      </c>
      <c r="H1815">
        <v>93523268</v>
      </c>
      <c r="I1815" t="s">
        <v>14292</v>
      </c>
      <c r="L1815" t="s">
        <v>19115</v>
      </c>
      <c r="M1815">
        <v>136</v>
      </c>
      <c r="N1815" t="s">
        <v>19116</v>
      </c>
    </row>
    <row r="1816" spans="1:14">
      <c r="A1816" t="s">
        <v>9256</v>
      </c>
      <c r="B1816">
        <v>2194001</v>
      </c>
      <c r="C1816">
        <v>2195362</v>
      </c>
      <c r="E1816" t="s">
        <v>14314</v>
      </c>
      <c r="F1816" t="s">
        <v>19117</v>
      </c>
      <c r="H1816">
        <v>93523269</v>
      </c>
      <c r="I1816" t="s">
        <v>14292</v>
      </c>
      <c r="L1816" t="s">
        <v>19118</v>
      </c>
      <c r="M1816">
        <v>453</v>
      </c>
      <c r="N1816" t="s">
        <v>19119</v>
      </c>
    </row>
    <row r="1817" spans="1:14">
      <c r="A1817" t="s">
        <v>9256</v>
      </c>
      <c r="B1817">
        <v>2195522</v>
      </c>
      <c r="C1817">
        <v>2196751</v>
      </c>
      <c r="E1817" t="s">
        <v>14290</v>
      </c>
      <c r="F1817" t="s">
        <v>19120</v>
      </c>
      <c r="H1817">
        <v>93523270</v>
      </c>
      <c r="I1817" t="s">
        <v>14292</v>
      </c>
      <c r="L1817" t="s">
        <v>19121</v>
      </c>
      <c r="M1817">
        <v>409</v>
      </c>
      <c r="N1817" t="s">
        <v>19122</v>
      </c>
    </row>
    <row r="1818" spans="1:14">
      <c r="A1818" t="s">
        <v>9256</v>
      </c>
      <c r="B1818">
        <v>2196774</v>
      </c>
      <c r="C1818">
        <v>2197994</v>
      </c>
      <c r="E1818" t="s">
        <v>14290</v>
      </c>
      <c r="F1818" t="s">
        <v>19120</v>
      </c>
      <c r="H1818">
        <v>93523271</v>
      </c>
      <c r="I1818" t="s">
        <v>14292</v>
      </c>
      <c r="L1818" t="s">
        <v>19123</v>
      </c>
      <c r="M1818">
        <v>406</v>
      </c>
      <c r="N1818" t="s">
        <v>19124</v>
      </c>
    </row>
    <row r="1819" spans="1:14">
      <c r="A1819" t="s">
        <v>9256</v>
      </c>
      <c r="B1819">
        <v>2198091</v>
      </c>
      <c r="C1819">
        <v>2199101</v>
      </c>
      <c r="E1819" t="s">
        <v>14314</v>
      </c>
      <c r="F1819" t="s">
        <v>19125</v>
      </c>
      <c r="H1819">
        <v>93523272</v>
      </c>
      <c r="I1819" t="s">
        <v>14292</v>
      </c>
      <c r="L1819" t="s">
        <v>19126</v>
      </c>
      <c r="M1819">
        <v>336</v>
      </c>
      <c r="N1819" t="s">
        <v>19127</v>
      </c>
    </row>
    <row r="1820" spans="1:14">
      <c r="A1820" t="s">
        <v>9256</v>
      </c>
      <c r="B1820">
        <v>2199256</v>
      </c>
      <c r="C1820">
        <v>2201628</v>
      </c>
      <c r="E1820" t="s">
        <v>14290</v>
      </c>
      <c r="F1820" t="s">
        <v>19128</v>
      </c>
      <c r="H1820">
        <v>93523273</v>
      </c>
      <c r="I1820" t="s">
        <v>14292</v>
      </c>
      <c r="L1820" t="s">
        <v>19129</v>
      </c>
      <c r="M1820">
        <v>790</v>
      </c>
      <c r="N1820" t="s">
        <v>19130</v>
      </c>
    </row>
    <row r="1821" spans="1:14">
      <c r="A1821" t="s">
        <v>9256</v>
      </c>
      <c r="B1821">
        <v>2201662</v>
      </c>
      <c r="C1821">
        <v>2201940</v>
      </c>
      <c r="E1821" t="s">
        <v>14290</v>
      </c>
      <c r="F1821" t="s">
        <v>14291</v>
      </c>
      <c r="H1821">
        <v>93523274</v>
      </c>
      <c r="I1821" t="s">
        <v>14292</v>
      </c>
      <c r="L1821" t="s">
        <v>19131</v>
      </c>
      <c r="M1821">
        <v>92</v>
      </c>
      <c r="N1821" t="s">
        <v>19132</v>
      </c>
    </row>
    <row r="1822" spans="1:14">
      <c r="A1822" t="s">
        <v>9256</v>
      </c>
      <c r="B1822">
        <v>2202043</v>
      </c>
      <c r="C1822">
        <v>2203173</v>
      </c>
      <c r="E1822" t="s">
        <v>14314</v>
      </c>
      <c r="F1822" t="s">
        <v>19133</v>
      </c>
      <c r="H1822">
        <v>93523275</v>
      </c>
      <c r="I1822" t="s">
        <v>14292</v>
      </c>
      <c r="L1822" t="s">
        <v>19134</v>
      </c>
      <c r="M1822">
        <v>376</v>
      </c>
      <c r="N1822" t="s">
        <v>19135</v>
      </c>
    </row>
    <row r="1823" spans="1:14">
      <c r="A1823" t="s">
        <v>9256</v>
      </c>
      <c r="B1823">
        <v>2203403</v>
      </c>
      <c r="C1823">
        <v>2204452</v>
      </c>
      <c r="E1823" t="s">
        <v>14314</v>
      </c>
      <c r="F1823" t="s">
        <v>19136</v>
      </c>
      <c r="H1823">
        <v>93523276</v>
      </c>
      <c r="I1823" t="s">
        <v>14292</v>
      </c>
      <c r="L1823" t="s">
        <v>19137</v>
      </c>
      <c r="M1823">
        <v>349</v>
      </c>
      <c r="N1823" t="s">
        <v>19138</v>
      </c>
    </row>
    <row r="1824" spans="1:14">
      <c r="A1824" t="s">
        <v>9256</v>
      </c>
      <c r="B1824">
        <v>2204721</v>
      </c>
      <c r="C1824">
        <v>2205281</v>
      </c>
      <c r="E1824" t="s">
        <v>14290</v>
      </c>
      <c r="F1824" t="s">
        <v>17427</v>
      </c>
      <c r="H1824">
        <v>93523277</v>
      </c>
      <c r="I1824" t="s">
        <v>14292</v>
      </c>
      <c r="L1824" t="s">
        <v>19139</v>
      </c>
      <c r="M1824">
        <v>186</v>
      </c>
      <c r="N1824" t="s">
        <v>19140</v>
      </c>
    </row>
    <row r="1825" spans="1:14">
      <c r="A1825" t="s">
        <v>9256</v>
      </c>
      <c r="B1825">
        <v>2205294</v>
      </c>
      <c r="C1825">
        <v>2205800</v>
      </c>
      <c r="E1825" t="s">
        <v>14290</v>
      </c>
      <c r="F1825" t="s">
        <v>17424</v>
      </c>
      <c r="H1825">
        <v>93523278</v>
      </c>
      <c r="I1825" t="s">
        <v>14292</v>
      </c>
      <c r="L1825" t="s">
        <v>19141</v>
      </c>
      <c r="M1825">
        <v>168</v>
      </c>
      <c r="N1825" t="s">
        <v>19142</v>
      </c>
    </row>
    <row r="1826" spans="1:14">
      <c r="A1826" t="s">
        <v>9256</v>
      </c>
      <c r="B1826">
        <v>2205938</v>
      </c>
      <c r="C1826">
        <v>2206486</v>
      </c>
      <c r="E1826" t="s">
        <v>14314</v>
      </c>
      <c r="F1826" t="s">
        <v>14291</v>
      </c>
      <c r="H1826">
        <v>93523279</v>
      </c>
      <c r="I1826" t="s">
        <v>14292</v>
      </c>
      <c r="L1826" t="s">
        <v>19143</v>
      </c>
      <c r="M1826">
        <v>182</v>
      </c>
      <c r="N1826" t="s">
        <v>19144</v>
      </c>
    </row>
    <row r="1827" spans="1:14">
      <c r="A1827" t="s">
        <v>9256</v>
      </c>
      <c r="B1827">
        <v>2206486</v>
      </c>
      <c r="C1827">
        <v>2207481</v>
      </c>
      <c r="E1827" t="s">
        <v>14314</v>
      </c>
      <c r="F1827" t="s">
        <v>15166</v>
      </c>
      <c r="H1827">
        <v>93523280</v>
      </c>
      <c r="I1827" t="s">
        <v>14292</v>
      </c>
      <c r="L1827" t="s">
        <v>19145</v>
      </c>
      <c r="M1827">
        <v>331</v>
      </c>
      <c r="N1827" t="s">
        <v>19146</v>
      </c>
    </row>
    <row r="1828" spans="1:14">
      <c r="A1828" t="s">
        <v>9256</v>
      </c>
      <c r="B1828">
        <v>2207713</v>
      </c>
      <c r="C1828">
        <v>2208003</v>
      </c>
      <c r="E1828" t="s">
        <v>14290</v>
      </c>
      <c r="F1828" t="s">
        <v>14291</v>
      </c>
      <c r="H1828">
        <v>301046723</v>
      </c>
      <c r="I1828" t="s">
        <v>14292</v>
      </c>
      <c r="L1828" t="s">
        <v>19147</v>
      </c>
      <c r="M1828">
        <v>96</v>
      </c>
      <c r="N1828" t="s">
        <v>19148</v>
      </c>
    </row>
    <row r="1829" spans="1:14">
      <c r="A1829" t="s">
        <v>9256</v>
      </c>
      <c r="B1829">
        <v>2208638</v>
      </c>
      <c r="C1829">
        <v>2209390</v>
      </c>
      <c r="E1829" t="s">
        <v>14314</v>
      </c>
      <c r="F1829" t="s">
        <v>15762</v>
      </c>
      <c r="H1829">
        <v>93523282</v>
      </c>
      <c r="I1829" t="s">
        <v>14292</v>
      </c>
      <c r="L1829" t="s">
        <v>16142</v>
      </c>
      <c r="M1829">
        <v>250</v>
      </c>
      <c r="N1829" t="s">
        <v>19149</v>
      </c>
    </row>
    <row r="1830" spans="1:14">
      <c r="A1830" t="s">
        <v>9256</v>
      </c>
      <c r="B1830">
        <v>2209587</v>
      </c>
      <c r="C1830">
        <v>2209946</v>
      </c>
      <c r="E1830" t="s">
        <v>14314</v>
      </c>
      <c r="F1830" t="s">
        <v>14291</v>
      </c>
      <c r="H1830">
        <v>93523283</v>
      </c>
      <c r="I1830" t="s">
        <v>14292</v>
      </c>
      <c r="L1830" t="s">
        <v>16144</v>
      </c>
      <c r="M1830">
        <v>119</v>
      </c>
      <c r="N1830" t="s">
        <v>19150</v>
      </c>
    </row>
    <row r="1831" spans="1:14">
      <c r="A1831" t="s">
        <v>9256</v>
      </c>
      <c r="B1831">
        <v>2210397</v>
      </c>
      <c r="C1831">
        <v>2211365</v>
      </c>
      <c r="E1831" t="s">
        <v>14314</v>
      </c>
      <c r="F1831" t="s">
        <v>15717</v>
      </c>
      <c r="H1831">
        <v>93523284</v>
      </c>
      <c r="I1831" t="s">
        <v>14292</v>
      </c>
      <c r="L1831" t="s">
        <v>19151</v>
      </c>
      <c r="M1831">
        <v>322</v>
      </c>
      <c r="N1831" t="s">
        <v>19152</v>
      </c>
    </row>
    <row r="1832" spans="1:14">
      <c r="A1832" t="s">
        <v>9256</v>
      </c>
      <c r="B1832">
        <v>2211410</v>
      </c>
      <c r="C1832">
        <v>2212321</v>
      </c>
      <c r="E1832" t="s">
        <v>14314</v>
      </c>
      <c r="F1832" t="s">
        <v>19153</v>
      </c>
      <c r="H1832">
        <v>93523285</v>
      </c>
      <c r="I1832" t="s">
        <v>14292</v>
      </c>
      <c r="L1832" t="s">
        <v>19154</v>
      </c>
      <c r="M1832">
        <v>303</v>
      </c>
      <c r="N1832" t="s">
        <v>19155</v>
      </c>
    </row>
    <row r="1833" spans="1:14">
      <c r="A1833" t="s">
        <v>9256</v>
      </c>
      <c r="B1833">
        <v>2212454</v>
      </c>
      <c r="C1833">
        <v>2213308</v>
      </c>
      <c r="E1833" t="s">
        <v>14314</v>
      </c>
      <c r="F1833" t="s">
        <v>17648</v>
      </c>
      <c r="H1833">
        <v>93523286</v>
      </c>
      <c r="I1833" t="s">
        <v>14292</v>
      </c>
      <c r="L1833" t="s">
        <v>19156</v>
      </c>
      <c r="M1833">
        <v>284</v>
      </c>
      <c r="N1833" t="s">
        <v>19157</v>
      </c>
    </row>
    <row r="1834" spans="1:14">
      <c r="A1834" t="s">
        <v>9256</v>
      </c>
      <c r="B1834">
        <v>2213321</v>
      </c>
      <c r="C1834">
        <v>2214850</v>
      </c>
      <c r="E1834" t="s">
        <v>14314</v>
      </c>
      <c r="F1834" t="s">
        <v>19158</v>
      </c>
      <c r="H1834">
        <v>93523287</v>
      </c>
      <c r="I1834" t="s">
        <v>14292</v>
      </c>
      <c r="L1834" t="s">
        <v>19159</v>
      </c>
      <c r="M1834">
        <v>509</v>
      </c>
      <c r="N1834" t="s">
        <v>19160</v>
      </c>
    </row>
    <row r="1835" spans="1:14">
      <c r="A1835" t="s">
        <v>9256</v>
      </c>
      <c r="B1835">
        <v>2215057</v>
      </c>
      <c r="C1835">
        <v>2217840</v>
      </c>
      <c r="E1835" t="s">
        <v>14290</v>
      </c>
      <c r="F1835" t="s">
        <v>19161</v>
      </c>
      <c r="G1835" t="s">
        <v>19162</v>
      </c>
      <c r="H1835">
        <v>93523288</v>
      </c>
      <c r="I1835" t="s">
        <v>14292</v>
      </c>
      <c r="L1835" t="s">
        <v>19163</v>
      </c>
      <c r="M1835">
        <v>927</v>
      </c>
      <c r="N1835" t="s">
        <v>19164</v>
      </c>
    </row>
    <row r="1836" spans="1:14">
      <c r="A1836" t="s">
        <v>9256</v>
      </c>
      <c r="B1836">
        <v>2217931</v>
      </c>
      <c r="C1836">
        <v>2219562</v>
      </c>
      <c r="E1836" t="s">
        <v>14314</v>
      </c>
      <c r="F1836" t="s">
        <v>15179</v>
      </c>
      <c r="H1836">
        <v>93523289</v>
      </c>
      <c r="I1836" t="s">
        <v>14292</v>
      </c>
      <c r="L1836" t="s">
        <v>19165</v>
      </c>
      <c r="M1836">
        <v>543</v>
      </c>
      <c r="N1836" t="s">
        <v>19166</v>
      </c>
    </row>
    <row r="1837" spans="1:14">
      <c r="A1837" t="s">
        <v>9256</v>
      </c>
      <c r="B1837">
        <v>2219588</v>
      </c>
      <c r="C1837">
        <v>2222776</v>
      </c>
      <c r="E1837" t="s">
        <v>14314</v>
      </c>
      <c r="F1837" t="s">
        <v>14965</v>
      </c>
      <c r="H1837">
        <v>93523290</v>
      </c>
      <c r="I1837" t="s">
        <v>14292</v>
      </c>
      <c r="L1837" t="s">
        <v>19167</v>
      </c>
      <c r="M1837">
        <v>1062</v>
      </c>
      <c r="N1837" t="s">
        <v>19168</v>
      </c>
    </row>
    <row r="1838" spans="1:14">
      <c r="A1838" t="s">
        <v>9256</v>
      </c>
      <c r="B1838">
        <v>2223213</v>
      </c>
      <c r="C1838">
        <v>2223431</v>
      </c>
      <c r="E1838" t="s">
        <v>14314</v>
      </c>
      <c r="F1838" t="s">
        <v>14291</v>
      </c>
      <c r="H1838">
        <v>93523291</v>
      </c>
      <c r="I1838" t="s">
        <v>14292</v>
      </c>
      <c r="L1838" t="s">
        <v>19169</v>
      </c>
      <c r="M1838">
        <v>72</v>
      </c>
      <c r="N1838" t="s">
        <v>19170</v>
      </c>
    </row>
    <row r="1839" spans="1:14">
      <c r="A1839" t="s">
        <v>9256</v>
      </c>
      <c r="B1839">
        <v>2223481</v>
      </c>
      <c r="C1839">
        <v>2225283</v>
      </c>
      <c r="E1839" t="s">
        <v>14314</v>
      </c>
      <c r="F1839" t="s">
        <v>15847</v>
      </c>
      <c r="H1839">
        <v>93523292</v>
      </c>
      <c r="I1839" t="s">
        <v>14292</v>
      </c>
      <c r="L1839" t="s">
        <v>19171</v>
      </c>
      <c r="M1839">
        <v>600</v>
      </c>
      <c r="N1839" t="s">
        <v>19172</v>
      </c>
    </row>
    <row r="1840" spans="1:14">
      <c r="A1840" t="s">
        <v>9256</v>
      </c>
      <c r="B1840">
        <v>2225357</v>
      </c>
      <c r="C1840">
        <v>2226568</v>
      </c>
      <c r="E1840" t="s">
        <v>14290</v>
      </c>
      <c r="F1840" t="s">
        <v>19173</v>
      </c>
      <c r="G1840" t="s">
        <v>19174</v>
      </c>
      <c r="H1840">
        <v>93523293</v>
      </c>
      <c r="I1840" t="s">
        <v>14292</v>
      </c>
      <c r="L1840" t="s">
        <v>19175</v>
      </c>
      <c r="M1840">
        <v>403</v>
      </c>
      <c r="N1840" t="s">
        <v>19176</v>
      </c>
    </row>
    <row r="1841" spans="1:14">
      <c r="A1841" t="s">
        <v>9256</v>
      </c>
      <c r="B1841">
        <v>2226590</v>
      </c>
      <c r="C1841">
        <v>2228578</v>
      </c>
      <c r="E1841" t="s">
        <v>14290</v>
      </c>
      <c r="F1841" t="s">
        <v>19177</v>
      </c>
      <c r="H1841">
        <v>93523294</v>
      </c>
      <c r="I1841" t="s">
        <v>14292</v>
      </c>
      <c r="L1841" t="s">
        <v>19178</v>
      </c>
      <c r="M1841">
        <v>662</v>
      </c>
      <c r="N1841" t="s">
        <v>19179</v>
      </c>
    </row>
    <row r="1842" spans="1:14">
      <c r="A1842" t="s">
        <v>9256</v>
      </c>
      <c r="B1842">
        <v>2228584</v>
      </c>
      <c r="C1842">
        <v>2229465</v>
      </c>
      <c r="E1842" t="s">
        <v>14290</v>
      </c>
      <c r="F1842" t="s">
        <v>15711</v>
      </c>
      <c r="H1842">
        <v>93523295</v>
      </c>
      <c r="I1842" t="s">
        <v>14292</v>
      </c>
      <c r="L1842" t="s">
        <v>19180</v>
      </c>
      <c r="M1842">
        <v>293</v>
      </c>
      <c r="N1842" t="s">
        <v>19181</v>
      </c>
    </row>
    <row r="1843" spans="1:14">
      <c r="A1843" t="s">
        <v>9256</v>
      </c>
      <c r="B1843">
        <v>2229563</v>
      </c>
      <c r="C1843">
        <v>2230120</v>
      </c>
      <c r="E1843" t="s">
        <v>14290</v>
      </c>
      <c r="F1843" t="s">
        <v>19182</v>
      </c>
      <c r="H1843">
        <v>93523296</v>
      </c>
      <c r="I1843" t="s">
        <v>14292</v>
      </c>
      <c r="L1843" t="s">
        <v>19183</v>
      </c>
      <c r="M1843">
        <v>185</v>
      </c>
      <c r="N1843" t="s">
        <v>19184</v>
      </c>
    </row>
    <row r="1844" spans="1:14">
      <c r="A1844" t="s">
        <v>9256</v>
      </c>
      <c r="B1844">
        <v>2230124</v>
      </c>
      <c r="C1844">
        <v>2231083</v>
      </c>
      <c r="E1844" t="s">
        <v>14290</v>
      </c>
      <c r="F1844" t="s">
        <v>18256</v>
      </c>
      <c r="H1844">
        <v>93523297</v>
      </c>
      <c r="I1844" t="s">
        <v>14292</v>
      </c>
      <c r="L1844" t="s">
        <v>19185</v>
      </c>
      <c r="M1844">
        <v>319</v>
      </c>
      <c r="N1844" t="s">
        <v>19186</v>
      </c>
    </row>
    <row r="1845" spans="1:14">
      <c r="A1845" t="s">
        <v>9256</v>
      </c>
      <c r="B1845">
        <v>2231064</v>
      </c>
      <c r="C1845">
        <v>2231852</v>
      </c>
      <c r="E1845" t="s">
        <v>14290</v>
      </c>
      <c r="F1845" t="s">
        <v>19187</v>
      </c>
      <c r="H1845">
        <v>93523298</v>
      </c>
      <c r="I1845" t="s">
        <v>14292</v>
      </c>
      <c r="L1845" t="s">
        <v>19188</v>
      </c>
      <c r="M1845">
        <v>262</v>
      </c>
      <c r="N1845" t="s">
        <v>19189</v>
      </c>
    </row>
    <row r="1846" spans="1:14">
      <c r="A1846" t="s">
        <v>9256</v>
      </c>
      <c r="B1846">
        <v>2231885</v>
      </c>
      <c r="C1846">
        <v>2233321</v>
      </c>
      <c r="E1846" t="s">
        <v>14290</v>
      </c>
      <c r="F1846" t="s">
        <v>19190</v>
      </c>
      <c r="H1846">
        <v>93523299</v>
      </c>
      <c r="I1846" t="s">
        <v>14292</v>
      </c>
      <c r="L1846" t="s">
        <v>19191</v>
      </c>
      <c r="M1846">
        <v>478</v>
      </c>
      <c r="N1846" t="s">
        <v>19192</v>
      </c>
    </row>
    <row r="1847" spans="1:14">
      <c r="A1847" t="s">
        <v>9256</v>
      </c>
      <c r="B1847">
        <v>2233323</v>
      </c>
      <c r="C1847">
        <v>2234582</v>
      </c>
      <c r="E1847" t="s">
        <v>14290</v>
      </c>
      <c r="F1847" t="s">
        <v>19193</v>
      </c>
      <c r="H1847">
        <v>93523300</v>
      </c>
      <c r="I1847" t="s">
        <v>14292</v>
      </c>
      <c r="L1847" t="s">
        <v>19194</v>
      </c>
      <c r="M1847">
        <v>419</v>
      </c>
      <c r="N1847" t="s">
        <v>19195</v>
      </c>
    </row>
    <row r="1848" spans="1:14">
      <c r="A1848" t="s">
        <v>9256</v>
      </c>
      <c r="B1848">
        <v>2234717</v>
      </c>
      <c r="C1848">
        <v>2236900</v>
      </c>
      <c r="E1848" t="s">
        <v>14290</v>
      </c>
      <c r="F1848" t="s">
        <v>18889</v>
      </c>
      <c r="H1848">
        <v>93523301</v>
      </c>
      <c r="I1848" t="s">
        <v>14292</v>
      </c>
      <c r="L1848" t="s">
        <v>19196</v>
      </c>
      <c r="M1848">
        <v>727</v>
      </c>
      <c r="N1848" t="s">
        <v>19197</v>
      </c>
    </row>
    <row r="1849" spans="1:14">
      <c r="A1849" t="s">
        <v>9256</v>
      </c>
      <c r="B1849">
        <v>2237108</v>
      </c>
      <c r="C1849">
        <v>2239660</v>
      </c>
      <c r="E1849" t="s">
        <v>14290</v>
      </c>
      <c r="F1849" t="s">
        <v>14965</v>
      </c>
      <c r="H1849">
        <v>93523302</v>
      </c>
      <c r="I1849" t="s">
        <v>14292</v>
      </c>
      <c r="L1849" t="s">
        <v>19198</v>
      </c>
      <c r="M1849">
        <v>850</v>
      </c>
      <c r="N1849" t="s">
        <v>19199</v>
      </c>
    </row>
    <row r="1850" spans="1:14">
      <c r="A1850" t="s">
        <v>9256</v>
      </c>
      <c r="B1850">
        <v>2239542</v>
      </c>
      <c r="C1850">
        <v>2240306</v>
      </c>
      <c r="E1850" t="s">
        <v>14290</v>
      </c>
      <c r="F1850" t="s">
        <v>14291</v>
      </c>
      <c r="H1850">
        <v>93525941</v>
      </c>
      <c r="I1850" t="s">
        <v>14292</v>
      </c>
      <c r="L1850" t="s">
        <v>19200</v>
      </c>
      <c r="M1850">
        <v>254</v>
      </c>
      <c r="N1850" t="s">
        <v>19201</v>
      </c>
    </row>
    <row r="1851" spans="1:14">
      <c r="A1851" t="s">
        <v>9256</v>
      </c>
      <c r="B1851">
        <v>2240324</v>
      </c>
      <c r="C1851">
        <v>2241829</v>
      </c>
      <c r="E1851" t="s">
        <v>14290</v>
      </c>
      <c r="F1851" t="s">
        <v>15179</v>
      </c>
      <c r="H1851">
        <v>93523303</v>
      </c>
      <c r="I1851" t="s">
        <v>14292</v>
      </c>
      <c r="L1851" t="s">
        <v>19202</v>
      </c>
      <c r="M1851">
        <v>501</v>
      </c>
      <c r="N1851" t="s">
        <v>19203</v>
      </c>
    </row>
    <row r="1852" spans="1:14">
      <c r="A1852" t="s">
        <v>9256</v>
      </c>
      <c r="B1852">
        <v>2242162</v>
      </c>
      <c r="C1852">
        <v>2243118</v>
      </c>
      <c r="E1852" t="s">
        <v>14290</v>
      </c>
      <c r="F1852" t="s">
        <v>17522</v>
      </c>
      <c r="H1852">
        <v>93523304</v>
      </c>
      <c r="I1852" t="s">
        <v>14292</v>
      </c>
      <c r="L1852" t="s">
        <v>19204</v>
      </c>
      <c r="M1852">
        <v>318</v>
      </c>
      <c r="N1852" t="s">
        <v>19205</v>
      </c>
    </row>
    <row r="1853" spans="1:14">
      <c r="A1853" t="s">
        <v>9256</v>
      </c>
      <c r="B1853">
        <v>2243157</v>
      </c>
      <c r="C1853">
        <v>2244062</v>
      </c>
      <c r="E1853" t="s">
        <v>14314</v>
      </c>
      <c r="F1853" t="s">
        <v>19206</v>
      </c>
      <c r="G1853" t="s">
        <v>19207</v>
      </c>
      <c r="H1853">
        <v>93523305</v>
      </c>
      <c r="I1853" t="s">
        <v>14292</v>
      </c>
      <c r="L1853" t="s">
        <v>19208</v>
      </c>
      <c r="M1853">
        <v>301</v>
      </c>
      <c r="N1853" t="s">
        <v>19209</v>
      </c>
    </row>
    <row r="1854" spans="1:14">
      <c r="A1854" t="s">
        <v>9256</v>
      </c>
      <c r="B1854">
        <v>2244164</v>
      </c>
      <c r="C1854">
        <v>2244580</v>
      </c>
      <c r="E1854" t="s">
        <v>14290</v>
      </c>
      <c r="F1854" t="s">
        <v>19210</v>
      </c>
      <c r="G1854" t="s">
        <v>19211</v>
      </c>
      <c r="H1854">
        <v>93523306</v>
      </c>
      <c r="I1854" t="s">
        <v>14292</v>
      </c>
      <c r="L1854" t="s">
        <v>19212</v>
      </c>
      <c r="M1854">
        <v>138</v>
      </c>
      <c r="N1854" t="s">
        <v>19213</v>
      </c>
    </row>
    <row r="1855" spans="1:14">
      <c r="A1855" t="s">
        <v>9256</v>
      </c>
      <c r="B1855">
        <v>2244641</v>
      </c>
      <c r="C1855">
        <v>2246098</v>
      </c>
      <c r="E1855" t="s">
        <v>14290</v>
      </c>
      <c r="F1855" t="s">
        <v>19214</v>
      </c>
      <c r="G1855" t="s">
        <v>19215</v>
      </c>
      <c r="H1855">
        <v>93523307</v>
      </c>
      <c r="I1855" t="s">
        <v>14292</v>
      </c>
      <c r="L1855" t="s">
        <v>19216</v>
      </c>
      <c r="M1855">
        <v>485</v>
      </c>
      <c r="N1855" t="s">
        <v>19217</v>
      </c>
    </row>
    <row r="1856" spans="1:14">
      <c r="A1856" t="s">
        <v>9256</v>
      </c>
      <c r="B1856">
        <v>2246104</v>
      </c>
      <c r="C1856">
        <v>2246739</v>
      </c>
      <c r="E1856" t="s">
        <v>14290</v>
      </c>
      <c r="F1856" t="s">
        <v>19218</v>
      </c>
      <c r="H1856">
        <v>93523308</v>
      </c>
      <c r="I1856" t="s">
        <v>14292</v>
      </c>
      <c r="L1856" t="s">
        <v>19219</v>
      </c>
      <c r="M1856">
        <v>211</v>
      </c>
      <c r="N1856" t="s">
        <v>19220</v>
      </c>
    </row>
    <row r="1857" spans="1:14">
      <c r="A1857" t="s">
        <v>9256</v>
      </c>
      <c r="B1857">
        <v>2246752</v>
      </c>
      <c r="C1857">
        <v>2247087</v>
      </c>
      <c r="E1857" t="s">
        <v>14290</v>
      </c>
      <c r="F1857" t="s">
        <v>19221</v>
      </c>
      <c r="G1857" t="s">
        <v>19222</v>
      </c>
      <c r="H1857">
        <v>93523309</v>
      </c>
      <c r="I1857" t="s">
        <v>14292</v>
      </c>
      <c r="L1857" t="s">
        <v>19223</v>
      </c>
      <c r="M1857">
        <v>111</v>
      </c>
      <c r="N1857" t="s">
        <v>19224</v>
      </c>
    </row>
    <row r="1858" spans="1:14">
      <c r="A1858" t="s">
        <v>9256</v>
      </c>
      <c r="B1858">
        <v>2247099</v>
      </c>
      <c r="C1858">
        <v>2248328</v>
      </c>
      <c r="E1858" t="s">
        <v>14290</v>
      </c>
      <c r="F1858" t="s">
        <v>17272</v>
      </c>
      <c r="H1858">
        <v>93523310</v>
      </c>
      <c r="I1858" t="s">
        <v>14292</v>
      </c>
      <c r="L1858" t="s">
        <v>19225</v>
      </c>
      <c r="M1858">
        <v>409</v>
      </c>
      <c r="N1858" t="s">
        <v>19226</v>
      </c>
    </row>
    <row r="1859" spans="1:14">
      <c r="A1859" t="s">
        <v>9256</v>
      </c>
      <c r="B1859">
        <v>2248373</v>
      </c>
      <c r="C1859">
        <v>2249455</v>
      </c>
      <c r="E1859" t="s">
        <v>14314</v>
      </c>
      <c r="F1859" t="s">
        <v>15043</v>
      </c>
      <c r="H1859">
        <v>93523311</v>
      </c>
      <c r="I1859" t="s">
        <v>14292</v>
      </c>
      <c r="L1859" t="s">
        <v>19227</v>
      </c>
      <c r="M1859">
        <v>360</v>
      </c>
      <c r="N1859" t="s">
        <v>19228</v>
      </c>
    </row>
    <row r="1860" spans="1:14">
      <c r="A1860" t="s">
        <v>9256</v>
      </c>
      <c r="B1860">
        <v>2249652</v>
      </c>
      <c r="C1860">
        <v>2249735</v>
      </c>
      <c r="E1860" t="s">
        <v>14290</v>
      </c>
      <c r="F1860" t="s">
        <v>19044</v>
      </c>
      <c r="H1860">
        <v>93523312</v>
      </c>
      <c r="I1860" t="s">
        <v>13638</v>
      </c>
      <c r="N1860" t="s">
        <v>19229</v>
      </c>
    </row>
    <row r="1861" spans="1:14">
      <c r="A1861" t="s">
        <v>9256</v>
      </c>
      <c r="B1861">
        <v>2250008</v>
      </c>
      <c r="C1861">
        <v>2250622</v>
      </c>
      <c r="E1861" t="s">
        <v>14290</v>
      </c>
      <c r="F1861" t="s">
        <v>14414</v>
      </c>
      <c r="H1861">
        <v>93523313</v>
      </c>
      <c r="I1861" t="s">
        <v>14415</v>
      </c>
      <c r="N1861" t="s">
        <v>19230</v>
      </c>
    </row>
    <row r="1862" spans="1:14">
      <c r="A1862" t="s">
        <v>9256</v>
      </c>
      <c r="B1862">
        <v>2250634</v>
      </c>
      <c r="C1862">
        <v>2251434</v>
      </c>
      <c r="E1862" t="s">
        <v>14290</v>
      </c>
      <c r="F1862" t="s">
        <v>14439</v>
      </c>
      <c r="H1862">
        <v>93523314</v>
      </c>
      <c r="I1862" t="s">
        <v>14292</v>
      </c>
      <c r="L1862" t="s">
        <v>19231</v>
      </c>
      <c r="M1862">
        <v>266</v>
      </c>
      <c r="N1862" t="s">
        <v>19232</v>
      </c>
    </row>
    <row r="1863" spans="1:14">
      <c r="A1863" t="s">
        <v>9256</v>
      </c>
      <c r="B1863">
        <v>2251496</v>
      </c>
      <c r="C1863">
        <v>2252512</v>
      </c>
      <c r="E1863" t="s">
        <v>14314</v>
      </c>
      <c r="F1863" t="s">
        <v>19136</v>
      </c>
      <c r="H1863">
        <v>93523315</v>
      </c>
      <c r="I1863" t="s">
        <v>14292</v>
      </c>
      <c r="L1863" t="s">
        <v>19233</v>
      </c>
      <c r="M1863">
        <v>338</v>
      </c>
      <c r="N1863" t="s">
        <v>19234</v>
      </c>
    </row>
    <row r="1864" spans="1:14">
      <c r="A1864" t="s">
        <v>9256</v>
      </c>
      <c r="B1864">
        <v>2252586</v>
      </c>
      <c r="C1864">
        <v>2253170</v>
      </c>
      <c r="E1864" t="s">
        <v>14314</v>
      </c>
      <c r="F1864" t="s">
        <v>14414</v>
      </c>
      <c r="H1864">
        <v>93523316</v>
      </c>
      <c r="I1864" t="s">
        <v>14415</v>
      </c>
      <c r="N1864" t="s">
        <v>19235</v>
      </c>
    </row>
    <row r="1865" spans="1:14">
      <c r="A1865" t="s">
        <v>9256</v>
      </c>
      <c r="B1865">
        <v>2254986</v>
      </c>
      <c r="C1865">
        <v>2258042</v>
      </c>
      <c r="E1865" t="s">
        <v>14290</v>
      </c>
      <c r="F1865" t="s">
        <v>15863</v>
      </c>
      <c r="H1865">
        <v>93523317</v>
      </c>
      <c r="I1865" t="s">
        <v>14292</v>
      </c>
      <c r="L1865" t="s">
        <v>19236</v>
      </c>
      <c r="M1865">
        <v>1018</v>
      </c>
      <c r="N1865" t="s">
        <v>19237</v>
      </c>
    </row>
    <row r="1866" spans="1:14">
      <c r="A1866" t="s">
        <v>9256</v>
      </c>
      <c r="B1866">
        <v>2258387</v>
      </c>
      <c r="C1866">
        <v>2259535</v>
      </c>
      <c r="E1866" t="s">
        <v>14290</v>
      </c>
      <c r="F1866" t="s">
        <v>14338</v>
      </c>
      <c r="H1866">
        <v>93523318</v>
      </c>
      <c r="I1866" t="s">
        <v>14292</v>
      </c>
      <c r="L1866" t="s">
        <v>19238</v>
      </c>
      <c r="M1866">
        <v>382</v>
      </c>
      <c r="N1866" t="s">
        <v>19239</v>
      </c>
    </row>
    <row r="1867" spans="1:14">
      <c r="A1867" t="s">
        <v>9256</v>
      </c>
      <c r="B1867">
        <v>2259604</v>
      </c>
      <c r="C1867">
        <v>2259864</v>
      </c>
      <c r="E1867" t="s">
        <v>14314</v>
      </c>
      <c r="F1867" t="s">
        <v>19240</v>
      </c>
      <c r="H1867">
        <v>93523319</v>
      </c>
      <c r="I1867" t="s">
        <v>14292</v>
      </c>
      <c r="L1867" t="s">
        <v>19241</v>
      </c>
      <c r="M1867">
        <v>86</v>
      </c>
      <c r="N1867" t="s">
        <v>19242</v>
      </c>
    </row>
    <row r="1868" spans="1:14">
      <c r="A1868" t="s">
        <v>9256</v>
      </c>
      <c r="B1868">
        <v>2260060</v>
      </c>
      <c r="C1868">
        <v>2260686</v>
      </c>
      <c r="E1868" t="s">
        <v>14314</v>
      </c>
      <c r="F1868" t="s">
        <v>19243</v>
      </c>
      <c r="H1868">
        <v>93523320</v>
      </c>
      <c r="I1868" t="s">
        <v>14292</v>
      </c>
      <c r="L1868" t="s">
        <v>19244</v>
      </c>
      <c r="M1868">
        <v>208</v>
      </c>
      <c r="N1868" t="s">
        <v>19245</v>
      </c>
    </row>
    <row r="1869" spans="1:14">
      <c r="A1869" t="s">
        <v>9256</v>
      </c>
      <c r="B1869">
        <v>2260683</v>
      </c>
      <c r="C1869">
        <v>2261192</v>
      </c>
      <c r="E1869" t="s">
        <v>14314</v>
      </c>
      <c r="F1869" t="s">
        <v>14439</v>
      </c>
      <c r="H1869">
        <v>93523321</v>
      </c>
      <c r="I1869" t="s">
        <v>14292</v>
      </c>
      <c r="L1869" t="s">
        <v>19246</v>
      </c>
      <c r="M1869">
        <v>169</v>
      </c>
      <c r="N1869" t="s">
        <v>19247</v>
      </c>
    </row>
    <row r="1870" spans="1:14">
      <c r="A1870" t="s">
        <v>9256</v>
      </c>
      <c r="B1870">
        <v>2261288</v>
      </c>
      <c r="C1870">
        <v>2262244</v>
      </c>
      <c r="E1870" t="s">
        <v>14290</v>
      </c>
      <c r="F1870" t="s">
        <v>19248</v>
      </c>
      <c r="H1870">
        <v>93523322</v>
      </c>
      <c r="I1870" t="s">
        <v>14292</v>
      </c>
      <c r="L1870" t="s">
        <v>19249</v>
      </c>
      <c r="M1870">
        <v>318</v>
      </c>
      <c r="N1870" t="s">
        <v>19250</v>
      </c>
    </row>
    <row r="1871" spans="1:14">
      <c r="A1871" t="s">
        <v>9256</v>
      </c>
      <c r="B1871">
        <v>2262246</v>
      </c>
      <c r="C1871">
        <v>2263433</v>
      </c>
      <c r="E1871" t="s">
        <v>14290</v>
      </c>
      <c r="F1871" t="s">
        <v>14867</v>
      </c>
      <c r="H1871">
        <v>93523323</v>
      </c>
      <c r="I1871" t="s">
        <v>14292</v>
      </c>
      <c r="L1871" t="s">
        <v>19251</v>
      </c>
      <c r="M1871">
        <v>395</v>
      </c>
      <c r="N1871" t="s">
        <v>19252</v>
      </c>
    </row>
    <row r="1872" spans="1:14">
      <c r="A1872" t="s">
        <v>9256</v>
      </c>
      <c r="B1872">
        <v>2263497</v>
      </c>
      <c r="C1872">
        <v>2264033</v>
      </c>
      <c r="E1872" t="s">
        <v>14314</v>
      </c>
      <c r="F1872" t="s">
        <v>14439</v>
      </c>
      <c r="H1872">
        <v>93523324</v>
      </c>
      <c r="I1872" t="s">
        <v>14292</v>
      </c>
      <c r="L1872" t="s">
        <v>19253</v>
      </c>
      <c r="M1872">
        <v>178</v>
      </c>
      <c r="N1872" t="s">
        <v>19254</v>
      </c>
    </row>
    <row r="1873" spans="1:14">
      <c r="A1873" t="s">
        <v>9256</v>
      </c>
      <c r="B1873">
        <v>2264083</v>
      </c>
      <c r="C1873">
        <v>2265177</v>
      </c>
      <c r="E1873" t="s">
        <v>14314</v>
      </c>
      <c r="F1873" t="s">
        <v>19255</v>
      </c>
      <c r="G1873" t="s">
        <v>19256</v>
      </c>
      <c r="H1873">
        <v>93523325</v>
      </c>
      <c r="I1873" t="s">
        <v>14292</v>
      </c>
      <c r="L1873" t="s">
        <v>19257</v>
      </c>
      <c r="M1873">
        <v>364</v>
      </c>
      <c r="N1873" t="s">
        <v>19258</v>
      </c>
    </row>
    <row r="1874" spans="1:14">
      <c r="A1874" t="s">
        <v>9256</v>
      </c>
      <c r="B1874">
        <v>2265188</v>
      </c>
      <c r="C1874">
        <v>2266756</v>
      </c>
      <c r="E1874" t="s">
        <v>14314</v>
      </c>
      <c r="F1874" t="s">
        <v>19259</v>
      </c>
      <c r="G1874" t="s">
        <v>19260</v>
      </c>
      <c r="H1874">
        <v>93523326</v>
      </c>
      <c r="I1874" t="s">
        <v>14292</v>
      </c>
      <c r="L1874" t="s">
        <v>19261</v>
      </c>
      <c r="M1874">
        <v>522</v>
      </c>
      <c r="N1874" t="s">
        <v>19262</v>
      </c>
    </row>
    <row r="1875" spans="1:14">
      <c r="A1875" t="s">
        <v>9256</v>
      </c>
      <c r="B1875">
        <v>2266763</v>
      </c>
      <c r="C1875">
        <v>2267854</v>
      </c>
      <c r="E1875" t="s">
        <v>14314</v>
      </c>
      <c r="F1875" t="s">
        <v>19263</v>
      </c>
      <c r="G1875" t="s">
        <v>19264</v>
      </c>
      <c r="H1875">
        <v>93523327</v>
      </c>
      <c r="I1875" t="s">
        <v>14292</v>
      </c>
      <c r="L1875" t="s">
        <v>19265</v>
      </c>
      <c r="M1875">
        <v>363</v>
      </c>
      <c r="N1875" t="s">
        <v>19266</v>
      </c>
    </row>
    <row r="1876" spans="1:14">
      <c r="A1876" t="s">
        <v>9256</v>
      </c>
      <c r="B1876">
        <v>2267906</v>
      </c>
      <c r="C1876">
        <v>2269333</v>
      </c>
      <c r="E1876" t="s">
        <v>14314</v>
      </c>
      <c r="F1876" t="s">
        <v>14902</v>
      </c>
      <c r="H1876">
        <v>93523328</v>
      </c>
      <c r="I1876" t="s">
        <v>14292</v>
      </c>
      <c r="L1876" t="s">
        <v>19267</v>
      </c>
      <c r="M1876">
        <v>475</v>
      </c>
      <c r="N1876" t="s">
        <v>19268</v>
      </c>
    </row>
    <row r="1877" spans="1:14">
      <c r="A1877" t="s">
        <v>9256</v>
      </c>
      <c r="B1877">
        <v>2269337</v>
      </c>
      <c r="C1877">
        <v>2270284</v>
      </c>
      <c r="E1877" t="s">
        <v>14314</v>
      </c>
      <c r="F1877" t="s">
        <v>19269</v>
      </c>
      <c r="H1877">
        <v>93523329</v>
      </c>
      <c r="I1877" t="s">
        <v>14292</v>
      </c>
      <c r="L1877" t="s">
        <v>19270</v>
      </c>
      <c r="M1877">
        <v>315</v>
      </c>
      <c r="N1877" t="s">
        <v>19271</v>
      </c>
    </row>
    <row r="1878" spans="1:14">
      <c r="A1878" t="s">
        <v>9256</v>
      </c>
      <c r="B1878">
        <v>2270432</v>
      </c>
      <c r="C1878">
        <v>2270653</v>
      </c>
      <c r="E1878" t="s">
        <v>14314</v>
      </c>
      <c r="F1878" t="s">
        <v>19272</v>
      </c>
      <c r="H1878">
        <v>93523330</v>
      </c>
      <c r="I1878" t="s">
        <v>14292</v>
      </c>
      <c r="L1878" t="s">
        <v>19273</v>
      </c>
      <c r="M1878">
        <v>73</v>
      </c>
      <c r="N1878" t="s">
        <v>19274</v>
      </c>
    </row>
    <row r="1879" spans="1:14">
      <c r="A1879" t="s">
        <v>9256</v>
      </c>
      <c r="B1879">
        <v>2270725</v>
      </c>
      <c r="C1879">
        <v>2271288</v>
      </c>
      <c r="E1879" t="s">
        <v>14314</v>
      </c>
      <c r="F1879" t="s">
        <v>19275</v>
      </c>
      <c r="H1879">
        <v>93523331</v>
      </c>
      <c r="I1879" t="s">
        <v>14292</v>
      </c>
      <c r="L1879" t="s">
        <v>19276</v>
      </c>
      <c r="M1879">
        <v>187</v>
      </c>
      <c r="N1879" t="s">
        <v>19277</v>
      </c>
    </row>
    <row r="1880" spans="1:14">
      <c r="A1880" t="s">
        <v>9256</v>
      </c>
      <c r="B1880">
        <v>2271308</v>
      </c>
      <c r="C1880">
        <v>2272099</v>
      </c>
      <c r="E1880" t="s">
        <v>14314</v>
      </c>
      <c r="F1880" t="s">
        <v>19218</v>
      </c>
      <c r="H1880">
        <v>93523332</v>
      </c>
      <c r="I1880" t="s">
        <v>14292</v>
      </c>
      <c r="L1880" t="s">
        <v>19278</v>
      </c>
      <c r="M1880">
        <v>263</v>
      </c>
      <c r="N1880" t="s">
        <v>19279</v>
      </c>
    </row>
    <row r="1881" spans="1:14">
      <c r="A1881" t="s">
        <v>9256</v>
      </c>
      <c r="B1881">
        <v>2272299</v>
      </c>
      <c r="C1881">
        <v>2273642</v>
      </c>
      <c r="E1881" t="s">
        <v>14314</v>
      </c>
      <c r="F1881" t="s">
        <v>14545</v>
      </c>
      <c r="H1881">
        <v>93523333</v>
      </c>
      <c r="I1881" t="s">
        <v>14292</v>
      </c>
      <c r="L1881" t="s">
        <v>19280</v>
      </c>
      <c r="M1881">
        <v>447</v>
      </c>
      <c r="N1881" t="s">
        <v>19281</v>
      </c>
    </row>
    <row r="1882" spans="1:14">
      <c r="A1882" t="s">
        <v>9256</v>
      </c>
      <c r="B1882">
        <v>2273653</v>
      </c>
      <c r="C1882">
        <v>2276685</v>
      </c>
      <c r="E1882" t="s">
        <v>14314</v>
      </c>
      <c r="F1882" t="s">
        <v>14548</v>
      </c>
      <c r="H1882">
        <v>93523334</v>
      </c>
      <c r="I1882" t="s">
        <v>14292</v>
      </c>
      <c r="L1882" t="s">
        <v>19282</v>
      </c>
      <c r="M1882">
        <v>1010</v>
      </c>
      <c r="N1882" t="s">
        <v>19283</v>
      </c>
    </row>
    <row r="1883" spans="1:14">
      <c r="A1883" t="s">
        <v>9256</v>
      </c>
      <c r="B1883">
        <v>2276697</v>
      </c>
      <c r="C1883">
        <v>2277797</v>
      </c>
      <c r="E1883" t="s">
        <v>14314</v>
      </c>
      <c r="F1883" t="s">
        <v>14503</v>
      </c>
      <c r="H1883">
        <v>93523335</v>
      </c>
      <c r="I1883" t="s">
        <v>14292</v>
      </c>
      <c r="L1883" t="s">
        <v>19284</v>
      </c>
      <c r="M1883">
        <v>366</v>
      </c>
      <c r="N1883" t="s">
        <v>19285</v>
      </c>
    </row>
    <row r="1884" spans="1:14">
      <c r="A1884" t="s">
        <v>9256</v>
      </c>
      <c r="B1884">
        <v>2278796</v>
      </c>
      <c r="C1884">
        <v>2282386</v>
      </c>
      <c r="E1884" t="s">
        <v>14290</v>
      </c>
      <c r="F1884" t="s">
        <v>15863</v>
      </c>
      <c r="H1884">
        <v>93523336</v>
      </c>
      <c r="I1884" t="s">
        <v>14292</v>
      </c>
      <c r="L1884" t="s">
        <v>19286</v>
      </c>
      <c r="M1884">
        <v>1196</v>
      </c>
      <c r="N1884" t="s">
        <v>19287</v>
      </c>
    </row>
    <row r="1885" spans="1:14">
      <c r="A1885" t="s">
        <v>9256</v>
      </c>
      <c r="B1885">
        <v>2282623</v>
      </c>
      <c r="C1885">
        <v>2284071</v>
      </c>
      <c r="E1885" t="s">
        <v>14290</v>
      </c>
      <c r="F1885" t="s">
        <v>19288</v>
      </c>
      <c r="H1885">
        <v>93523337</v>
      </c>
      <c r="I1885" t="s">
        <v>14292</v>
      </c>
      <c r="L1885" t="s">
        <v>19289</v>
      </c>
      <c r="M1885">
        <v>482</v>
      </c>
      <c r="N1885" t="s">
        <v>19290</v>
      </c>
    </row>
    <row r="1886" spans="1:14">
      <c r="A1886" t="s">
        <v>9256</v>
      </c>
      <c r="B1886">
        <v>2284046</v>
      </c>
      <c r="C1886">
        <v>2284498</v>
      </c>
      <c r="E1886" t="s">
        <v>14290</v>
      </c>
      <c r="F1886" t="s">
        <v>14291</v>
      </c>
      <c r="H1886">
        <v>93523338</v>
      </c>
      <c r="I1886" t="s">
        <v>14292</v>
      </c>
      <c r="L1886" t="s">
        <v>19291</v>
      </c>
      <c r="M1886">
        <v>150</v>
      </c>
      <c r="N1886" t="s">
        <v>19292</v>
      </c>
    </row>
    <row r="1887" spans="1:14">
      <c r="A1887" t="s">
        <v>9256</v>
      </c>
      <c r="B1887">
        <v>2284482</v>
      </c>
      <c r="C1887">
        <v>2285228</v>
      </c>
      <c r="E1887" t="s">
        <v>14290</v>
      </c>
      <c r="F1887" t="s">
        <v>19293</v>
      </c>
      <c r="H1887">
        <v>93523339</v>
      </c>
      <c r="I1887" t="s">
        <v>14292</v>
      </c>
      <c r="L1887" t="s">
        <v>19294</v>
      </c>
      <c r="M1887">
        <v>248</v>
      </c>
      <c r="N1887" t="s">
        <v>19295</v>
      </c>
    </row>
    <row r="1888" spans="1:14">
      <c r="A1888" t="s">
        <v>9256</v>
      </c>
      <c r="B1888">
        <v>2285285</v>
      </c>
      <c r="C1888">
        <v>2287945</v>
      </c>
      <c r="E1888" t="s">
        <v>14314</v>
      </c>
      <c r="F1888" t="s">
        <v>18860</v>
      </c>
      <c r="H1888">
        <v>93523340</v>
      </c>
      <c r="I1888" t="s">
        <v>14292</v>
      </c>
      <c r="L1888" t="s">
        <v>19296</v>
      </c>
      <c r="M1888">
        <v>886</v>
      </c>
      <c r="N1888" t="s">
        <v>19297</v>
      </c>
    </row>
    <row r="1889" spans="1:14">
      <c r="A1889" t="s">
        <v>9256</v>
      </c>
      <c r="B1889">
        <v>2288166</v>
      </c>
      <c r="C1889">
        <v>2289665</v>
      </c>
      <c r="E1889" t="s">
        <v>14290</v>
      </c>
      <c r="F1889" t="s">
        <v>19298</v>
      </c>
      <c r="H1889">
        <v>93523341</v>
      </c>
      <c r="I1889" t="s">
        <v>14292</v>
      </c>
      <c r="L1889" t="s">
        <v>19299</v>
      </c>
      <c r="M1889">
        <v>499</v>
      </c>
      <c r="N1889" t="s">
        <v>19300</v>
      </c>
    </row>
    <row r="1890" spans="1:14">
      <c r="A1890" t="s">
        <v>9256</v>
      </c>
      <c r="B1890">
        <v>2289737</v>
      </c>
      <c r="C1890">
        <v>2291779</v>
      </c>
      <c r="E1890" t="s">
        <v>14314</v>
      </c>
      <c r="F1890" t="s">
        <v>19301</v>
      </c>
      <c r="H1890">
        <v>93523342</v>
      </c>
      <c r="I1890" t="s">
        <v>14292</v>
      </c>
      <c r="L1890" t="s">
        <v>19302</v>
      </c>
      <c r="M1890">
        <v>680</v>
      </c>
      <c r="N1890" t="s">
        <v>19303</v>
      </c>
    </row>
    <row r="1891" spans="1:14">
      <c r="A1891" t="s">
        <v>9256</v>
      </c>
      <c r="B1891">
        <v>2291796</v>
      </c>
      <c r="C1891">
        <v>2293652</v>
      </c>
      <c r="E1891" t="s">
        <v>14314</v>
      </c>
      <c r="F1891" t="s">
        <v>19304</v>
      </c>
      <c r="H1891">
        <v>93523343</v>
      </c>
      <c r="I1891" t="s">
        <v>14292</v>
      </c>
      <c r="L1891" t="s">
        <v>19305</v>
      </c>
      <c r="M1891">
        <v>618</v>
      </c>
      <c r="N1891" t="s">
        <v>19306</v>
      </c>
    </row>
    <row r="1892" spans="1:14">
      <c r="A1892" t="s">
        <v>9256</v>
      </c>
      <c r="B1892">
        <v>2293715</v>
      </c>
      <c r="C1892">
        <v>2295343</v>
      </c>
      <c r="E1892" t="s">
        <v>14314</v>
      </c>
      <c r="F1892" t="s">
        <v>15179</v>
      </c>
      <c r="H1892">
        <v>93523344</v>
      </c>
      <c r="I1892" t="s">
        <v>14292</v>
      </c>
      <c r="L1892" t="s">
        <v>19307</v>
      </c>
      <c r="M1892">
        <v>542</v>
      </c>
      <c r="N1892" t="s">
        <v>19308</v>
      </c>
    </row>
    <row r="1893" spans="1:14">
      <c r="A1893" t="s">
        <v>9256</v>
      </c>
      <c r="B1893">
        <v>2295357</v>
      </c>
      <c r="C1893">
        <v>2298566</v>
      </c>
      <c r="E1893" t="s">
        <v>14314</v>
      </c>
      <c r="F1893" t="s">
        <v>15450</v>
      </c>
      <c r="H1893">
        <v>93523345</v>
      </c>
      <c r="I1893" t="s">
        <v>14292</v>
      </c>
      <c r="L1893" t="s">
        <v>19309</v>
      </c>
      <c r="M1893">
        <v>1069</v>
      </c>
      <c r="N1893" t="s">
        <v>19310</v>
      </c>
    </row>
    <row r="1894" spans="1:14">
      <c r="A1894" t="s">
        <v>9256</v>
      </c>
      <c r="B1894">
        <v>2298807</v>
      </c>
      <c r="C1894">
        <v>2299736</v>
      </c>
      <c r="E1894" t="s">
        <v>14314</v>
      </c>
      <c r="F1894" t="s">
        <v>14972</v>
      </c>
      <c r="H1894">
        <v>93523346</v>
      </c>
      <c r="I1894" t="s">
        <v>14292</v>
      </c>
      <c r="L1894" t="s">
        <v>19311</v>
      </c>
      <c r="M1894">
        <v>309</v>
      </c>
      <c r="N1894" t="s">
        <v>19312</v>
      </c>
    </row>
    <row r="1895" spans="1:14">
      <c r="A1895" t="s">
        <v>9256</v>
      </c>
      <c r="B1895">
        <v>2299811</v>
      </c>
      <c r="C1895">
        <v>2300356</v>
      </c>
      <c r="E1895" t="s">
        <v>14314</v>
      </c>
      <c r="F1895" t="s">
        <v>14982</v>
      </c>
      <c r="H1895">
        <v>93523347</v>
      </c>
      <c r="I1895" t="s">
        <v>14292</v>
      </c>
      <c r="L1895" t="s">
        <v>19313</v>
      </c>
      <c r="M1895">
        <v>181</v>
      </c>
      <c r="N1895" t="s">
        <v>19314</v>
      </c>
    </row>
    <row r="1896" spans="1:14">
      <c r="A1896" t="s">
        <v>9256</v>
      </c>
      <c r="B1896">
        <v>2300649</v>
      </c>
      <c r="C1896">
        <v>2302994</v>
      </c>
      <c r="E1896" t="s">
        <v>14314</v>
      </c>
      <c r="F1896" t="s">
        <v>19315</v>
      </c>
      <c r="H1896">
        <v>93523348</v>
      </c>
      <c r="I1896" t="s">
        <v>14292</v>
      </c>
      <c r="L1896" t="s">
        <v>19316</v>
      </c>
      <c r="M1896">
        <v>781</v>
      </c>
      <c r="N1896" t="s">
        <v>19317</v>
      </c>
    </row>
    <row r="1897" spans="1:14">
      <c r="A1897" t="s">
        <v>9256</v>
      </c>
      <c r="B1897">
        <v>2303058</v>
      </c>
      <c r="C1897">
        <v>2304815</v>
      </c>
      <c r="E1897" t="s">
        <v>14314</v>
      </c>
      <c r="F1897" t="s">
        <v>15179</v>
      </c>
      <c r="H1897">
        <v>93523349</v>
      </c>
      <c r="I1897" t="s">
        <v>14292</v>
      </c>
      <c r="L1897" t="s">
        <v>19318</v>
      </c>
      <c r="M1897">
        <v>585</v>
      </c>
      <c r="N1897" t="s">
        <v>19319</v>
      </c>
    </row>
    <row r="1898" spans="1:14">
      <c r="A1898" t="s">
        <v>9256</v>
      </c>
      <c r="B1898">
        <v>2304835</v>
      </c>
      <c r="C1898">
        <v>2308050</v>
      </c>
      <c r="E1898" t="s">
        <v>14314</v>
      </c>
      <c r="F1898" t="s">
        <v>15450</v>
      </c>
      <c r="H1898">
        <v>93523350</v>
      </c>
      <c r="I1898" t="s">
        <v>14292</v>
      </c>
      <c r="L1898" t="s">
        <v>19320</v>
      </c>
      <c r="M1898">
        <v>1071</v>
      </c>
      <c r="N1898" t="s">
        <v>19321</v>
      </c>
    </row>
    <row r="1899" spans="1:14">
      <c r="A1899" t="s">
        <v>9256</v>
      </c>
      <c r="B1899">
        <v>2308385</v>
      </c>
      <c r="C1899">
        <v>2309314</v>
      </c>
      <c r="E1899" t="s">
        <v>14314</v>
      </c>
      <c r="F1899" t="s">
        <v>14972</v>
      </c>
      <c r="H1899">
        <v>93523351</v>
      </c>
      <c r="I1899" t="s">
        <v>14292</v>
      </c>
      <c r="L1899" t="s">
        <v>19322</v>
      </c>
      <c r="M1899">
        <v>309</v>
      </c>
      <c r="N1899" t="s">
        <v>19323</v>
      </c>
    </row>
    <row r="1900" spans="1:14">
      <c r="A1900" t="s">
        <v>9256</v>
      </c>
      <c r="B1900">
        <v>2309389</v>
      </c>
      <c r="C1900">
        <v>2309934</v>
      </c>
      <c r="E1900" t="s">
        <v>14314</v>
      </c>
      <c r="F1900" t="s">
        <v>14982</v>
      </c>
      <c r="H1900">
        <v>93523352</v>
      </c>
      <c r="I1900" t="s">
        <v>14292</v>
      </c>
      <c r="L1900" t="s">
        <v>19324</v>
      </c>
      <c r="M1900">
        <v>181</v>
      </c>
      <c r="N1900" t="s">
        <v>19325</v>
      </c>
    </row>
    <row r="1901" spans="1:14">
      <c r="A1901" t="s">
        <v>9256</v>
      </c>
      <c r="B1901">
        <v>2310798</v>
      </c>
      <c r="C1901">
        <v>2312348</v>
      </c>
      <c r="E1901" t="s">
        <v>14290</v>
      </c>
      <c r="F1901" t="s">
        <v>19326</v>
      </c>
      <c r="H1901">
        <v>93523353</v>
      </c>
      <c r="I1901" t="s">
        <v>14292</v>
      </c>
      <c r="L1901" t="s">
        <v>19327</v>
      </c>
      <c r="M1901">
        <v>516</v>
      </c>
      <c r="N1901" t="s">
        <v>19328</v>
      </c>
    </row>
    <row r="1902" spans="1:14">
      <c r="A1902" t="s">
        <v>9256</v>
      </c>
      <c r="B1902">
        <v>2312406</v>
      </c>
      <c r="C1902">
        <v>2312741</v>
      </c>
      <c r="E1902" t="s">
        <v>14290</v>
      </c>
      <c r="F1902" t="s">
        <v>15392</v>
      </c>
      <c r="H1902">
        <v>93523354</v>
      </c>
      <c r="I1902" t="s">
        <v>14292</v>
      </c>
      <c r="L1902" t="s">
        <v>19329</v>
      </c>
      <c r="M1902">
        <v>111</v>
      </c>
      <c r="N1902" t="s">
        <v>19330</v>
      </c>
    </row>
    <row r="1903" spans="1:14">
      <c r="A1903" t="s">
        <v>9256</v>
      </c>
      <c r="B1903">
        <v>2312710</v>
      </c>
      <c r="C1903">
        <v>2313048</v>
      </c>
      <c r="E1903" t="s">
        <v>14290</v>
      </c>
      <c r="F1903" t="s">
        <v>15389</v>
      </c>
      <c r="H1903">
        <v>93523355</v>
      </c>
      <c r="I1903" t="s">
        <v>14292</v>
      </c>
      <c r="L1903" t="s">
        <v>19331</v>
      </c>
      <c r="M1903">
        <v>112</v>
      </c>
      <c r="N1903" t="s">
        <v>19332</v>
      </c>
    </row>
    <row r="1904" spans="1:14">
      <c r="A1904" t="s">
        <v>9256</v>
      </c>
      <c r="B1904">
        <v>2313059</v>
      </c>
      <c r="C1904">
        <v>2313478</v>
      </c>
      <c r="E1904" t="s">
        <v>14290</v>
      </c>
      <c r="F1904" t="s">
        <v>19333</v>
      </c>
      <c r="G1904" t="s">
        <v>19334</v>
      </c>
      <c r="H1904">
        <v>93523356</v>
      </c>
      <c r="I1904" t="s">
        <v>14292</v>
      </c>
      <c r="L1904" t="s">
        <v>19335</v>
      </c>
      <c r="M1904">
        <v>139</v>
      </c>
      <c r="N1904" t="s">
        <v>19336</v>
      </c>
    </row>
    <row r="1905" spans="1:14">
      <c r="A1905" t="s">
        <v>9256</v>
      </c>
      <c r="B1905">
        <v>2313483</v>
      </c>
      <c r="C1905">
        <v>2313695</v>
      </c>
      <c r="E1905" t="s">
        <v>14290</v>
      </c>
      <c r="F1905" t="s">
        <v>19337</v>
      </c>
      <c r="H1905">
        <v>93523357</v>
      </c>
      <c r="I1905" t="s">
        <v>14292</v>
      </c>
      <c r="L1905" t="s">
        <v>19338</v>
      </c>
      <c r="M1905">
        <v>70</v>
      </c>
      <c r="N1905" t="s">
        <v>19339</v>
      </c>
    </row>
    <row r="1906" spans="1:14">
      <c r="A1906" t="s">
        <v>9256</v>
      </c>
      <c r="B1906">
        <v>2313799</v>
      </c>
      <c r="C1906">
        <v>2315985</v>
      </c>
      <c r="E1906" t="s">
        <v>14314</v>
      </c>
      <c r="F1906" t="s">
        <v>19340</v>
      </c>
      <c r="G1906" t="s">
        <v>19341</v>
      </c>
      <c r="H1906">
        <v>93523358</v>
      </c>
      <c r="I1906" t="s">
        <v>14292</v>
      </c>
      <c r="L1906" t="s">
        <v>19342</v>
      </c>
      <c r="M1906">
        <v>728</v>
      </c>
      <c r="N1906" t="s">
        <v>19343</v>
      </c>
    </row>
    <row r="1907" spans="1:14">
      <c r="A1907" t="s">
        <v>9256</v>
      </c>
      <c r="B1907">
        <v>2316124</v>
      </c>
      <c r="C1907">
        <v>2317032</v>
      </c>
      <c r="E1907" t="s">
        <v>14314</v>
      </c>
      <c r="F1907" t="s">
        <v>17598</v>
      </c>
      <c r="H1907">
        <v>93523359</v>
      </c>
      <c r="I1907" t="s">
        <v>14292</v>
      </c>
      <c r="L1907" t="s">
        <v>19344</v>
      </c>
      <c r="M1907">
        <v>302</v>
      </c>
      <c r="N1907" t="s">
        <v>19345</v>
      </c>
    </row>
    <row r="1908" spans="1:14">
      <c r="A1908" t="s">
        <v>9256</v>
      </c>
      <c r="B1908">
        <v>2317171</v>
      </c>
      <c r="C1908">
        <v>2318298</v>
      </c>
      <c r="E1908" t="s">
        <v>14290</v>
      </c>
      <c r="F1908" t="s">
        <v>14291</v>
      </c>
      <c r="H1908">
        <v>93523360</v>
      </c>
      <c r="I1908" t="s">
        <v>14292</v>
      </c>
      <c r="L1908" t="s">
        <v>19346</v>
      </c>
      <c r="M1908">
        <v>375</v>
      </c>
      <c r="N1908" t="s">
        <v>19347</v>
      </c>
    </row>
    <row r="1909" spans="1:14">
      <c r="A1909" t="s">
        <v>9256</v>
      </c>
      <c r="B1909">
        <v>2318304</v>
      </c>
      <c r="C1909">
        <v>2320169</v>
      </c>
      <c r="E1909" t="s">
        <v>14290</v>
      </c>
      <c r="F1909" t="s">
        <v>19348</v>
      </c>
      <c r="H1909">
        <v>93523361</v>
      </c>
      <c r="I1909" t="s">
        <v>14292</v>
      </c>
      <c r="L1909" t="s">
        <v>19349</v>
      </c>
      <c r="M1909">
        <v>621</v>
      </c>
      <c r="N1909" t="s">
        <v>19350</v>
      </c>
    </row>
    <row r="1910" spans="1:14">
      <c r="A1910" t="s">
        <v>9256</v>
      </c>
      <c r="B1910">
        <v>2320156</v>
      </c>
      <c r="C1910">
        <v>2320629</v>
      </c>
      <c r="E1910" t="s">
        <v>14290</v>
      </c>
      <c r="F1910" t="s">
        <v>19351</v>
      </c>
      <c r="G1910" t="s">
        <v>19352</v>
      </c>
      <c r="H1910">
        <v>93523362</v>
      </c>
      <c r="I1910" t="s">
        <v>14292</v>
      </c>
      <c r="L1910" t="s">
        <v>19353</v>
      </c>
      <c r="M1910">
        <v>157</v>
      </c>
      <c r="N1910" t="s">
        <v>19354</v>
      </c>
    </row>
    <row r="1911" spans="1:14">
      <c r="A1911" t="s">
        <v>9256</v>
      </c>
      <c r="B1911">
        <v>2320653</v>
      </c>
      <c r="C1911">
        <v>2322242</v>
      </c>
      <c r="E1911" t="s">
        <v>14290</v>
      </c>
      <c r="F1911" t="s">
        <v>17779</v>
      </c>
      <c r="H1911">
        <v>93523363</v>
      </c>
      <c r="I1911" t="s">
        <v>14292</v>
      </c>
      <c r="L1911" t="s">
        <v>19355</v>
      </c>
      <c r="M1911">
        <v>529</v>
      </c>
      <c r="N1911" t="s">
        <v>19356</v>
      </c>
    </row>
    <row r="1912" spans="1:14">
      <c r="A1912" t="s">
        <v>9256</v>
      </c>
      <c r="B1912">
        <v>2322264</v>
      </c>
      <c r="C1912">
        <v>2322791</v>
      </c>
      <c r="E1912" t="s">
        <v>14290</v>
      </c>
      <c r="F1912" t="s">
        <v>19357</v>
      </c>
      <c r="H1912">
        <v>93523364</v>
      </c>
      <c r="I1912" t="s">
        <v>14292</v>
      </c>
      <c r="L1912" t="s">
        <v>19358</v>
      </c>
      <c r="M1912">
        <v>175</v>
      </c>
      <c r="N1912" t="s">
        <v>19359</v>
      </c>
    </row>
    <row r="1913" spans="1:14">
      <c r="A1913" t="s">
        <v>9256</v>
      </c>
      <c r="B1913">
        <v>2322793</v>
      </c>
      <c r="C1913">
        <v>2323344</v>
      </c>
      <c r="E1913" t="s">
        <v>14290</v>
      </c>
      <c r="F1913" t="s">
        <v>19357</v>
      </c>
      <c r="H1913">
        <v>93523365</v>
      </c>
      <c r="I1913" t="s">
        <v>14292</v>
      </c>
      <c r="L1913" t="s">
        <v>19360</v>
      </c>
      <c r="M1913">
        <v>183</v>
      </c>
      <c r="N1913" t="s">
        <v>19361</v>
      </c>
    </row>
    <row r="1914" spans="1:14">
      <c r="A1914" t="s">
        <v>9256</v>
      </c>
      <c r="B1914">
        <v>2323467</v>
      </c>
      <c r="C1914">
        <v>2324783</v>
      </c>
      <c r="E1914" t="s">
        <v>14290</v>
      </c>
      <c r="F1914" t="s">
        <v>14545</v>
      </c>
      <c r="H1914">
        <v>93523366</v>
      </c>
      <c r="I1914" t="s">
        <v>14292</v>
      </c>
      <c r="L1914" t="s">
        <v>19362</v>
      </c>
      <c r="M1914">
        <v>438</v>
      </c>
      <c r="N1914" t="s">
        <v>19363</v>
      </c>
    </row>
    <row r="1915" spans="1:14">
      <c r="A1915" t="s">
        <v>9256</v>
      </c>
      <c r="B1915">
        <v>2324900</v>
      </c>
      <c r="C1915">
        <v>2326126</v>
      </c>
      <c r="E1915" t="s">
        <v>14290</v>
      </c>
      <c r="F1915" t="s">
        <v>14503</v>
      </c>
      <c r="H1915">
        <v>93523367</v>
      </c>
      <c r="I1915" t="s">
        <v>14292</v>
      </c>
      <c r="L1915" t="s">
        <v>19364</v>
      </c>
      <c r="M1915">
        <v>408</v>
      </c>
      <c r="N1915" t="s">
        <v>19365</v>
      </c>
    </row>
    <row r="1916" spans="1:14">
      <c r="A1916" t="s">
        <v>9256</v>
      </c>
      <c r="B1916">
        <v>2326135</v>
      </c>
      <c r="C1916">
        <v>2326875</v>
      </c>
      <c r="E1916" t="s">
        <v>14290</v>
      </c>
      <c r="F1916" t="s">
        <v>14403</v>
      </c>
      <c r="H1916">
        <v>93523368</v>
      </c>
      <c r="I1916" t="s">
        <v>14292</v>
      </c>
      <c r="L1916" t="s">
        <v>19366</v>
      </c>
      <c r="M1916">
        <v>246</v>
      </c>
      <c r="N1916" t="s">
        <v>19367</v>
      </c>
    </row>
    <row r="1917" spans="1:14">
      <c r="A1917" t="s">
        <v>9256</v>
      </c>
      <c r="B1917">
        <v>2326913</v>
      </c>
      <c r="C1917">
        <v>2328133</v>
      </c>
      <c r="E1917" t="s">
        <v>14290</v>
      </c>
      <c r="F1917" t="s">
        <v>14562</v>
      </c>
      <c r="H1917">
        <v>93523369</v>
      </c>
      <c r="I1917" t="s">
        <v>14292</v>
      </c>
      <c r="L1917" t="s">
        <v>19368</v>
      </c>
      <c r="M1917">
        <v>406</v>
      </c>
      <c r="N1917" t="s">
        <v>19369</v>
      </c>
    </row>
    <row r="1918" spans="1:14">
      <c r="A1918" t="s">
        <v>9256</v>
      </c>
      <c r="B1918">
        <v>2328217</v>
      </c>
      <c r="C1918">
        <v>2329284</v>
      </c>
      <c r="E1918" t="s">
        <v>14290</v>
      </c>
      <c r="F1918" t="s">
        <v>14493</v>
      </c>
      <c r="H1918">
        <v>93523370</v>
      </c>
      <c r="I1918" t="s">
        <v>14292</v>
      </c>
      <c r="L1918" t="s">
        <v>19370</v>
      </c>
      <c r="M1918">
        <v>355</v>
      </c>
      <c r="N1918" t="s">
        <v>19371</v>
      </c>
    </row>
    <row r="1919" spans="1:14">
      <c r="A1919" t="s">
        <v>9256</v>
      </c>
      <c r="B1919">
        <v>2329281</v>
      </c>
      <c r="C1919">
        <v>2330036</v>
      </c>
      <c r="E1919" t="s">
        <v>14290</v>
      </c>
      <c r="F1919" t="s">
        <v>14498</v>
      </c>
      <c r="H1919">
        <v>93523371</v>
      </c>
      <c r="I1919" t="s">
        <v>14292</v>
      </c>
      <c r="L1919" t="s">
        <v>19372</v>
      </c>
      <c r="M1919">
        <v>251</v>
      </c>
      <c r="N1919" t="s">
        <v>19373</v>
      </c>
    </row>
    <row r="1920" spans="1:14">
      <c r="A1920" t="s">
        <v>9256</v>
      </c>
      <c r="B1920">
        <v>2330044</v>
      </c>
      <c r="C1920">
        <v>2331501</v>
      </c>
      <c r="E1920" t="s">
        <v>14314</v>
      </c>
      <c r="F1920" t="s">
        <v>19374</v>
      </c>
      <c r="G1920" t="s">
        <v>19375</v>
      </c>
      <c r="H1920">
        <v>93523372</v>
      </c>
      <c r="I1920" t="s">
        <v>14292</v>
      </c>
      <c r="L1920" t="s">
        <v>19376</v>
      </c>
      <c r="M1920">
        <v>485</v>
      </c>
      <c r="N1920" t="s">
        <v>19377</v>
      </c>
    </row>
    <row r="1921" spans="1:14">
      <c r="A1921" t="s">
        <v>9256</v>
      </c>
      <c r="B1921">
        <v>2331560</v>
      </c>
      <c r="C1921">
        <v>2332717</v>
      </c>
      <c r="E1921" t="s">
        <v>14290</v>
      </c>
      <c r="F1921" t="s">
        <v>18926</v>
      </c>
      <c r="H1921">
        <v>93523373</v>
      </c>
      <c r="I1921" t="s">
        <v>14292</v>
      </c>
      <c r="L1921" t="s">
        <v>19378</v>
      </c>
      <c r="M1921">
        <v>385</v>
      </c>
      <c r="N1921" t="s">
        <v>19379</v>
      </c>
    </row>
    <row r="1922" spans="1:14">
      <c r="A1922" t="s">
        <v>9256</v>
      </c>
      <c r="B1922">
        <v>2332787</v>
      </c>
      <c r="C1922">
        <v>2332859</v>
      </c>
      <c r="E1922" t="s">
        <v>14290</v>
      </c>
      <c r="F1922" t="s">
        <v>19380</v>
      </c>
      <c r="H1922">
        <v>93523374</v>
      </c>
      <c r="I1922" t="s">
        <v>13638</v>
      </c>
      <c r="N1922" t="s">
        <v>19381</v>
      </c>
    </row>
    <row r="1923" spans="1:14">
      <c r="A1923" t="s">
        <v>9256</v>
      </c>
      <c r="B1923">
        <v>2333102</v>
      </c>
      <c r="C1923">
        <v>2334322</v>
      </c>
      <c r="E1923" t="s">
        <v>14290</v>
      </c>
      <c r="F1923" t="s">
        <v>15333</v>
      </c>
      <c r="H1923">
        <v>93523375</v>
      </c>
      <c r="I1923" t="s">
        <v>14292</v>
      </c>
      <c r="L1923" t="s">
        <v>19382</v>
      </c>
      <c r="M1923">
        <v>406</v>
      </c>
      <c r="N1923" t="s">
        <v>19383</v>
      </c>
    </row>
    <row r="1924" spans="1:14">
      <c r="A1924" t="s">
        <v>9256</v>
      </c>
      <c r="B1924">
        <v>2334607</v>
      </c>
      <c r="C1924">
        <v>2334900</v>
      </c>
      <c r="E1924" t="s">
        <v>14314</v>
      </c>
      <c r="F1924" t="s">
        <v>14406</v>
      </c>
      <c r="H1924">
        <v>93523376</v>
      </c>
      <c r="I1924" t="s">
        <v>14292</v>
      </c>
      <c r="L1924" t="s">
        <v>19384</v>
      </c>
      <c r="M1924">
        <v>97</v>
      </c>
      <c r="N1924" t="s">
        <v>19385</v>
      </c>
    </row>
    <row r="1925" spans="1:14">
      <c r="A1925" t="s">
        <v>9256</v>
      </c>
      <c r="B1925">
        <v>2334954</v>
      </c>
      <c r="C1925">
        <v>2335247</v>
      </c>
      <c r="E1925" t="s">
        <v>14314</v>
      </c>
      <c r="F1925" t="s">
        <v>15244</v>
      </c>
      <c r="H1925">
        <v>93523377</v>
      </c>
      <c r="I1925" t="s">
        <v>14292</v>
      </c>
      <c r="L1925" t="s">
        <v>19386</v>
      </c>
      <c r="M1925">
        <v>97</v>
      </c>
      <c r="N1925" t="s">
        <v>19387</v>
      </c>
    </row>
    <row r="1926" spans="1:14">
      <c r="A1926" t="s">
        <v>9256</v>
      </c>
      <c r="B1926">
        <v>2335234</v>
      </c>
      <c r="C1926">
        <v>2335548</v>
      </c>
      <c r="E1926" t="s">
        <v>14314</v>
      </c>
      <c r="F1926" t="s">
        <v>14406</v>
      </c>
      <c r="H1926">
        <v>93523378</v>
      </c>
      <c r="I1926" t="s">
        <v>14292</v>
      </c>
      <c r="L1926" t="s">
        <v>19388</v>
      </c>
      <c r="M1926">
        <v>104</v>
      </c>
      <c r="N1926" t="s">
        <v>19389</v>
      </c>
    </row>
    <row r="1927" spans="1:14">
      <c r="A1927" t="s">
        <v>9256</v>
      </c>
      <c r="B1927">
        <v>2335776</v>
      </c>
      <c r="C1927">
        <v>2336540</v>
      </c>
      <c r="E1927" t="s">
        <v>14290</v>
      </c>
      <c r="F1927" t="s">
        <v>19390</v>
      </c>
      <c r="H1927">
        <v>93523379</v>
      </c>
      <c r="I1927" t="s">
        <v>14292</v>
      </c>
      <c r="L1927" t="s">
        <v>19391</v>
      </c>
      <c r="M1927">
        <v>254</v>
      </c>
      <c r="N1927" t="s">
        <v>19392</v>
      </c>
    </row>
    <row r="1928" spans="1:14">
      <c r="A1928" t="s">
        <v>9256</v>
      </c>
      <c r="B1928">
        <v>2336541</v>
      </c>
      <c r="C1928">
        <v>2337134</v>
      </c>
      <c r="E1928" t="s">
        <v>14314</v>
      </c>
      <c r="F1928" t="s">
        <v>19393</v>
      </c>
      <c r="H1928">
        <v>93523380</v>
      </c>
      <c r="I1928" t="s">
        <v>14292</v>
      </c>
      <c r="L1928" t="s">
        <v>19394</v>
      </c>
      <c r="M1928">
        <v>197</v>
      </c>
      <c r="N1928" t="s">
        <v>19395</v>
      </c>
    </row>
    <row r="1929" spans="1:14">
      <c r="A1929" t="s">
        <v>9256</v>
      </c>
      <c r="B1929">
        <v>2337261</v>
      </c>
      <c r="C1929">
        <v>2339312</v>
      </c>
      <c r="E1929" t="s">
        <v>14290</v>
      </c>
      <c r="F1929" t="s">
        <v>19396</v>
      </c>
      <c r="H1929">
        <v>93523381</v>
      </c>
      <c r="I1929" t="s">
        <v>14292</v>
      </c>
      <c r="L1929" t="s">
        <v>19397</v>
      </c>
      <c r="M1929">
        <v>683</v>
      </c>
      <c r="N1929" t="s">
        <v>19398</v>
      </c>
    </row>
    <row r="1930" spans="1:14">
      <c r="A1930" t="s">
        <v>9256</v>
      </c>
      <c r="B1930">
        <v>2339672</v>
      </c>
      <c r="C1930">
        <v>2340286</v>
      </c>
      <c r="E1930" t="s">
        <v>14290</v>
      </c>
      <c r="F1930" t="s">
        <v>19399</v>
      </c>
      <c r="H1930">
        <v>93523382</v>
      </c>
      <c r="I1930" t="s">
        <v>14292</v>
      </c>
      <c r="L1930" t="s">
        <v>19400</v>
      </c>
      <c r="M1930">
        <v>204</v>
      </c>
      <c r="N1930" t="s">
        <v>19401</v>
      </c>
    </row>
    <row r="1931" spans="1:14">
      <c r="A1931" t="s">
        <v>9256</v>
      </c>
      <c r="B1931">
        <v>2340276</v>
      </c>
      <c r="C1931">
        <v>2341232</v>
      </c>
      <c r="E1931" t="s">
        <v>14290</v>
      </c>
      <c r="F1931" t="s">
        <v>19402</v>
      </c>
      <c r="H1931">
        <v>93523383</v>
      </c>
      <c r="I1931" t="s">
        <v>14292</v>
      </c>
      <c r="L1931" t="s">
        <v>19403</v>
      </c>
      <c r="M1931">
        <v>318</v>
      </c>
      <c r="N1931" t="s">
        <v>19404</v>
      </c>
    </row>
    <row r="1932" spans="1:14">
      <c r="A1932" t="s">
        <v>9256</v>
      </c>
      <c r="B1932">
        <v>2341300</v>
      </c>
      <c r="C1932">
        <v>2342022</v>
      </c>
      <c r="E1932" t="s">
        <v>14290</v>
      </c>
      <c r="F1932" t="s">
        <v>14291</v>
      </c>
      <c r="H1932">
        <v>93523384</v>
      </c>
      <c r="I1932" t="s">
        <v>14292</v>
      </c>
      <c r="L1932" t="s">
        <v>19405</v>
      </c>
      <c r="M1932">
        <v>240</v>
      </c>
      <c r="N1932" t="s">
        <v>19406</v>
      </c>
    </row>
    <row r="1933" spans="1:14">
      <c r="A1933" t="s">
        <v>9256</v>
      </c>
      <c r="B1933">
        <v>2342019</v>
      </c>
      <c r="C1933">
        <v>2342543</v>
      </c>
      <c r="E1933" t="s">
        <v>14290</v>
      </c>
      <c r="F1933" t="s">
        <v>14291</v>
      </c>
      <c r="H1933">
        <v>93523385</v>
      </c>
      <c r="I1933" t="s">
        <v>14292</v>
      </c>
      <c r="L1933" t="s">
        <v>19407</v>
      </c>
      <c r="M1933">
        <v>174</v>
      </c>
      <c r="N1933" t="s">
        <v>19408</v>
      </c>
    </row>
    <row r="1934" spans="1:14">
      <c r="A1934" t="s">
        <v>9256</v>
      </c>
      <c r="B1934">
        <v>2342867</v>
      </c>
      <c r="C1934">
        <v>2344159</v>
      </c>
      <c r="E1934" t="s">
        <v>14290</v>
      </c>
      <c r="F1934" t="s">
        <v>16210</v>
      </c>
      <c r="H1934">
        <v>93523386</v>
      </c>
      <c r="I1934" t="s">
        <v>14292</v>
      </c>
      <c r="L1934" t="s">
        <v>19409</v>
      </c>
      <c r="M1934">
        <v>430</v>
      </c>
      <c r="N1934" t="s">
        <v>19410</v>
      </c>
    </row>
    <row r="1935" spans="1:14">
      <c r="A1935" t="s">
        <v>9256</v>
      </c>
      <c r="B1935">
        <v>2344173</v>
      </c>
      <c r="C1935">
        <v>2344814</v>
      </c>
      <c r="E1935" t="s">
        <v>14290</v>
      </c>
      <c r="F1935" t="s">
        <v>19411</v>
      </c>
      <c r="H1935">
        <v>93523387</v>
      </c>
      <c r="I1935" t="s">
        <v>14292</v>
      </c>
      <c r="L1935" t="s">
        <v>19412</v>
      </c>
      <c r="M1935">
        <v>213</v>
      </c>
      <c r="N1935" t="s">
        <v>19413</v>
      </c>
    </row>
    <row r="1936" spans="1:14">
      <c r="A1936" t="s">
        <v>9256</v>
      </c>
      <c r="B1936">
        <v>2345080</v>
      </c>
      <c r="C1936">
        <v>2345313</v>
      </c>
      <c r="E1936" t="s">
        <v>14290</v>
      </c>
      <c r="F1936" t="s">
        <v>14291</v>
      </c>
      <c r="H1936">
        <v>93523388</v>
      </c>
      <c r="I1936" t="s">
        <v>14292</v>
      </c>
      <c r="L1936" t="s">
        <v>19414</v>
      </c>
      <c r="M1936">
        <v>77</v>
      </c>
      <c r="N1936" t="s">
        <v>19415</v>
      </c>
    </row>
    <row r="1937" spans="1:14">
      <c r="A1937" t="s">
        <v>9256</v>
      </c>
      <c r="B1937">
        <v>2345288</v>
      </c>
      <c r="C1937">
        <v>2345710</v>
      </c>
      <c r="E1937" t="s">
        <v>14290</v>
      </c>
      <c r="F1937" t="s">
        <v>14291</v>
      </c>
      <c r="H1937">
        <v>93523389</v>
      </c>
      <c r="I1937" t="s">
        <v>14292</v>
      </c>
      <c r="L1937" t="s">
        <v>19416</v>
      </c>
      <c r="M1937">
        <v>140</v>
      </c>
      <c r="N1937" t="s">
        <v>19417</v>
      </c>
    </row>
    <row r="1938" spans="1:14">
      <c r="A1938" t="s">
        <v>9256</v>
      </c>
      <c r="B1938">
        <v>2345873</v>
      </c>
      <c r="C1938">
        <v>2346205</v>
      </c>
      <c r="E1938" t="s">
        <v>14290</v>
      </c>
      <c r="F1938" t="s">
        <v>14406</v>
      </c>
      <c r="H1938">
        <v>93523390</v>
      </c>
      <c r="I1938" t="s">
        <v>14292</v>
      </c>
      <c r="L1938" t="s">
        <v>19418</v>
      </c>
      <c r="M1938">
        <v>110</v>
      </c>
      <c r="N1938" t="s">
        <v>19419</v>
      </c>
    </row>
    <row r="1939" spans="1:14">
      <c r="A1939" t="s">
        <v>9256</v>
      </c>
      <c r="B1939">
        <v>2346490</v>
      </c>
      <c r="C1939">
        <v>2347074</v>
      </c>
      <c r="E1939" t="s">
        <v>14290</v>
      </c>
      <c r="F1939" t="s">
        <v>19420</v>
      </c>
      <c r="H1939">
        <v>93523391</v>
      </c>
      <c r="I1939" t="s">
        <v>14292</v>
      </c>
      <c r="L1939" t="s">
        <v>19421</v>
      </c>
      <c r="M1939">
        <v>194</v>
      </c>
      <c r="N1939" t="s">
        <v>19422</v>
      </c>
    </row>
    <row r="1940" spans="1:14">
      <c r="A1940" t="s">
        <v>9256</v>
      </c>
      <c r="B1940">
        <v>2347079</v>
      </c>
      <c r="C1940">
        <v>2347993</v>
      </c>
      <c r="E1940" t="s">
        <v>14290</v>
      </c>
      <c r="F1940" t="s">
        <v>19423</v>
      </c>
      <c r="H1940">
        <v>93523392</v>
      </c>
      <c r="I1940" t="s">
        <v>14292</v>
      </c>
      <c r="L1940" t="s">
        <v>19424</v>
      </c>
      <c r="M1940">
        <v>304</v>
      </c>
      <c r="N1940" t="s">
        <v>19425</v>
      </c>
    </row>
    <row r="1941" spans="1:14">
      <c r="A1941" t="s">
        <v>9256</v>
      </c>
      <c r="B1941">
        <v>2348202</v>
      </c>
      <c r="C1941">
        <v>2349740</v>
      </c>
      <c r="E1941" t="s">
        <v>14290</v>
      </c>
      <c r="F1941" t="s">
        <v>18873</v>
      </c>
      <c r="H1941">
        <v>93523393</v>
      </c>
      <c r="I1941" t="s">
        <v>14292</v>
      </c>
      <c r="L1941" t="s">
        <v>19426</v>
      </c>
      <c r="M1941">
        <v>512</v>
      </c>
      <c r="N1941" t="s">
        <v>19427</v>
      </c>
    </row>
    <row r="1942" spans="1:14">
      <c r="A1942" t="s">
        <v>9256</v>
      </c>
      <c r="B1942">
        <v>2349758</v>
      </c>
      <c r="C1942">
        <v>2350177</v>
      </c>
      <c r="E1942" t="s">
        <v>14314</v>
      </c>
      <c r="F1942" t="s">
        <v>15769</v>
      </c>
      <c r="H1942">
        <v>93523394</v>
      </c>
      <c r="I1942" t="s">
        <v>14292</v>
      </c>
      <c r="L1942" t="s">
        <v>19428</v>
      </c>
      <c r="M1942">
        <v>139</v>
      </c>
      <c r="N1942" t="s">
        <v>19429</v>
      </c>
    </row>
    <row r="1943" spans="1:14">
      <c r="A1943" t="s">
        <v>9256</v>
      </c>
      <c r="B1943">
        <v>2350314</v>
      </c>
      <c r="C1943">
        <v>2351396</v>
      </c>
      <c r="E1943" t="s">
        <v>14290</v>
      </c>
      <c r="F1943" t="s">
        <v>18518</v>
      </c>
      <c r="H1943">
        <v>93523395</v>
      </c>
      <c r="I1943" t="s">
        <v>14292</v>
      </c>
      <c r="L1943" t="s">
        <v>19430</v>
      </c>
      <c r="M1943">
        <v>360</v>
      </c>
      <c r="N1943" t="s">
        <v>19431</v>
      </c>
    </row>
    <row r="1944" spans="1:14">
      <c r="A1944" t="s">
        <v>9256</v>
      </c>
      <c r="B1944">
        <v>2351365</v>
      </c>
      <c r="C1944">
        <v>2353311</v>
      </c>
      <c r="E1944" t="s">
        <v>14290</v>
      </c>
      <c r="F1944" t="s">
        <v>19432</v>
      </c>
      <c r="H1944">
        <v>93523396</v>
      </c>
      <c r="I1944" t="s">
        <v>14292</v>
      </c>
      <c r="L1944" t="s">
        <v>19433</v>
      </c>
      <c r="M1944">
        <v>648</v>
      </c>
      <c r="N1944" t="s">
        <v>19434</v>
      </c>
    </row>
    <row r="1945" spans="1:14">
      <c r="A1945" t="s">
        <v>9256</v>
      </c>
      <c r="B1945">
        <v>2353801</v>
      </c>
      <c r="C1945">
        <v>2354634</v>
      </c>
      <c r="E1945" t="s">
        <v>14314</v>
      </c>
      <c r="F1945" t="s">
        <v>14645</v>
      </c>
      <c r="H1945">
        <v>93523397</v>
      </c>
      <c r="I1945" t="s">
        <v>14292</v>
      </c>
      <c r="L1945" t="s">
        <v>19435</v>
      </c>
      <c r="M1945">
        <v>277</v>
      </c>
      <c r="N1945" t="s">
        <v>19436</v>
      </c>
    </row>
    <row r="1946" spans="1:14">
      <c r="A1946" t="s">
        <v>9256</v>
      </c>
      <c r="B1946">
        <v>2354736</v>
      </c>
      <c r="C1946">
        <v>2355740</v>
      </c>
      <c r="E1946" t="s">
        <v>14290</v>
      </c>
      <c r="F1946" t="s">
        <v>15711</v>
      </c>
      <c r="H1946">
        <v>93523398</v>
      </c>
      <c r="I1946" t="s">
        <v>14292</v>
      </c>
      <c r="L1946" t="s">
        <v>19437</v>
      </c>
      <c r="M1946">
        <v>334</v>
      </c>
      <c r="N1946" t="s">
        <v>19438</v>
      </c>
    </row>
    <row r="1947" spans="1:14">
      <c r="A1947" t="s">
        <v>9256</v>
      </c>
      <c r="B1947">
        <v>2355757</v>
      </c>
      <c r="C1947">
        <v>2358045</v>
      </c>
      <c r="E1947" t="s">
        <v>14314</v>
      </c>
      <c r="F1947" t="s">
        <v>14919</v>
      </c>
      <c r="H1947">
        <v>93523399</v>
      </c>
      <c r="I1947" t="s">
        <v>14292</v>
      </c>
      <c r="L1947" t="s">
        <v>19439</v>
      </c>
      <c r="M1947">
        <v>762</v>
      </c>
      <c r="N1947" t="s">
        <v>19440</v>
      </c>
    </row>
    <row r="1948" spans="1:14">
      <c r="A1948" t="s">
        <v>9256</v>
      </c>
      <c r="B1948">
        <v>2358227</v>
      </c>
      <c r="C1948">
        <v>2359465</v>
      </c>
      <c r="E1948" t="s">
        <v>14290</v>
      </c>
      <c r="F1948" t="s">
        <v>14445</v>
      </c>
      <c r="H1948">
        <v>93523400</v>
      </c>
      <c r="I1948" t="s">
        <v>14292</v>
      </c>
      <c r="L1948" t="s">
        <v>19441</v>
      </c>
      <c r="M1948">
        <v>412</v>
      </c>
      <c r="N1948" t="s">
        <v>19442</v>
      </c>
    </row>
    <row r="1949" spans="1:14">
      <c r="A1949" t="s">
        <v>9256</v>
      </c>
      <c r="B1949">
        <v>2359529</v>
      </c>
      <c r="C1949">
        <v>2360425</v>
      </c>
      <c r="E1949" t="s">
        <v>14314</v>
      </c>
      <c r="F1949" t="s">
        <v>19443</v>
      </c>
      <c r="H1949">
        <v>93523401</v>
      </c>
      <c r="I1949" t="s">
        <v>14292</v>
      </c>
      <c r="L1949" t="s">
        <v>19444</v>
      </c>
      <c r="M1949">
        <v>298</v>
      </c>
      <c r="N1949" t="s">
        <v>19445</v>
      </c>
    </row>
    <row r="1950" spans="1:14">
      <c r="A1950" t="s">
        <v>9256</v>
      </c>
      <c r="B1950">
        <v>2361098</v>
      </c>
      <c r="C1950">
        <v>2363995</v>
      </c>
      <c r="E1950" t="s">
        <v>14290</v>
      </c>
      <c r="F1950" t="s">
        <v>15863</v>
      </c>
      <c r="H1950">
        <v>93523402</v>
      </c>
      <c r="I1950" t="s">
        <v>14292</v>
      </c>
      <c r="L1950" t="s">
        <v>19446</v>
      </c>
      <c r="M1950">
        <v>965</v>
      </c>
      <c r="N1950" t="s">
        <v>19447</v>
      </c>
    </row>
    <row r="1951" spans="1:14">
      <c r="A1951" t="s">
        <v>9256</v>
      </c>
      <c r="B1951">
        <v>2364274</v>
      </c>
      <c r="C1951">
        <v>2366460</v>
      </c>
      <c r="E1951" t="s">
        <v>14290</v>
      </c>
      <c r="F1951" t="s">
        <v>19448</v>
      </c>
      <c r="H1951">
        <v>93523403</v>
      </c>
      <c r="I1951" t="s">
        <v>14292</v>
      </c>
      <c r="L1951" t="s">
        <v>19449</v>
      </c>
      <c r="M1951">
        <v>728</v>
      </c>
      <c r="N1951" t="s">
        <v>19450</v>
      </c>
    </row>
    <row r="1952" spans="1:14">
      <c r="A1952" t="s">
        <v>9256</v>
      </c>
      <c r="B1952">
        <v>2366455</v>
      </c>
      <c r="C1952">
        <v>2367738</v>
      </c>
      <c r="E1952" t="s">
        <v>14314</v>
      </c>
      <c r="F1952" t="s">
        <v>19451</v>
      </c>
      <c r="H1952">
        <v>93523404</v>
      </c>
      <c r="I1952" t="s">
        <v>14292</v>
      </c>
      <c r="L1952" t="s">
        <v>19452</v>
      </c>
      <c r="M1952">
        <v>427</v>
      </c>
      <c r="N1952" t="s">
        <v>19453</v>
      </c>
    </row>
    <row r="1953" spans="1:14">
      <c r="A1953" t="s">
        <v>9256</v>
      </c>
      <c r="B1953">
        <v>2367868</v>
      </c>
      <c r="C1953">
        <v>2368707</v>
      </c>
      <c r="E1953" t="s">
        <v>14290</v>
      </c>
      <c r="F1953" t="s">
        <v>19454</v>
      </c>
      <c r="G1953" t="s">
        <v>19455</v>
      </c>
      <c r="H1953">
        <v>93523405</v>
      </c>
      <c r="I1953" t="s">
        <v>14292</v>
      </c>
      <c r="L1953" t="s">
        <v>19456</v>
      </c>
      <c r="M1953">
        <v>279</v>
      </c>
      <c r="N1953" t="s">
        <v>19457</v>
      </c>
    </row>
    <row r="1954" spans="1:14">
      <c r="A1954" t="s">
        <v>9256</v>
      </c>
      <c r="B1954">
        <v>2368742</v>
      </c>
      <c r="C1954">
        <v>2369527</v>
      </c>
      <c r="E1954" t="s">
        <v>14290</v>
      </c>
      <c r="F1954" t="s">
        <v>19458</v>
      </c>
      <c r="G1954" t="s">
        <v>19459</v>
      </c>
      <c r="H1954">
        <v>93523406</v>
      </c>
      <c r="I1954" t="s">
        <v>14292</v>
      </c>
      <c r="L1954" t="s">
        <v>19460</v>
      </c>
      <c r="M1954">
        <v>261</v>
      </c>
      <c r="N1954" t="s">
        <v>19461</v>
      </c>
    </row>
    <row r="1955" spans="1:14">
      <c r="A1955" t="s">
        <v>9256</v>
      </c>
      <c r="B1955">
        <v>2369655</v>
      </c>
      <c r="C1955">
        <v>2370668</v>
      </c>
      <c r="E1955" t="s">
        <v>14290</v>
      </c>
      <c r="F1955" t="s">
        <v>19462</v>
      </c>
      <c r="G1955" t="s">
        <v>19463</v>
      </c>
      <c r="H1955">
        <v>93523407</v>
      </c>
      <c r="I1955" t="s">
        <v>14292</v>
      </c>
      <c r="L1955" t="s">
        <v>19464</v>
      </c>
      <c r="M1955">
        <v>337</v>
      </c>
      <c r="N1955" t="s">
        <v>19465</v>
      </c>
    </row>
    <row r="1956" spans="1:14">
      <c r="A1956" t="s">
        <v>9256</v>
      </c>
      <c r="B1956">
        <v>2370694</v>
      </c>
      <c r="C1956">
        <v>2371896</v>
      </c>
      <c r="E1956" t="s">
        <v>14290</v>
      </c>
      <c r="F1956" t="s">
        <v>19466</v>
      </c>
      <c r="H1956">
        <v>93523408</v>
      </c>
      <c r="I1956" t="s">
        <v>14292</v>
      </c>
      <c r="L1956" t="s">
        <v>19467</v>
      </c>
      <c r="M1956">
        <v>400</v>
      </c>
      <c r="N1956" t="s">
        <v>19468</v>
      </c>
    </row>
    <row r="1957" spans="1:14">
      <c r="A1957" t="s">
        <v>9256</v>
      </c>
      <c r="B1957">
        <v>2372049</v>
      </c>
      <c r="C1957">
        <v>2372342</v>
      </c>
      <c r="E1957" t="s">
        <v>14290</v>
      </c>
      <c r="F1957" t="s">
        <v>15392</v>
      </c>
      <c r="H1957">
        <v>93523409</v>
      </c>
      <c r="I1957" t="s">
        <v>14292</v>
      </c>
      <c r="L1957" t="s">
        <v>19469</v>
      </c>
      <c r="M1957">
        <v>97</v>
      </c>
      <c r="N1957" t="s">
        <v>19470</v>
      </c>
    </row>
    <row r="1958" spans="1:14">
      <c r="A1958" t="s">
        <v>9256</v>
      </c>
      <c r="B1958">
        <v>2372335</v>
      </c>
      <c r="C1958">
        <v>2372706</v>
      </c>
      <c r="E1958" t="s">
        <v>14290</v>
      </c>
      <c r="F1958" t="s">
        <v>15389</v>
      </c>
      <c r="H1958">
        <v>93523410</v>
      </c>
      <c r="I1958" t="s">
        <v>14292</v>
      </c>
      <c r="L1958" t="s">
        <v>19471</v>
      </c>
      <c r="M1958">
        <v>123</v>
      </c>
      <c r="N1958" t="s">
        <v>19472</v>
      </c>
    </row>
    <row r="1959" spans="1:14">
      <c r="A1959" t="s">
        <v>9256</v>
      </c>
      <c r="B1959">
        <v>2372749</v>
      </c>
      <c r="C1959">
        <v>2373459</v>
      </c>
      <c r="E1959" t="s">
        <v>14290</v>
      </c>
      <c r="F1959" t="s">
        <v>19473</v>
      </c>
      <c r="G1959" t="s">
        <v>19474</v>
      </c>
      <c r="H1959">
        <v>93523411</v>
      </c>
      <c r="I1959" t="s">
        <v>14292</v>
      </c>
      <c r="L1959" t="s">
        <v>19475</v>
      </c>
      <c r="M1959">
        <v>236</v>
      </c>
      <c r="N1959" t="s">
        <v>19476</v>
      </c>
    </row>
    <row r="1960" spans="1:14">
      <c r="A1960" t="s">
        <v>9256</v>
      </c>
      <c r="B1960">
        <v>2373570</v>
      </c>
      <c r="C1960">
        <v>2376233</v>
      </c>
      <c r="E1960" t="s">
        <v>14290</v>
      </c>
      <c r="F1960" t="s">
        <v>17838</v>
      </c>
      <c r="H1960">
        <v>93523412</v>
      </c>
      <c r="I1960" t="s">
        <v>14292</v>
      </c>
      <c r="L1960" t="s">
        <v>19477</v>
      </c>
      <c r="M1960">
        <v>887</v>
      </c>
      <c r="N1960" t="s">
        <v>19478</v>
      </c>
    </row>
    <row r="1961" spans="1:14">
      <c r="A1961" t="s">
        <v>9256</v>
      </c>
      <c r="B1961">
        <v>2376362</v>
      </c>
      <c r="C1961">
        <v>2378170</v>
      </c>
      <c r="E1961" t="s">
        <v>14290</v>
      </c>
      <c r="F1961" t="s">
        <v>19479</v>
      </c>
      <c r="H1961">
        <v>93523413</v>
      </c>
      <c r="I1961" t="s">
        <v>14292</v>
      </c>
      <c r="L1961" t="s">
        <v>19480</v>
      </c>
      <c r="M1961">
        <v>602</v>
      </c>
      <c r="N1961" t="s">
        <v>19481</v>
      </c>
    </row>
    <row r="1962" spans="1:14">
      <c r="A1962" t="s">
        <v>9256</v>
      </c>
      <c r="B1962">
        <v>2378189</v>
      </c>
      <c r="C1962">
        <v>2379061</v>
      </c>
      <c r="E1962" t="s">
        <v>14290</v>
      </c>
      <c r="F1962" t="s">
        <v>18311</v>
      </c>
      <c r="H1962">
        <v>93523414</v>
      </c>
      <c r="I1962" t="s">
        <v>14292</v>
      </c>
      <c r="L1962" t="s">
        <v>19482</v>
      </c>
      <c r="M1962">
        <v>290</v>
      </c>
      <c r="N1962" t="s">
        <v>19483</v>
      </c>
    </row>
    <row r="1963" spans="1:14">
      <c r="A1963" t="s">
        <v>9256</v>
      </c>
      <c r="B1963">
        <v>2379065</v>
      </c>
      <c r="C1963">
        <v>2380231</v>
      </c>
      <c r="E1963" t="s">
        <v>14290</v>
      </c>
      <c r="F1963" t="s">
        <v>14445</v>
      </c>
      <c r="H1963">
        <v>93523415</v>
      </c>
      <c r="I1963" t="s">
        <v>14292</v>
      </c>
      <c r="L1963" t="s">
        <v>19484</v>
      </c>
      <c r="M1963">
        <v>388</v>
      </c>
      <c r="N1963" t="s">
        <v>19485</v>
      </c>
    </row>
    <row r="1964" spans="1:14">
      <c r="A1964" t="s">
        <v>9256</v>
      </c>
      <c r="B1964">
        <v>2380497</v>
      </c>
      <c r="C1964">
        <v>2381060</v>
      </c>
      <c r="E1964" t="s">
        <v>14290</v>
      </c>
      <c r="F1964" t="s">
        <v>19486</v>
      </c>
      <c r="G1964" t="s">
        <v>19487</v>
      </c>
      <c r="H1964">
        <v>93523416</v>
      </c>
      <c r="I1964" t="s">
        <v>14292</v>
      </c>
      <c r="L1964" t="s">
        <v>19488</v>
      </c>
      <c r="M1964">
        <v>187</v>
      </c>
      <c r="N1964" t="s">
        <v>19489</v>
      </c>
    </row>
    <row r="1965" spans="1:14">
      <c r="A1965" t="s">
        <v>9256</v>
      </c>
      <c r="B1965">
        <v>2381156</v>
      </c>
      <c r="C1965">
        <v>2382088</v>
      </c>
      <c r="E1965" t="s">
        <v>14290</v>
      </c>
      <c r="F1965" t="s">
        <v>19490</v>
      </c>
      <c r="G1965" t="s">
        <v>19491</v>
      </c>
      <c r="H1965">
        <v>93523417</v>
      </c>
      <c r="I1965" t="s">
        <v>14292</v>
      </c>
      <c r="L1965" t="s">
        <v>19492</v>
      </c>
      <c r="M1965">
        <v>310</v>
      </c>
      <c r="N1965" t="s">
        <v>19493</v>
      </c>
    </row>
    <row r="1966" spans="1:14">
      <c r="A1966" t="s">
        <v>9256</v>
      </c>
      <c r="B1966">
        <v>2382104</v>
      </c>
      <c r="C1966">
        <v>2383429</v>
      </c>
      <c r="E1966" t="s">
        <v>14314</v>
      </c>
      <c r="F1966" t="s">
        <v>19494</v>
      </c>
      <c r="G1966" t="s">
        <v>19495</v>
      </c>
      <c r="H1966">
        <v>93523418</v>
      </c>
      <c r="I1966" t="s">
        <v>14292</v>
      </c>
      <c r="L1966" t="s">
        <v>19496</v>
      </c>
      <c r="M1966">
        <v>441</v>
      </c>
      <c r="N1966" t="s">
        <v>19497</v>
      </c>
    </row>
    <row r="1967" spans="1:14">
      <c r="A1967" t="s">
        <v>9256</v>
      </c>
      <c r="B1967">
        <v>2384052</v>
      </c>
      <c r="C1967">
        <v>2387087</v>
      </c>
      <c r="E1967" t="s">
        <v>14290</v>
      </c>
      <c r="F1967" t="s">
        <v>14965</v>
      </c>
      <c r="H1967">
        <v>93523419</v>
      </c>
      <c r="I1967" t="s">
        <v>14292</v>
      </c>
      <c r="L1967" t="s">
        <v>19498</v>
      </c>
      <c r="M1967">
        <v>1011</v>
      </c>
      <c r="N1967" t="s">
        <v>19499</v>
      </c>
    </row>
    <row r="1968" spans="1:14">
      <c r="A1968" t="s">
        <v>9256</v>
      </c>
      <c r="B1968">
        <v>2387106</v>
      </c>
      <c r="C1968">
        <v>2388758</v>
      </c>
      <c r="E1968" t="s">
        <v>14290</v>
      </c>
      <c r="F1968" t="s">
        <v>14962</v>
      </c>
      <c r="H1968">
        <v>93523420</v>
      </c>
      <c r="I1968" t="s">
        <v>14292</v>
      </c>
      <c r="L1968" t="s">
        <v>19500</v>
      </c>
      <c r="M1968">
        <v>550</v>
      </c>
      <c r="N1968" t="s">
        <v>19501</v>
      </c>
    </row>
    <row r="1969" spans="1:14">
      <c r="A1969" t="s">
        <v>9256</v>
      </c>
      <c r="B1969">
        <v>2388872</v>
      </c>
      <c r="C1969">
        <v>2391505</v>
      </c>
      <c r="E1969" t="s">
        <v>14290</v>
      </c>
      <c r="F1969" t="s">
        <v>18889</v>
      </c>
      <c r="H1969">
        <v>93523421</v>
      </c>
      <c r="I1969" t="s">
        <v>14292</v>
      </c>
      <c r="L1969" t="s">
        <v>19502</v>
      </c>
      <c r="M1969">
        <v>877</v>
      </c>
      <c r="N1969" t="s">
        <v>19503</v>
      </c>
    </row>
    <row r="1970" spans="1:14">
      <c r="A1970" t="s">
        <v>9256</v>
      </c>
      <c r="B1970">
        <v>2391484</v>
      </c>
      <c r="C1970">
        <v>2392086</v>
      </c>
      <c r="E1970" t="s">
        <v>14314</v>
      </c>
      <c r="F1970" t="s">
        <v>19504</v>
      </c>
      <c r="H1970">
        <v>93523422</v>
      </c>
      <c r="I1970" t="s">
        <v>14292</v>
      </c>
      <c r="L1970" t="s">
        <v>19505</v>
      </c>
      <c r="M1970">
        <v>200</v>
      </c>
      <c r="N1970" t="s">
        <v>19506</v>
      </c>
    </row>
    <row r="1971" spans="1:14">
      <c r="A1971" t="s">
        <v>9256</v>
      </c>
      <c r="B1971">
        <v>2392088</v>
      </c>
      <c r="C1971">
        <v>2392945</v>
      </c>
      <c r="E1971" t="s">
        <v>14314</v>
      </c>
      <c r="F1971" t="s">
        <v>19507</v>
      </c>
      <c r="H1971">
        <v>93523423</v>
      </c>
      <c r="I1971" t="s">
        <v>14292</v>
      </c>
      <c r="L1971" t="s">
        <v>19508</v>
      </c>
      <c r="M1971">
        <v>285</v>
      </c>
      <c r="N1971" t="s">
        <v>19509</v>
      </c>
    </row>
    <row r="1972" spans="1:14">
      <c r="A1972" t="s">
        <v>9256</v>
      </c>
      <c r="B1972">
        <v>2393081</v>
      </c>
      <c r="C1972">
        <v>2395546</v>
      </c>
      <c r="E1972" t="s">
        <v>14314</v>
      </c>
      <c r="F1972" t="s">
        <v>19510</v>
      </c>
      <c r="H1972">
        <v>93523424</v>
      </c>
      <c r="I1972" t="s">
        <v>14292</v>
      </c>
      <c r="L1972" t="s">
        <v>19511</v>
      </c>
      <c r="M1972">
        <v>821</v>
      </c>
      <c r="N1972" t="s">
        <v>19512</v>
      </c>
    </row>
    <row r="1973" spans="1:14">
      <c r="A1973" t="s">
        <v>9256</v>
      </c>
      <c r="B1973">
        <v>2395551</v>
      </c>
      <c r="C1973">
        <v>2396537</v>
      </c>
      <c r="E1973" t="s">
        <v>14314</v>
      </c>
      <c r="F1973" t="s">
        <v>19513</v>
      </c>
      <c r="H1973">
        <v>93523425</v>
      </c>
      <c r="I1973" t="s">
        <v>14292</v>
      </c>
      <c r="L1973" t="s">
        <v>19514</v>
      </c>
      <c r="M1973">
        <v>328</v>
      </c>
      <c r="N1973" t="s">
        <v>19515</v>
      </c>
    </row>
    <row r="1974" spans="1:14">
      <c r="A1974" t="s">
        <v>9256</v>
      </c>
      <c r="B1974">
        <v>2396776</v>
      </c>
      <c r="C1974">
        <v>2397573</v>
      </c>
      <c r="E1974" t="s">
        <v>14314</v>
      </c>
      <c r="F1974" t="s">
        <v>19516</v>
      </c>
      <c r="H1974">
        <v>93523426</v>
      </c>
      <c r="I1974" t="s">
        <v>14292</v>
      </c>
      <c r="L1974" t="s">
        <v>19517</v>
      </c>
      <c r="M1974">
        <v>265</v>
      </c>
      <c r="N1974" t="s">
        <v>19518</v>
      </c>
    </row>
    <row r="1975" spans="1:14">
      <c r="A1975" t="s">
        <v>9256</v>
      </c>
      <c r="B1975">
        <v>2397604</v>
      </c>
      <c r="C1975">
        <v>2399940</v>
      </c>
      <c r="E1975" t="s">
        <v>14314</v>
      </c>
      <c r="F1975" t="s">
        <v>14780</v>
      </c>
      <c r="H1975">
        <v>93523427</v>
      </c>
      <c r="I1975" t="s">
        <v>14292</v>
      </c>
      <c r="L1975" t="s">
        <v>19519</v>
      </c>
      <c r="M1975">
        <v>778</v>
      </c>
      <c r="N1975" t="s">
        <v>19520</v>
      </c>
    </row>
    <row r="1976" spans="1:14">
      <c r="A1976" t="s">
        <v>9256</v>
      </c>
      <c r="B1976">
        <v>2400122</v>
      </c>
      <c r="C1976">
        <v>2401717</v>
      </c>
      <c r="E1976" t="s">
        <v>14314</v>
      </c>
      <c r="F1976" t="s">
        <v>15179</v>
      </c>
      <c r="H1976">
        <v>93523428</v>
      </c>
      <c r="I1976" t="s">
        <v>14292</v>
      </c>
      <c r="L1976" t="s">
        <v>19521</v>
      </c>
      <c r="M1976">
        <v>531</v>
      </c>
      <c r="N1976" t="s">
        <v>19522</v>
      </c>
    </row>
    <row r="1977" spans="1:14">
      <c r="A1977" t="s">
        <v>9256</v>
      </c>
      <c r="B1977">
        <v>2401747</v>
      </c>
      <c r="C1977">
        <v>2404809</v>
      </c>
      <c r="E1977" t="s">
        <v>14314</v>
      </c>
      <c r="F1977" t="s">
        <v>14965</v>
      </c>
      <c r="H1977">
        <v>93523429</v>
      </c>
      <c r="I1977" t="s">
        <v>14292</v>
      </c>
      <c r="L1977" t="s">
        <v>19523</v>
      </c>
      <c r="M1977">
        <v>1020</v>
      </c>
      <c r="N1977" t="s">
        <v>19524</v>
      </c>
    </row>
    <row r="1978" spans="1:14">
      <c r="A1978" t="s">
        <v>9256</v>
      </c>
      <c r="B1978">
        <v>2405012</v>
      </c>
      <c r="C1978">
        <v>2409052</v>
      </c>
      <c r="E1978" t="s">
        <v>14314</v>
      </c>
      <c r="F1978" t="s">
        <v>17838</v>
      </c>
      <c r="H1978">
        <v>93523430</v>
      </c>
      <c r="I1978" t="s">
        <v>14292</v>
      </c>
      <c r="L1978" t="s">
        <v>19525</v>
      </c>
      <c r="M1978">
        <v>1346</v>
      </c>
      <c r="N1978" t="s">
        <v>19526</v>
      </c>
    </row>
    <row r="1979" spans="1:14">
      <c r="A1979" t="s">
        <v>9256</v>
      </c>
      <c r="B1979">
        <v>2409209</v>
      </c>
      <c r="C1979">
        <v>2411512</v>
      </c>
      <c r="E1979" t="s">
        <v>14290</v>
      </c>
      <c r="F1979" t="s">
        <v>14870</v>
      </c>
      <c r="H1979">
        <v>93523431</v>
      </c>
      <c r="I1979" t="s">
        <v>14292</v>
      </c>
      <c r="L1979" t="s">
        <v>19527</v>
      </c>
      <c r="M1979">
        <v>767</v>
      </c>
      <c r="N1979" t="s">
        <v>19528</v>
      </c>
    </row>
    <row r="1980" spans="1:14">
      <c r="A1980" t="s">
        <v>9256</v>
      </c>
      <c r="B1980">
        <v>2411683</v>
      </c>
      <c r="C1980">
        <v>2413923</v>
      </c>
      <c r="E1980" t="s">
        <v>14290</v>
      </c>
      <c r="F1980" t="s">
        <v>19529</v>
      </c>
      <c r="G1980" t="s">
        <v>19530</v>
      </c>
      <c r="H1980">
        <v>93523432</v>
      </c>
      <c r="I1980" t="s">
        <v>14292</v>
      </c>
      <c r="L1980" t="s">
        <v>19531</v>
      </c>
      <c r="M1980">
        <v>746</v>
      </c>
      <c r="N1980" t="s">
        <v>19532</v>
      </c>
    </row>
    <row r="1981" spans="1:14">
      <c r="A1981" t="s">
        <v>9256</v>
      </c>
      <c r="B1981">
        <v>2413924</v>
      </c>
      <c r="C1981">
        <v>2414658</v>
      </c>
      <c r="E1981" t="s">
        <v>14290</v>
      </c>
      <c r="F1981" t="s">
        <v>19533</v>
      </c>
      <c r="G1981" t="s">
        <v>19534</v>
      </c>
      <c r="H1981">
        <v>93523433</v>
      </c>
      <c r="I1981" t="s">
        <v>14292</v>
      </c>
      <c r="L1981" t="s">
        <v>19535</v>
      </c>
      <c r="M1981">
        <v>244</v>
      </c>
      <c r="N1981" t="s">
        <v>19536</v>
      </c>
    </row>
    <row r="1982" spans="1:14">
      <c r="A1982" t="s">
        <v>9256</v>
      </c>
      <c r="B1982">
        <v>2414845</v>
      </c>
      <c r="C1982">
        <v>2415435</v>
      </c>
      <c r="E1982" t="s">
        <v>14290</v>
      </c>
      <c r="F1982" t="s">
        <v>15027</v>
      </c>
      <c r="H1982">
        <v>93523434</v>
      </c>
      <c r="I1982" t="s">
        <v>14292</v>
      </c>
      <c r="L1982" t="s">
        <v>19537</v>
      </c>
      <c r="M1982">
        <v>196</v>
      </c>
      <c r="N1982" t="s">
        <v>19538</v>
      </c>
    </row>
    <row r="1983" spans="1:14">
      <c r="A1983" t="s">
        <v>9256</v>
      </c>
      <c r="B1983">
        <v>2415543</v>
      </c>
      <c r="C1983">
        <v>2416823</v>
      </c>
      <c r="E1983" t="s">
        <v>14290</v>
      </c>
      <c r="F1983" t="s">
        <v>16669</v>
      </c>
      <c r="G1983" t="s">
        <v>16670</v>
      </c>
      <c r="H1983">
        <v>93523435</v>
      </c>
      <c r="I1983" t="s">
        <v>14292</v>
      </c>
      <c r="L1983" t="s">
        <v>19539</v>
      </c>
      <c r="M1983">
        <v>426</v>
      </c>
      <c r="N1983" t="s">
        <v>19540</v>
      </c>
    </row>
    <row r="1984" spans="1:14">
      <c r="A1984" t="s">
        <v>9256</v>
      </c>
      <c r="B1984">
        <v>2417044</v>
      </c>
      <c r="C1984">
        <v>2417610</v>
      </c>
      <c r="E1984" t="s">
        <v>14290</v>
      </c>
      <c r="F1984" t="s">
        <v>19541</v>
      </c>
      <c r="G1984" t="s">
        <v>19542</v>
      </c>
      <c r="H1984">
        <v>93523436</v>
      </c>
      <c r="I1984" t="s">
        <v>14292</v>
      </c>
      <c r="L1984" t="s">
        <v>19543</v>
      </c>
      <c r="M1984">
        <v>188</v>
      </c>
      <c r="N1984" t="s">
        <v>19544</v>
      </c>
    </row>
    <row r="1985" spans="1:14">
      <c r="A1985" t="s">
        <v>9256</v>
      </c>
      <c r="B1985">
        <v>2417630</v>
      </c>
      <c r="C1985">
        <v>2419183</v>
      </c>
      <c r="E1985" t="s">
        <v>14290</v>
      </c>
      <c r="F1985" t="s">
        <v>19545</v>
      </c>
      <c r="G1985" t="s">
        <v>19546</v>
      </c>
      <c r="H1985">
        <v>93523437</v>
      </c>
      <c r="I1985" t="s">
        <v>14292</v>
      </c>
      <c r="L1985" t="s">
        <v>19547</v>
      </c>
      <c r="M1985">
        <v>517</v>
      </c>
      <c r="N1985" t="s">
        <v>19548</v>
      </c>
    </row>
    <row r="1986" spans="1:14">
      <c r="A1986" t="s">
        <v>9256</v>
      </c>
      <c r="B1986">
        <v>2419268</v>
      </c>
      <c r="C1986">
        <v>2419618</v>
      </c>
      <c r="E1986" t="s">
        <v>14290</v>
      </c>
      <c r="F1986" t="s">
        <v>14291</v>
      </c>
      <c r="H1986">
        <v>93523438</v>
      </c>
      <c r="I1986" t="s">
        <v>14292</v>
      </c>
      <c r="L1986" t="s">
        <v>19549</v>
      </c>
      <c r="M1986">
        <v>116</v>
      </c>
      <c r="N1986" t="s">
        <v>19550</v>
      </c>
    </row>
    <row r="1987" spans="1:14">
      <c r="A1987" t="s">
        <v>9256</v>
      </c>
      <c r="B1987">
        <v>2419665</v>
      </c>
      <c r="C1987">
        <v>2421974</v>
      </c>
      <c r="E1987" t="s">
        <v>14290</v>
      </c>
      <c r="F1987" t="s">
        <v>15450</v>
      </c>
      <c r="H1987">
        <v>93523439</v>
      </c>
      <c r="I1987" t="s">
        <v>14292</v>
      </c>
      <c r="L1987" t="s">
        <v>19551</v>
      </c>
      <c r="M1987">
        <v>769</v>
      </c>
      <c r="N1987" t="s">
        <v>19552</v>
      </c>
    </row>
    <row r="1988" spans="1:14">
      <c r="A1988" t="s">
        <v>9256</v>
      </c>
      <c r="B1988">
        <v>2422148</v>
      </c>
      <c r="C1988">
        <v>2423140</v>
      </c>
      <c r="E1988" t="s">
        <v>14314</v>
      </c>
      <c r="F1988" t="s">
        <v>14985</v>
      </c>
      <c r="H1988">
        <v>93523440</v>
      </c>
      <c r="I1988" t="s">
        <v>14292</v>
      </c>
      <c r="L1988" t="s">
        <v>19553</v>
      </c>
      <c r="M1988">
        <v>330</v>
      </c>
      <c r="N1988" t="s">
        <v>19554</v>
      </c>
    </row>
    <row r="1989" spans="1:14">
      <c r="A1989" t="s">
        <v>9256</v>
      </c>
      <c r="B1989">
        <v>2423428</v>
      </c>
      <c r="C1989">
        <v>2425809</v>
      </c>
      <c r="E1989" t="s">
        <v>14290</v>
      </c>
      <c r="F1989" t="s">
        <v>15450</v>
      </c>
      <c r="H1989">
        <v>93523441</v>
      </c>
      <c r="I1989" t="s">
        <v>14292</v>
      </c>
      <c r="L1989" t="s">
        <v>19555</v>
      </c>
      <c r="M1989">
        <v>793</v>
      </c>
      <c r="N1989" t="s">
        <v>19556</v>
      </c>
    </row>
    <row r="1990" spans="1:14">
      <c r="A1990" t="s">
        <v>9256</v>
      </c>
      <c r="B1990">
        <v>2425873</v>
      </c>
      <c r="C1990">
        <v>2427288</v>
      </c>
      <c r="E1990" t="s">
        <v>14290</v>
      </c>
      <c r="F1990" t="s">
        <v>19557</v>
      </c>
      <c r="H1990">
        <v>93523442</v>
      </c>
      <c r="I1990" t="s">
        <v>14292</v>
      </c>
      <c r="L1990" t="s">
        <v>19558</v>
      </c>
      <c r="M1990">
        <v>471</v>
      </c>
      <c r="N1990" t="s">
        <v>19559</v>
      </c>
    </row>
    <row r="1991" spans="1:14">
      <c r="A1991" t="s">
        <v>9256</v>
      </c>
      <c r="B1991">
        <v>2427298</v>
      </c>
      <c r="C1991">
        <v>2428128</v>
      </c>
      <c r="E1991" t="s">
        <v>14290</v>
      </c>
      <c r="F1991" t="s">
        <v>15800</v>
      </c>
      <c r="H1991">
        <v>93523443</v>
      </c>
      <c r="I1991" t="s">
        <v>14292</v>
      </c>
      <c r="L1991" t="s">
        <v>19560</v>
      </c>
      <c r="M1991">
        <v>276</v>
      </c>
      <c r="N1991" t="s">
        <v>19561</v>
      </c>
    </row>
    <row r="1992" spans="1:14">
      <c r="A1992" t="s">
        <v>9256</v>
      </c>
      <c r="B1992">
        <v>2428125</v>
      </c>
      <c r="C1992">
        <v>2429228</v>
      </c>
      <c r="E1992" t="s">
        <v>14290</v>
      </c>
      <c r="F1992" t="s">
        <v>19562</v>
      </c>
      <c r="H1992">
        <v>93523444</v>
      </c>
      <c r="I1992" t="s">
        <v>14292</v>
      </c>
      <c r="L1992" t="s">
        <v>19563</v>
      </c>
      <c r="M1992">
        <v>367</v>
      </c>
      <c r="N1992" t="s">
        <v>19564</v>
      </c>
    </row>
    <row r="1993" spans="1:14">
      <c r="A1993" t="s">
        <v>9256</v>
      </c>
      <c r="B1993">
        <v>2429343</v>
      </c>
      <c r="C1993">
        <v>2429852</v>
      </c>
      <c r="E1993" t="s">
        <v>14314</v>
      </c>
      <c r="F1993" t="s">
        <v>19565</v>
      </c>
      <c r="G1993" t="s">
        <v>19566</v>
      </c>
      <c r="H1993">
        <v>93523445</v>
      </c>
      <c r="I1993" t="s">
        <v>14292</v>
      </c>
      <c r="L1993" t="s">
        <v>19567</v>
      </c>
      <c r="M1993">
        <v>169</v>
      </c>
      <c r="N1993" t="s">
        <v>19568</v>
      </c>
    </row>
    <row r="1994" spans="1:14">
      <c r="A1994" t="s">
        <v>9256</v>
      </c>
      <c r="B1994">
        <v>2430434</v>
      </c>
      <c r="C1994">
        <v>2432101</v>
      </c>
      <c r="E1994" t="s">
        <v>14290</v>
      </c>
      <c r="F1994" t="s">
        <v>15756</v>
      </c>
      <c r="H1994">
        <v>93523446</v>
      </c>
      <c r="I1994" t="s">
        <v>14292</v>
      </c>
      <c r="L1994" t="s">
        <v>19569</v>
      </c>
      <c r="M1994">
        <v>555</v>
      </c>
      <c r="N1994" t="s">
        <v>19570</v>
      </c>
    </row>
    <row r="1995" spans="1:14">
      <c r="A1995" t="s">
        <v>9256</v>
      </c>
      <c r="B1995">
        <v>2432119</v>
      </c>
      <c r="C1995">
        <v>2436207</v>
      </c>
      <c r="E1995" t="s">
        <v>14290</v>
      </c>
      <c r="F1995" t="s">
        <v>16282</v>
      </c>
      <c r="H1995">
        <v>93523447</v>
      </c>
      <c r="I1995" t="s">
        <v>14292</v>
      </c>
      <c r="L1995" t="s">
        <v>19571</v>
      </c>
      <c r="M1995">
        <v>1362</v>
      </c>
      <c r="N1995" t="s">
        <v>19572</v>
      </c>
    </row>
    <row r="1996" spans="1:14">
      <c r="A1996" t="s">
        <v>9256</v>
      </c>
      <c r="B1996">
        <v>2436356</v>
      </c>
      <c r="C1996">
        <v>2437399</v>
      </c>
      <c r="E1996" t="s">
        <v>14290</v>
      </c>
      <c r="F1996" t="s">
        <v>19573</v>
      </c>
      <c r="H1996">
        <v>93523448</v>
      </c>
      <c r="I1996" t="s">
        <v>14292</v>
      </c>
      <c r="L1996" t="s">
        <v>19574</v>
      </c>
      <c r="M1996">
        <v>347</v>
      </c>
      <c r="N1996" t="s">
        <v>19575</v>
      </c>
    </row>
    <row r="1997" spans="1:14">
      <c r="A1997" t="s">
        <v>9256</v>
      </c>
      <c r="B1997">
        <v>2438142</v>
      </c>
      <c r="C1997">
        <v>2439809</v>
      </c>
      <c r="E1997" t="s">
        <v>14290</v>
      </c>
      <c r="F1997" t="s">
        <v>15756</v>
      </c>
      <c r="H1997">
        <v>93523449</v>
      </c>
      <c r="I1997" t="s">
        <v>14292</v>
      </c>
      <c r="L1997" t="s">
        <v>19576</v>
      </c>
      <c r="M1997">
        <v>555</v>
      </c>
      <c r="N1997" t="s">
        <v>19577</v>
      </c>
    </row>
    <row r="1998" spans="1:14">
      <c r="A1998" t="s">
        <v>9256</v>
      </c>
      <c r="B1998">
        <v>2439824</v>
      </c>
      <c r="C1998">
        <v>2444728</v>
      </c>
      <c r="E1998" t="s">
        <v>14290</v>
      </c>
      <c r="F1998" t="s">
        <v>16282</v>
      </c>
      <c r="H1998">
        <v>93523450</v>
      </c>
      <c r="I1998" t="s">
        <v>14292</v>
      </c>
      <c r="L1998" t="s">
        <v>19578</v>
      </c>
      <c r="M1998">
        <v>1634</v>
      </c>
      <c r="N1998" t="s">
        <v>19579</v>
      </c>
    </row>
    <row r="1999" spans="1:14">
      <c r="A1999" t="s">
        <v>9256</v>
      </c>
      <c r="B1999">
        <v>2444761</v>
      </c>
      <c r="C1999">
        <v>2446044</v>
      </c>
      <c r="E1999" t="s">
        <v>14290</v>
      </c>
      <c r="F1999" t="s">
        <v>15756</v>
      </c>
      <c r="H1999">
        <v>93523451</v>
      </c>
      <c r="I1999" t="s">
        <v>14292</v>
      </c>
      <c r="L1999" t="s">
        <v>19580</v>
      </c>
      <c r="M1999">
        <v>427</v>
      </c>
      <c r="N1999" t="s">
        <v>19581</v>
      </c>
    </row>
    <row r="2000" spans="1:14">
      <c r="A2000" t="s">
        <v>9256</v>
      </c>
      <c r="B2000">
        <v>2446391</v>
      </c>
      <c r="C2000">
        <v>2446948</v>
      </c>
      <c r="E2000" t="s">
        <v>14290</v>
      </c>
      <c r="F2000" t="s">
        <v>19582</v>
      </c>
      <c r="H2000">
        <v>93523452</v>
      </c>
      <c r="I2000" t="s">
        <v>14292</v>
      </c>
      <c r="L2000" t="s">
        <v>19583</v>
      </c>
      <c r="M2000">
        <v>185</v>
      </c>
      <c r="N2000" t="s">
        <v>19584</v>
      </c>
    </row>
    <row r="2001" spans="1:14">
      <c r="A2001" t="s">
        <v>9256</v>
      </c>
      <c r="B2001">
        <v>2447035</v>
      </c>
      <c r="C2001">
        <v>2448753</v>
      </c>
      <c r="E2001" t="s">
        <v>14314</v>
      </c>
      <c r="F2001" t="s">
        <v>14870</v>
      </c>
      <c r="H2001">
        <v>93523453</v>
      </c>
      <c r="I2001" t="s">
        <v>14292</v>
      </c>
      <c r="L2001" t="s">
        <v>19585</v>
      </c>
      <c r="M2001">
        <v>572</v>
      </c>
      <c r="N2001" t="s">
        <v>19586</v>
      </c>
    </row>
    <row r="2002" spans="1:14">
      <c r="A2002" t="s">
        <v>9256</v>
      </c>
      <c r="B2002">
        <v>2448828</v>
      </c>
      <c r="C2002">
        <v>2449928</v>
      </c>
      <c r="E2002" t="s">
        <v>14314</v>
      </c>
      <c r="F2002" t="s">
        <v>19562</v>
      </c>
      <c r="H2002">
        <v>93523454</v>
      </c>
      <c r="I2002" t="s">
        <v>14292</v>
      </c>
      <c r="L2002" t="s">
        <v>19587</v>
      </c>
      <c r="M2002">
        <v>366</v>
      </c>
      <c r="N2002" t="s">
        <v>19588</v>
      </c>
    </row>
    <row r="2003" spans="1:14">
      <c r="A2003" t="s">
        <v>9256</v>
      </c>
      <c r="B2003">
        <v>2449943</v>
      </c>
      <c r="C2003">
        <v>2452282</v>
      </c>
      <c r="E2003" t="s">
        <v>14314</v>
      </c>
      <c r="F2003" t="s">
        <v>19589</v>
      </c>
      <c r="H2003">
        <v>93523455</v>
      </c>
      <c r="I2003" t="s">
        <v>14292</v>
      </c>
      <c r="L2003" t="s">
        <v>19590</v>
      </c>
      <c r="M2003">
        <v>779</v>
      </c>
      <c r="N2003" t="s">
        <v>19591</v>
      </c>
    </row>
    <row r="2004" spans="1:14">
      <c r="A2004" t="s">
        <v>9256</v>
      </c>
      <c r="B2004">
        <v>2452670</v>
      </c>
      <c r="C2004">
        <v>2454007</v>
      </c>
      <c r="E2004" t="s">
        <v>14314</v>
      </c>
      <c r="F2004" t="s">
        <v>19592</v>
      </c>
      <c r="H2004">
        <v>93523456</v>
      </c>
      <c r="I2004" t="s">
        <v>14292</v>
      </c>
      <c r="L2004" t="s">
        <v>19593</v>
      </c>
      <c r="M2004">
        <v>445</v>
      </c>
      <c r="N2004" t="s">
        <v>19594</v>
      </c>
    </row>
    <row r="2005" spans="1:14">
      <c r="A2005" t="s">
        <v>9256</v>
      </c>
      <c r="B2005">
        <v>2454278</v>
      </c>
      <c r="C2005">
        <v>2456134</v>
      </c>
      <c r="E2005" t="s">
        <v>14314</v>
      </c>
      <c r="F2005" t="s">
        <v>16282</v>
      </c>
      <c r="H2005">
        <v>93523457</v>
      </c>
      <c r="I2005" t="s">
        <v>14292</v>
      </c>
      <c r="L2005" t="s">
        <v>19595</v>
      </c>
      <c r="M2005">
        <v>618</v>
      </c>
      <c r="N2005" t="s">
        <v>19596</v>
      </c>
    </row>
    <row r="2006" spans="1:14">
      <c r="A2006" t="s">
        <v>9256</v>
      </c>
      <c r="B2006">
        <v>2456131</v>
      </c>
      <c r="C2006">
        <v>2457411</v>
      </c>
      <c r="E2006" t="s">
        <v>14314</v>
      </c>
      <c r="F2006" t="s">
        <v>14291</v>
      </c>
      <c r="H2006">
        <v>93523458</v>
      </c>
      <c r="I2006" t="s">
        <v>14292</v>
      </c>
      <c r="L2006" t="s">
        <v>19597</v>
      </c>
      <c r="M2006">
        <v>426</v>
      </c>
      <c r="N2006" t="s">
        <v>19598</v>
      </c>
    </row>
    <row r="2007" spans="1:14">
      <c r="A2007" t="s">
        <v>9256</v>
      </c>
      <c r="B2007">
        <v>2457421</v>
      </c>
      <c r="C2007">
        <v>2458575</v>
      </c>
      <c r="E2007" t="s">
        <v>14314</v>
      </c>
      <c r="F2007" t="s">
        <v>14910</v>
      </c>
      <c r="H2007">
        <v>93523459</v>
      </c>
      <c r="I2007" t="s">
        <v>14292</v>
      </c>
      <c r="L2007" t="s">
        <v>19599</v>
      </c>
      <c r="M2007">
        <v>384</v>
      </c>
      <c r="N2007" t="s">
        <v>19600</v>
      </c>
    </row>
    <row r="2008" spans="1:14">
      <c r="A2008" t="s">
        <v>9256</v>
      </c>
      <c r="B2008">
        <v>2458572</v>
      </c>
      <c r="C2008">
        <v>2460587</v>
      </c>
      <c r="E2008" t="s">
        <v>14314</v>
      </c>
      <c r="F2008" t="s">
        <v>15450</v>
      </c>
      <c r="H2008">
        <v>93523460</v>
      </c>
      <c r="I2008" t="s">
        <v>14292</v>
      </c>
      <c r="L2008" t="s">
        <v>19601</v>
      </c>
      <c r="M2008">
        <v>671</v>
      </c>
      <c r="N2008" t="s">
        <v>19602</v>
      </c>
    </row>
    <row r="2009" spans="1:14">
      <c r="A2009" t="s">
        <v>9256</v>
      </c>
      <c r="B2009">
        <v>2460890</v>
      </c>
      <c r="C2009">
        <v>2461390</v>
      </c>
      <c r="E2009" t="s">
        <v>14314</v>
      </c>
      <c r="F2009" t="s">
        <v>19603</v>
      </c>
      <c r="G2009" t="s">
        <v>19604</v>
      </c>
      <c r="H2009">
        <v>93523461</v>
      </c>
      <c r="I2009" t="s">
        <v>14292</v>
      </c>
      <c r="L2009" t="s">
        <v>19605</v>
      </c>
      <c r="M2009">
        <v>166</v>
      </c>
      <c r="N2009" t="s">
        <v>19606</v>
      </c>
    </row>
    <row r="2010" spans="1:14">
      <c r="A2010" t="s">
        <v>9256</v>
      </c>
      <c r="B2010">
        <v>2461424</v>
      </c>
      <c r="C2010">
        <v>2463631</v>
      </c>
      <c r="E2010" t="s">
        <v>14314</v>
      </c>
      <c r="F2010" t="s">
        <v>19607</v>
      </c>
      <c r="H2010">
        <v>93523462</v>
      </c>
      <c r="I2010" t="s">
        <v>14292</v>
      </c>
      <c r="L2010" t="s">
        <v>19608</v>
      </c>
      <c r="M2010">
        <v>735</v>
      </c>
      <c r="N2010" t="s">
        <v>19609</v>
      </c>
    </row>
    <row r="2011" spans="1:14">
      <c r="A2011" t="s">
        <v>9256</v>
      </c>
      <c r="B2011">
        <v>2464144</v>
      </c>
      <c r="C2011">
        <v>2466327</v>
      </c>
      <c r="E2011" t="s">
        <v>14290</v>
      </c>
      <c r="F2011" t="s">
        <v>15450</v>
      </c>
      <c r="H2011">
        <v>93523463</v>
      </c>
      <c r="I2011" t="s">
        <v>14292</v>
      </c>
      <c r="L2011" t="s">
        <v>19610</v>
      </c>
      <c r="M2011">
        <v>727</v>
      </c>
      <c r="N2011" t="s">
        <v>19611</v>
      </c>
    </row>
    <row r="2012" spans="1:14">
      <c r="A2012" t="s">
        <v>9256</v>
      </c>
      <c r="B2012">
        <v>2466361</v>
      </c>
      <c r="C2012">
        <v>2467290</v>
      </c>
      <c r="E2012" t="s">
        <v>14290</v>
      </c>
      <c r="F2012" t="s">
        <v>19612</v>
      </c>
      <c r="H2012">
        <v>93523464</v>
      </c>
      <c r="I2012" t="s">
        <v>14292</v>
      </c>
      <c r="L2012" t="s">
        <v>19613</v>
      </c>
      <c r="M2012">
        <v>309</v>
      </c>
      <c r="N2012" t="s">
        <v>19614</v>
      </c>
    </row>
    <row r="2013" spans="1:14">
      <c r="A2013" t="s">
        <v>9256</v>
      </c>
      <c r="B2013">
        <v>2467364</v>
      </c>
      <c r="C2013">
        <v>2468461</v>
      </c>
      <c r="E2013" t="s">
        <v>14314</v>
      </c>
      <c r="F2013" t="s">
        <v>19612</v>
      </c>
      <c r="H2013">
        <v>93523465</v>
      </c>
      <c r="I2013" t="s">
        <v>14292</v>
      </c>
      <c r="L2013" t="s">
        <v>19615</v>
      </c>
      <c r="M2013">
        <v>365</v>
      </c>
      <c r="N2013" t="s">
        <v>19616</v>
      </c>
    </row>
    <row r="2014" spans="1:14">
      <c r="A2014" t="s">
        <v>9256</v>
      </c>
      <c r="B2014">
        <v>2468484</v>
      </c>
      <c r="C2014">
        <v>2470547</v>
      </c>
      <c r="E2014" t="s">
        <v>14314</v>
      </c>
      <c r="F2014" t="s">
        <v>14414</v>
      </c>
      <c r="H2014">
        <v>93523466</v>
      </c>
      <c r="I2014" t="s">
        <v>14415</v>
      </c>
      <c r="N2014" t="s">
        <v>19617</v>
      </c>
    </row>
    <row r="2015" spans="1:14">
      <c r="A2015" t="s">
        <v>9256</v>
      </c>
      <c r="B2015">
        <v>2471019</v>
      </c>
      <c r="C2015">
        <v>2471816</v>
      </c>
      <c r="E2015" t="s">
        <v>14314</v>
      </c>
      <c r="F2015" t="s">
        <v>19618</v>
      </c>
      <c r="H2015">
        <v>93523467</v>
      </c>
      <c r="I2015" t="s">
        <v>14292</v>
      </c>
      <c r="L2015" t="s">
        <v>19619</v>
      </c>
      <c r="M2015">
        <v>265</v>
      </c>
      <c r="N2015" t="s">
        <v>19620</v>
      </c>
    </row>
    <row r="2016" spans="1:14">
      <c r="A2016" t="s">
        <v>9256</v>
      </c>
      <c r="B2016">
        <v>2471922</v>
      </c>
      <c r="C2016">
        <v>2472407</v>
      </c>
      <c r="E2016" t="s">
        <v>14314</v>
      </c>
      <c r="F2016" t="s">
        <v>14291</v>
      </c>
      <c r="H2016">
        <v>93523468</v>
      </c>
      <c r="I2016" t="s">
        <v>14292</v>
      </c>
      <c r="L2016" t="s">
        <v>19621</v>
      </c>
      <c r="M2016">
        <v>161</v>
      </c>
      <c r="N2016" t="s">
        <v>19622</v>
      </c>
    </row>
    <row r="2017" spans="1:14">
      <c r="A2017" t="s">
        <v>9256</v>
      </c>
      <c r="B2017">
        <v>2472410</v>
      </c>
      <c r="C2017">
        <v>2473066</v>
      </c>
      <c r="E2017" t="s">
        <v>14314</v>
      </c>
      <c r="F2017" t="s">
        <v>15179</v>
      </c>
      <c r="H2017">
        <v>93523469</v>
      </c>
      <c r="I2017" t="s">
        <v>14292</v>
      </c>
      <c r="L2017" t="s">
        <v>19623</v>
      </c>
      <c r="M2017">
        <v>218</v>
      </c>
      <c r="N2017" t="s">
        <v>19624</v>
      </c>
    </row>
    <row r="2018" spans="1:14">
      <c r="A2018" t="s">
        <v>9256</v>
      </c>
      <c r="B2018">
        <v>2473091</v>
      </c>
      <c r="C2018">
        <v>2474050</v>
      </c>
      <c r="E2018" t="s">
        <v>14314</v>
      </c>
      <c r="F2018" t="s">
        <v>14291</v>
      </c>
      <c r="H2018">
        <v>93523470</v>
      </c>
      <c r="I2018" t="s">
        <v>14292</v>
      </c>
      <c r="L2018" t="s">
        <v>19625</v>
      </c>
      <c r="M2018">
        <v>319</v>
      </c>
      <c r="N2018" t="s">
        <v>19626</v>
      </c>
    </row>
    <row r="2019" spans="1:14">
      <c r="A2019" t="s">
        <v>9256</v>
      </c>
      <c r="B2019">
        <v>2474447</v>
      </c>
      <c r="C2019">
        <v>2474620</v>
      </c>
      <c r="E2019" t="s">
        <v>14314</v>
      </c>
      <c r="F2019" t="s">
        <v>14414</v>
      </c>
      <c r="H2019">
        <v>93525991</v>
      </c>
      <c r="I2019" t="s">
        <v>14415</v>
      </c>
      <c r="N2019" t="s">
        <v>19627</v>
      </c>
    </row>
    <row r="2020" spans="1:14">
      <c r="A2020" t="s">
        <v>9256</v>
      </c>
      <c r="B2020">
        <v>2475384</v>
      </c>
      <c r="C2020">
        <v>2476895</v>
      </c>
      <c r="E2020" t="s">
        <v>14290</v>
      </c>
      <c r="F2020" t="s">
        <v>19628</v>
      </c>
      <c r="G2020" t="s">
        <v>19629</v>
      </c>
      <c r="H2020">
        <v>93523471</v>
      </c>
      <c r="I2020" t="s">
        <v>14292</v>
      </c>
      <c r="L2020" t="s">
        <v>19630</v>
      </c>
      <c r="M2020">
        <v>503</v>
      </c>
      <c r="N2020" t="s">
        <v>19631</v>
      </c>
    </row>
    <row r="2021" spans="1:14">
      <c r="A2021" t="s">
        <v>9256</v>
      </c>
      <c r="B2021">
        <v>2476908</v>
      </c>
      <c r="C2021">
        <v>2477432</v>
      </c>
      <c r="E2021" t="s">
        <v>14290</v>
      </c>
      <c r="F2021" t="s">
        <v>17681</v>
      </c>
      <c r="H2021">
        <v>93523472</v>
      </c>
      <c r="I2021" t="s">
        <v>14292</v>
      </c>
      <c r="L2021" t="s">
        <v>19632</v>
      </c>
      <c r="M2021">
        <v>174</v>
      </c>
      <c r="N2021" t="s">
        <v>19633</v>
      </c>
    </row>
    <row r="2022" spans="1:14">
      <c r="A2022" t="s">
        <v>9256</v>
      </c>
      <c r="B2022">
        <v>2477425</v>
      </c>
      <c r="C2022">
        <v>2478957</v>
      </c>
      <c r="E2022" t="s">
        <v>14290</v>
      </c>
      <c r="F2022" t="s">
        <v>14811</v>
      </c>
      <c r="H2022">
        <v>93523473</v>
      </c>
      <c r="I2022" t="s">
        <v>14292</v>
      </c>
      <c r="L2022" t="s">
        <v>19634</v>
      </c>
      <c r="M2022">
        <v>510</v>
      </c>
      <c r="N2022" t="s">
        <v>19635</v>
      </c>
    </row>
    <row r="2023" spans="1:14">
      <c r="A2023" t="s">
        <v>9256</v>
      </c>
      <c r="B2023">
        <v>2479616</v>
      </c>
      <c r="C2023">
        <v>2481298</v>
      </c>
      <c r="E2023" t="s">
        <v>14290</v>
      </c>
      <c r="F2023" t="s">
        <v>19636</v>
      </c>
      <c r="H2023">
        <v>93523474</v>
      </c>
      <c r="I2023" t="s">
        <v>14292</v>
      </c>
      <c r="L2023" t="s">
        <v>19637</v>
      </c>
      <c r="M2023">
        <v>560</v>
      </c>
      <c r="N2023" t="s">
        <v>19638</v>
      </c>
    </row>
    <row r="2024" spans="1:14">
      <c r="A2024" t="s">
        <v>9256</v>
      </c>
      <c r="B2024">
        <v>2481651</v>
      </c>
      <c r="C2024">
        <v>2483654</v>
      </c>
      <c r="E2024" t="s">
        <v>14290</v>
      </c>
      <c r="F2024" t="s">
        <v>14955</v>
      </c>
      <c r="H2024">
        <v>93523475</v>
      </c>
      <c r="I2024" t="s">
        <v>14292</v>
      </c>
      <c r="L2024" t="s">
        <v>19639</v>
      </c>
      <c r="M2024">
        <v>667</v>
      </c>
      <c r="N2024" t="s">
        <v>19640</v>
      </c>
    </row>
    <row r="2025" spans="1:14">
      <c r="A2025" t="s">
        <v>9256</v>
      </c>
      <c r="B2025">
        <v>2483675</v>
      </c>
      <c r="C2025">
        <v>2485039</v>
      </c>
      <c r="E2025" t="s">
        <v>14290</v>
      </c>
      <c r="F2025" t="s">
        <v>16282</v>
      </c>
      <c r="H2025">
        <v>93523476</v>
      </c>
      <c r="I2025" t="s">
        <v>14292</v>
      </c>
      <c r="L2025" t="s">
        <v>19641</v>
      </c>
      <c r="M2025">
        <v>454</v>
      </c>
      <c r="N2025" t="s">
        <v>19642</v>
      </c>
    </row>
    <row r="2026" spans="1:14">
      <c r="A2026" t="s">
        <v>9256</v>
      </c>
      <c r="B2026">
        <v>2485039</v>
      </c>
      <c r="C2026">
        <v>2486157</v>
      </c>
      <c r="E2026" t="s">
        <v>14290</v>
      </c>
      <c r="F2026" t="s">
        <v>19643</v>
      </c>
      <c r="H2026">
        <v>93523477</v>
      </c>
      <c r="I2026" t="s">
        <v>14292</v>
      </c>
      <c r="L2026" t="s">
        <v>19644</v>
      </c>
      <c r="M2026">
        <v>372</v>
      </c>
      <c r="N2026" t="s">
        <v>19645</v>
      </c>
    </row>
    <row r="2027" spans="1:14">
      <c r="A2027" t="s">
        <v>9256</v>
      </c>
      <c r="B2027">
        <v>2486221</v>
      </c>
      <c r="C2027">
        <v>2488992</v>
      </c>
      <c r="E2027" t="s">
        <v>14290</v>
      </c>
      <c r="F2027" t="s">
        <v>19646</v>
      </c>
      <c r="H2027">
        <v>93523478</v>
      </c>
      <c r="I2027" t="s">
        <v>14292</v>
      </c>
      <c r="L2027" t="s">
        <v>19647</v>
      </c>
      <c r="M2027">
        <v>923</v>
      </c>
      <c r="N2027" t="s">
        <v>19648</v>
      </c>
    </row>
    <row r="2028" spans="1:14">
      <c r="A2028" t="s">
        <v>9256</v>
      </c>
      <c r="B2028">
        <v>2489093</v>
      </c>
      <c r="C2028">
        <v>2490469</v>
      </c>
      <c r="E2028" t="s">
        <v>14314</v>
      </c>
      <c r="F2028" t="s">
        <v>19649</v>
      </c>
      <c r="H2028">
        <v>93523479</v>
      </c>
      <c r="I2028" t="s">
        <v>14292</v>
      </c>
      <c r="L2028" t="s">
        <v>19650</v>
      </c>
      <c r="M2028">
        <v>458</v>
      </c>
      <c r="N2028" t="s">
        <v>19651</v>
      </c>
    </row>
    <row r="2029" spans="1:14">
      <c r="A2029" t="s">
        <v>9256</v>
      </c>
      <c r="B2029">
        <v>2490672</v>
      </c>
      <c r="C2029">
        <v>2492732</v>
      </c>
      <c r="E2029" t="s">
        <v>14314</v>
      </c>
      <c r="F2029" t="s">
        <v>17457</v>
      </c>
      <c r="H2029">
        <v>93523480</v>
      </c>
      <c r="I2029" t="s">
        <v>14292</v>
      </c>
      <c r="L2029" t="s">
        <v>19652</v>
      </c>
      <c r="M2029">
        <v>686</v>
      </c>
      <c r="N2029" t="s">
        <v>19653</v>
      </c>
    </row>
    <row r="2030" spans="1:14">
      <c r="A2030" t="s">
        <v>9256</v>
      </c>
      <c r="B2030">
        <v>2492810</v>
      </c>
      <c r="C2030">
        <v>2496028</v>
      </c>
      <c r="E2030" t="s">
        <v>14314</v>
      </c>
      <c r="F2030" t="s">
        <v>15030</v>
      </c>
      <c r="G2030" t="s">
        <v>15031</v>
      </c>
      <c r="H2030">
        <v>93523481</v>
      </c>
      <c r="I2030" t="s">
        <v>14292</v>
      </c>
      <c r="L2030" t="s">
        <v>19654</v>
      </c>
      <c r="M2030">
        <v>1072</v>
      </c>
      <c r="N2030" t="s">
        <v>19655</v>
      </c>
    </row>
    <row r="2031" spans="1:14">
      <c r="A2031" t="s">
        <v>9256</v>
      </c>
      <c r="B2031">
        <v>2496345</v>
      </c>
      <c r="C2031">
        <v>2498063</v>
      </c>
      <c r="E2031" t="s">
        <v>14290</v>
      </c>
      <c r="F2031" t="s">
        <v>14870</v>
      </c>
      <c r="H2031">
        <v>93523482</v>
      </c>
      <c r="I2031" t="s">
        <v>14292</v>
      </c>
      <c r="L2031" t="s">
        <v>19656</v>
      </c>
      <c r="M2031">
        <v>572</v>
      </c>
      <c r="N2031" t="s">
        <v>19657</v>
      </c>
    </row>
    <row r="2032" spans="1:14">
      <c r="A2032" t="s">
        <v>9256</v>
      </c>
      <c r="B2032">
        <v>2498257</v>
      </c>
      <c r="C2032">
        <v>2498691</v>
      </c>
      <c r="E2032" t="s">
        <v>14314</v>
      </c>
      <c r="F2032" t="s">
        <v>16146</v>
      </c>
      <c r="H2032">
        <v>93523483</v>
      </c>
      <c r="I2032" t="s">
        <v>14292</v>
      </c>
      <c r="L2032" t="s">
        <v>19658</v>
      </c>
      <c r="M2032">
        <v>144</v>
      </c>
      <c r="N2032" t="s">
        <v>19659</v>
      </c>
    </row>
    <row r="2033" spans="1:14">
      <c r="A2033" t="s">
        <v>9256</v>
      </c>
      <c r="B2033">
        <v>2499358</v>
      </c>
      <c r="C2033">
        <v>2499789</v>
      </c>
      <c r="E2033" t="s">
        <v>14290</v>
      </c>
      <c r="F2033" t="s">
        <v>14291</v>
      </c>
      <c r="H2033">
        <v>93523484</v>
      </c>
      <c r="I2033" t="s">
        <v>14292</v>
      </c>
      <c r="L2033" t="s">
        <v>19660</v>
      </c>
      <c r="M2033">
        <v>143</v>
      </c>
      <c r="N2033" t="s">
        <v>19661</v>
      </c>
    </row>
    <row r="2034" spans="1:14">
      <c r="A2034" t="s">
        <v>9256</v>
      </c>
      <c r="B2034">
        <v>2499904</v>
      </c>
      <c r="C2034">
        <v>2501004</v>
      </c>
      <c r="E2034" t="s">
        <v>14290</v>
      </c>
      <c r="F2034" t="s">
        <v>16629</v>
      </c>
      <c r="H2034">
        <v>93523485</v>
      </c>
      <c r="I2034" t="s">
        <v>14292</v>
      </c>
      <c r="L2034" t="s">
        <v>19662</v>
      </c>
      <c r="M2034">
        <v>366</v>
      </c>
      <c r="N2034" t="s">
        <v>19663</v>
      </c>
    </row>
    <row r="2035" spans="1:14">
      <c r="A2035" t="s">
        <v>9256</v>
      </c>
      <c r="B2035">
        <v>2501025</v>
      </c>
      <c r="C2035">
        <v>2501750</v>
      </c>
      <c r="E2035" t="s">
        <v>14290</v>
      </c>
      <c r="F2035" t="s">
        <v>14291</v>
      </c>
      <c r="H2035">
        <v>93525942</v>
      </c>
      <c r="I2035" t="s">
        <v>14292</v>
      </c>
      <c r="L2035" t="s">
        <v>19664</v>
      </c>
      <c r="M2035">
        <v>241</v>
      </c>
      <c r="N2035" t="s">
        <v>19665</v>
      </c>
    </row>
    <row r="2036" spans="1:14">
      <c r="A2036" t="s">
        <v>9256</v>
      </c>
      <c r="B2036">
        <v>2501750</v>
      </c>
      <c r="C2036">
        <v>2504488</v>
      </c>
      <c r="E2036" t="s">
        <v>14290</v>
      </c>
      <c r="F2036" t="s">
        <v>15450</v>
      </c>
      <c r="H2036">
        <v>93523486</v>
      </c>
      <c r="I2036" t="s">
        <v>14292</v>
      </c>
      <c r="L2036" t="s">
        <v>19666</v>
      </c>
      <c r="M2036">
        <v>912</v>
      </c>
      <c r="N2036" t="s">
        <v>19667</v>
      </c>
    </row>
    <row r="2037" spans="1:14">
      <c r="A2037" t="s">
        <v>9256</v>
      </c>
      <c r="B2037">
        <v>2504500</v>
      </c>
      <c r="C2037">
        <v>2506188</v>
      </c>
      <c r="E2037" t="s">
        <v>14290</v>
      </c>
      <c r="F2037" t="s">
        <v>14291</v>
      </c>
      <c r="H2037">
        <v>93523487</v>
      </c>
      <c r="I2037" t="s">
        <v>14292</v>
      </c>
      <c r="L2037" t="s">
        <v>19668</v>
      </c>
      <c r="M2037">
        <v>562</v>
      </c>
      <c r="N2037" t="s">
        <v>19669</v>
      </c>
    </row>
    <row r="2038" spans="1:14">
      <c r="A2038" t="s">
        <v>9256</v>
      </c>
      <c r="B2038">
        <v>2506261</v>
      </c>
      <c r="C2038">
        <v>2507607</v>
      </c>
      <c r="E2038" t="s">
        <v>14314</v>
      </c>
      <c r="F2038" t="s">
        <v>14291</v>
      </c>
      <c r="H2038">
        <v>93523488</v>
      </c>
      <c r="I2038" t="s">
        <v>14292</v>
      </c>
      <c r="L2038" t="s">
        <v>19670</v>
      </c>
      <c r="M2038">
        <v>448</v>
      </c>
      <c r="N2038" t="s">
        <v>19671</v>
      </c>
    </row>
    <row r="2039" spans="1:14">
      <c r="A2039" t="s">
        <v>9256</v>
      </c>
      <c r="B2039">
        <v>2507660</v>
      </c>
      <c r="C2039">
        <v>2510890</v>
      </c>
      <c r="E2039" t="s">
        <v>14314</v>
      </c>
      <c r="F2039" t="s">
        <v>14548</v>
      </c>
      <c r="H2039">
        <v>93523489</v>
      </c>
      <c r="I2039" t="s">
        <v>14292</v>
      </c>
      <c r="L2039" t="s">
        <v>19672</v>
      </c>
      <c r="M2039">
        <v>1076</v>
      </c>
      <c r="N2039" t="s">
        <v>19673</v>
      </c>
    </row>
    <row r="2040" spans="1:14">
      <c r="A2040" t="s">
        <v>9256</v>
      </c>
      <c r="B2040">
        <v>2510880</v>
      </c>
      <c r="C2040">
        <v>2512373</v>
      </c>
      <c r="E2040" t="s">
        <v>14314</v>
      </c>
      <c r="F2040" t="s">
        <v>14545</v>
      </c>
      <c r="H2040">
        <v>93523490</v>
      </c>
      <c r="I2040" t="s">
        <v>14292</v>
      </c>
      <c r="L2040" t="s">
        <v>19674</v>
      </c>
      <c r="M2040">
        <v>497</v>
      </c>
      <c r="N2040" t="s">
        <v>19675</v>
      </c>
    </row>
    <row r="2041" spans="1:14">
      <c r="A2041" t="s">
        <v>9256</v>
      </c>
      <c r="B2041">
        <v>2512370</v>
      </c>
      <c r="C2041">
        <v>2515435</v>
      </c>
      <c r="E2041" t="s">
        <v>14314</v>
      </c>
      <c r="F2041" t="s">
        <v>14548</v>
      </c>
      <c r="H2041">
        <v>93523491</v>
      </c>
      <c r="I2041" t="s">
        <v>14292</v>
      </c>
      <c r="L2041" t="s">
        <v>19676</v>
      </c>
      <c r="M2041">
        <v>1021</v>
      </c>
      <c r="N2041" t="s">
        <v>19677</v>
      </c>
    </row>
    <row r="2042" spans="1:14">
      <c r="A2042" t="s">
        <v>9256</v>
      </c>
      <c r="B2042">
        <v>2515463</v>
      </c>
      <c r="C2042">
        <v>2516530</v>
      </c>
      <c r="E2042" t="s">
        <v>14314</v>
      </c>
      <c r="F2042" t="s">
        <v>14503</v>
      </c>
      <c r="H2042">
        <v>93523492</v>
      </c>
      <c r="I2042" t="s">
        <v>14292</v>
      </c>
      <c r="L2042" t="s">
        <v>19678</v>
      </c>
      <c r="M2042">
        <v>355</v>
      </c>
      <c r="N2042" t="s">
        <v>19679</v>
      </c>
    </row>
    <row r="2043" spans="1:14">
      <c r="A2043" t="s">
        <v>9256</v>
      </c>
      <c r="B2043">
        <v>2516631</v>
      </c>
      <c r="C2043">
        <v>2518439</v>
      </c>
      <c r="E2043" t="s">
        <v>14314</v>
      </c>
      <c r="F2043" t="s">
        <v>15071</v>
      </c>
      <c r="H2043">
        <v>93523493</v>
      </c>
      <c r="I2043" t="s">
        <v>14292</v>
      </c>
      <c r="L2043" t="s">
        <v>19680</v>
      </c>
      <c r="M2043">
        <v>602</v>
      </c>
      <c r="N2043" t="s">
        <v>19681</v>
      </c>
    </row>
    <row r="2044" spans="1:14">
      <c r="A2044" t="s">
        <v>9256</v>
      </c>
      <c r="B2044">
        <v>2518442</v>
      </c>
      <c r="C2044">
        <v>2519851</v>
      </c>
      <c r="E2044" t="s">
        <v>14314</v>
      </c>
      <c r="F2044" t="s">
        <v>18860</v>
      </c>
      <c r="H2044">
        <v>93523494</v>
      </c>
      <c r="I2044" t="s">
        <v>14292</v>
      </c>
      <c r="L2044" t="s">
        <v>19682</v>
      </c>
      <c r="M2044">
        <v>469</v>
      </c>
      <c r="N2044" t="s">
        <v>19683</v>
      </c>
    </row>
    <row r="2045" spans="1:14">
      <c r="A2045" t="s">
        <v>9256</v>
      </c>
      <c r="B2045">
        <v>2519858</v>
      </c>
      <c r="C2045">
        <v>2520718</v>
      </c>
      <c r="E2045" t="s">
        <v>14314</v>
      </c>
      <c r="F2045" t="s">
        <v>18203</v>
      </c>
      <c r="G2045" t="s">
        <v>18204</v>
      </c>
      <c r="H2045">
        <v>93523495</v>
      </c>
      <c r="I2045" t="s">
        <v>14292</v>
      </c>
      <c r="L2045" t="s">
        <v>19684</v>
      </c>
      <c r="M2045">
        <v>286</v>
      </c>
      <c r="N2045" t="s">
        <v>19685</v>
      </c>
    </row>
    <row r="2046" spans="1:14">
      <c r="A2046" t="s">
        <v>9256</v>
      </c>
      <c r="B2046">
        <v>2520814</v>
      </c>
      <c r="C2046">
        <v>2521866</v>
      </c>
      <c r="E2046" t="s">
        <v>14314</v>
      </c>
      <c r="F2046" t="s">
        <v>18857</v>
      </c>
      <c r="H2046">
        <v>93523496</v>
      </c>
      <c r="I2046" t="s">
        <v>14292</v>
      </c>
      <c r="L2046" t="s">
        <v>19686</v>
      </c>
      <c r="M2046">
        <v>350</v>
      </c>
      <c r="N2046" t="s">
        <v>19687</v>
      </c>
    </row>
    <row r="2047" spans="1:14">
      <c r="A2047" t="s">
        <v>9256</v>
      </c>
      <c r="B2047">
        <v>2522054</v>
      </c>
      <c r="C2047">
        <v>2522284</v>
      </c>
      <c r="E2047" t="s">
        <v>14314</v>
      </c>
      <c r="F2047" t="s">
        <v>18851</v>
      </c>
      <c r="H2047">
        <v>93523497</v>
      </c>
      <c r="I2047" t="s">
        <v>14292</v>
      </c>
      <c r="L2047" t="s">
        <v>19688</v>
      </c>
      <c r="M2047">
        <v>76</v>
      </c>
      <c r="N2047" t="s">
        <v>19689</v>
      </c>
    </row>
    <row r="2048" spans="1:14">
      <c r="A2048" t="s">
        <v>9256</v>
      </c>
      <c r="B2048">
        <v>2522491</v>
      </c>
      <c r="C2048">
        <v>2523345</v>
      </c>
      <c r="E2048" t="s">
        <v>14314</v>
      </c>
      <c r="F2048" t="s">
        <v>18848</v>
      </c>
      <c r="H2048">
        <v>93523498</v>
      </c>
      <c r="I2048" t="s">
        <v>14292</v>
      </c>
      <c r="L2048" t="s">
        <v>19690</v>
      </c>
      <c r="M2048">
        <v>284</v>
      </c>
      <c r="N2048" t="s">
        <v>19691</v>
      </c>
    </row>
    <row r="2049" spans="1:14">
      <c r="A2049" t="s">
        <v>9256</v>
      </c>
      <c r="B2049">
        <v>2523358</v>
      </c>
      <c r="C2049">
        <v>2524407</v>
      </c>
      <c r="E2049" t="s">
        <v>14314</v>
      </c>
      <c r="F2049" t="s">
        <v>19692</v>
      </c>
      <c r="H2049">
        <v>93523499</v>
      </c>
      <c r="I2049" t="s">
        <v>14292</v>
      </c>
      <c r="L2049" t="s">
        <v>19693</v>
      </c>
      <c r="M2049">
        <v>349</v>
      </c>
      <c r="N2049" t="s">
        <v>19694</v>
      </c>
    </row>
    <row r="2050" spans="1:14">
      <c r="A2050" t="s">
        <v>9256</v>
      </c>
      <c r="B2050">
        <v>2524416</v>
      </c>
      <c r="C2050">
        <v>2524634</v>
      </c>
      <c r="E2050" t="s">
        <v>14314</v>
      </c>
      <c r="F2050" t="s">
        <v>18851</v>
      </c>
      <c r="H2050">
        <v>93523500</v>
      </c>
      <c r="I2050" t="s">
        <v>14292</v>
      </c>
      <c r="L2050" t="s">
        <v>19695</v>
      </c>
      <c r="M2050">
        <v>72</v>
      </c>
      <c r="N2050" t="s">
        <v>19696</v>
      </c>
    </row>
    <row r="2051" spans="1:14">
      <c r="A2051" t="s">
        <v>9256</v>
      </c>
      <c r="B2051">
        <v>2524827</v>
      </c>
      <c r="C2051">
        <v>2525834</v>
      </c>
      <c r="E2051" t="s">
        <v>14290</v>
      </c>
      <c r="F2051" t="s">
        <v>15411</v>
      </c>
      <c r="H2051">
        <v>93523501</v>
      </c>
      <c r="I2051" t="s">
        <v>14292</v>
      </c>
      <c r="L2051" t="s">
        <v>19697</v>
      </c>
      <c r="M2051">
        <v>335</v>
      </c>
      <c r="N2051" t="s">
        <v>19698</v>
      </c>
    </row>
    <row r="2052" spans="1:14">
      <c r="A2052" t="s">
        <v>9256</v>
      </c>
      <c r="B2052">
        <v>2526764</v>
      </c>
      <c r="C2052">
        <v>2527936</v>
      </c>
      <c r="E2052" t="s">
        <v>14290</v>
      </c>
      <c r="F2052" t="s">
        <v>14870</v>
      </c>
      <c r="H2052">
        <v>93523502</v>
      </c>
      <c r="I2052" t="s">
        <v>14292</v>
      </c>
      <c r="L2052" t="s">
        <v>19699</v>
      </c>
      <c r="M2052">
        <v>390</v>
      </c>
      <c r="N2052" t="s">
        <v>19700</v>
      </c>
    </row>
    <row r="2053" spans="1:14">
      <c r="A2053" t="s">
        <v>9256</v>
      </c>
      <c r="B2053">
        <v>2527944</v>
      </c>
      <c r="C2053">
        <v>2529206</v>
      </c>
      <c r="E2053" t="s">
        <v>14314</v>
      </c>
      <c r="F2053" t="s">
        <v>19701</v>
      </c>
      <c r="H2053">
        <v>93523503</v>
      </c>
      <c r="I2053" t="s">
        <v>14292</v>
      </c>
      <c r="L2053" t="s">
        <v>19702</v>
      </c>
      <c r="M2053">
        <v>420</v>
      </c>
      <c r="N2053" t="s">
        <v>19703</v>
      </c>
    </row>
    <row r="2054" spans="1:14">
      <c r="A2054" t="s">
        <v>9256</v>
      </c>
      <c r="B2054">
        <v>2529336</v>
      </c>
      <c r="C2054">
        <v>2530277</v>
      </c>
      <c r="E2054" t="s">
        <v>14314</v>
      </c>
      <c r="F2054" t="s">
        <v>15525</v>
      </c>
      <c r="H2054">
        <v>93523504</v>
      </c>
      <c r="I2054" t="s">
        <v>14292</v>
      </c>
      <c r="L2054" t="s">
        <v>19704</v>
      </c>
      <c r="M2054">
        <v>313</v>
      </c>
      <c r="N2054" t="s">
        <v>19705</v>
      </c>
    </row>
    <row r="2055" spans="1:14">
      <c r="A2055" t="s">
        <v>9256</v>
      </c>
      <c r="B2055">
        <v>2530377</v>
      </c>
      <c r="C2055">
        <v>2530679</v>
      </c>
      <c r="E2055" t="s">
        <v>14290</v>
      </c>
      <c r="F2055" t="s">
        <v>19706</v>
      </c>
      <c r="H2055">
        <v>93523505</v>
      </c>
      <c r="I2055" t="s">
        <v>14292</v>
      </c>
      <c r="L2055" t="s">
        <v>19707</v>
      </c>
      <c r="M2055">
        <v>100</v>
      </c>
      <c r="N2055" t="s">
        <v>19708</v>
      </c>
    </row>
    <row r="2056" spans="1:14">
      <c r="A2056" t="s">
        <v>9256</v>
      </c>
      <c r="B2056">
        <v>2530762</v>
      </c>
      <c r="C2056">
        <v>2531814</v>
      </c>
      <c r="E2056" t="s">
        <v>14290</v>
      </c>
      <c r="F2056" t="s">
        <v>19709</v>
      </c>
      <c r="G2056" t="s">
        <v>19710</v>
      </c>
      <c r="H2056">
        <v>93523506</v>
      </c>
      <c r="I2056" t="s">
        <v>14292</v>
      </c>
      <c r="L2056" t="s">
        <v>19711</v>
      </c>
      <c r="M2056">
        <v>350</v>
      </c>
      <c r="N2056" t="s">
        <v>19712</v>
      </c>
    </row>
    <row r="2057" spans="1:14">
      <c r="A2057" t="s">
        <v>9256</v>
      </c>
      <c r="B2057">
        <v>2531964</v>
      </c>
      <c r="C2057">
        <v>2532476</v>
      </c>
      <c r="E2057" t="s">
        <v>14290</v>
      </c>
      <c r="F2057" t="s">
        <v>14982</v>
      </c>
      <c r="H2057">
        <v>93523507</v>
      </c>
      <c r="I2057" t="s">
        <v>14292</v>
      </c>
      <c r="L2057" t="s">
        <v>19713</v>
      </c>
      <c r="M2057">
        <v>170</v>
      </c>
      <c r="N2057" t="s">
        <v>19714</v>
      </c>
    </row>
    <row r="2058" spans="1:14">
      <c r="A2058" t="s">
        <v>9256</v>
      </c>
      <c r="B2058">
        <v>2532565</v>
      </c>
      <c r="C2058">
        <v>2533374</v>
      </c>
      <c r="E2058" t="s">
        <v>14290</v>
      </c>
      <c r="F2058" t="s">
        <v>14464</v>
      </c>
      <c r="H2058">
        <v>93523508</v>
      </c>
      <c r="I2058" t="s">
        <v>14292</v>
      </c>
      <c r="L2058" t="s">
        <v>19715</v>
      </c>
      <c r="M2058">
        <v>269</v>
      </c>
      <c r="N2058" t="s">
        <v>19716</v>
      </c>
    </row>
    <row r="2059" spans="1:14">
      <c r="A2059" t="s">
        <v>9256</v>
      </c>
      <c r="B2059">
        <v>2533576</v>
      </c>
      <c r="C2059">
        <v>2534421</v>
      </c>
      <c r="E2059" t="s">
        <v>14290</v>
      </c>
      <c r="F2059" t="s">
        <v>14972</v>
      </c>
      <c r="H2059">
        <v>93523509</v>
      </c>
      <c r="I2059" t="s">
        <v>14292</v>
      </c>
      <c r="L2059" t="s">
        <v>19717</v>
      </c>
      <c r="M2059">
        <v>281</v>
      </c>
      <c r="N2059" t="s">
        <v>19718</v>
      </c>
    </row>
    <row r="2060" spans="1:14">
      <c r="A2060" t="s">
        <v>9256</v>
      </c>
      <c r="B2060">
        <v>2534435</v>
      </c>
      <c r="C2060">
        <v>2537098</v>
      </c>
      <c r="E2060" t="s">
        <v>14290</v>
      </c>
      <c r="F2060" t="s">
        <v>15450</v>
      </c>
      <c r="H2060">
        <v>93523510</v>
      </c>
      <c r="I2060" t="s">
        <v>14292</v>
      </c>
      <c r="L2060" t="s">
        <v>19719</v>
      </c>
      <c r="M2060">
        <v>887</v>
      </c>
      <c r="N2060" t="s">
        <v>19720</v>
      </c>
    </row>
    <row r="2061" spans="1:14">
      <c r="A2061" t="s">
        <v>9256</v>
      </c>
      <c r="B2061">
        <v>2537102</v>
      </c>
      <c r="C2061">
        <v>2538124</v>
      </c>
      <c r="E2061" t="s">
        <v>14290</v>
      </c>
      <c r="F2061" t="s">
        <v>16629</v>
      </c>
      <c r="H2061">
        <v>93523511</v>
      </c>
      <c r="I2061" t="s">
        <v>14292</v>
      </c>
      <c r="L2061" t="s">
        <v>19721</v>
      </c>
      <c r="M2061">
        <v>340</v>
      </c>
      <c r="N2061" t="s">
        <v>19722</v>
      </c>
    </row>
    <row r="2062" spans="1:14">
      <c r="A2062" t="s">
        <v>9256</v>
      </c>
      <c r="B2062">
        <v>2538265</v>
      </c>
      <c r="C2062">
        <v>2539601</v>
      </c>
      <c r="E2062" t="s">
        <v>14290</v>
      </c>
      <c r="F2062" t="s">
        <v>14414</v>
      </c>
      <c r="H2062">
        <v>93523512</v>
      </c>
      <c r="I2062" t="s">
        <v>14415</v>
      </c>
      <c r="N2062" t="s">
        <v>19723</v>
      </c>
    </row>
    <row r="2063" spans="1:14">
      <c r="A2063" t="s">
        <v>9256</v>
      </c>
      <c r="B2063">
        <v>2539554</v>
      </c>
      <c r="C2063">
        <v>2540372</v>
      </c>
      <c r="E2063" t="s">
        <v>14314</v>
      </c>
      <c r="F2063" t="s">
        <v>14291</v>
      </c>
      <c r="H2063">
        <v>93523513</v>
      </c>
      <c r="I2063" t="s">
        <v>14292</v>
      </c>
      <c r="L2063" t="s">
        <v>19724</v>
      </c>
      <c r="M2063">
        <v>272</v>
      </c>
      <c r="N2063" t="s">
        <v>19725</v>
      </c>
    </row>
    <row r="2064" spans="1:14">
      <c r="A2064" t="s">
        <v>9256</v>
      </c>
      <c r="B2064">
        <v>2540474</v>
      </c>
      <c r="C2064">
        <v>2540896</v>
      </c>
      <c r="E2064" t="s">
        <v>14290</v>
      </c>
      <c r="F2064" t="s">
        <v>14414</v>
      </c>
      <c r="H2064">
        <v>93523514</v>
      </c>
      <c r="I2064" t="s">
        <v>14415</v>
      </c>
      <c r="N2064" t="s">
        <v>19726</v>
      </c>
    </row>
    <row r="2065" spans="1:14">
      <c r="A2065" t="s">
        <v>9256</v>
      </c>
      <c r="B2065">
        <v>2540932</v>
      </c>
      <c r="C2065">
        <v>2541903</v>
      </c>
      <c r="E2065" t="s">
        <v>14314</v>
      </c>
      <c r="F2065" t="s">
        <v>19727</v>
      </c>
      <c r="H2065">
        <v>93523515</v>
      </c>
      <c r="I2065" t="s">
        <v>14292</v>
      </c>
      <c r="L2065" t="s">
        <v>19728</v>
      </c>
      <c r="M2065">
        <v>323</v>
      </c>
      <c r="N2065" t="s">
        <v>19729</v>
      </c>
    </row>
    <row r="2066" spans="1:14">
      <c r="A2066" t="s">
        <v>9256</v>
      </c>
      <c r="B2066">
        <v>2541911</v>
      </c>
      <c r="C2066">
        <v>2542273</v>
      </c>
      <c r="E2066" t="s">
        <v>14314</v>
      </c>
      <c r="F2066" t="s">
        <v>19730</v>
      </c>
      <c r="H2066">
        <v>93523516</v>
      </c>
      <c r="I2066" t="s">
        <v>14292</v>
      </c>
      <c r="L2066" t="s">
        <v>19731</v>
      </c>
      <c r="M2066">
        <v>120</v>
      </c>
      <c r="N2066" t="s">
        <v>19732</v>
      </c>
    </row>
    <row r="2067" spans="1:14">
      <c r="A2067" t="s">
        <v>9256</v>
      </c>
      <c r="B2067">
        <v>2542359</v>
      </c>
      <c r="C2067">
        <v>2542493</v>
      </c>
      <c r="E2067" t="s">
        <v>14290</v>
      </c>
      <c r="F2067" t="s">
        <v>14414</v>
      </c>
      <c r="H2067">
        <v>93525943</v>
      </c>
      <c r="I2067" t="s">
        <v>14415</v>
      </c>
      <c r="N2067" t="s">
        <v>19733</v>
      </c>
    </row>
    <row r="2068" spans="1:14">
      <c r="A2068" t="s">
        <v>9256</v>
      </c>
      <c r="B2068">
        <v>2542480</v>
      </c>
      <c r="C2068">
        <v>2543862</v>
      </c>
      <c r="E2068" t="s">
        <v>14290</v>
      </c>
      <c r="F2068" t="s">
        <v>14464</v>
      </c>
      <c r="H2068">
        <v>93523517</v>
      </c>
      <c r="I2068" t="s">
        <v>14292</v>
      </c>
      <c r="L2068" t="s">
        <v>19734</v>
      </c>
      <c r="M2068">
        <v>460</v>
      </c>
      <c r="N2068" t="s">
        <v>19735</v>
      </c>
    </row>
    <row r="2069" spans="1:14">
      <c r="A2069" t="s">
        <v>9256</v>
      </c>
      <c r="B2069">
        <v>2543883</v>
      </c>
      <c r="C2069">
        <v>2545145</v>
      </c>
      <c r="E2069" t="s">
        <v>14290</v>
      </c>
      <c r="F2069" t="s">
        <v>19736</v>
      </c>
      <c r="H2069">
        <v>93523518</v>
      </c>
      <c r="I2069" t="s">
        <v>14292</v>
      </c>
      <c r="L2069" t="s">
        <v>19737</v>
      </c>
      <c r="M2069">
        <v>420</v>
      </c>
      <c r="N2069" t="s">
        <v>19738</v>
      </c>
    </row>
    <row r="2070" spans="1:14">
      <c r="A2070" t="s">
        <v>9256</v>
      </c>
      <c r="B2070">
        <v>2545430</v>
      </c>
      <c r="C2070">
        <v>2548699</v>
      </c>
      <c r="E2070" t="s">
        <v>14290</v>
      </c>
      <c r="F2070" t="s">
        <v>14965</v>
      </c>
      <c r="H2070">
        <v>93523519</v>
      </c>
      <c r="I2070" t="s">
        <v>14292</v>
      </c>
      <c r="L2070" t="s">
        <v>19739</v>
      </c>
      <c r="M2070">
        <v>1089</v>
      </c>
      <c r="N2070" t="s">
        <v>19740</v>
      </c>
    </row>
    <row r="2071" spans="1:14">
      <c r="A2071" t="s">
        <v>9256</v>
      </c>
      <c r="B2071">
        <v>2548712</v>
      </c>
      <c r="C2071">
        <v>2550319</v>
      </c>
      <c r="E2071" t="s">
        <v>14290</v>
      </c>
      <c r="F2071" t="s">
        <v>15179</v>
      </c>
      <c r="H2071">
        <v>93523520</v>
      </c>
      <c r="I2071" t="s">
        <v>14292</v>
      </c>
      <c r="L2071" t="s">
        <v>19741</v>
      </c>
      <c r="M2071">
        <v>535</v>
      </c>
      <c r="N2071" t="s">
        <v>19742</v>
      </c>
    </row>
    <row r="2072" spans="1:14">
      <c r="A2072" t="s">
        <v>9256</v>
      </c>
      <c r="B2072">
        <v>2550335</v>
      </c>
      <c r="C2072">
        <v>2552917</v>
      </c>
      <c r="E2072" t="s">
        <v>14290</v>
      </c>
      <c r="F2072" t="s">
        <v>19743</v>
      </c>
      <c r="H2072">
        <v>93523521</v>
      </c>
      <c r="I2072" t="s">
        <v>14292</v>
      </c>
      <c r="L2072" t="s">
        <v>19744</v>
      </c>
      <c r="M2072">
        <v>860</v>
      </c>
      <c r="N2072" t="s">
        <v>19745</v>
      </c>
    </row>
    <row r="2073" spans="1:14">
      <c r="A2073" t="s">
        <v>9256</v>
      </c>
      <c r="B2073">
        <v>2552955</v>
      </c>
      <c r="C2073">
        <v>2553653</v>
      </c>
      <c r="E2073" t="s">
        <v>14290</v>
      </c>
      <c r="F2073" t="s">
        <v>14291</v>
      </c>
      <c r="H2073">
        <v>93523522</v>
      </c>
      <c r="I2073" t="s">
        <v>14292</v>
      </c>
      <c r="L2073" t="s">
        <v>19746</v>
      </c>
      <c r="M2073">
        <v>232</v>
      </c>
      <c r="N2073" t="s">
        <v>19747</v>
      </c>
    </row>
    <row r="2074" spans="1:14">
      <c r="A2074" t="s">
        <v>9256</v>
      </c>
      <c r="B2074">
        <v>2553676</v>
      </c>
      <c r="C2074">
        <v>2556039</v>
      </c>
      <c r="E2074" t="s">
        <v>14314</v>
      </c>
      <c r="F2074" t="s">
        <v>14562</v>
      </c>
      <c r="H2074">
        <v>93523523</v>
      </c>
      <c r="I2074" t="s">
        <v>14292</v>
      </c>
      <c r="L2074" t="s">
        <v>19748</v>
      </c>
      <c r="M2074">
        <v>787</v>
      </c>
      <c r="N2074" t="s">
        <v>19749</v>
      </c>
    </row>
    <row r="2075" spans="1:14">
      <c r="A2075" t="s">
        <v>9256</v>
      </c>
      <c r="B2075">
        <v>2556198</v>
      </c>
      <c r="C2075">
        <v>2556773</v>
      </c>
      <c r="E2075" t="s">
        <v>14290</v>
      </c>
      <c r="F2075" t="s">
        <v>14952</v>
      </c>
      <c r="H2075">
        <v>93523524</v>
      </c>
      <c r="I2075" t="s">
        <v>14292</v>
      </c>
      <c r="L2075" t="s">
        <v>19750</v>
      </c>
      <c r="M2075">
        <v>191</v>
      </c>
      <c r="N2075" t="s">
        <v>19751</v>
      </c>
    </row>
    <row r="2076" spans="1:14">
      <c r="A2076" t="s">
        <v>9256</v>
      </c>
      <c r="B2076">
        <v>2556792</v>
      </c>
      <c r="C2076">
        <v>2557769</v>
      </c>
      <c r="E2076" t="s">
        <v>14290</v>
      </c>
      <c r="F2076" t="s">
        <v>14870</v>
      </c>
      <c r="H2076">
        <v>93523525</v>
      </c>
      <c r="I2076" t="s">
        <v>14292</v>
      </c>
      <c r="L2076" t="s">
        <v>19752</v>
      </c>
      <c r="M2076">
        <v>325</v>
      </c>
      <c r="N2076" t="s">
        <v>19753</v>
      </c>
    </row>
    <row r="2077" spans="1:14">
      <c r="A2077" t="s">
        <v>9256</v>
      </c>
      <c r="B2077">
        <v>2557766</v>
      </c>
      <c r="C2077">
        <v>2558098</v>
      </c>
      <c r="E2077" t="s">
        <v>14314</v>
      </c>
      <c r="F2077" t="s">
        <v>19754</v>
      </c>
      <c r="H2077">
        <v>93523526</v>
      </c>
      <c r="I2077" t="s">
        <v>14292</v>
      </c>
      <c r="L2077" t="s">
        <v>19755</v>
      </c>
      <c r="M2077">
        <v>110</v>
      </c>
      <c r="N2077" t="s">
        <v>19756</v>
      </c>
    </row>
    <row r="2078" spans="1:14">
      <c r="A2078" t="s">
        <v>9256</v>
      </c>
      <c r="B2078">
        <v>2558414</v>
      </c>
      <c r="C2078">
        <v>2561113</v>
      </c>
      <c r="E2078" t="s">
        <v>14314</v>
      </c>
      <c r="F2078" t="s">
        <v>14648</v>
      </c>
      <c r="H2078">
        <v>93523527</v>
      </c>
      <c r="I2078" t="s">
        <v>14292</v>
      </c>
      <c r="L2078" t="s">
        <v>19757</v>
      </c>
      <c r="M2078">
        <v>899</v>
      </c>
      <c r="N2078" t="s">
        <v>19758</v>
      </c>
    </row>
    <row r="2079" spans="1:14">
      <c r="A2079" t="s">
        <v>9256</v>
      </c>
      <c r="B2079">
        <v>2561935</v>
      </c>
      <c r="C2079">
        <v>2565099</v>
      </c>
      <c r="E2079" t="s">
        <v>14290</v>
      </c>
      <c r="F2079" t="s">
        <v>15863</v>
      </c>
      <c r="H2079">
        <v>93523528</v>
      </c>
      <c r="I2079" t="s">
        <v>14292</v>
      </c>
      <c r="L2079" t="s">
        <v>19759</v>
      </c>
      <c r="M2079">
        <v>1054</v>
      </c>
      <c r="N2079" t="s">
        <v>19760</v>
      </c>
    </row>
    <row r="2080" spans="1:14">
      <c r="A2080" t="s">
        <v>9256</v>
      </c>
      <c r="B2080">
        <v>2565362</v>
      </c>
      <c r="C2080">
        <v>2565913</v>
      </c>
      <c r="E2080" t="s">
        <v>14314</v>
      </c>
      <c r="F2080" t="s">
        <v>19761</v>
      </c>
      <c r="H2080">
        <v>93523529</v>
      </c>
      <c r="I2080" t="s">
        <v>14292</v>
      </c>
      <c r="L2080" t="s">
        <v>19762</v>
      </c>
      <c r="M2080">
        <v>183</v>
      </c>
      <c r="N2080" t="s">
        <v>19763</v>
      </c>
    </row>
    <row r="2081" spans="1:14">
      <c r="A2081" t="s">
        <v>9256</v>
      </c>
      <c r="B2081">
        <v>2565906</v>
      </c>
      <c r="C2081">
        <v>2566943</v>
      </c>
      <c r="E2081" t="s">
        <v>14314</v>
      </c>
      <c r="F2081" t="s">
        <v>15166</v>
      </c>
      <c r="H2081">
        <v>93523530</v>
      </c>
      <c r="I2081" t="s">
        <v>14292</v>
      </c>
      <c r="L2081" t="s">
        <v>19764</v>
      </c>
      <c r="M2081">
        <v>345</v>
      </c>
      <c r="N2081" t="s">
        <v>19765</v>
      </c>
    </row>
    <row r="2082" spans="1:14">
      <c r="A2082" t="s">
        <v>9256</v>
      </c>
      <c r="B2082">
        <v>2567178</v>
      </c>
      <c r="C2082">
        <v>2569574</v>
      </c>
      <c r="E2082" t="s">
        <v>14314</v>
      </c>
      <c r="F2082" t="s">
        <v>15450</v>
      </c>
      <c r="H2082">
        <v>93523531</v>
      </c>
      <c r="I2082" t="s">
        <v>14292</v>
      </c>
      <c r="L2082" t="s">
        <v>19766</v>
      </c>
      <c r="M2082">
        <v>798</v>
      </c>
      <c r="N2082" t="s">
        <v>19767</v>
      </c>
    </row>
    <row r="2083" spans="1:14">
      <c r="A2083" t="s">
        <v>9256</v>
      </c>
      <c r="B2083">
        <v>2569737</v>
      </c>
      <c r="C2083">
        <v>2573846</v>
      </c>
      <c r="E2083" t="s">
        <v>14290</v>
      </c>
      <c r="F2083" t="s">
        <v>17838</v>
      </c>
      <c r="H2083">
        <v>93523532</v>
      </c>
      <c r="I2083" t="s">
        <v>14292</v>
      </c>
      <c r="L2083" t="s">
        <v>19768</v>
      </c>
      <c r="M2083">
        <v>1369</v>
      </c>
      <c r="N2083" t="s">
        <v>19769</v>
      </c>
    </row>
    <row r="2084" spans="1:14">
      <c r="A2084" t="s">
        <v>9256</v>
      </c>
      <c r="B2084">
        <v>2573785</v>
      </c>
      <c r="C2084">
        <v>2576172</v>
      </c>
      <c r="E2084" t="s">
        <v>14314</v>
      </c>
      <c r="F2084" t="s">
        <v>14562</v>
      </c>
      <c r="H2084">
        <v>93523533</v>
      </c>
      <c r="I2084" t="s">
        <v>14292</v>
      </c>
      <c r="L2084" t="s">
        <v>19770</v>
      </c>
      <c r="M2084">
        <v>795</v>
      </c>
      <c r="N2084" t="s">
        <v>19771</v>
      </c>
    </row>
    <row r="2085" spans="1:14">
      <c r="A2085" t="s">
        <v>9256</v>
      </c>
      <c r="B2085">
        <v>2576386</v>
      </c>
      <c r="C2085">
        <v>2577159</v>
      </c>
      <c r="E2085" t="s">
        <v>14290</v>
      </c>
      <c r="F2085" t="s">
        <v>19772</v>
      </c>
      <c r="G2085" t="s">
        <v>19773</v>
      </c>
      <c r="H2085">
        <v>93523534</v>
      </c>
      <c r="I2085" t="s">
        <v>14292</v>
      </c>
      <c r="L2085" t="s">
        <v>19774</v>
      </c>
      <c r="M2085">
        <v>257</v>
      </c>
      <c r="N2085" t="s">
        <v>19775</v>
      </c>
    </row>
    <row r="2086" spans="1:14">
      <c r="A2086" t="s">
        <v>9256</v>
      </c>
      <c r="B2086">
        <v>2577130</v>
      </c>
      <c r="C2086">
        <v>2577735</v>
      </c>
      <c r="E2086" t="s">
        <v>14314</v>
      </c>
      <c r="F2086" t="s">
        <v>19776</v>
      </c>
      <c r="H2086">
        <v>93523535</v>
      </c>
      <c r="I2086" t="s">
        <v>14292</v>
      </c>
      <c r="L2086" t="s">
        <v>19777</v>
      </c>
      <c r="M2086">
        <v>201</v>
      </c>
      <c r="N2086" t="s">
        <v>19778</v>
      </c>
    </row>
    <row r="2087" spans="1:14">
      <c r="A2087" t="s">
        <v>9256</v>
      </c>
      <c r="B2087">
        <v>2577952</v>
      </c>
      <c r="C2087">
        <v>2579316</v>
      </c>
      <c r="E2087" t="s">
        <v>14290</v>
      </c>
      <c r="F2087" t="s">
        <v>14864</v>
      </c>
      <c r="H2087">
        <v>93523536</v>
      </c>
      <c r="I2087" t="s">
        <v>14292</v>
      </c>
      <c r="L2087" t="s">
        <v>19779</v>
      </c>
      <c r="M2087">
        <v>454</v>
      </c>
      <c r="N2087" t="s">
        <v>19780</v>
      </c>
    </row>
    <row r="2088" spans="1:14">
      <c r="A2088" t="s">
        <v>9256</v>
      </c>
      <c r="B2088">
        <v>2579313</v>
      </c>
      <c r="C2088">
        <v>2580320</v>
      </c>
      <c r="E2088" t="s">
        <v>14290</v>
      </c>
      <c r="F2088" t="s">
        <v>14493</v>
      </c>
      <c r="H2088">
        <v>93523537</v>
      </c>
      <c r="I2088" t="s">
        <v>14292</v>
      </c>
      <c r="L2088" t="s">
        <v>19781</v>
      </c>
      <c r="M2088">
        <v>335</v>
      </c>
      <c r="N2088" t="s">
        <v>19782</v>
      </c>
    </row>
    <row r="2089" spans="1:14">
      <c r="A2089" t="s">
        <v>9256</v>
      </c>
      <c r="B2089">
        <v>2580315</v>
      </c>
      <c r="C2089">
        <v>2582963</v>
      </c>
      <c r="E2089" t="s">
        <v>14314</v>
      </c>
      <c r="F2089" t="s">
        <v>14870</v>
      </c>
      <c r="H2089">
        <v>93523538</v>
      </c>
      <c r="I2089" t="s">
        <v>14292</v>
      </c>
      <c r="L2089" t="s">
        <v>19783</v>
      </c>
      <c r="M2089">
        <v>882</v>
      </c>
      <c r="N2089" t="s">
        <v>19784</v>
      </c>
    </row>
    <row r="2090" spans="1:14">
      <c r="A2090" t="s">
        <v>9256</v>
      </c>
      <c r="B2090">
        <v>2583096</v>
      </c>
      <c r="C2090">
        <v>2585489</v>
      </c>
      <c r="E2090" t="s">
        <v>14314</v>
      </c>
      <c r="F2090" t="s">
        <v>15450</v>
      </c>
      <c r="H2090">
        <v>93523539</v>
      </c>
      <c r="I2090" t="s">
        <v>14292</v>
      </c>
      <c r="L2090" t="s">
        <v>19785</v>
      </c>
      <c r="M2090">
        <v>797</v>
      </c>
      <c r="N2090" t="s">
        <v>19786</v>
      </c>
    </row>
    <row r="2091" spans="1:14">
      <c r="A2091" t="s">
        <v>9256</v>
      </c>
      <c r="B2091">
        <v>2585560</v>
      </c>
      <c r="C2091">
        <v>2586222</v>
      </c>
      <c r="E2091" t="s">
        <v>14290</v>
      </c>
      <c r="F2091" t="s">
        <v>19787</v>
      </c>
      <c r="G2091" t="s">
        <v>19788</v>
      </c>
      <c r="H2091">
        <v>93523540</v>
      </c>
      <c r="I2091" t="s">
        <v>14292</v>
      </c>
      <c r="L2091" t="s">
        <v>19789</v>
      </c>
      <c r="M2091">
        <v>220</v>
      </c>
      <c r="N2091" t="s">
        <v>19790</v>
      </c>
    </row>
    <row r="2092" spans="1:14">
      <c r="A2092" t="s">
        <v>9256</v>
      </c>
      <c r="B2092">
        <v>2586283</v>
      </c>
      <c r="C2092">
        <v>2586600</v>
      </c>
      <c r="E2092" t="s">
        <v>14314</v>
      </c>
      <c r="F2092" t="s">
        <v>15499</v>
      </c>
      <c r="G2092" t="s">
        <v>15500</v>
      </c>
      <c r="H2092">
        <v>93523541</v>
      </c>
      <c r="I2092" t="s">
        <v>14292</v>
      </c>
      <c r="L2092" t="s">
        <v>19791</v>
      </c>
      <c r="M2092">
        <v>105</v>
      </c>
      <c r="N2092" t="s">
        <v>19792</v>
      </c>
    </row>
    <row r="2093" spans="1:14">
      <c r="A2093" t="s">
        <v>9256</v>
      </c>
      <c r="B2093">
        <v>2586688</v>
      </c>
      <c r="C2093">
        <v>2590491</v>
      </c>
      <c r="E2093" t="s">
        <v>14314</v>
      </c>
      <c r="F2093" t="s">
        <v>19793</v>
      </c>
      <c r="G2093" t="s">
        <v>19794</v>
      </c>
      <c r="H2093">
        <v>93523542</v>
      </c>
      <c r="I2093" t="s">
        <v>14292</v>
      </c>
      <c r="L2093" t="s">
        <v>19795</v>
      </c>
      <c r="M2093">
        <v>1267</v>
      </c>
      <c r="N2093" t="s">
        <v>19796</v>
      </c>
    </row>
    <row r="2094" spans="1:14">
      <c r="A2094" t="s">
        <v>9256</v>
      </c>
      <c r="B2094">
        <v>2591081</v>
      </c>
      <c r="C2094">
        <v>2591713</v>
      </c>
      <c r="E2094" t="s">
        <v>14290</v>
      </c>
      <c r="F2094" t="s">
        <v>14464</v>
      </c>
      <c r="H2094">
        <v>93523543</v>
      </c>
      <c r="I2094" t="s">
        <v>14292</v>
      </c>
      <c r="L2094" t="s">
        <v>19797</v>
      </c>
      <c r="M2094">
        <v>210</v>
      </c>
      <c r="N2094" t="s">
        <v>19798</v>
      </c>
    </row>
    <row r="2095" spans="1:14">
      <c r="A2095" t="s">
        <v>9256</v>
      </c>
      <c r="B2095">
        <v>2591717</v>
      </c>
      <c r="C2095">
        <v>2591947</v>
      </c>
      <c r="E2095" t="s">
        <v>14290</v>
      </c>
      <c r="F2095" t="s">
        <v>16644</v>
      </c>
      <c r="H2095">
        <v>93523544</v>
      </c>
      <c r="I2095" t="s">
        <v>14292</v>
      </c>
      <c r="L2095" t="s">
        <v>19799</v>
      </c>
      <c r="M2095">
        <v>76</v>
      </c>
      <c r="N2095" t="s">
        <v>19800</v>
      </c>
    </row>
    <row r="2096" spans="1:14">
      <c r="A2096" t="s">
        <v>9256</v>
      </c>
      <c r="B2096">
        <v>2591941</v>
      </c>
      <c r="C2096">
        <v>2592462</v>
      </c>
      <c r="E2096" t="s">
        <v>14290</v>
      </c>
      <c r="F2096" t="s">
        <v>16641</v>
      </c>
      <c r="H2096">
        <v>93523545</v>
      </c>
      <c r="I2096" t="s">
        <v>14292</v>
      </c>
      <c r="L2096" t="s">
        <v>19801</v>
      </c>
      <c r="M2096">
        <v>173</v>
      </c>
      <c r="N2096" t="s">
        <v>19802</v>
      </c>
    </row>
    <row r="2097" spans="1:14">
      <c r="A2097" t="s">
        <v>9256</v>
      </c>
      <c r="B2097">
        <v>2592476</v>
      </c>
      <c r="C2097">
        <v>2592667</v>
      </c>
      <c r="E2097" t="s">
        <v>14290</v>
      </c>
      <c r="F2097" t="s">
        <v>16644</v>
      </c>
      <c r="H2097">
        <v>93523546</v>
      </c>
      <c r="I2097" t="s">
        <v>14292</v>
      </c>
      <c r="L2097" t="s">
        <v>19803</v>
      </c>
      <c r="M2097">
        <v>63</v>
      </c>
      <c r="N2097" t="s">
        <v>19804</v>
      </c>
    </row>
    <row r="2098" spans="1:14">
      <c r="A2098" t="s">
        <v>9256</v>
      </c>
      <c r="B2098">
        <v>2592848</v>
      </c>
      <c r="C2098">
        <v>2593303</v>
      </c>
      <c r="E2098" t="s">
        <v>14290</v>
      </c>
      <c r="F2098" t="s">
        <v>19805</v>
      </c>
      <c r="G2098" t="s">
        <v>19806</v>
      </c>
      <c r="H2098">
        <v>93523547</v>
      </c>
      <c r="I2098" t="s">
        <v>14292</v>
      </c>
      <c r="L2098" t="s">
        <v>19807</v>
      </c>
      <c r="M2098">
        <v>151</v>
      </c>
      <c r="N2098" t="s">
        <v>19808</v>
      </c>
    </row>
    <row r="2099" spans="1:14">
      <c r="A2099" t="s">
        <v>9256</v>
      </c>
      <c r="B2099">
        <v>2593309</v>
      </c>
      <c r="C2099">
        <v>2593695</v>
      </c>
      <c r="E2099" t="s">
        <v>14290</v>
      </c>
      <c r="F2099" t="s">
        <v>19809</v>
      </c>
      <c r="G2099" t="s">
        <v>19810</v>
      </c>
      <c r="H2099">
        <v>93523548</v>
      </c>
      <c r="I2099" t="s">
        <v>14292</v>
      </c>
      <c r="L2099" t="s">
        <v>19811</v>
      </c>
      <c r="M2099">
        <v>128</v>
      </c>
      <c r="N2099" t="s">
        <v>19812</v>
      </c>
    </row>
    <row r="2100" spans="1:14">
      <c r="A2100" t="s">
        <v>9256</v>
      </c>
      <c r="B2100">
        <v>2593836</v>
      </c>
      <c r="C2100">
        <v>2594672</v>
      </c>
      <c r="E2100" t="s">
        <v>14290</v>
      </c>
      <c r="F2100" t="s">
        <v>19813</v>
      </c>
      <c r="G2100" t="s">
        <v>19814</v>
      </c>
      <c r="H2100">
        <v>93523549</v>
      </c>
      <c r="I2100" t="s">
        <v>14292</v>
      </c>
      <c r="L2100" t="s">
        <v>19815</v>
      </c>
      <c r="M2100">
        <v>278</v>
      </c>
      <c r="N2100" t="s">
        <v>19816</v>
      </c>
    </row>
    <row r="2101" spans="1:14">
      <c r="A2101" t="s">
        <v>9256</v>
      </c>
      <c r="B2101">
        <v>2594817</v>
      </c>
      <c r="C2101">
        <v>2595806</v>
      </c>
      <c r="E2101" t="s">
        <v>14290</v>
      </c>
      <c r="F2101" t="s">
        <v>19817</v>
      </c>
      <c r="G2101" t="s">
        <v>19818</v>
      </c>
      <c r="H2101">
        <v>93523550</v>
      </c>
      <c r="I2101" t="s">
        <v>14292</v>
      </c>
      <c r="L2101" t="s">
        <v>19819</v>
      </c>
      <c r="M2101">
        <v>329</v>
      </c>
      <c r="N2101" t="s">
        <v>19820</v>
      </c>
    </row>
    <row r="2102" spans="1:14">
      <c r="A2102" t="s">
        <v>9256</v>
      </c>
      <c r="B2102">
        <v>2595962</v>
      </c>
      <c r="C2102">
        <v>2597155</v>
      </c>
      <c r="E2102" t="s">
        <v>14314</v>
      </c>
      <c r="F2102" t="s">
        <v>15774</v>
      </c>
      <c r="H2102">
        <v>93523551</v>
      </c>
      <c r="I2102" t="s">
        <v>14292</v>
      </c>
      <c r="L2102" t="s">
        <v>19821</v>
      </c>
      <c r="M2102">
        <v>397</v>
      </c>
      <c r="N2102" t="s">
        <v>19822</v>
      </c>
    </row>
    <row r="2103" spans="1:14">
      <c r="A2103" t="s">
        <v>9256</v>
      </c>
      <c r="B2103">
        <v>2597237</v>
      </c>
      <c r="C2103">
        <v>2598454</v>
      </c>
      <c r="E2103" t="s">
        <v>14314</v>
      </c>
      <c r="F2103" t="s">
        <v>19823</v>
      </c>
      <c r="H2103">
        <v>93523552</v>
      </c>
      <c r="I2103" t="s">
        <v>14292</v>
      </c>
      <c r="L2103" t="s">
        <v>19824</v>
      </c>
      <c r="M2103">
        <v>405</v>
      </c>
      <c r="N2103" t="s">
        <v>19825</v>
      </c>
    </row>
    <row r="2104" spans="1:14">
      <c r="A2104" t="s">
        <v>9256</v>
      </c>
      <c r="B2104">
        <v>2598457</v>
      </c>
      <c r="C2104">
        <v>2600403</v>
      </c>
      <c r="E2104" t="s">
        <v>14314</v>
      </c>
      <c r="F2104" t="s">
        <v>14600</v>
      </c>
      <c r="H2104">
        <v>93523553</v>
      </c>
      <c r="I2104" t="s">
        <v>14292</v>
      </c>
      <c r="L2104" t="s">
        <v>19826</v>
      </c>
      <c r="M2104">
        <v>648</v>
      </c>
      <c r="N2104" t="s">
        <v>19827</v>
      </c>
    </row>
    <row r="2105" spans="1:14">
      <c r="A2105" t="s">
        <v>9256</v>
      </c>
      <c r="B2105">
        <v>2600506</v>
      </c>
      <c r="C2105">
        <v>2600889</v>
      </c>
      <c r="E2105" t="s">
        <v>14314</v>
      </c>
      <c r="F2105" t="s">
        <v>19828</v>
      </c>
      <c r="H2105">
        <v>93523554</v>
      </c>
      <c r="I2105" t="s">
        <v>14292</v>
      </c>
      <c r="L2105" t="s">
        <v>19829</v>
      </c>
      <c r="M2105">
        <v>127</v>
      </c>
      <c r="N2105" t="s">
        <v>19830</v>
      </c>
    </row>
    <row r="2106" spans="1:14">
      <c r="A2106" t="s">
        <v>9256</v>
      </c>
      <c r="B2106">
        <v>2601093</v>
      </c>
      <c r="C2106">
        <v>2601166</v>
      </c>
      <c r="E2106" t="s">
        <v>14290</v>
      </c>
      <c r="F2106" t="s">
        <v>19831</v>
      </c>
      <c r="H2106">
        <v>93523555</v>
      </c>
      <c r="I2106" t="s">
        <v>13638</v>
      </c>
      <c r="N2106" t="s">
        <v>19832</v>
      </c>
    </row>
    <row r="2107" spans="1:14">
      <c r="A2107" t="s">
        <v>9256</v>
      </c>
      <c r="B2107">
        <v>2601882</v>
      </c>
      <c r="C2107">
        <v>2602814</v>
      </c>
      <c r="E2107" t="s">
        <v>14314</v>
      </c>
      <c r="F2107" t="s">
        <v>18272</v>
      </c>
      <c r="H2107">
        <v>93523556</v>
      </c>
      <c r="I2107" t="s">
        <v>14292</v>
      </c>
      <c r="L2107" t="s">
        <v>19833</v>
      </c>
      <c r="M2107">
        <v>310</v>
      </c>
      <c r="N2107" t="s">
        <v>19834</v>
      </c>
    </row>
    <row r="2108" spans="1:14">
      <c r="A2108" t="s">
        <v>9256</v>
      </c>
      <c r="B2108">
        <v>2603378</v>
      </c>
      <c r="C2108">
        <v>2605279</v>
      </c>
      <c r="E2108" t="s">
        <v>14290</v>
      </c>
      <c r="F2108" t="s">
        <v>17838</v>
      </c>
      <c r="H2108">
        <v>93523557</v>
      </c>
      <c r="I2108" t="s">
        <v>14292</v>
      </c>
      <c r="L2108" t="s">
        <v>19835</v>
      </c>
      <c r="M2108">
        <v>633</v>
      </c>
      <c r="N2108" t="s">
        <v>19836</v>
      </c>
    </row>
    <row r="2109" spans="1:14">
      <c r="A2109" t="s">
        <v>9256</v>
      </c>
      <c r="B2109">
        <v>2605621</v>
      </c>
      <c r="C2109">
        <v>2607018</v>
      </c>
      <c r="E2109" t="s">
        <v>14290</v>
      </c>
      <c r="F2109" t="s">
        <v>17669</v>
      </c>
      <c r="H2109">
        <v>93523558</v>
      </c>
      <c r="I2109" t="s">
        <v>14292</v>
      </c>
      <c r="L2109" t="s">
        <v>19837</v>
      </c>
      <c r="M2109">
        <v>465</v>
      </c>
      <c r="N2109" t="s">
        <v>19838</v>
      </c>
    </row>
    <row r="2110" spans="1:14">
      <c r="A2110" t="s">
        <v>9256</v>
      </c>
      <c r="B2110">
        <v>2607876</v>
      </c>
      <c r="C2110">
        <v>2609207</v>
      </c>
      <c r="E2110" t="s">
        <v>14314</v>
      </c>
      <c r="F2110" t="s">
        <v>17669</v>
      </c>
      <c r="H2110">
        <v>93523559</v>
      </c>
      <c r="I2110" t="s">
        <v>14292</v>
      </c>
      <c r="L2110" t="s">
        <v>19839</v>
      </c>
      <c r="M2110">
        <v>443</v>
      </c>
      <c r="N2110" t="s">
        <v>19840</v>
      </c>
    </row>
    <row r="2111" spans="1:14">
      <c r="A2111" t="s">
        <v>9256</v>
      </c>
      <c r="B2111">
        <v>2609368</v>
      </c>
      <c r="C2111">
        <v>2609730</v>
      </c>
      <c r="E2111" t="s">
        <v>14290</v>
      </c>
      <c r="F2111" t="s">
        <v>19841</v>
      </c>
      <c r="H2111">
        <v>93523560</v>
      </c>
      <c r="I2111" t="s">
        <v>14292</v>
      </c>
      <c r="L2111" t="s">
        <v>19842</v>
      </c>
      <c r="M2111">
        <v>120</v>
      </c>
      <c r="N2111" t="s">
        <v>19843</v>
      </c>
    </row>
    <row r="2112" spans="1:14">
      <c r="A2112" t="s">
        <v>9256</v>
      </c>
      <c r="B2112">
        <v>2609834</v>
      </c>
      <c r="C2112">
        <v>2610004</v>
      </c>
      <c r="E2112" t="s">
        <v>14314</v>
      </c>
      <c r="F2112" t="s">
        <v>14414</v>
      </c>
      <c r="H2112">
        <v>93525944</v>
      </c>
      <c r="I2112" t="s">
        <v>14415</v>
      </c>
      <c r="N2112" t="s">
        <v>19844</v>
      </c>
    </row>
    <row r="2113" spans="1:14">
      <c r="A2113" t="s">
        <v>9256</v>
      </c>
      <c r="B2113">
        <v>2610295</v>
      </c>
      <c r="C2113">
        <v>2611524</v>
      </c>
      <c r="E2113" t="s">
        <v>14290</v>
      </c>
      <c r="F2113" t="s">
        <v>15333</v>
      </c>
      <c r="H2113">
        <v>93523561</v>
      </c>
      <c r="I2113" t="s">
        <v>14292</v>
      </c>
      <c r="L2113" t="s">
        <v>19845</v>
      </c>
      <c r="M2113">
        <v>409</v>
      </c>
      <c r="N2113" t="s">
        <v>19846</v>
      </c>
    </row>
    <row r="2114" spans="1:14">
      <c r="A2114" t="s">
        <v>9256</v>
      </c>
      <c r="B2114">
        <v>2611552</v>
      </c>
      <c r="C2114">
        <v>2612763</v>
      </c>
      <c r="E2114" t="s">
        <v>14290</v>
      </c>
      <c r="F2114" t="s">
        <v>15333</v>
      </c>
      <c r="H2114">
        <v>93523562</v>
      </c>
      <c r="I2114" t="s">
        <v>14292</v>
      </c>
      <c r="L2114" t="s">
        <v>19847</v>
      </c>
      <c r="M2114">
        <v>403</v>
      </c>
      <c r="N2114" t="s">
        <v>19848</v>
      </c>
    </row>
    <row r="2115" spans="1:14">
      <c r="A2115" t="s">
        <v>9256</v>
      </c>
      <c r="B2115">
        <v>2612828</v>
      </c>
      <c r="C2115">
        <v>2613121</v>
      </c>
      <c r="E2115" t="s">
        <v>14314</v>
      </c>
      <c r="F2115" t="s">
        <v>14406</v>
      </c>
      <c r="H2115">
        <v>93523563</v>
      </c>
      <c r="I2115" t="s">
        <v>14292</v>
      </c>
      <c r="L2115" t="s">
        <v>19849</v>
      </c>
      <c r="M2115">
        <v>97</v>
      </c>
      <c r="N2115" t="s">
        <v>19850</v>
      </c>
    </row>
    <row r="2116" spans="1:14">
      <c r="A2116" t="s">
        <v>9256</v>
      </c>
      <c r="B2116">
        <v>2613134</v>
      </c>
      <c r="C2116">
        <v>2613337</v>
      </c>
      <c r="E2116" t="s">
        <v>14314</v>
      </c>
      <c r="F2116" t="s">
        <v>14406</v>
      </c>
      <c r="H2116">
        <v>93523564</v>
      </c>
      <c r="I2116" t="s">
        <v>14292</v>
      </c>
      <c r="L2116" t="s">
        <v>19851</v>
      </c>
      <c r="M2116">
        <v>67</v>
      </c>
      <c r="N2116" t="s">
        <v>19852</v>
      </c>
    </row>
    <row r="2117" spans="1:14">
      <c r="A2117" t="s">
        <v>9256</v>
      </c>
      <c r="B2117">
        <v>2613725</v>
      </c>
      <c r="C2117">
        <v>2613937</v>
      </c>
      <c r="E2117" t="s">
        <v>14314</v>
      </c>
      <c r="F2117" t="s">
        <v>14291</v>
      </c>
      <c r="H2117">
        <v>93523565</v>
      </c>
      <c r="I2117" t="s">
        <v>14292</v>
      </c>
      <c r="L2117" t="s">
        <v>19853</v>
      </c>
      <c r="M2117">
        <v>70</v>
      </c>
      <c r="N2117" t="s">
        <v>19854</v>
      </c>
    </row>
    <row r="2118" spans="1:14">
      <c r="A2118" t="s">
        <v>9256</v>
      </c>
      <c r="B2118">
        <v>2615271</v>
      </c>
      <c r="C2118">
        <v>2615807</v>
      </c>
      <c r="E2118" t="s">
        <v>14314</v>
      </c>
      <c r="F2118" t="s">
        <v>15877</v>
      </c>
      <c r="H2118">
        <v>93523566</v>
      </c>
      <c r="I2118" t="s">
        <v>14292</v>
      </c>
      <c r="L2118" t="s">
        <v>19855</v>
      </c>
      <c r="M2118">
        <v>178</v>
      </c>
      <c r="N2118" t="s">
        <v>19856</v>
      </c>
    </row>
    <row r="2119" spans="1:14">
      <c r="A2119" t="s">
        <v>9256</v>
      </c>
      <c r="B2119">
        <v>2615860</v>
      </c>
      <c r="C2119">
        <v>2616669</v>
      </c>
      <c r="E2119" t="s">
        <v>14314</v>
      </c>
      <c r="F2119" t="s">
        <v>19857</v>
      </c>
      <c r="H2119">
        <v>93523567</v>
      </c>
      <c r="I2119" t="s">
        <v>14292</v>
      </c>
      <c r="L2119" t="s">
        <v>19858</v>
      </c>
      <c r="M2119">
        <v>269</v>
      </c>
      <c r="N2119" t="s">
        <v>19859</v>
      </c>
    </row>
    <row r="2120" spans="1:14">
      <c r="A2120" t="s">
        <v>9256</v>
      </c>
      <c r="B2120">
        <v>2616686</v>
      </c>
      <c r="C2120">
        <v>2619244</v>
      </c>
      <c r="E2120" t="s">
        <v>14314</v>
      </c>
      <c r="F2120" t="s">
        <v>15701</v>
      </c>
      <c r="G2120" t="s">
        <v>15702</v>
      </c>
      <c r="H2120">
        <v>93523568</v>
      </c>
      <c r="I2120" t="s">
        <v>14292</v>
      </c>
      <c r="L2120" t="s">
        <v>19860</v>
      </c>
      <c r="M2120">
        <v>852</v>
      </c>
      <c r="N2120" t="s">
        <v>19861</v>
      </c>
    </row>
    <row r="2121" spans="1:14">
      <c r="A2121" t="s">
        <v>9256</v>
      </c>
      <c r="B2121">
        <v>2619272</v>
      </c>
      <c r="C2121">
        <v>2621518</v>
      </c>
      <c r="E2121" t="s">
        <v>14314</v>
      </c>
      <c r="F2121" t="s">
        <v>19862</v>
      </c>
      <c r="H2121">
        <v>93523569</v>
      </c>
      <c r="I2121" t="s">
        <v>14292</v>
      </c>
      <c r="L2121" t="s">
        <v>19863</v>
      </c>
      <c r="M2121">
        <v>748</v>
      </c>
      <c r="N2121" t="s">
        <v>19864</v>
      </c>
    </row>
    <row r="2122" spans="1:14">
      <c r="A2122" t="s">
        <v>9256</v>
      </c>
      <c r="B2122">
        <v>2621532</v>
      </c>
      <c r="C2122">
        <v>2622518</v>
      </c>
      <c r="E2122" t="s">
        <v>14314</v>
      </c>
      <c r="F2122" t="s">
        <v>19865</v>
      </c>
      <c r="G2122" t="s">
        <v>19866</v>
      </c>
      <c r="H2122">
        <v>93523570</v>
      </c>
      <c r="I2122" t="s">
        <v>14292</v>
      </c>
      <c r="L2122" t="s">
        <v>19867</v>
      </c>
      <c r="M2122">
        <v>328</v>
      </c>
      <c r="N2122" t="s">
        <v>19868</v>
      </c>
    </row>
    <row r="2123" spans="1:14">
      <c r="A2123" t="s">
        <v>9256</v>
      </c>
      <c r="B2123">
        <v>2622541</v>
      </c>
      <c r="C2123">
        <v>2623038</v>
      </c>
      <c r="E2123" t="s">
        <v>14314</v>
      </c>
      <c r="F2123" t="s">
        <v>15442</v>
      </c>
      <c r="H2123">
        <v>93523571</v>
      </c>
      <c r="I2123" t="s">
        <v>14292</v>
      </c>
      <c r="L2123" t="s">
        <v>19869</v>
      </c>
      <c r="M2123">
        <v>165</v>
      </c>
      <c r="N2123" t="s">
        <v>19870</v>
      </c>
    </row>
    <row r="2124" spans="1:14">
      <c r="A2124" t="s">
        <v>9256</v>
      </c>
      <c r="B2124">
        <v>2623140</v>
      </c>
      <c r="C2124">
        <v>2623568</v>
      </c>
      <c r="E2124" t="s">
        <v>14314</v>
      </c>
      <c r="F2124" t="s">
        <v>19871</v>
      </c>
      <c r="H2124">
        <v>93523572</v>
      </c>
      <c r="I2124" t="s">
        <v>14292</v>
      </c>
      <c r="L2124" t="s">
        <v>19872</v>
      </c>
      <c r="M2124">
        <v>142</v>
      </c>
      <c r="N2124" t="s">
        <v>19873</v>
      </c>
    </row>
    <row r="2125" spans="1:14">
      <c r="A2125" t="s">
        <v>9256</v>
      </c>
      <c r="B2125">
        <v>2623644</v>
      </c>
      <c r="C2125">
        <v>2624393</v>
      </c>
      <c r="E2125" t="s">
        <v>14314</v>
      </c>
      <c r="F2125" t="s">
        <v>14978</v>
      </c>
      <c r="G2125" t="s">
        <v>14979</v>
      </c>
      <c r="H2125">
        <v>93523573</v>
      </c>
      <c r="I2125" t="s">
        <v>14292</v>
      </c>
      <c r="L2125" t="s">
        <v>19874</v>
      </c>
      <c r="M2125">
        <v>249</v>
      </c>
      <c r="N2125" t="s">
        <v>19875</v>
      </c>
    </row>
    <row r="2126" spans="1:14">
      <c r="A2126" t="s">
        <v>9256</v>
      </c>
      <c r="B2126">
        <v>2624407</v>
      </c>
      <c r="C2126">
        <v>2625456</v>
      </c>
      <c r="E2126" t="s">
        <v>14314</v>
      </c>
      <c r="F2126" t="s">
        <v>19876</v>
      </c>
      <c r="H2126">
        <v>93523574</v>
      </c>
      <c r="I2126" t="s">
        <v>14292</v>
      </c>
      <c r="L2126" t="s">
        <v>19877</v>
      </c>
      <c r="M2126">
        <v>349</v>
      </c>
      <c r="N2126" t="s">
        <v>19878</v>
      </c>
    </row>
    <row r="2127" spans="1:14">
      <c r="A2127" t="s">
        <v>9256</v>
      </c>
      <c r="B2127">
        <v>2625485</v>
      </c>
      <c r="C2127">
        <v>2625967</v>
      </c>
      <c r="E2127" t="s">
        <v>14314</v>
      </c>
      <c r="F2127" t="s">
        <v>19879</v>
      </c>
      <c r="H2127">
        <v>93523575</v>
      </c>
      <c r="I2127" t="s">
        <v>14292</v>
      </c>
      <c r="L2127" t="s">
        <v>19880</v>
      </c>
      <c r="M2127">
        <v>160</v>
      </c>
      <c r="N2127" t="s">
        <v>19881</v>
      </c>
    </row>
    <row r="2128" spans="1:14">
      <c r="A2128" t="s">
        <v>9256</v>
      </c>
      <c r="B2128">
        <v>2626018</v>
      </c>
      <c r="C2128">
        <v>2626665</v>
      </c>
      <c r="E2128" t="s">
        <v>14314</v>
      </c>
      <c r="F2128" t="s">
        <v>14612</v>
      </c>
      <c r="H2128">
        <v>93523576</v>
      </c>
      <c r="I2128" t="s">
        <v>14292</v>
      </c>
      <c r="L2128" t="s">
        <v>19882</v>
      </c>
      <c r="M2128">
        <v>215</v>
      </c>
      <c r="N2128" t="s">
        <v>19883</v>
      </c>
    </row>
    <row r="2129" spans="1:14">
      <c r="A2129" t="s">
        <v>9256</v>
      </c>
      <c r="B2129">
        <v>2626768</v>
      </c>
      <c r="C2129">
        <v>2627196</v>
      </c>
      <c r="E2129" t="s">
        <v>14314</v>
      </c>
      <c r="F2129" t="s">
        <v>19884</v>
      </c>
      <c r="H2129">
        <v>93523577</v>
      </c>
      <c r="I2129" t="s">
        <v>14292</v>
      </c>
      <c r="L2129" t="s">
        <v>19885</v>
      </c>
      <c r="M2129">
        <v>142</v>
      </c>
      <c r="N2129" t="s">
        <v>19886</v>
      </c>
    </row>
    <row r="2130" spans="1:14">
      <c r="A2130" t="s">
        <v>9256</v>
      </c>
      <c r="B2130">
        <v>2627381</v>
      </c>
      <c r="C2130">
        <v>2627590</v>
      </c>
      <c r="E2130" t="s">
        <v>14314</v>
      </c>
      <c r="F2130" t="s">
        <v>14291</v>
      </c>
      <c r="H2130">
        <v>93525993</v>
      </c>
      <c r="I2130" t="s">
        <v>14292</v>
      </c>
      <c r="L2130" t="s">
        <v>19887</v>
      </c>
      <c r="M2130">
        <v>69</v>
      </c>
      <c r="N2130" t="s">
        <v>19888</v>
      </c>
    </row>
    <row r="2131" spans="1:14">
      <c r="A2131" t="s">
        <v>9256</v>
      </c>
      <c r="B2131">
        <v>2628385</v>
      </c>
      <c r="C2131">
        <v>2628660</v>
      </c>
      <c r="E2131" t="s">
        <v>14290</v>
      </c>
      <c r="F2131" t="s">
        <v>14291</v>
      </c>
      <c r="H2131">
        <v>93523578</v>
      </c>
      <c r="I2131" t="s">
        <v>14292</v>
      </c>
      <c r="L2131" t="s">
        <v>19889</v>
      </c>
      <c r="M2131">
        <v>91</v>
      </c>
      <c r="N2131" t="s">
        <v>19890</v>
      </c>
    </row>
    <row r="2132" spans="1:14">
      <c r="A2132" t="s">
        <v>9256</v>
      </c>
      <c r="B2132">
        <v>2628802</v>
      </c>
      <c r="C2132">
        <v>2630255</v>
      </c>
      <c r="E2132" t="s">
        <v>14314</v>
      </c>
      <c r="F2132" t="s">
        <v>14414</v>
      </c>
      <c r="H2132">
        <v>93523579</v>
      </c>
      <c r="I2132" t="s">
        <v>14415</v>
      </c>
      <c r="N2132" t="s">
        <v>19891</v>
      </c>
    </row>
    <row r="2133" spans="1:14">
      <c r="A2133" t="s">
        <v>9256</v>
      </c>
      <c r="B2133">
        <v>2630446</v>
      </c>
      <c r="C2133">
        <v>2630751</v>
      </c>
      <c r="E2133" t="s">
        <v>14314</v>
      </c>
      <c r="F2133" t="s">
        <v>14291</v>
      </c>
      <c r="H2133">
        <v>93523580</v>
      </c>
      <c r="I2133" t="s">
        <v>14292</v>
      </c>
      <c r="L2133" t="s">
        <v>19892</v>
      </c>
      <c r="M2133">
        <v>101</v>
      </c>
      <c r="N2133" t="s">
        <v>19893</v>
      </c>
    </row>
    <row r="2134" spans="1:14">
      <c r="A2134" t="s">
        <v>9256</v>
      </c>
      <c r="B2134">
        <v>2631062</v>
      </c>
      <c r="C2134">
        <v>2631298</v>
      </c>
      <c r="E2134" t="s">
        <v>14314</v>
      </c>
      <c r="F2134" t="s">
        <v>14291</v>
      </c>
      <c r="H2134">
        <v>301046724</v>
      </c>
      <c r="I2134" t="s">
        <v>14292</v>
      </c>
      <c r="L2134" t="s">
        <v>19894</v>
      </c>
      <c r="M2134">
        <v>78</v>
      </c>
      <c r="N2134" t="s">
        <v>19895</v>
      </c>
    </row>
    <row r="2135" spans="1:14">
      <c r="A2135" t="s">
        <v>9256</v>
      </c>
      <c r="B2135">
        <v>2631400</v>
      </c>
      <c r="C2135">
        <v>2632017</v>
      </c>
      <c r="E2135" t="s">
        <v>14314</v>
      </c>
      <c r="F2135" t="s">
        <v>17168</v>
      </c>
      <c r="H2135">
        <v>93523581</v>
      </c>
      <c r="I2135" t="s">
        <v>14292</v>
      </c>
      <c r="L2135" t="s">
        <v>19896</v>
      </c>
      <c r="M2135">
        <v>205</v>
      </c>
      <c r="N2135" t="s">
        <v>19897</v>
      </c>
    </row>
    <row r="2136" spans="1:14">
      <c r="A2136" t="s">
        <v>9256</v>
      </c>
      <c r="B2136">
        <v>2632099</v>
      </c>
      <c r="C2136">
        <v>2632290</v>
      </c>
      <c r="E2136" t="s">
        <v>14314</v>
      </c>
      <c r="F2136" t="s">
        <v>14414</v>
      </c>
      <c r="H2136">
        <v>93525945</v>
      </c>
      <c r="I2136" t="s">
        <v>14415</v>
      </c>
      <c r="N2136" t="s">
        <v>19898</v>
      </c>
    </row>
    <row r="2137" spans="1:14">
      <c r="A2137" t="s">
        <v>9256</v>
      </c>
      <c r="B2137">
        <v>2632288</v>
      </c>
      <c r="C2137">
        <v>2632461</v>
      </c>
      <c r="E2137" t="s">
        <v>14290</v>
      </c>
      <c r="F2137" t="s">
        <v>14291</v>
      </c>
      <c r="H2137">
        <v>93523582</v>
      </c>
      <c r="I2137" t="s">
        <v>14292</v>
      </c>
      <c r="L2137" t="s">
        <v>19899</v>
      </c>
      <c r="M2137">
        <v>57</v>
      </c>
      <c r="N2137" t="s">
        <v>19900</v>
      </c>
    </row>
    <row r="2138" spans="1:14">
      <c r="A2138" t="s">
        <v>9256</v>
      </c>
      <c r="B2138">
        <v>2632958</v>
      </c>
      <c r="C2138">
        <v>2633959</v>
      </c>
      <c r="E2138" t="s">
        <v>14314</v>
      </c>
      <c r="F2138" t="s">
        <v>15333</v>
      </c>
      <c r="H2138">
        <v>93523583</v>
      </c>
      <c r="I2138" t="s">
        <v>14292</v>
      </c>
      <c r="L2138" t="s">
        <v>19901</v>
      </c>
      <c r="M2138">
        <v>333</v>
      </c>
      <c r="N2138" t="s">
        <v>19902</v>
      </c>
    </row>
    <row r="2139" spans="1:14">
      <c r="A2139" t="s">
        <v>9256</v>
      </c>
      <c r="B2139">
        <v>2634092</v>
      </c>
      <c r="C2139">
        <v>2635420</v>
      </c>
      <c r="E2139" t="s">
        <v>14290</v>
      </c>
      <c r="F2139" t="s">
        <v>14870</v>
      </c>
      <c r="H2139">
        <v>93523584</v>
      </c>
      <c r="I2139" t="s">
        <v>14292</v>
      </c>
      <c r="L2139" t="s">
        <v>19903</v>
      </c>
      <c r="M2139">
        <v>442</v>
      </c>
      <c r="N2139" t="s">
        <v>19904</v>
      </c>
    </row>
    <row r="2140" spans="1:14">
      <c r="A2140" t="s">
        <v>9256</v>
      </c>
      <c r="B2140">
        <v>2635646</v>
      </c>
      <c r="C2140">
        <v>2636905</v>
      </c>
      <c r="E2140" t="s">
        <v>14290</v>
      </c>
      <c r="F2140" t="s">
        <v>17669</v>
      </c>
      <c r="H2140">
        <v>93523585</v>
      </c>
      <c r="I2140" t="s">
        <v>14292</v>
      </c>
      <c r="L2140" t="s">
        <v>19905</v>
      </c>
      <c r="M2140">
        <v>419</v>
      </c>
      <c r="N2140" t="s">
        <v>19906</v>
      </c>
    </row>
    <row r="2141" spans="1:14">
      <c r="A2141" t="s">
        <v>9256</v>
      </c>
      <c r="B2141">
        <v>2636948</v>
      </c>
      <c r="C2141">
        <v>2637859</v>
      </c>
      <c r="E2141" t="s">
        <v>14290</v>
      </c>
      <c r="F2141" t="s">
        <v>18272</v>
      </c>
      <c r="H2141">
        <v>93523586</v>
      </c>
      <c r="I2141" t="s">
        <v>14292</v>
      </c>
      <c r="L2141" t="s">
        <v>19907</v>
      </c>
      <c r="M2141">
        <v>303</v>
      </c>
      <c r="N2141" t="s">
        <v>19908</v>
      </c>
    </row>
    <row r="2142" spans="1:14">
      <c r="A2142" t="s">
        <v>9256</v>
      </c>
      <c r="B2142">
        <v>2637901</v>
      </c>
      <c r="C2142">
        <v>2639028</v>
      </c>
      <c r="E2142" t="s">
        <v>14290</v>
      </c>
      <c r="F2142" t="s">
        <v>17669</v>
      </c>
      <c r="H2142">
        <v>93523587</v>
      </c>
      <c r="I2142" t="s">
        <v>14292</v>
      </c>
      <c r="L2142" t="s">
        <v>19909</v>
      </c>
      <c r="M2142">
        <v>375</v>
      </c>
      <c r="N2142" t="s">
        <v>19910</v>
      </c>
    </row>
    <row r="2143" spans="1:14">
      <c r="A2143" t="s">
        <v>9256</v>
      </c>
      <c r="B2143">
        <v>2639083</v>
      </c>
      <c r="C2143">
        <v>2640588</v>
      </c>
      <c r="E2143" t="s">
        <v>14290</v>
      </c>
      <c r="F2143" t="s">
        <v>17669</v>
      </c>
      <c r="H2143">
        <v>93523588</v>
      </c>
      <c r="I2143" t="s">
        <v>14292</v>
      </c>
      <c r="L2143" t="s">
        <v>19911</v>
      </c>
      <c r="M2143">
        <v>501</v>
      </c>
      <c r="N2143" t="s">
        <v>19912</v>
      </c>
    </row>
    <row r="2144" spans="1:14">
      <c r="A2144" t="s">
        <v>9256</v>
      </c>
      <c r="B2144">
        <v>2640844</v>
      </c>
      <c r="C2144">
        <v>2641935</v>
      </c>
      <c r="E2144" t="s">
        <v>14290</v>
      </c>
      <c r="F2144" t="s">
        <v>14291</v>
      </c>
      <c r="H2144">
        <v>93523589</v>
      </c>
      <c r="I2144" t="s">
        <v>14292</v>
      </c>
      <c r="L2144" t="s">
        <v>19913</v>
      </c>
      <c r="M2144">
        <v>363</v>
      </c>
      <c r="N2144" t="s">
        <v>19914</v>
      </c>
    </row>
    <row r="2145" spans="1:14">
      <c r="A2145" t="s">
        <v>9256</v>
      </c>
      <c r="B2145">
        <v>2641957</v>
      </c>
      <c r="C2145">
        <v>2643483</v>
      </c>
      <c r="E2145" t="s">
        <v>14290</v>
      </c>
      <c r="F2145" t="s">
        <v>14291</v>
      </c>
      <c r="H2145">
        <v>93523590</v>
      </c>
      <c r="I2145" t="s">
        <v>14292</v>
      </c>
      <c r="L2145" t="s">
        <v>19915</v>
      </c>
      <c r="M2145">
        <v>508</v>
      </c>
      <c r="N2145" t="s">
        <v>19916</v>
      </c>
    </row>
    <row r="2146" spans="1:14">
      <c r="A2146" t="s">
        <v>9256</v>
      </c>
      <c r="B2146">
        <v>2643501</v>
      </c>
      <c r="C2146">
        <v>2645975</v>
      </c>
      <c r="E2146" t="s">
        <v>14290</v>
      </c>
      <c r="F2146" t="s">
        <v>14389</v>
      </c>
      <c r="H2146">
        <v>93523591</v>
      </c>
      <c r="I2146" t="s">
        <v>14292</v>
      </c>
      <c r="L2146" t="s">
        <v>19917</v>
      </c>
      <c r="M2146">
        <v>824</v>
      </c>
      <c r="N2146" t="s">
        <v>19918</v>
      </c>
    </row>
    <row r="2147" spans="1:14">
      <c r="A2147" t="s">
        <v>9256</v>
      </c>
      <c r="B2147">
        <v>2646580</v>
      </c>
      <c r="C2147">
        <v>2646681</v>
      </c>
      <c r="E2147" t="s">
        <v>14290</v>
      </c>
      <c r="F2147" t="s">
        <v>14414</v>
      </c>
      <c r="H2147">
        <v>301046725</v>
      </c>
      <c r="I2147" t="s">
        <v>14415</v>
      </c>
      <c r="N2147" t="s">
        <v>19919</v>
      </c>
    </row>
    <row r="2148" spans="1:14">
      <c r="A2148" t="s">
        <v>9256</v>
      </c>
      <c r="B2148">
        <v>2647026</v>
      </c>
      <c r="C2148">
        <v>2647313</v>
      </c>
      <c r="E2148" t="s">
        <v>14290</v>
      </c>
      <c r="F2148" t="s">
        <v>15103</v>
      </c>
      <c r="H2148">
        <v>93523592</v>
      </c>
      <c r="I2148" t="s">
        <v>14292</v>
      </c>
      <c r="L2148" t="s">
        <v>19920</v>
      </c>
      <c r="M2148">
        <v>95</v>
      </c>
      <c r="N2148" t="s">
        <v>19921</v>
      </c>
    </row>
    <row r="2149" spans="1:14">
      <c r="A2149" t="s">
        <v>9256</v>
      </c>
      <c r="B2149">
        <v>2647356</v>
      </c>
      <c r="C2149">
        <v>2647913</v>
      </c>
      <c r="E2149" t="s">
        <v>14290</v>
      </c>
      <c r="F2149" t="s">
        <v>17427</v>
      </c>
      <c r="H2149">
        <v>93523593</v>
      </c>
      <c r="I2149" t="s">
        <v>14292</v>
      </c>
      <c r="L2149" t="s">
        <v>19922</v>
      </c>
      <c r="M2149">
        <v>185</v>
      </c>
      <c r="N2149" t="s">
        <v>19923</v>
      </c>
    </row>
    <row r="2150" spans="1:14">
      <c r="A2150" t="s">
        <v>9256</v>
      </c>
      <c r="B2150">
        <v>2647922</v>
      </c>
      <c r="C2150">
        <v>2649406</v>
      </c>
      <c r="E2150" t="s">
        <v>14290</v>
      </c>
      <c r="F2150" t="s">
        <v>17424</v>
      </c>
      <c r="H2150">
        <v>93523594</v>
      </c>
      <c r="I2150" t="s">
        <v>14292</v>
      </c>
      <c r="L2150" t="s">
        <v>19924</v>
      </c>
      <c r="M2150">
        <v>494</v>
      </c>
      <c r="N2150" t="s">
        <v>19925</v>
      </c>
    </row>
    <row r="2151" spans="1:14">
      <c r="A2151" t="s">
        <v>9256</v>
      </c>
      <c r="B2151">
        <v>2649458</v>
      </c>
      <c r="C2151">
        <v>2649838</v>
      </c>
      <c r="E2151" t="s">
        <v>14290</v>
      </c>
      <c r="F2151" t="s">
        <v>14291</v>
      </c>
      <c r="H2151">
        <v>93523595</v>
      </c>
      <c r="I2151" t="s">
        <v>14292</v>
      </c>
      <c r="L2151" t="s">
        <v>19926</v>
      </c>
      <c r="M2151">
        <v>126</v>
      </c>
      <c r="N2151" t="s">
        <v>19927</v>
      </c>
    </row>
    <row r="2152" spans="1:14">
      <c r="A2152" t="s">
        <v>9256</v>
      </c>
      <c r="B2152">
        <v>2649919</v>
      </c>
      <c r="C2152">
        <v>2650578</v>
      </c>
      <c r="E2152" t="s">
        <v>14314</v>
      </c>
      <c r="F2152" t="s">
        <v>19928</v>
      </c>
      <c r="H2152">
        <v>93523596</v>
      </c>
      <c r="I2152" t="s">
        <v>14292</v>
      </c>
      <c r="L2152" t="s">
        <v>19929</v>
      </c>
      <c r="M2152">
        <v>219</v>
      </c>
      <c r="N2152" t="s">
        <v>19930</v>
      </c>
    </row>
    <row r="2153" spans="1:14">
      <c r="A2153" t="s">
        <v>9256</v>
      </c>
      <c r="B2153">
        <v>2650596</v>
      </c>
      <c r="C2153">
        <v>2651183</v>
      </c>
      <c r="E2153" t="s">
        <v>14314</v>
      </c>
      <c r="F2153" t="s">
        <v>19931</v>
      </c>
      <c r="G2153" t="s">
        <v>19932</v>
      </c>
      <c r="H2153">
        <v>93523597</v>
      </c>
      <c r="I2153" t="s">
        <v>14292</v>
      </c>
      <c r="L2153" t="s">
        <v>19933</v>
      </c>
      <c r="M2153">
        <v>195</v>
      </c>
      <c r="N2153" t="s">
        <v>19934</v>
      </c>
    </row>
    <row r="2154" spans="1:14">
      <c r="A2154" t="s">
        <v>9256</v>
      </c>
      <c r="B2154">
        <v>2651204</v>
      </c>
      <c r="C2154">
        <v>2653402</v>
      </c>
      <c r="E2154" t="s">
        <v>14314</v>
      </c>
      <c r="F2154" t="s">
        <v>15450</v>
      </c>
      <c r="H2154">
        <v>93523598</v>
      </c>
      <c r="I2154" t="s">
        <v>14292</v>
      </c>
      <c r="L2154" t="s">
        <v>19935</v>
      </c>
      <c r="M2154">
        <v>732</v>
      </c>
      <c r="N2154" t="s">
        <v>19936</v>
      </c>
    </row>
    <row r="2155" spans="1:14">
      <c r="A2155" t="s">
        <v>9256</v>
      </c>
      <c r="B2155">
        <v>2653793</v>
      </c>
      <c r="C2155">
        <v>2654260</v>
      </c>
      <c r="E2155" t="s">
        <v>14290</v>
      </c>
      <c r="F2155" t="s">
        <v>19937</v>
      </c>
      <c r="G2155" t="s">
        <v>19938</v>
      </c>
      <c r="H2155">
        <v>93523599</v>
      </c>
      <c r="I2155" t="s">
        <v>14292</v>
      </c>
      <c r="L2155" t="s">
        <v>19939</v>
      </c>
      <c r="M2155">
        <v>155</v>
      </c>
      <c r="N2155" t="s">
        <v>19940</v>
      </c>
    </row>
    <row r="2156" spans="1:14">
      <c r="A2156" t="s">
        <v>9256</v>
      </c>
      <c r="B2156">
        <v>2654265</v>
      </c>
      <c r="C2156">
        <v>2655530</v>
      </c>
      <c r="E2156" t="s">
        <v>14290</v>
      </c>
      <c r="F2156" t="s">
        <v>19941</v>
      </c>
      <c r="G2156" t="s">
        <v>19942</v>
      </c>
      <c r="H2156">
        <v>93523600</v>
      </c>
      <c r="I2156" t="s">
        <v>14292</v>
      </c>
      <c r="L2156" t="s">
        <v>19943</v>
      </c>
      <c r="M2156">
        <v>421</v>
      </c>
      <c r="N2156" t="s">
        <v>19944</v>
      </c>
    </row>
    <row r="2157" spans="1:14">
      <c r="A2157" t="s">
        <v>9256</v>
      </c>
      <c r="B2157">
        <v>2655551</v>
      </c>
      <c r="C2157">
        <v>2658472</v>
      </c>
      <c r="E2157" t="s">
        <v>14290</v>
      </c>
      <c r="F2157" t="s">
        <v>19945</v>
      </c>
      <c r="G2157" t="s">
        <v>19946</v>
      </c>
      <c r="H2157">
        <v>93523601</v>
      </c>
      <c r="I2157" t="s">
        <v>14292</v>
      </c>
      <c r="L2157" t="s">
        <v>19947</v>
      </c>
      <c r="M2157">
        <v>973</v>
      </c>
      <c r="N2157" t="s">
        <v>19948</v>
      </c>
    </row>
    <row r="2158" spans="1:14">
      <c r="A2158" t="s">
        <v>9256</v>
      </c>
      <c r="B2158">
        <v>2658475</v>
      </c>
      <c r="C2158">
        <v>2658966</v>
      </c>
      <c r="E2158" t="s">
        <v>14290</v>
      </c>
      <c r="F2158" t="s">
        <v>19949</v>
      </c>
      <c r="H2158">
        <v>93523602</v>
      </c>
      <c r="I2158" t="s">
        <v>14292</v>
      </c>
      <c r="L2158" t="s">
        <v>19950</v>
      </c>
      <c r="M2158">
        <v>163</v>
      </c>
      <c r="N2158" t="s">
        <v>19951</v>
      </c>
    </row>
    <row r="2159" spans="1:14">
      <c r="A2159" t="s">
        <v>9256</v>
      </c>
      <c r="B2159">
        <v>2658997</v>
      </c>
      <c r="C2159">
        <v>2660442</v>
      </c>
      <c r="E2159" t="s">
        <v>14290</v>
      </c>
      <c r="F2159" t="s">
        <v>19952</v>
      </c>
      <c r="G2159" t="s">
        <v>19953</v>
      </c>
      <c r="H2159">
        <v>93523603</v>
      </c>
      <c r="I2159" t="s">
        <v>14292</v>
      </c>
      <c r="L2159" t="s">
        <v>19954</v>
      </c>
      <c r="M2159">
        <v>481</v>
      </c>
      <c r="N2159" t="s">
        <v>19955</v>
      </c>
    </row>
    <row r="2160" spans="1:14">
      <c r="A2160" t="s">
        <v>9256</v>
      </c>
      <c r="B2160">
        <v>2660485</v>
      </c>
      <c r="C2160">
        <v>2661240</v>
      </c>
      <c r="E2160" t="s">
        <v>14290</v>
      </c>
      <c r="F2160" t="s">
        <v>19956</v>
      </c>
      <c r="G2160" t="s">
        <v>19957</v>
      </c>
      <c r="H2160">
        <v>93523604</v>
      </c>
      <c r="I2160" t="s">
        <v>14292</v>
      </c>
      <c r="L2160" t="s">
        <v>19958</v>
      </c>
      <c r="M2160">
        <v>251</v>
      </c>
      <c r="N2160" t="s">
        <v>19959</v>
      </c>
    </row>
    <row r="2161" spans="1:14">
      <c r="A2161" t="s">
        <v>9256</v>
      </c>
      <c r="B2161">
        <v>2661233</v>
      </c>
      <c r="C2161">
        <v>2662585</v>
      </c>
      <c r="E2161" t="s">
        <v>14290</v>
      </c>
      <c r="F2161" t="s">
        <v>19960</v>
      </c>
      <c r="G2161" t="s">
        <v>19961</v>
      </c>
      <c r="H2161">
        <v>93523605</v>
      </c>
      <c r="I2161" t="s">
        <v>14292</v>
      </c>
      <c r="L2161" t="s">
        <v>19962</v>
      </c>
      <c r="M2161">
        <v>450</v>
      </c>
      <c r="N2161" t="s">
        <v>19963</v>
      </c>
    </row>
    <row r="2162" spans="1:14">
      <c r="A2162" t="s">
        <v>9256</v>
      </c>
      <c r="B2162">
        <v>2662698</v>
      </c>
      <c r="C2162">
        <v>2663534</v>
      </c>
      <c r="E2162" t="s">
        <v>14290</v>
      </c>
      <c r="F2162" t="s">
        <v>14439</v>
      </c>
      <c r="H2162">
        <v>93523606</v>
      </c>
      <c r="I2162" t="s">
        <v>14292</v>
      </c>
      <c r="L2162" t="s">
        <v>19964</v>
      </c>
      <c r="M2162">
        <v>278</v>
      </c>
      <c r="N2162" t="s">
        <v>19965</v>
      </c>
    </row>
    <row r="2163" spans="1:14">
      <c r="A2163" t="s">
        <v>9256</v>
      </c>
      <c r="B2163">
        <v>2663637</v>
      </c>
      <c r="C2163">
        <v>2665484</v>
      </c>
      <c r="E2163" t="s">
        <v>14314</v>
      </c>
      <c r="F2163" t="s">
        <v>19966</v>
      </c>
      <c r="H2163">
        <v>93523607</v>
      </c>
      <c r="I2163" t="s">
        <v>14292</v>
      </c>
      <c r="L2163" t="s">
        <v>19967</v>
      </c>
      <c r="M2163">
        <v>615</v>
      </c>
      <c r="N2163" t="s">
        <v>19968</v>
      </c>
    </row>
    <row r="2164" spans="1:14">
      <c r="A2164" t="s">
        <v>9256</v>
      </c>
      <c r="B2164">
        <v>2665658</v>
      </c>
      <c r="C2164">
        <v>2668825</v>
      </c>
      <c r="E2164" t="s">
        <v>14290</v>
      </c>
      <c r="F2164" t="s">
        <v>18830</v>
      </c>
      <c r="H2164">
        <v>93523608</v>
      </c>
      <c r="I2164" t="s">
        <v>14292</v>
      </c>
      <c r="L2164" t="s">
        <v>19969</v>
      </c>
      <c r="M2164">
        <v>1055</v>
      </c>
      <c r="N2164" t="s">
        <v>19970</v>
      </c>
    </row>
    <row r="2165" spans="1:14">
      <c r="A2165" t="s">
        <v>9256</v>
      </c>
      <c r="B2165">
        <v>2668850</v>
      </c>
      <c r="C2165">
        <v>2670265</v>
      </c>
      <c r="E2165" t="s">
        <v>14290</v>
      </c>
      <c r="F2165" t="s">
        <v>17466</v>
      </c>
      <c r="H2165">
        <v>93523609</v>
      </c>
      <c r="I2165" t="s">
        <v>14292</v>
      </c>
      <c r="L2165" t="s">
        <v>19971</v>
      </c>
      <c r="M2165">
        <v>471</v>
      </c>
      <c r="N2165" t="s">
        <v>19972</v>
      </c>
    </row>
    <row r="2166" spans="1:14">
      <c r="A2166" t="s">
        <v>9256</v>
      </c>
      <c r="B2166">
        <v>2670397</v>
      </c>
      <c r="C2166">
        <v>2671611</v>
      </c>
      <c r="E2166" t="s">
        <v>14290</v>
      </c>
      <c r="F2166" t="s">
        <v>19973</v>
      </c>
      <c r="H2166">
        <v>93523610</v>
      </c>
      <c r="I2166" t="s">
        <v>14292</v>
      </c>
      <c r="L2166" t="s">
        <v>19974</v>
      </c>
      <c r="M2166">
        <v>404</v>
      </c>
      <c r="N2166" t="s">
        <v>19975</v>
      </c>
    </row>
    <row r="2167" spans="1:14">
      <c r="A2167" t="s">
        <v>9256</v>
      </c>
      <c r="B2167">
        <v>2671614</v>
      </c>
      <c r="C2167">
        <v>2672015</v>
      </c>
      <c r="E2167" t="s">
        <v>14290</v>
      </c>
      <c r="F2167" t="s">
        <v>19976</v>
      </c>
      <c r="H2167">
        <v>93523611</v>
      </c>
      <c r="I2167" t="s">
        <v>14292</v>
      </c>
      <c r="L2167" t="s">
        <v>19977</v>
      </c>
      <c r="M2167">
        <v>133</v>
      </c>
      <c r="N2167" t="s">
        <v>19978</v>
      </c>
    </row>
    <row r="2168" spans="1:14">
      <c r="A2168" t="s">
        <v>9256</v>
      </c>
      <c r="B2168">
        <v>2672142</v>
      </c>
      <c r="C2168">
        <v>2672741</v>
      </c>
      <c r="E2168" t="s">
        <v>14290</v>
      </c>
      <c r="F2168" t="s">
        <v>19979</v>
      </c>
      <c r="H2168">
        <v>93523612</v>
      </c>
      <c r="I2168" t="s">
        <v>14292</v>
      </c>
      <c r="L2168" t="s">
        <v>19980</v>
      </c>
      <c r="M2168">
        <v>199</v>
      </c>
      <c r="N2168" t="s">
        <v>19981</v>
      </c>
    </row>
    <row r="2169" spans="1:14">
      <c r="A2169" t="s">
        <v>9256</v>
      </c>
      <c r="B2169">
        <v>2672859</v>
      </c>
      <c r="C2169">
        <v>2673284</v>
      </c>
      <c r="E2169" t="s">
        <v>14314</v>
      </c>
      <c r="F2169" t="s">
        <v>19982</v>
      </c>
      <c r="H2169">
        <v>93523613</v>
      </c>
      <c r="I2169" t="s">
        <v>14292</v>
      </c>
      <c r="L2169" t="s">
        <v>19983</v>
      </c>
      <c r="M2169">
        <v>141</v>
      </c>
      <c r="N2169" t="s">
        <v>19984</v>
      </c>
    </row>
    <row r="2170" spans="1:14">
      <c r="A2170" t="s">
        <v>9256</v>
      </c>
      <c r="B2170">
        <v>2673297</v>
      </c>
      <c r="C2170">
        <v>2674286</v>
      </c>
      <c r="E2170" t="s">
        <v>14314</v>
      </c>
      <c r="F2170" t="s">
        <v>19985</v>
      </c>
      <c r="H2170">
        <v>93523614</v>
      </c>
      <c r="I2170" t="s">
        <v>14292</v>
      </c>
      <c r="L2170" t="s">
        <v>19986</v>
      </c>
      <c r="M2170">
        <v>329</v>
      </c>
      <c r="N2170" t="s">
        <v>19987</v>
      </c>
    </row>
    <row r="2171" spans="1:14">
      <c r="A2171" t="s">
        <v>9256</v>
      </c>
      <c r="B2171">
        <v>2674300</v>
      </c>
      <c r="C2171">
        <v>2676150</v>
      </c>
      <c r="E2171" t="s">
        <v>14314</v>
      </c>
      <c r="F2171" t="s">
        <v>19988</v>
      </c>
      <c r="H2171">
        <v>93523615</v>
      </c>
      <c r="I2171" t="s">
        <v>14292</v>
      </c>
      <c r="L2171" t="s">
        <v>19989</v>
      </c>
      <c r="M2171">
        <v>616</v>
      </c>
      <c r="N2171" t="s">
        <v>19990</v>
      </c>
    </row>
    <row r="2172" spans="1:14">
      <c r="A2172" t="s">
        <v>9256</v>
      </c>
      <c r="B2172">
        <v>2676173</v>
      </c>
      <c r="C2172">
        <v>2677957</v>
      </c>
      <c r="E2172" t="s">
        <v>14314</v>
      </c>
      <c r="F2172" t="s">
        <v>19988</v>
      </c>
      <c r="H2172">
        <v>93523616</v>
      </c>
      <c r="I2172" t="s">
        <v>14292</v>
      </c>
      <c r="L2172" t="s">
        <v>19991</v>
      </c>
      <c r="M2172">
        <v>594</v>
      </c>
      <c r="N2172" t="s">
        <v>19992</v>
      </c>
    </row>
    <row r="2173" spans="1:14">
      <c r="A2173" t="s">
        <v>9256</v>
      </c>
      <c r="B2173">
        <v>2677950</v>
      </c>
      <c r="C2173">
        <v>2679905</v>
      </c>
      <c r="E2173" t="s">
        <v>14314</v>
      </c>
      <c r="F2173" t="s">
        <v>19993</v>
      </c>
      <c r="G2173" t="s">
        <v>19994</v>
      </c>
      <c r="H2173">
        <v>93523617</v>
      </c>
      <c r="I2173" t="s">
        <v>14292</v>
      </c>
      <c r="L2173" t="s">
        <v>19995</v>
      </c>
      <c r="M2173">
        <v>651</v>
      </c>
      <c r="N2173" t="s">
        <v>19996</v>
      </c>
    </row>
    <row r="2174" spans="1:14">
      <c r="A2174" t="s">
        <v>9256</v>
      </c>
      <c r="B2174">
        <v>2680078</v>
      </c>
      <c r="C2174">
        <v>2680152</v>
      </c>
      <c r="E2174" t="s">
        <v>14314</v>
      </c>
      <c r="F2174" t="s">
        <v>16553</v>
      </c>
      <c r="H2174">
        <v>93523618</v>
      </c>
      <c r="I2174" t="s">
        <v>13638</v>
      </c>
      <c r="N2174" t="s">
        <v>19997</v>
      </c>
    </row>
    <row r="2175" spans="1:14">
      <c r="A2175" t="s">
        <v>9256</v>
      </c>
      <c r="B2175">
        <v>2680221</v>
      </c>
      <c r="C2175">
        <v>2680475</v>
      </c>
      <c r="E2175" t="s">
        <v>14314</v>
      </c>
      <c r="F2175" t="s">
        <v>19998</v>
      </c>
      <c r="G2175" t="s">
        <v>19999</v>
      </c>
      <c r="H2175">
        <v>93523619</v>
      </c>
      <c r="I2175" t="s">
        <v>14292</v>
      </c>
      <c r="L2175" t="s">
        <v>20000</v>
      </c>
      <c r="M2175">
        <v>84</v>
      </c>
      <c r="N2175" t="s">
        <v>20001</v>
      </c>
    </row>
    <row r="2176" spans="1:14">
      <c r="A2176" t="s">
        <v>9256</v>
      </c>
      <c r="B2176">
        <v>2680517</v>
      </c>
      <c r="C2176">
        <v>2680588</v>
      </c>
      <c r="E2176" t="s">
        <v>14314</v>
      </c>
      <c r="F2176" t="s">
        <v>16553</v>
      </c>
      <c r="H2176">
        <v>93523620</v>
      </c>
      <c r="I2176" t="s">
        <v>13638</v>
      </c>
      <c r="N2176" t="s">
        <v>20002</v>
      </c>
    </row>
    <row r="2177" spans="1:14">
      <c r="A2177" t="s">
        <v>9256</v>
      </c>
      <c r="B2177">
        <v>2680705</v>
      </c>
      <c r="C2177">
        <v>2681109</v>
      </c>
      <c r="E2177" t="s">
        <v>14314</v>
      </c>
      <c r="F2177" t="s">
        <v>20003</v>
      </c>
      <c r="H2177">
        <v>93523621</v>
      </c>
      <c r="I2177" t="s">
        <v>14292</v>
      </c>
      <c r="L2177" t="s">
        <v>20004</v>
      </c>
      <c r="M2177">
        <v>134</v>
      </c>
      <c r="N2177" t="s">
        <v>20005</v>
      </c>
    </row>
    <row r="2178" spans="1:14">
      <c r="A2178" t="s">
        <v>9256</v>
      </c>
      <c r="B2178">
        <v>2681187</v>
      </c>
      <c r="C2178">
        <v>2681912</v>
      </c>
      <c r="E2178" t="s">
        <v>14290</v>
      </c>
      <c r="F2178" t="s">
        <v>20006</v>
      </c>
      <c r="G2178" t="s">
        <v>20007</v>
      </c>
      <c r="H2178">
        <v>93523622</v>
      </c>
      <c r="I2178" t="s">
        <v>14292</v>
      </c>
      <c r="L2178" t="s">
        <v>20008</v>
      </c>
      <c r="M2178">
        <v>241</v>
      </c>
      <c r="N2178" t="s">
        <v>20009</v>
      </c>
    </row>
    <row r="2179" spans="1:14">
      <c r="A2179" t="s">
        <v>9256</v>
      </c>
      <c r="B2179">
        <v>2682100</v>
      </c>
      <c r="C2179">
        <v>2682171</v>
      </c>
      <c r="E2179" t="s">
        <v>14290</v>
      </c>
      <c r="F2179" t="s">
        <v>14751</v>
      </c>
      <c r="H2179">
        <v>93523623</v>
      </c>
      <c r="I2179" t="s">
        <v>13638</v>
      </c>
      <c r="N2179" t="s">
        <v>20010</v>
      </c>
    </row>
    <row r="2180" spans="1:14">
      <c r="A2180" t="s">
        <v>9256</v>
      </c>
      <c r="B2180">
        <v>2682369</v>
      </c>
      <c r="C2180">
        <v>2683670</v>
      </c>
      <c r="E2180" t="s">
        <v>14290</v>
      </c>
      <c r="F2180" t="s">
        <v>15333</v>
      </c>
      <c r="H2180">
        <v>93523624</v>
      </c>
      <c r="I2180" t="s">
        <v>14292</v>
      </c>
      <c r="L2180" t="s">
        <v>20011</v>
      </c>
      <c r="M2180">
        <v>433</v>
      </c>
      <c r="N2180" t="s">
        <v>20012</v>
      </c>
    </row>
    <row r="2181" spans="1:14">
      <c r="A2181" t="s">
        <v>9256</v>
      </c>
      <c r="B2181">
        <v>2683683</v>
      </c>
      <c r="C2181">
        <v>2684969</v>
      </c>
      <c r="E2181" t="s">
        <v>14290</v>
      </c>
      <c r="F2181" t="s">
        <v>14291</v>
      </c>
      <c r="H2181">
        <v>93523625</v>
      </c>
      <c r="I2181" t="s">
        <v>14292</v>
      </c>
      <c r="L2181" t="s">
        <v>20013</v>
      </c>
      <c r="M2181">
        <v>428</v>
      </c>
      <c r="N2181" t="s">
        <v>20014</v>
      </c>
    </row>
    <row r="2182" spans="1:14">
      <c r="A2182" t="s">
        <v>9256</v>
      </c>
      <c r="B2182">
        <v>2685050</v>
      </c>
      <c r="C2182">
        <v>2685340</v>
      </c>
      <c r="E2182" t="s">
        <v>14290</v>
      </c>
      <c r="F2182" t="s">
        <v>14406</v>
      </c>
      <c r="H2182">
        <v>93523626</v>
      </c>
      <c r="I2182" t="s">
        <v>14292</v>
      </c>
      <c r="L2182" t="s">
        <v>20015</v>
      </c>
      <c r="M2182">
        <v>96</v>
      </c>
      <c r="N2182" t="s">
        <v>20016</v>
      </c>
    </row>
    <row r="2183" spans="1:14">
      <c r="A2183" t="s">
        <v>9256</v>
      </c>
      <c r="B2183">
        <v>2685333</v>
      </c>
      <c r="C2183">
        <v>2686346</v>
      </c>
      <c r="E2183" t="s">
        <v>14290</v>
      </c>
      <c r="F2183" t="s">
        <v>20017</v>
      </c>
      <c r="H2183">
        <v>93523627</v>
      </c>
      <c r="I2183" t="s">
        <v>14292</v>
      </c>
      <c r="L2183" t="s">
        <v>20018</v>
      </c>
      <c r="M2183">
        <v>337</v>
      </c>
      <c r="N2183" t="s">
        <v>20019</v>
      </c>
    </row>
    <row r="2184" spans="1:14">
      <c r="A2184" t="s">
        <v>9256</v>
      </c>
      <c r="B2184">
        <v>2686607</v>
      </c>
      <c r="C2184">
        <v>2686903</v>
      </c>
      <c r="E2184" t="s">
        <v>14290</v>
      </c>
      <c r="F2184" t="s">
        <v>15392</v>
      </c>
      <c r="H2184">
        <v>93523628</v>
      </c>
      <c r="I2184" t="s">
        <v>14292</v>
      </c>
      <c r="L2184" t="s">
        <v>20020</v>
      </c>
      <c r="M2184">
        <v>98</v>
      </c>
      <c r="N2184" t="s">
        <v>20021</v>
      </c>
    </row>
    <row r="2185" spans="1:14">
      <c r="A2185" t="s">
        <v>9256</v>
      </c>
      <c r="B2185">
        <v>2686887</v>
      </c>
      <c r="C2185">
        <v>2687228</v>
      </c>
      <c r="E2185" t="s">
        <v>14290</v>
      </c>
      <c r="F2185" t="s">
        <v>15389</v>
      </c>
      <c r="H2185">
        <v>93523629</v>
      </c>
      <c r="I2185" t="s">
        <v>14292</v>
      </c>
      <c r="L2185" t="s">
        <v>20022</v>
      </c>
      <c r="M2185">
        <v>113</v>
      </c>
      <c r="N2185" t="s">
        <v>20023</v>
      </c>
    </row>
    <row r="2186" spans="1:14">
      <c r="A2186" t="s">
        <v>9256</v>
      </c>
      <c r="B2186">
        <v>2687869</v>
      </c>
      <c r="C2186">
        <v>2688693</v>
      </c>
      <c r="E2186" t="s">
        <v>14290</v>
      </c>
      <c r="F2186" t="s">
        <v>14291</v>
      </c>
      <c r="H2186">
        <v>93523630</v>
      </c>
      <c r="I2186" t="s">
        <v>14292</v>
      </c>
      <c r="L2186" t="s">
        <v>20024</v>
      </c>
      <c r="M2186">
        <v>274</v>
      </c>
      <c r="N2186" t="s">
        <v>20025</v>
      </c>
    </row>
    <row r="2187" spans="1:14">
      <c r="A2187" t="s">
        <v>9256</v>
      </c>
      <c r="B2187">
        <v>2688757</v>
      </c>
      <c r="C2187">
        <v>2690814</v>
      </c>
      <c r="E2187" t="s">
        <v>14290</v>
      </c>
      <c r="F2187" t="s">
        <v>20026</v>
      </c>
      <c r="H2187">
        <v>93523631</v>
      </c>
      <c r="I2187" t="s">
        <v>14292</v>
      </c>
      <c r="L2187" t="s">
        <v>20027</v>
      </c>
      <c r="M2187">
        <v>685</v>
      </c>
      <c r="N2187" t="s">
        <v>20028</v>
      </c>
    </row>
    <row r="2188" spans="1:14">
      <c r="A2188" t="s">
        <v>9256</v>
      </c>
      <c r="B2188">
        <v>2690829</v>
      </c>
      <c r="C2188">
        <v>2693717</v>
      </c>
      <c r="E2188" t="s">
        <v>14290</v>
      </c>
      <c r="F2188" t="s">
        <v>20029</v>
      </c>
      <c r="H2188">
        <v>93523632</v>
      </c>
      <c r="I2188" t="s">
        <v>14292</v>
      </c>
      <c r="L2188" t="s">
        <v>20030</v>
      </c>
      <c r="M2188">
        <v>962</v>
      </c>
      <c r="N2188" t="s">
        <v>20031</v>
      </c>
    </row>
    <row r="2189" spans="1:14">
      <c r="A2189" t="s">
        <v>9256</v>
      </c>
      <c r="B2189">
        <v>2693872</v>
      </c>
      <c r="C2189">
        <v>2694174</v>
      </c>
      <c r="E2189" t="s">
        <v>14290</v>
      </c>
      <c r="F2189" t="s">
        <v>14291</v>
      </c>
      <c r="H2189">
        <v>93523633</v>
      </c>
      <c r="I2189" t="s">
        <v>14292</v>
      </c>
      <c r="L2189" t="s">
        <v>20032</v>
      </c>
      <c r="M2189">
        <v>100</v>
      </c>
      <c r="N2189" t="s">
        <v>20033</v>
      </c>
    </row>
    <row r="2190" spans="1:14">
      <c r="A2190" t="s">
        <v>9256</v>
      </c>
      <c r="B2190">
        <v>2694193</v>
      </c>
      <c r="C2190">
        <v>2694339</v>
      </c>
      <c r="E2190" t="s">
        <v>14290</v>
      </c>
      <c r="F2190" t="s">
        <v>14291</v>
      </c>
      <c r="H2190">
        <v>93523634</v>
      </c>
      <c r="I2190" t="s">
        <v>14292</v>
      </c>
      <c r="L2190" t="s">
        <v>20034</v>
      </c>
      <c r="M2190">
        <v>48</v>
      </c>
      <c r="N2190" t="s">
        <v>20035</v>
      </c>
    </row>
    <row r="2191" spans="1:14">
      <c r="A2191" t="s">
        <v>9256</v>
      </c>
      <c r="B2191">
        <v>2694541</v>
      </c>
      <c r="C2191">
        <v>2695104</v>
      </c>
      <c r="E2191" t="s">
        <v>14290</v>
      </c>
      <c r="F2191" t="s">
        <v>14291</v>
      </c>
      <c r="H2191">
        <v>301046726</v>
      </c>
      <c r="I2191" t="s">
        <v>14292</v>
      </c>
      <c r="L2191" t="s">
        <v>20036</v>
      </c>
      <c r="M2191">
        <v>187</v>
      </c>
      <c r="N2191" t="s">
        <v>20037</v>
      </c>
    </row>
    <row r="2192" spans="1:14">
      <c r="A2192" t="s">
        <v>9256</v>
      </c>
      <c r="B2192">
        <v>2695101</v>
      </c>
      <c r="C2192">
        <v>2695244</v>
      </c>
      <c r="E2192" t="s">
        <v>14290</v>
      </c>
      <c r="F2192" t="s">
        <v>14291</v>
      </c>
      <c r="H2192">
        <v>93523635</v>
      </c>
      <c r="I2192" t="s">
        <v>14292</v>
      </c>
      <c r="L2192" t="s">
        <v>20038</v>
      </c>
      <c r="M2192">
        <v>47</v>
      </c>
      <c r="N2192" t="s">
        <v>20039</v>
      </c>
    </row>
    <row r="2193" spans="1:14">
      <c r="A2193" t="s">
        <v>9256</v>
      </c>
      <c r="B2193">
        <v>2695632</v>
      </c>
      <c r="C2193">
        <v>2696045</v>
      </c>
      <c r="E2193" t="s">
        <v>14314</v>
      </c>
      <c r="F2193" t="s">
        <v>14291</v>
      </c>
      <c r="H2193">
        <v>93523636</v>
      </c>
      <c r="I2193" t="s">
        <v>14292</v>
      </c>
      <c r="L2193" t="s">
        <v>20040</v>
      </c>
      <c r="M2193">
        <v>137</v>
      </c>
      <c r="N2193" t="s">
        <v>20041</v>
      </c>
    </row>
    <row r="2194" spans="1:14">
      <c r="A2194" t="s">
        <v>9256</v>
      </c>
      <c r="B2194">
        <v>2696143</v>
      </c>
      <c r="C2194">
        <v>2696556</v>
      </c>
      <c r="E2194" t="s">
        <v>14290</v>
      </c>
      <c r="F2194" t="s">
        <v>14870</v>
      </c>
      <c r="H2194">
        <v>93523637</v>
      </c>
      <c r="I2194" t="s">
        <v>14292</v>
      </c>
      <c r="L2194" t="s">
        <v>20042</v>
      </c>
      <c r="M2194">
        <v>137</v>
      </c>
      <c r="N2194" t="s">
        <v>20043</v>
      </c>
    </row>
    <row r="2195" spans="1:14">
      <c r="A2195" t="s">
        <v>9256</v>
      </c>
      <c r="B2195">
        <v>2696568</v>
      </c>
      <c r="C2195">
        <v>2696879</v>
      </c>
      <c r="E2195" t="s">
        <v>14290</v>
      </c>
      <c r="F2195" t="s">
        <v>20044</v>
      </c>
      <c r="H2195">
        <v>93523638</v>
      </c>
      <c r="I2195" t="s">
        <v>14292</v>
      </c>
      <c r="L2195" t="s">
        <v>20045</v>
      </c>
      <c r="M2195">
        <v>103</v>
      </c>
      <c r="N2195" t="s">
        <v>20046</v>
      </c>
    </row>
    <row r="2196" spans="1:14">
      <c r="A2196" t="s">
        <v>9256</v>
      </c>
      <c r="B2196">
        <v>2696937</v>
      </c>
      <c r="C2196">
        <v>2697896</v>
      </c>
      <c r="E2196" t="s">
        <v>14314</v>
      </c>
      <c r="F2196" t="s">
        <v>14291</v>
      </c>
      <c r="H2196">
        <v>93523639</v>
      </c>
      <c r="I2196" t="s">
        <v>14292</v>
      </c>
      <c r="L2196" t="s">
        <v>20047</v>
      </c>
      <c r="M2196">
        <v>319</v>
      </c>
      <c r="N2196" t="s">
        <v>20048</v>
      </c>
    </row>
    <row r="2197" spans="1:14">
      <c r="A2197" t="s">
        <v>9256</v>
      </c>
      <c r="B2197">
        <v>2698052</v>
      </c>
      <c r="C2197">
        <v>2699206</v>
      </c>
      <c r="E2197" t="s">
        <v>14290</v>
      </c>
      <c r="F2197" t="s">
        <v>15836</v>
      </c>
      <c r="H2197">
        <v>93523640</v>
      </c>
      <c r="I2197" t="s">
        <v>14292</v>
      </c>
      <c r="L2197" t="s">
        <v>20049</v>
      </c>
      <c r="M2197">
        <v>384</v>
      </c>
      <c r="N2197" t="s">
        <v>20050</v>
      </c>
    </row>
    <row r="2198" spans="1:14">
      <c r="A2198" t="s">
        <v>9256</v>
      </c>
      <c r="B2198">
        <v>2699220</v>
      </c>
      <c r="C2198">
        <v>2700212</v>
      </c>
      <c r="E2198" t="s">
        <v>14290</v>
      </c>
      <c r="F2198" t="s">
        <v>14985</v>
      </c>
      <c r="H2198">
        <v>93523641</v>
      </c>
      <c r="I2198" t="s">
        <v>14292</v>
      </c>
      <c r="L2198" t="s">
        <v>20051</v>
      </c>
      <c r="M2198">
        <v>330</v>
      </c>
      <c r="N2198" t="s">
        <v>20052</v>
      </c>
    </row>
    <row r="2199" spans="1:14">
      <c r="A2199" t="s">
        <v>9256</v>
      </c>
      <c r="B2199">
        <v>2700245</v>
      </c>
      <c r="C2199">
        <v>2701246</v>
      </c>
      <c r="E2199" t="s">
        <v>14290</v>
      </c>
      <c r="F2199" t="s">
        <v>16232</v>
      </c>
      <c r="H2199">
        <v>93523642</v>
      </c>
      <c r="I2199" t="s">
        <v>14292</v>
      </c>
      <c r="L2199" t="s">
        <v>20053</v>
      </c>
      <c r="M2199">
        <v>333</v>
      </c>
      <c r="N2199" t="s">
        <v>20054</v>
      </c>
    </row>
    <row r="2200" spans="1:14">
      <c r="A2200" t="s">
        <v>9256</v>
      </c>
      <c r="B2200">
        <v>2701350</v>
      </c>
      <c r="C2200">
        <v>2702246</v>
      </c>
      <c r="E2200" t="s">
        <v>14290</v>
      </c>
      <c r="F2200" t="s">
        <v>20055</v>
      </c>
      <c r="H2200">
        <v>93523643</v>
      </c>
      <c r="I2200" t="s">
        <v>14292</v>
      </c>
      <c r="L2200" t="s">
        <v>20056</v>
      </c>
      <c r="M2200">
        <v>298</v>
      </c>
      <c r="N2200" t="s">
        <v>20057</v>
      </c>
    </row>
    <row r="2201" spans="1:14">
      <c r="A2201" t="s">
        <v>9256</v>
      </c>
      <c r="B2201">
        <v>2702342</v>
      </c>
      <c r="C2201">
        <v>2703175</v>
      </c>
      <c r="E2201" t="s">
        <v>14290</v>
      </c>
      <c r="F2201" t="s">
        <v>20058</v>
      </c>
      <c r="G2201" t="s">
        <v>20059</v>
      </c>
      <c r="H2201">
        <v>93523644</v>
      </c>
      <c r="I2201" t="s">
        <v>14292</v>
      </c>
      <c r="L2201" t="s">
        <v>20060</v>
      </c>
      <c r="M2201">
        <v>277</v>
      </c>
      <c r="N2201" t="s">
        <v>20061</v>
      </c>
    </row>
    <row r="2202" spans="1:14">
      <c r="A2202" t="s">
        <v>9256</v>
      </c>
      <c r="B2202">
        <v>2703238</v>
      </c>
      <c r="C2202">
        <v>2704449</v>
      </c>
      <c r="E2202" t="s">
        <v>14290</v>
      </c>
      <c r="F2202" t="s">
        <v>20062</v>
      </c>
      <c r="H2202">
        <v>93523645</v>
      </c>
      <c r="I2202" t="s">
        <v>14292</v>
      </c>
      <c r="L2202" t="s">
        <v>20063</v>
      </c>
      <c r="M2202">
        <v>403</v>
      </c>
      <c r="N2202" t="s">
        <v>20064</v>
      </c>
    </row>
    <row r="2203" spans="1:14">
      <c r="A2203" t="s">
        <v>9256</v>
      </c>
      <c r="B2203">
        <v>2704492</v>
      </c>
      <c r="C2203">
        <v>2705304</v>
      </c>
      <c r="E2203" t="s">
        <v>14290</v>
      </c>
      <c r="F2203" t="s">
        <v>20065</v>
      </c>
      <c r="G2203" t="s">
        <v>20066</v>
      </c>
      <c r="H2203">
        <v>93523646</v>
      </c>
      <c r="I2203" t="s">
        <v>14292</v>
      </c>
      <c r="L2203" t="s">
        <v>20067</v>
      </c>
      <c r="M2203">
        <v>270</v>
      </c>
      <c r="N2203" t="s">
        <v>20068</v>
      </c>
    </row>
    <row r="2204" spans="1:14">
      <c r="A2204" t="s">
        <v>9256</v>
      </c>
      <c r="B2204">
        <v>2705532</v>
      </c>
      <c r="C2204">
        <v>2707949</v>
      </c>
      <c r="E2204" t="s">
        <v>14314</v>
      </c>
      <c r="F2204" t="s">
        <v>16249</v>
      </c>
      <c r="H2204">
        <v>93523647</v>
      </c>
      <c r="I2204" t="s">
        <v>14292</v>
      </c>
      <c r="L2204" t="s">
        <v>20069</v>
      </c>
      <c r="M2204">
        <v>805</v>
      </c>
      <c r="N2204" t="s">
        <v>20070</v>
      </c>
    </row>
    <row r="2205" spans="1:14">
      <c r="A2205" t="s">
        <v>9256</v>
      </c>
      <c r="B2205">
        <v>2708037</v>
      </c>
      <c r="C2205">
        <v>2709557</v>
      </c>
      <c r="E2205" t="s">
        <v>14314</v>
      </c>
      <c r="F2205" t="s">
        <v>15179</v>
      </c>
      <c r="H2205">
        <v>93523648</v>
      </c>
      <c r="I2205" t="s">
        <v>14292</v>
      </c>
      <c r="L2205" t="s">
        <v>20071</v>
      </c>
      <c r="M2205">
        <v>506</v>
      </c>
      <c r="N2205" t="s">
        <v>20072</v>
      </c>
    </row>
    <row r="2206" spans="1:14">
      <c r="A2206" t="s">
        <v>9256</v>
      </c>
      <c r="B2206">
        <v>2709588</v>
      </c>
      <c r="C2206">
        <v>2712803</v>
      </c>
      <c r="E2206" t="s">
        <v>14314</v>
      </c>
      <c r="F2206" t="s">
        <v>14965</v>
      </c>
      <c r="H2206">
        <v>93523649</v>
      </c>
      <c r="I2206" t="s">
        <v>14292</v>
      </c>
      <c r="L2206" t="s">
        <v>20073</v>
      </c>
      <c r="M2206">
        <v>1071</v>
      </c>
      <c r="N2206" t="s">
        <v>20074</v>
      </c>
    </row>
    <row r="2207" spans="1:14">
      <c r="A2207" t="s">
        <v>9256</v>
      </c>
      <c r="B2207">
        <v>2713221</v>
      </c>
      <c r="C2207">
        <v>2714579</v>
      </c>
      <c r="E2207" t="s">
        <v>14314</v>
      </c>
      <c r="F2207" t="s">
        <v>14545</v>
      </c>
      <c r="H2207">
        <v>93523650</v>
      </c>
      <c r="I2207" t="s">
        <v>14292</v>
      </c>
      <c r="L2207" t="s">
        <v>20075</v>
      </c>
      <c r="M2207">
        <v>452</v>
      </c>
      <c r="N2207" t="s">
        <v>20076</v>
      </c>
    </row>
    <row r="2208" spans="1:14">
      <c r="A2208" t="s">
        <v>9256</v>
      </c>
      <c r="B2208">
        <v>2714592</v>
      </c>
      <c r="C2208">
        <v>2715713</v>
      </c>
      <c r="E2208" t="s">
        <v>14314</v>
      </c>
      <c r="F2208" t="s">
        <v>14503</v>
      </c>
      <c r="H2208">
        <v>93523651</v>
      </c>
      <c r="I2208" t="s">
        <v>14292</v>
      </c>
      <c r="L2208" t="s">
        <v>20077</v>
      </c>
      <c r="M2208">
        <v>373</v>
      </c>
      <c r="N2208" t="s">
        <v>20078</v>
      </c>
    </row>
    <row r="2209" spans="1:14">
      <c r="A2209" t="s">
        <v>9256</v>
      </c>
      <c r="B2209">
        <v>2715747</v>
      </c>
      <c r="C2209">
        <v>2717006</v>
      </c>
      <c r="E2209" t="s">
        <v>14314</v>
      </c>
      <c r="F2209" t="s">
        <v>14562</v>
      </c>
      <c r="H2209">
        <v>93523652</v>
      </c>
      <c r="I2209" t="s">
        <v>14292</v>
      </c>
      <c r="L2209" t="s">
        <v>20079</v>
      </c>
      <c r="M2209">
        <v>419</v>
      </c>
      <c r="N2209" t="s">
        <v>20080</v>
      </c>
    </row>
    <row r="2210" spans="1:14">
      <c r="A2210" t="s">
        <v>9256</v>
      </c>
      <c r="B2210">
        <v>2717027</v>
      </c>
      <c r="C2210">
        <v>2718301</v>
      </c>
      <c r="E2210" t="s">
        <v>14314</v>
      </c>
      <c r="F2210" t="s">
        <v>14562</v>
      </c>
      <c r="H2210">
        <v>93523653</v>
      </c>
      <c r="I2210" t="s">
        <v>14292</v>
      </c>
      <c r="L2210" t="s">
        <v>20081</v>
      </c>
      <c r="M2210">
        <v>424</v>
      </c>
      <c r="N2210" t="s">
        <v>20082</v>
      </c>
    </row>
    <row r="2211" spans="1:14">
      <c r="A2211" t="s">
        <v>9256</v>
      </c>
      <c r="B2211">
        <v>2718294</v>
      </c>
      <c r="C2211">
        <v>2718977</v>
      </c>
      <c r="E2211" t="s">
        <v>14314</v>
      </c>
      <c r="F2211" t="s">
        <v>14403</v>
      </c>
      <c r="H2211">
        <v>93523654</v>
      </c>
      <c r="I2211" t="s">
        <v>14292</v>
      </c>
      <c r="L2211" t="s">
        <v>20083</v>
      </c>
      <c r="M2211">
        <v>227</v>
      </c>
      <c r="N2211" t="s">
        <v>20084</v>
      </c>
    </row>
    <row r="2212" spans="1:14">
      <c r="A2212" t="s">
        <v>9256</v>
      </c>
      <c r="B2212">
        <v>2719409</v>
      </c>
      <c r="C2212">
        <v>2720590</v>
      </c>
      <c r="E2212" t="s">
        <v>14290</v>
      </c>
      <c r="F2212" t="s">
        <v>20085</v>
      </c>
      <c r="G2212" t="s">
        <v>20086</v>
      </c>
      <c r="H2212">
        <v>93523655</v>
      </c>
      <c r="I2212" t="s">
        <v>14292</v>
      </c>
      <c r="L2212" t="s">
        <v>20087</v>
      </c>
      <c r="M2212">
        <v>393</v>
      </c>
      <c r="N2212" t="s">
        <v>20088</v>
      </c>
    </row>
    <row r="2213" spans="1:14">
      <c r="A2213" t="s">
        <v>9256</v>
      </c>
      <c r="B2213">
        <v>2720945</v>
      </c>
      <c r="C2213">
        <v>2722423</v>
      </c>
      <c r="E2213" t="s">
        <v>14314</v>
      </c>
      <c r="F2213" t="s">
        <v>17184</v>
      </c>
      <c r="H2213">
        <v>93523656</v>
      </c>
      <c r="I2213" t="s">
        <v>14292</v>
      </c>
      <c r="L2213" t="s">
        <v>20089</v>
      </c>
      <c r="M2213">
        <v>492</v>
      </c>
      <c r="N2213" t="s">
        <v>20090</v>
      </c>
    </row>
    <row r="2214" spans="1:14">
      <c r="A2214" t="s">
        <v>9256</v>
      </c>
      <c r="B2214">
        <v>2722431</v>
      </c>
      <c r="C2214">
        <v>2724203</v>
      </c>
      <c r="E2214" t="s">
        <v>14314</v>
      </c>
      <c r="F2214" t="s">
        <v>17187</v>
      </c>
      <c r="H2214">
        <v>93523657</v>
      </c>
      <c r="I2214" t="s">
        <v>14292</v>
      </c>
      <c r="L2214" t="s">
        <v>20091</v>
      </c>
      <c r="M2214">
        <v>590</v>
      </c>
      <c r="N2214" t="s">
        <v>20092</v>
      </c>
    </row>
    <row r="2215" spans="1:14">
      <c r="A2215" t="s">
        <v>9256</v>
      </c>
      <c r="B2215">
        <v>2724240</v>
      </c>
      <c r="C2215">
        <v>2725709</v>
      </c>
      <c r="E2215" t="s">
        <v>14314</v>
      </c>
      <c r="F2215" t="s">
        <v>17184</v>
      </c>
      <c r="H2215">
        <v>93523658</v>
      </c>
      <c r="I2215" t="s">
        <v>14292</v>
      </c>
      <c r="L2215" t="s">
        <v>20093</v>
      </c>
      <c r="M2215">
        <v>489</v>
      </c>
      <c r="N2215" t="s">
        <v>20094</v>
      </c>
    </row>
    <row r="2216" spans="1:14">
      <c r="A2216" t="s">
        <v>9256</v>
      </c>
      <c r="B2216">
        <v>2725719</v>
      </c>
      <c r="C2216">
        <v>2727458</v>
      </c>
      <c r="E2216" t="s">
        <v>14314</v>
      </c>
      <c r="F2216" t="s">
        <v>17187</v>
      </c>
      <c r="H2216">
        <v>93523659</v>
      </c>
      <c r="I2216" t="s">
        <v>14292</v>
      </c>
      <c r="L2216" t="s">
        <v>20095</v>
      </c>
      <c r="M2216">
        <v>579</v>
      </c>
      <c r="N2216" t="s">
        <v>20096</v>
      </c>
    </row>
    <row r="2217" spans="1:14">
      <c r="A2217" t="s">
        <v>9256</v>
      </c>
      <c r="B2217">
        <v>2727612</v>
      </c>
      <c r="C2217">
        <v>2729465</v>
      </c>
      <c r="E2217" t="s">
        <v>14314</v>
      </c>
      <c r="F2217" t="s">
        <v>15179</v>
      </c>
      <c r="H2217">
        <v>93523660</v>
      </c>
      <c r="I2217" t="s">
        <v>14292</v>
      </c>
      <c r="L2217" t="s">
        <v>20097</v>
      </c>
      <c r="M2217">
        <v>617</v>
      </c>
      <c r="N2217" t="s">
        <v>20098</v>
      </c>
    </row>
    <row r="2218" spans="1:14">
      <c r="A2218" t="s">
        <v>9256</v>
      </c>
      <c r="B2218">
        <v>2729513</v>
      </c>
      <c r="C2218">
        <v>2732917</v>
      </c>
      <c r="E2218" t="s">
        <v>14314</v>
      </c>
      <c r="F2218" t="s">
        <v>14965</v>
      </c>
      <c r="H2218">
        <v>93523661</v>
      </c>
      <c r="I2218" t="s">
        <v>14292</v>
      </c>
      <c r="L2218" t="s">
        <v>20099</v>
      </c>
      <c r="M2218">
        <v>1134</v>
      </c>
      <c r="N2218" t="s">
        <v>20100</v>
      </c>
    </row>
    <row r="2219" spans="1:14">
      <c r="A2219" t="s">
        <v>9256</v>
      </c>
      <c r="B2219">
        <v>2733476</v>
      </c>
      <c r="C2219">
        <v>2736856</v>
      </c>
      <c r="E2219" t="s">
        <v>14290</v>
      </c>
      <c r="F2219" t="s">
        <v>14965</v>
      </c>
      <c r="H2219">
        <v>93523662</v>
      </c>
      <c r="I2219" t="s">
        <v>14292</v>
      </c>
      <c r="L2219" t="s">
        <v>20101</v>
      </c>
      <c r="M2219">
        <v>1126</v>
      </c>
      <c r="N2219" t="s">
        <v>20102</v>
      </c>
    </row>
    <row r="2220" spans="1:14">
      <c r="A2220" t="s">
        <v>9256</v>
      </c>
      <c r="B2220">
        <v>2736901</v>
      </c>
      <c r="C2220">
        <v>2738748</v>
      </c>
      <c r="E2220" t="s">
        <v>14290</v>
      </c>
      <c r="F2220" t="s">
        <v>15179</v>
      </c>
      <c r="H2220">
        <v>93523663</v>
      </c>
      <c r="I2220" t="s">
        <v>14292</v>
      </c>
      <c r="L2220" t="s">
        <v>20103</v>
      </c>
      <c r="M2220">
        <v>615</v>
      </c>
      <c r="N2220" t="s">
        <v>20104</v>
      </c>
    </row>
    <row r="2221" spans="1:14">
      <c r="A2221" t="s">
        <v>9256</v>
      </c>
      <c r="B2221">
        <v>2738874</v>
      </c>
      <c r="C2221">
        <v>2739596</v>
      </c>
      <c r="E2221" t="s">
        <v>14290</v>
      </c>
      <c r="F2221" t="s">
        <v>17196</v>
      </c>
      <c r="H2221">
        <v>93523664</v>
      </c>
      <c r="I2221" t="s">
        <v>14292</v>
      </c>
      <c r="L2221" t="s">
        <v>20105</v>
      </c>
      <c r="M2221">
        <v>240</v>
      </c>
      <c r="N2221" t="s">
        <v>20106</v>
      </c>
    </row>
    <row r="2222" spans="1:14">
      <c r="A2222" t="s">
        <v>9256</v>
      </c>
      <c r="B2222">
        <v>2739645</v>
      </c>
      <c r="C2222">
        <v>2740022</v>
      </c>
      <c r="E2222" t="s">
        <v>14290</v>
      </c>
      <c r="F2222" t="s">
        <v>20107</v>
      </c>
      <c r="H2222">
        <v>93523665</v>
      </c>
      <c r="I2222" t="s">
        <v>14292</v>
      </c>
      <c r="L2222" t="s">
        <v>20108</v>
      </c>
      <c r="M2222">
        <v>125</v>
      </c>
      <c r="N2222" t="s">
        <v>20109</v>
      </c>
    </row>
    <row r="2223" spans="1:14">
      <c r="A2223" t="s">
        <v>9256</v>
      </c>
      <c r="B2223">
        <v>2740191</v>
      </c>
      <c r="C2223">
        <v>2741177</v>
      </c>
      <c r="E2223" t="s">
        <v>14290</v>
      </c>
      <c r="F2223" t="s">
        <v>18256</v>
      </c>
      <c r="H2223">
        <v>93523666</v>
      </c>
      <c r="I2223" t="s">
        <v>14292</v>
      </c>
      <c r="L2223" t="s">
        <v>20110</v>
      </c>
      <c r="M2223">
        <v>328</v>
      </c>
      <c r="N2223" t="s">
        <v>20111</v>
      </c>
    </row>
    <row r="2224" spans="1:14">
      <c r="A2224" t="s">
        <v>9256</v>
      </c>
      <c r="B2224">
        <v>2741281</v>
      </c>
      <c r="C2224">
        <v>2741802</v>
      </c>
      <c r="E2224" t="s">
        <v>14290</v>
      </c>
      <c r="F2224" t="s">
        <v>20112</v>
      </c>
      <c r="H2224">
        <v>93523667</v>
      </c>
      <c r="I2224" t="s">
        <v>14292</v>
      </c>
      <c r="L2224" t="s">
        <v>20113</v>
      </c>
      <c r="M2224">
        <v>173</v>
      </c>
      <c r="N2224" t="s">
        <v>20114</v>
      </c>
    </row>
    <row r="2225" spans="1:14">
      <c r="A2225" t="s">
        <v>9256</v>
      </c>
      <c r="B2225">
        <v>2741899</v>
      </c>
      <c r="C2225">
        <v>2744898</v>
      </c>
      <c r="E2225" t="s">
        <v>14290</v>
      </c>
      <c r="F2225" t="s">
        <v>14805</v>
      </c>
      <c r="H2225">
        <v>93523668</v>
      </c>
      <c r="I2225" t="s">
        <v>14292</v>
      </c>
      <c r="L2225" t="s">
        <v>20115</v>
      </c>
      <c r="M2225">
        <v>999</v>
      </c>
      <c r="N2225" t="s">
        <v>20116</v>
      </c>
    </row>
    <row r="2226" spans="1:14">
      <c r="A2226" t="s">
        <v>9256</v>
      </c>
      <c r="B2226">
        <v>2744908</v>
      </c>
      <c r="C2226">
        <v>2746716</v>
      </c>
      <c r="E2226" t="s">
        <v>14290</v>
      </c>
      <c r="F2226" t="s">
        <v>15450</v>
      </c>
      <c r="H2226">
        <v>93523669</v>
      </c>
      <c r="I2226" t="s">
        <v>14292</v>
      </c>
      <c r="L2226" t="s">
        <v>20117</v>
      </c>
      <c r="M2226">
        <v>602</v>
      </c>
      <c r="N2226" t="s">
        <v>20118</v>
      </c>
    </row>
    <row r="2227" spans="1:14">
      <c r="A2227" t="s">
        <v>9256</v>
      </c>
      <c r="B2227">
        <v>2746734</v>
      </c>
      <c r="C2227">
        <v>2747834</v>
      </c>
      <c r="E2227" t="s">
        <v>14290</v>
      </c>
      <c r="F2227" t="s">
        <v>14493</v>
      </c>
      <c r="H2227">
        <v>93523670</v>
      </c>
      <c r="I2227" t="s">
        <v>14292</v>
      </c>
      <c r="L2227" t="s">
        <v>20119</v>
      </c>
      <c r="M2227">
        <v>366</v>
      </c>
      <c r="N2227" t="s">
        <v>20120</v>
      </c>
    </row>
    <row r="2228" spans="1:14">
      <c r="A2228" t="s">
        <v>9256</v>
      </c>
      <c r="B2228">
        <v>2747850</v>
      </c>
      <c r="C2228">
        <v>2748980</v>
      </c>
      <c r="E2228" t="s">
        <v>14290</v>
      </c>
      <c r="F2228" t="s">
        <v>14493</v>
      </c>
      <c r="H2228">
        <v>93523671</v>
      </c>
      <c r="I2228" t="s">
        <v>14292</v>
      </c>
      <c r="L2228" t="s">
        <v>20121</v>
      </c>
      <c r="M2228">
        <v>376</v>
      </c>
      <c r="N2228" t="s">
        <v>20122</v>
      </c>
    </row>
    <row r="2229" spans="1:14">
      <c r="A2229" t="s">
        <v>9256</v>
      </c>
      <c r="B2229">
        <v>2748983</v>
      </c>
      <c r="C2229">
        <v>2749834</v>
      </c>
      <c r="E2229" t="s">
        <v>14290</v>
      </c>
      <c r="F2229" t="s">
        <v>14493</v>
      </c>
      <c r="H2229">
        <v>93523672</v>
      </c>
      <c r="I2229" t="s">
        <v>14292</v>
      </c>
      <c r="L2229" t="s">
        <v>20123</v>
      </c>
      <c r="M2229">
        <v>283</v>
      </c>
      <c r="N2229" t="s">
        <v>20124</v>
      </c>
    </row>
    <row r="2230" spans="1:14">
      <c r="A2230" t="s">
        <v>9256</v>
      </c>
      <c r="B2230">
        <v>2749846</v>
      </c>
      <c r="C2230">
        <v>2751009</v>
      </c>
      <c r="E2230" t="s">
        <v>14290</v>
      </c>
      <c r="F2230" t="s">
        <v>20125</v>
      </c>
      <c r="H2230">
        <v>93523673</v>
      </c>
      <c r="I2230" t="s">
        <v>14292</v>
      </c>
      <c r="L2230" t="s">
        <v>20126</v>
      </c>
      <c r="M2230">
        <v>387</v>
      </c>
      <c r="N2230" t="s">
        <v>20127</v>
      </c>
    </row>
    <row r="2231" spans="1:14">
      <c r="A2231" t="s">
        <v>9256</v>
      </c>
      <c r="B2231">
        <v>2751407</v>
      </c>
      <c r="C2231">
        <v>2751670</v>
      </c>
      <c r="E2231" t="s">
        <v>14314</v>
      </c>
      <c r="F2231" t="s">
        <v>14805</v>
      </c>
      <c r="H2231">
        <v>93523674</v>
      </c>
      <c r="I2231" t="s">
        <v>14292</v>
      </c>
      <c r="L2231" t="s">
        <v>20128</v>
      </c>
      <c r="M2231">
        <v>87</v>
      </c>
      <c r="N2231" t="s">
        <v>20129</v>
      </c>
    </row>
    <row r="2232" spans="1:14">
      <c r="A2232" t="s">
        <v>9256</v>
      </c>
      <c r="B2232">
        <v>2751832</v>
      </c>
      <c r="C2232">
        <v>2754180</v>
      </c>
      <c r="E2232" t="s">
        <v>14290</v>
      </c>
      <c r="F2232" t="s">
        <v>20130</v>
      </c>
      <c r="G2232" t="s">
        <v>20131</v>
      </c>
      <c r="H2232">
        <v>93523675</v>
      </c>
      <c r="I2232" t="s">
        <v>14292</v>
      </c>
      <c r="L2232" t="s">
        <v>20132</v>
      </c>
      <c r="M2232">
        <v>782</v>
      </c>
      <c r="N2232" t="s">
        <v>20133</v>
      </c>
    </row>
    <row r="2233" spans="1:14">
      <c r="A2233" t="s">
        <v>9256</v>
      </c>
      <c r="B2233">
        <v>2754258</v>
      </c>
      <c r="C2233">
        <v>2755136</v>
      </c>
      <c r="E2233" t="s">
        <v>14314</v>
      </c>
      <c r="F2233" t="s">
        <v>20134</v>
      </c>
      <c r="H2233">
        <v>93523676</v>
      </c>
      <c r="I2233" t="s">
        <v>14292</v>
      </c>
      <c r="L2233" t="s">
        <v>20135</v>
      </c>
      <c r="M2233">
        <v>292</v>
      </c>
      <c r="N2233" t="s">
        <v>20136</v>
      </c>
    </row>
    <row r="2234" spans="1:14">
      <c r="A2234" t="s">
        <v>9256</v>
      </c>
      <c r="B2234">
        <v>2755146</v>
      </c>
      <c r="C2234">
        <v>2756939</v>
      </c>
      <c r="E2234" t="s">
        <v>14314</v>
      </c>
      <c r="F2234" t="s">
        <v>20137</v>
      </c>
      <c r="G2234" t="s">
        <v>20138</v>
      </c>
      <c r="H2234">
        <v>93523677</v>
      </c>
      <c r="I2234" t="s">
        <v>14292</v>
      </c>
      <c r="L2234" t="s">
        <v>20139</v>
      </c>
      <c r="M2234">
        <v>597</v>
      </c>
      <c r="N2234" t="s">
        <v>20140</v>
      </c>
    </row>
    <row r="2235" spans="1:14">
      <c r="A2235" t="s">
        <v>9256</v>
      </c>
      <c r="B2235">
        <v>2757042</v>
      </c>
      <c r="C2235">
        <v>2757314</v>
      </c>
      <c r="E2235" t="s">
        <v>14314</v>
      </c>
      <c r="F2235" t="s">
        <v>15103</v>
      </c>
      <c r="H2235">
        <v>93523678</v>
      </c>
      <c r="I2235" t="s">
        <v>14292</v>
      </c>
      <c r="L2235" t="s">
        <v>20141</v>
      </c>
      <c r="M2235">
        <v>90</v>
      </c>
      <c r="N2235" t="s">
        <v>20142</v>
      </c>
    </row>
    <row r="2236" spans="1:14">
      <c r="A2236" t="s">
        <v>9256</v>
      </c>
      <c r="B2236">
        <v>2757501</v>
      </c>
      <c r="C2236">
        <v>2758223</v>
      </c>
      <c r="E2236" t="s">
        <v>14290</v>
      </c>
      <c r="F2236" t="s">
        <v>20143</v>
      </c>
      <c r="H2236">
        <v>93523679</v>
      </c>
      <c r="I2236" t="s">
        <v>14292</v>
      </c>
      <c r="L2236" t="s">
        <v>20144</v>
      </c>
      <c r="M2236">
        <v>240</v>
      </c>
      <c r="N2236" t="s">
        <v>20145</v>
      </c>
    </row>
    <row r="2237" spans="1:14">
      <c r="A2237" t="s">
        <v>9256</v>
      </c>
      <c r="B2237">
        <v>2758204</v>
      </c>
      <c r="C2237">
        <v>2759082</v>
      </c>
      <c r="E2237" t="s">
        <v>14290</v>
      </c>
      <c r="F2237" t="s">
        <v>20143</v>
      </c>
      <c r="H2237">
        <v>93523680</v>
      </c>
      <c r="I2237" t="s">
        <v>14292</v>
      </c>
      <c r="L2237" t="s">
        <v>20146</v>
      </c>
      <c r="M2237">
        <v>292</v>
      </c>
      <c r="N2237" t="s">
        <v>20147</v>
      </c>
    </row>
    <row r="2238" spans="1:14">
      <c r="A2238" t="s">
        <v>9256</v>
      </c>
      <c r="B2238">
        <v>2759092</v>
      </c>
      <c r="C2238">
        <v>2760189</v>
      </c>
      <c r="E2238" t="s">
        <v>14290</v>
      </c>
      <c r="F2238" t="s">
        <v>15336</v>
      </c>
      <c r="H2238">
        <v>93523681</v>
      </c>
      <c r="I2238" t="s">
        <v>14292</v>
      </c>
      <c r="L2238" t="s">
        <v>20148</v>
      </c>
      <c r="M2238">
        <v>365</v>
      </c>
      <c r="N2238" t="s">
        <v>20149</v>
      </c>
    </row>
    <row r="2239" spans="1:14">
      <c r="A2239" t="s">
        <v>9256</v>
      </c>
      <c r="B2239">
        <v>2760200</v>
      </c>
      <c r="C2239">
        <v>2760754</v>
      </c>
      <c r="E2239" t="s">
        <v>14314</v>
      </c>
      <c r="F2239" t="s">
        <v>20150</v>
      </c>
      <c r="H2239">
        <v>93523682</v>
      </c>
      <c r="I2239" t="s">
        <v>14292</v>
      </c>
      <c r="L2239" t="s">
        <v>20151</v>
      </c>
      <c r="M2239">
        <v>184</v>
      </c>
      <c r="N2239" t="s">
        <v>20152</v>
      </c>
    </row>
    <row r="2240" spans="1:14">
      <c r="A2240" t="s">
        <v>9256</v>
      </c>
      <c r="B2240">
        <v>2760775</v>
      </c>
      <c r="C2240">
        <v>2761749</v>
      </c>
      <c r="E2240" t="s">
        <v>14314</v>
      </c>
      <c r="F2240" t="s">
        <v>20150</v>
      </c>
      <c r="H2240">
        <v>93523683</v>
      </c>
      <c r="I2240" t="s">
        <v>14292</v>
      </c>
      <c r="L2240" t="s">
        <v>20153</v>
      </c>
      <c r="M2240">
        <v>324</v>
      </c>
      <c r="N2240" t="s">
        <v>20154</v>
      </c>
    </row>
    <row r="2241" spans="1:14">
      <c r="A2241" t="s">
        <v>9256</v>
      </c>
      <c r="B2241">
        <v>2761922</v>
      </c>
      <c r="C2241">
        <v>2764921</v>
      </c>
      <c r="E2241" t="s">
        <v>14290</v>
      </c>
      <c r="F2241" t="s">
        <v>20155</v>
      </c>
      <c r="G2241" t="s">
        <v>20156</v>
      </c>
      <c r="H2241">
        <v>93523684</v>
      </c>
      <c r="I2241" t="s">
        <v>14292</v>
      </c>
      <c r="L2241" t="s">
        <v>20157</v>
      </c>
      <c r="M2241">
        <v>999</v>
      </c>
      <c r="N2241" t="s">
        <v>20158</v>
      </c>
    </row>
    <row r="2242" spans="1:14">
      <c r="A2242" t="s">
        <v>9256</v>
      </c>
      <c r="B2242">
        <v>2765020</v>
      </c>
      <c r="C2242">
        <v>2765952</v>
      </c>
      <c r="E2242" t="s">
        <v>14290</v>
      </c>
      <c r="F2242" t="s">
        <v>15126</v>
      </c>
      <c r="H2242">
        <v>93523685</v>
      </c>
      <c r="I2242" t="s">
        <v>14292</v>
      </c>
      <c r="L2242" t="s">
        <v>20159</v>
      </c>
      <c r="M2242">
        <v>310</v>
      </c>
      <c r="N2242" t="s">
        <v>20160</v>
      </c>
    </row>
    <row r="2243" spans="1:14">
      <c r="A2243" t="s">
        <v>9256</v>
      </c>
      <c r="B2243">
        <v>2766456</v>
      </c>
      <c r="C2243">
        <v>2767553</v>
      </c>
      <c r="E2243" t="s">
        <v>14290</v>
      </c>
      <c r="F2243" t="s">
        <v>17457</v>
      </c>
      <c r="H2243">
        <v>93523686</v>
      </c>
      <c r="I2243" t="s">
        <v>14292</v>
      </c>
      <c r="L2243" t="s">
        <v>20161</v>
      </c>
      <c r="M2243">
        <v>365</v>
      </c>
      <c r="N2243" t="s">
        <v>20162</v>
      </c>
    </row>
    <row r="2244" spans="1:14">
      <c r="A2244" t="s">
        <v>9256</v>
      </c>
      <c r="B2244">
        <v>2767567</v>
      </c>
      <c r="C2244">
        <v>2767956</v>
      </c>
      <c r="E2244" t="s">
        <v>14290</v>
      </c>
      <c r="F2244" t="s">
        <v>14291</v>
      </c>
      <c r="H2244">
        <v>93523687</v>
      </c>
      <c r="I2244" t="s">
        <v>14292</v>
      </c>
      <c r="L2244" t="s">
        <v>20163</v>
      </c>
      <c r="M2244">
        <v>129</v>
      </c>
      <c r="N2244" t="s">
        <v>20164</v>
      </c>
    </row>
    <row r="2245" spans="1:14">
      <c r="A2245" t="s">
        <v>9256</v>
      </c>
      <c r="B2245">
        <v>2767953</v>
      </c>
      <c r="C2245">
        <v>2768363</v>
      </c>
      <c r="E2245" t="s">
        <v>14314</v>
      </c>
      <c r="F2245" t="s">
        <v>14487</v>
      </c>
      <c r="H2245">
        <v>93523688</v>
      </c>
      <c r="I2245" t="s">
        <v>14292</v>
      </c>
      <c r="L2245" t="s">
        <v>20165</v>
      </c>
      <c r="M2245">
        <v>136</v>
      </c>
      <c r="N2245" t="s">
        <v>20166</v>
      </c>
    </row>
    <row r="2246" spans="1:14">
      <c r="A2246" t="s">
        <v>9256</v>
      </c>
      <c r="B2246">
        <v>2768536</v>
      </c>
      <c r="C2246">
        <v>2769024</v>
      </c>
      <c r="E2246" t="s">
        <v>14314</v>
      </c>
      <c r="F2246" t="s">
        <v>14291</v>
      </c>
      <c r="H2246">
        <v>93523689</v>
      </c>
      <c r="I2246" t="s">
        <v>14292</v>
      </c>
      <c r="L2246" t="s">
        <v>20167</v>
      </c>
      <c r="M2246">
        <v>162</v>
      </c>
      <c r="N2246" t="s">
        <v>20168</v>
      </c>
    </row>
    <row r="2247" spans="1:14">
      <c r="A2247" t="s">
        <v>9256</v>
      </c>
      <c r="B2247">
        <v>2769157</v>
      </c>
      <c r="C2247">
        <v>2769588</v>
      </c>
      <c r="E2247" t="s">
        <v>14290</v>
      </c>
      <c r="F2247" t="s">
        <v>14291</v>
      </c>
      <c r="H2247">
        <v>93523690</v>
      </c>
      <c r="I2247" t="s">
        <v>14292</v>
      </c>
      <c r="L2247" t="s">
        <v>20169</v>
      </c>
      <c r="M2247">
        <v>143</v>
      </c>
      <c r="N2247" t="s">
        <v>20170</v>
      </c>
    </row>
    <row r="2248" spans="1:14">
      <c r="A2248" t="s">
        <v>9256</v>
      </c>
      <c r="B2248">
        <v>2769720</v>
      </c>
      <c r="C2248">
        <v>2769956</v>
      </c>
      <c r="E2248" t="s">
        <v>14290</v>
      </c>
      <c r="F2248" t="s">
        <v>14291</v>
      </c>
      <c r="H2248">
        <v>93523691</v>
      </c>
      <c r="I2248" t="s">
        <v>14292</v>
      </c>
      <c r="L2248" t="s">
        <v>20171</v>
      </c>
      <c r="M2248">
        <v>78</v>
      </c>
      <c r="N2248" t="s">
        <v>20172</v>
      </c>
    </row>
    <row r="2249" spans="1:14">
      <c r="A2249" t="s">
        <v>9256</v>
      </c>
      <c r="B2249">
        <v>2769953</v>
      </c>
      <c r="C2249">
        <v>2771887</v>
      </c>
      <c r="E2249" t="s">
        <v>14290</v>
      </c>
      <c r="F2249" t="s">
        <v>20173</v>
      </c>
      <c r="H2249">
        <v>93523692</v>
      </c>
      <c r="I2249" t="s">
        <v>14292</v>
      </c>
      <c r="L2249" t="s">
        <v>20174</v>
      </c>
      <c r="M2249">
        <v>644</v>
      </c>
      <c r="N2249" t="s">
        <v>20175</v>
      </c>
    </row>
    <row r="2250" spans="1:14">
      <c r="A2250" t="s">
        <v>9256</v>
      </c>
      <c r="B2250">
        <v>2772306</v>
      </c>
      <c r="C2250">
        <v>2772788</v>
      </c>
      <c r="E2250" t="s">
        <v>14290</v>
      </c>
      <c r="F2250" t="s">
        <v>14414</v>
      </c>
      <c r="H2250">
        <v>93523693</v>
      </c>
      <c r="I2250" t="s">
        <v>14415</v>
      </c>
      <c r="N2250" t="s">
        <v>20176</v>
      </c>
    </row>
    <row r="2251" spans="1:14">
      <c r="A2251" t="s">
        <v>9256</v>
      </c>
      <c r="B2251">
        <v>2772981</v>
      </c>
      <c r="C2251">
        <v>2774321</v>
      </c>
      <c r="E2251" t="s">
        <v>14290</v>
      </c>
      <c r="F2251" t="s">
        <v>20177</v>
      </c>
      <c r="H2251">
        <v>93523694</v>
      </c>
      <c r="I2251" t="s">
        <v>14292</v>
      </c>
      <c r="L2251" t="s">
        <v>20178</v>
      </c>
      <c r="M2251">
        <v>446</v>
      </c>
      <c r="N2251" t="s">
        <v>20179</v>
      </c>
    </row>
    <row r="2252" spans="1:14">
      <c r="A2252" t="s">
        <v>9256</v>
      </c>
      <c r="B2252">
        <v>2774325</v>
      </c>
      <c r="C2252">
        <v>2775392</v>
      </c>
      <c r="E2252" t="s">
        <v>14290</v>
      </c>
      <c r="F2252" t="s">
        <v>15066</v>
      </c>
      <c r="H2252">
        <v>93523695</v>
      </c>
      <c r="I2252" t="s">
        <v>14292</v>
      </c>
      <c r="L2252" t="s">
        <v>20180</v>
      </c>
      <c r="M2252">
        <v>355</v>
      </c>
      <c r="N2252" t="s">
        <v>20181</v>
      </c>
    </row>
    <row r="2253" spans="1:14">
      <c r="A2253" t="s">
        <v>9256</v>
      </c>
      <c r="B2253">
        <v>2775539</v>
      </c>
      <c r="C2253">
        <v>2776732</v>
      </c>
      <c r="E2253" t="s">
        <v>14290</v>
      </c>
      <c r="F2253" t="s">
        <v>14831</v>
      </c>
      <c r="H2253">
        <v>93523696</v>
      </c>
      <c r="I2253" t="s">
        <v>14292</v>
      </c>
      <c r="L2253" t="s">
        <v>20182</v>
      </c>
      <c r="M2253">
        <v>397</v>
      </c>
      <c r="N2253" t="s">
        <v>20183</v>
      </c>
    </row>
    <row r="2254" spans="1:14">
      <c r="A2254" t="s">
        <v>9256</v>
      </c>
      <c r="B2254">
        <v>2776763</v>
      </c>
      <c r="C2254">
        <v>2777875</v>
      </c>
      <c r="E2254" t="s">
        <v>14290</v>
      </c>
      <c r="F2254" t="s">
        <v>14827</v>
      </c>
      <c r="G2254" t="s">
        <v>14828</v>
      </c>
      <c r="H2254">
        <v>93523697</v>
      </c>
      <c r="I2254" t="s">
        <v>14292</v>
      </c>
      <c r="L2254" t="s">
        <v>20184</v>
      </c>
      <c r="M2254">
        <v>370</v>
      </c>
      <c r="N2254" t="s">
        <v>20185</v>
      </c>
    </row>
    <row r="2255" spans="1:14">
      <c r="A2255" t="s">
        <v>9256</v>
      </c>
      <c r="B2255">
        <v>2778387</v>
      </c>
      <c r="C2255">
        <v>2779901</v>
      </c>
      <c r="E2255" t="s">
        <v>14290</v>
      </c>
      <c r="F2255" t="s">
        <v>20186</v>
      </c>
      <c r="H2255">
        <v>93523698</v>
      </c>
      <c r="I2255" t="s">
        <v>14292</v>
      </c>
      <c r="L2255" t="s">
        <v>20187</v>
      </c>
      <c r="M2255">
        <v>504</v>
      </c>
      <c r="N2255" t="s">
        <v>20188</v>
      </c>
    </row>
    <row r="2256" spans="1:14">
      <c r="A2256" t="s">
        <v>9256</v>
      </c>
      <c r="B2256">
        <v>2780474</v>
      </c>
      <c r="C2256">
        <v>2781295</v>
      </c>
      <c r="E2256" t="s">
        <v>14290</v>
      </c>
      <c r="F2256" t="s">
        <v>14291</v>
      </c>
      <c r="H2256">
        <v>93523699</v>
      </c>
      <c r="I2256" t="s">
        <v>14292</v>
      </c>
      <c r="L2256" t="s">
        <v>20189</v>
      </c>
      <c r="M2256">
        <v>273</v>
      </c>
      <c r="N2256" t="s">
        <v>20190</v>
      </c>
    </row>
    <row r="2257" spans="1:14">
      <c r="A2257" t="s">
        <v>9256</v>
      </c>
      <c r="B2257">
        <v>2781328</v>
      </c>
      <c r="C2257">
        <v>2781909</v>
      </c>
      <c r="E2257" t="s">
        <v>14290</v>
      </c>
      <c r="F2257" t="s">
        <v>20191</v>
      </c>
      <c r="H2257">
        <v>93523700</v>
      </c>
      <c r="I2257" t="s">
        <v>14292</v>
      </c>
      <c r="L2257" t="s">
        <v>20192</v>
      </c>
      <c r="M2257">
        <v>193</v>
      </c>
      <c r="N2257" t="s">
        <v>20193</v>
      </c>
    </row>
    <row r="2258" spans="1:14">
      <c r="A2258" t="s">
        <v>9256</v>
      </c>
      <c r="B2258">
        <v>2781923</v>
      </c>
      <c r="C2258">
        <v>2782954</v>
      </c>
      <c r="E2258" t="s">
        <v>14290</v>
      </c>
      <c r="F2258" t="s">
        <v>14364</v>
      </c>
      <c r="H2258">
        <v>93523701</v>
      </c>
      <c r="I2258" t="s">
        <v>14292</v>
      </c>
      <c r="L2258" t="s">
        <v>20194</v>
      </c>
      <c r="M2258">
        <v>343</v>
      </c>
      <c r="N2258" t="s">
        <v>20195</v>
      </c>
    </row>
    <row r="2259" spans="1:14">
      <c r="A2259" t="s">
        <v>9256</v>
      </c>
      <c r="B2259">
        <v>2782958</v>
      </c>
      <c r="C2259">
        <v>2783863</v>
      </c>
      <c r="E2259" t="s">
        <v>14290</v>
      </c>
      <c r="F2259" t="s">
        <v>15052</v>
      </c>
      <c r="H2259">
        <v>93523702</v>
      </c>
      <c r="I2259" t="s">
        <v>14292</v>
      </c>
      <c r="L2259" t="s">
        <v>20196</v>
      </c>
      <c r="M2259">
        <v>301</v>
      </c>
      <c r="N2259" t="s">
        <v>20197</v>
      </c>
    </row>
    <row r="2260" spans="1:14">
      <c r="A2260" t="s">
        <v>9256</v>
      </c>
      <c r="B2260">
        <v>2783868</v>
      </c>
      <c r="C2260">
        <v>2784755</v>
      </c>
      <c r="E2260" t="s">
        <v>14290</v>
      </c>
      <c r="F2260" t="s">
        <v>14291</v>
      </c>
      <c r="H2260">
        <v>93523703</v>
      </c>
      <c r="I2260" t="s">
        <v>14292</v>
      </c>
      <c r="L2260" t="s">
        <v>20198</v>
      </c>
      <c r="M2260">
        <v>295</v>
      </c>
      <c r="N2260" t="s">
        <v>20199</v>
      </c>
    </row>
    <row r="2261" spans="1:14">
      <c r="A2261" t="s">
        <v>9256</v>
      </c>
      <c r="B2261">
        <v>2784769</v>
      </c>
      <c r="C2261">
        <v>2785413</v>
      </c>
      <c r="E2261" t="s">
        <v>14290</v>
      </c>
      <c r="F2261" t="s">
        <v>14291</v>
      </c>
      <c r="H2261">
        <v>93523704</v>
      </c>
      <c r="I2261" t="s">
        <v>14292</v>
      </c>
      <c r="L2261" t="s">
        <v>20200</v>
      </c>
      <c r="M2261">
        <v>214</v>
      </c>
      <c r="N2261" t="s">
        <v>20201</v>
      </c>
    </row>
    <row r="2262" spans="1:14">
      <c r="A2262" t="s">
        <v>9256</v>
      </c>
      <c r="B2262">
        <v>2785447</v>
      </c>
      <c r="C2262">
        <v>2785671</v>
      </c>
      <c r="E2262" t="s">
        <v>14290</v>
      </c>
      <c r="F2262" t="s">
        <v>18046</v>
      </c>
      <c r="H2262">
        <v>93523705</v>
      </c>
      <c r="I2262" t="s">
        <v>14292</v>
      </c>
      <c r="L2262" t="s">
        <v>20202</v>
      </c>
      <c r="M2262">
        <v>74</v>
      </c>
      <c r="N2262" t="s">
        <v>20203</v>
      </c>
    </row>
    <row r="2263" spans="1:14">
      <c r="A2263" t="s">
        <v>9256</v>
      </c>
      <c r="B2263">
        <v>2785677</v>
      </c>
      <c r="C2263">
        <v>2786423</v>
      </c>
      <c r="E2263" t="s">
        <v>14290</v>
      </c>
      <c r="F2263" t="s">
        <v>16178</v>
      </c>
      <c r="H2263">
        <v>93523706</v>
      </c>
      <c r="I2263" t="s">
        <v>14292</v>
      </c>
      <c r="L2263" t="s">
        <v>20204</v>
      </c>
      <c r="M2263">
        <v>248</v>
      </c>
      <c r="N2263" t="s">
        <v>20205</v>
      </c>
    </row>
    <row r="2264" spans="1:14">
      <c r="A2264" t="s">
        <v>9256</v>
      </c>
      <c r="B2264">
        <v>2786436</v>
      </c>
      <c r="C2264">
        <v>2787482</v>
      </c>
      <c r="E2264" t="s">
        <v>14290</v>
      </c>
      <c r="F2264" t="s">
        <v>20206</v>
      </c>
      <c r="H2264">
        <v>93523707</v>
      </c>
      <c r="I2264" t="s">
        <v>14292</v>
      </c>
      <c r="L2264" t="s">
        <v>20207</v>
      </c>
      <c r="M2264">
        <v>348</v>
      </c>
      <c r="N2264" t="s">
        <v>20208</v>
      </c>
    </row>
    <row r="2265" spans="1:14">
      <c r="A2265" t="s">
        <v>9256</v>
      </c>
      <c r="B2265">
        <v>2787489</v>
      </c>
      <c r="C2265">
        <v>2787710</v>
      </c>
      <c r="E2265" t="s">
        <v>14290</v>
      </c>
      <c r="F2265" t="s">
        <v>18046</v>
      </c>
      <c r="H2265">
        <v>93523708</v>
      </c>
      <c r="I2265" t="s">
        <v>14292</v>
      </c>
      <c r="L2265" t="s">
        <v>20209</v>
      </c>
      <c r="M2265">
        <v>73</v>
      </c>
      <c r="N2265" t="s">
        <v>20210</v>
      </c>
    </row>
    <row r="2266" spans="1:14">
      <c r="A2266" t="s">
        <v>9256</v>
      </c>
      <c r="B2266">
        <v>2787716</v>
      </c>
      <c r="C2266">
        <v>2788933</v>
      </c>
      <c r="E2266" t="s">
        <v>14290</v>
      </c>
      <c r="F2266" t="s">
        <v>20211</v>
      </c>
      <c r="H2266">
        <v>93523709</v>
      </c>
      <c r="I2266" t="s">
        <v>14292</v>
      </c>
      <c r="L2266" t="s">
        <v>20212</v>
      </c>
      <c r="M2266">
        <v>405</v>
      </c>
      <c r="N2266" t="s">
        <v>20213</v>
      </c>
    </row>
    <row r="2267" spans="1:14">
      <c r="A2267" t="s">
        <v>9256</v>
      </c>
      <c r="B2267">
        <v>2788930</v>
      </c>
      <c r="C2267">
        <v>2789658</v>
      </c>
      <c r="E2267" t="s">
        <v>14290</v>
      </c>
      <c r="F2267" t="s">
        <v>16178</v>
      </c>
      <c r="H2267">
        <v>93523710</v>
      </c>
      <c r="I2267" t="s">
        <v>14292</v>
      </c>
      <c r="L2267" t="s">
        <v>20214</v>
      </c>
      <c r="M2267">
        <v>242</v>
      </c>
      <c r="N2267" t="s">
        <v>20215</v>
      </c>
    </row>
    <row r="2268" spans="1:14">
      <c r="A2268" t="s">
        <v>9256</v>
      </c>
      <c r="B2268">
        <v>2789889</v>
      </c>
      <c r="C2268">
        <v>2790482</v>
      </c>
      <c r="E2268" t="s">
        <v>14290</v>
      </c>
      <c r="F2268" t="s">
        <v>14369</v>
      </c>
      <c r="H2268">
        <v>93523711</v>
      </c>
      <c r="I2268" t="s">
        <v>14292</v>
      </c>
      <c r="L2268" t="s">
        <v>20216</v>
      </c>
      <c r="M2268">
        <v>197</v>
      </c>
      <c r="N2268" t="s">
        <v>20217</v>
      </c>
    </row>
    <row r="2269" spans="1:14">
      <c r="A2269" t="s">
        <v>9256</v>
      </c>
      <c r="B2269">
        <v>2790513</v>
      </c>
      <c r="C2269">
        <v>2791832</v>
      </c>
      <c r="E2269" t="s">
        <v>14290</v>
      </c>
      <c r="F2269" t="s">
        <v>17951</v>
      </c>
      <c r="H2269">
        <v>93523712</v>
      </c>
      <c r="I2269" t="s">
        <v>14292</v>
      </c>
      <c r="L2269" t="s">
        <v>20218</v>
      </c>
      <c r="M2269">
        <v>439</v>
      </c>
      <c r="N2269" t="s">
        <v>20219</v>
      </c>
    </row>
    <row r="2270" spans="1:14">
      <c r="A2270" t="s">
        <v>9256</v>
      </c>
      <c r="B2270">
        <v>2791928</v>
      </c>
      <c r="C2270">
        <v>2792605</v>
      </c>
      <c r="E2270" t="s">
        <v>14290</v>
      </c>
      <c r="F2270" t="s">
        <v>14414</v>
      </c>
      <c r="H2270">
        <v>93523713</v>
      </c>
      <c r="I2270" t="s">
        <v>14415</v>
      </c>
      <c r="N2270" t="s">
        <v>20220</v>
      </c>
    </row>
    <row r="2271" spans="1:14">
      <c r="A2271" t="s">
        <v>9256</v>
      </c>
      <c r="B2271">
        <v>2792950</v>
      </c>
      <c r="C2271">
        <v>2793984</v>
      </c>
      <c r="E2271" t="s">
        <v>14290</v>
      </c>
      <c r="F2271" t="s">
        <v>16161</v>
      </c>
      <c r="H2271">
        <v>93523714</v>
      </c>
      <c r="I2271" t="s">
        <v>14292</v>
      </c>
      <c r="L2271" t="s">
        <v>20221</v>
      </c>
      <c r="M2271">
        <v>344</v>
      </c>
      <c r="N2271" t="s">
        <v>20222</v>
      </c>
    </row>
    <row r="2272" spans="1:14">
      <c r="A2272" t="s">
        <v>9256</v>
      </c>
      <c r="B2272">
        <v>2794220</v>
      </c>
      <c r="C2272">
        <v>2796223</v>
      </c>
      <c r="E2272" t="s">
        <v>14290</v>
      </c>
      <c r="F2272" t="s">
        <v>20223</v>
      </c>
      <c r="H2272">
        <v>93523715</v>
      </c>
      <c r="I2272" t="s">
        <v>14292</v>
      </c>
      <c r="L2272" t="s">
        <v>20224</v>
      </c>
      <c r="M2272">
        <v>667</v>
      </c>
      <c r="N2272" t="s">
        <v>20225</v>
      </c>
    </row>
    <row r="2273" spans="1:14">
      <c r="A2273" t="s">
        <v>9256</v>
      </c>
      <c r="B2273">
        <v>2796220</v>
      </c>
      <c r="C2273">
        <v>2797125</v>
      </c>
      <c r="E2273" t="s">
        <v>14290</v>
      </c>
      <c r="F2273" t="s">
        <v>20226</v>
      </c>
      <c r="G2273" t="s">
        <v>20227</v>
      </c>
      <c r="H2273">
        <v>93523716</v>
      </c>
      <c r="I2273" t="s">
        <v>14292</v>
      </c>
      <c r="L2273" t="s">
        <v>20228</v>
      </c>
      <c r="M2273">
        <v>301</v>
      </c>
      <c r="N2273" t="s">
        <v>20229</v>
      </c>
    </row>
    <row r="2274" spans="1:14">
      <c r="A2274" t="s">
        <v>9256</v>
      </c>
      <c r="B2274">
        <v>2797129</v>
      </c>
      <c r="C2274">
        <v>2798379</v>
      </c>
      <c r="E2274" t="s">
        <v>14290</v>
      </c>
      <c r="F2274" t="s">
        <v>20230</v>
      </c>
      <c r="G2274" t="s">
        <v>20231</v>
      </c>
      <c r="H2274">
        <v>93523717</v>
      </c>
      <c r="I2274" t="s">
        <v>14292</v>
      </c>
      <c r="L2274" t="s">
        <v>20232</v>
      </c>
      <c r="M2274">
        <v>416</v>
      </c>
      <c r="N2274" t="s">
        <v>20233</v>
      </c>
    </row>
    <row r="2275" spans="1:14">
      <c r="A2275" t="s">
        <v>9256</v>
      </c>
      <c r="B2275">
        <v>2798415</v>
      </c>
      <c r="C2275">
        <v>2799038</v>
      </c>
      <c r="E2275" t="s">
        <v>14290</v>
      </c>
      <c r="F2275" t="s">
        <v>20234</v>
      </c>
      <c r="H2275">
        <v>93523718</v>
      </c>
      <c r="I2275" t="s">
        <v>14292</v>
      </c>
      <c r="L2275" t="s">
        <v>20235</v>
      </c>
      <c r="M2275">
        <v>207</v>
      </c>
      <c r="N2275" t="s">
        <v>20236</v>
      </c>
    </row>
    <row r="2276" spans="1:14">
      <c r="A2276" t="s">
        <v>9256</v>
      </c>
      <c r="B2276">
        <v>2799042</v>
      </c>
      <c r="C2276">
        <v>2800538</v>
      </c>
      <c r="E2276" t="s">
        <v>14290</v>
      </c>
      <c r="F2276" t="s">
        <v>20237</v>
      </c>
      <c r="G2276" t="s">
        <v>20238</v>
      </c>
      <c r="H2276">
        <v>93523719</v>
      </c>
      <c r="I2276" t="s">
        <v>14292</v>
      </c>
      <c r="L2276" t="s">
        <v>20239</v>
      </c>
      <c r="M2276">
        <v>498</v>
      </c>
      <c r="N2276" t="s">
        <v>20240</v>
      </c>
    </row>
    <row r="2277" spans="1:14">
      <c r="A2277" t="s">
        <v>9256</v>
      </c>
      <c r="B2277">
        <v>2800638</v>
      </c>
      <c r="C2277">
        <v>2801792</v>
      </c>
      <c r="E2277" t="s">
        <v>14290</v>
      </c>
      <c r="F2277" t="s">
        <v>16215</v>
      </c>
      <c r="H2277">
        <v>93523720</v>
      </c>
      <c r="I2277" t="s">
        <v>14292</v>
      </c>
      <c r="L2277" t="s">
        <v>20241</v>
      </c>
      <c r="M2277">
        <v>384</v>
      </c>
      <c r="N2277" t="s">
        <v>20242</v>
      </c>
    </row>
    <row r="2278" spans="1:14">
      <c r="A2278" t="s">
        <v>9256</v>
      </c>
      <c r="B2278">
        <v>2801910</v>
      </c>
      <c r="C2278">
        <v>2803019</v>
      </c>
      <c r="E2278" t="s">
        <v>14314</v>
      </c>
      <c r="F2278" t="s">
        <v>20243</v>
      </c>
      <c r="H2278">
        <v>93523721</v>
      </c>
      <c r="I2278" t="s">
        <v>14292</v>
      </c>
      <c r="L2278" t="s">
        <v>20244</v>
      </c>
      <c r="M2278">
        <v>369</v>
      </c>
      <c r="N2278" t="s">
        <v>20245</v>
      </c>
    </row>
    <row r="2279" spans="1:14">
      <c r="A2279" t="s">
        <v>9256</v>
      </c>
      <c r="B2279">
        <v>2803047</v>
      </c>
      <c r="C2279">
        <v>2803805</v>
      </c>
      <c r="E2279" t="s">
        <v>14314</v>
      </c>
      <c r="F2279" t="s">
        <v>20246</v>
      </c>
      <c r="G2279" t="s">
        <v>20247</v>
      </c>
      <c r="H2279">
        <v>93523722</v>
      </c>
      <c r="I2279" t="s">
        <v>14292</v>
      </c>
      <c r="L2279" t="s">
        <v>20248</v>
      </c>
      <c r="M2279">
        <v>252</v>
      </c>
      <c r="N2279" t="s">
        <v>20249</v>
      </c>
    </row>
    <row r="2280" spans="1:14">
      <c r="A2280" t="s">
        <v>9256</v>
      </c>
      <c r="B2280">
        <v>2803951</v>
      </c>
      <c r="C2280">
        <v>2805849</v>
      </c>
      <c r="E2280" t="s">
        <v>14290</v>
      </c>
      <c r="F2280" t="s">
        <v>20250</v>
      </c>
      <c r="H2280">
        <v>93523723</v>
      </c>
      <c r="I2280" t="s">
        <v>14292</v>
      </c>
      <c r="L2280" t="s">
        <v>20251</v>
      </c>
      <c r="M2280">
        <v>632</v>
      </c>
      <c r="N2280" t="s">
        <v>20252</v>
      </c>
    </row>
    <row r="2281" spans="1:14">
      <c r="A2281" t="s">
        <v>9256</v>
      </c>
      <c r="B2281">
        <v>2805952</v>
      </c>
      <c r="C2281">
        <v>2806025</v>
      </c>
      <c r="E2281" t="s">
        <v>14314</v>
      </c>
      <c r="F2281" t="s">
        <v>20253</v>
      </c>
      <c r="H2281">
        <v>93523724</v>
      </c>
      <c r="I2281" t="s">
        <v>13638</v>
      </c>
      <c r="N2281" t="s">
        <v>20254</v>
      </c>
    </row>
    <row r="2282" spans="1:14">
      <c r="A2282" t="s">
        <v>9256</v>
      </c>
      <c r="B2282">
        <v>2806069</v>
      </c>
      <c r="C2282">
        <v>2806142</v>
      </c>
      <c r="E2282" t="s">
        <v>14314</v>
      </c>
      <c r="F2282" t="s">
        <v>20253</v>
      </c>
      <c r="H2282">
        <v>93523725</v>
      </c>
      <c r="I2282" t="s">
        <v>13638</v>
      </c>
      <c r="N2282" t="s">
        <v>20255</v>
      </c>
    </row>
    <row r="2283" spans="1:14">
      <c r="A2283" t="s">
        <v>9256</v>
      </c>
      <c r="B2283">
        <v>2806174</v>
      </c>
      <c r="C2283">
        <v>2806247</v>
      </c>
      <c r="E2283" t="s">
        <v>14314</v>
      </c>
      <c r="F2283" t="s">
        <v>20253</v>
      </c>
      <c r="H2283">
        <v>93523726</v>
      </c>
      <c r="I2283" t="s">
        <v>13638</v>
      </c>
      <c r="N2283" t="s">
        <v>20256</v>
      </c>
    </row>
    <row r="2284" spans="1:14">
      <c r="A2284" t="s">
        <v>9256</v>
      </c>
      <c r="B2284">
        <v>2806358</v>
      </c>
      <c r="C2284">
        <v>2807335</v>
      </c>
      <c r="E2284" t="s">
        <v>14290</v>
      </c>
      <c r="F2284" t="s">
        <v>20257</v>
      </c>
      <c r="H2284">
        <v>93523727</v>
      </c>
      <c r="I2284" t="s">
        <v>14292</v>
      </c>
      <c r="L2284" t="s">
        <v>20258</v>
      </c>
      <c r="M2284">
        <v>325</v>
      </c>
      <c r="N2284" t="s">
        <v>20259</v>
      </c>
    </row>
    <row r="2285" spans="1:14">
      <c r="A2285" t="s">
        <v>9256</v>
      </c>
      <c r="B2285">
        <v>2807384</v>
      </c>
      <c r="C2285">
        <v>2809090</v>
      </c>
      <c r="E2285" t="s">
        <v>14290</v>
      </c>
      <c r="F2285" t="s">
        <v>17779</v>
      </c>
      <c r="H2285">
        <v>93523728</v>
      </c>
      <c r="I2285" t="s">
        <v>14292</v>
      </c>
      <c r="L2285" t="s">
        <v>20260</v>
      </c>
      <c r="M2285">
        <v>568</v>
      </c>
      <c r="N2285" t="s">
        <v>20261</v>
      </c>
    </row>
    <row r="2286" spans="1:14">
      <c r="A2286" t="s">
        <v>9256</v>
      </c>
      <c r="B2286">
        <v>2809161</v>
      </c>
      <c r="C2286">
        <v>2810339</v>
      </c>
      <c r="E2286" t="s">
        <v>14314</v>
      </c>
      <c r="F2286" t="s">
        <v>16131</v>
      </c>
      <c r="H2286">
        <v>93523729</v>
      </c>
      <c r="I2286" t="s">
        <v>14292</v>
      </c>
      <c r="L2286" t="s">
        <v>20262</v>
      </c>
      <c r="M2286">
        <v>392</v>
      </c>
      <c r="N2286" t="s">
        <v>20263</v>
      </c>
    </row>
    <row r="2287" spans="1:14">
      <c r="A2287" t="s">
        <v>9256</v>
      </c>
      <c r="B2287">
        <v>2810342</v>
      </c>
      <c r="C2287">
        <v>2811436</v>
      </c>
      <c r="E2287" t="s">
        <v>14314</v>
      </c>
      <c r="F2287" t="s">
        <v>16131</v>
      </c>
      <c r="H2287">
        <v>93523730</v>
      </c>
      <c r="I2287" t="s">
        <v>14292</v>
      </c>
      <c r="L2287" t="s">
        <v>20264</v>
      </c>
      <c r="M2287">
        <v>364</v>
      </c>
      <c r="N2287" t="s">
        <v>20265</v>
      </c>
    </row>
    <row r="2288" spans="1:14">
      <c r="A2288" t="s">
        <v>9256</v>
      </c>
      <c r="B2288">
        <v>2811821</v>
      </c>
      <c r="C2288">
        <v>2812132</v>
      </c>
      <c r="E2288" t="s">
        <v>14314</v>
      </c>
      <c r="F2288" t="s">
        <v>15411</v>
      </c>
      <c r="H2288">
        <v>301046727</v>
      </c>
      <c r="I2288" t="s">
        <v>14292</v>
      </c>
      <c r="L2288" t="s">
        <v>20266</v>
      </c>
      <c r="M2288">
        <v>103</v>
      </c>
      <c r="N2288" t="s">
        <v>20267</v>
      </c>
    </row>
    <row r="2289" spans="1:14">
      <c r="A2289" t="s">
        <v>9256</v>
      </c>
      <c r="B2289">
        <v>2812288</v>
      </c>
      <c r="C2289">
        <v>2812542</v>
      </c>
      <c r="E2289" t="s">
        <v>14290</v>
      </c>
      <c r="F2289" t="s">
        <v>14414</v>
      </c>
      <c r="H2289">
        <v>93523731</v>
      </c>
      <c r="I2289" t="s">
        <v>14415</v>
      </c>
      <c r="N2289" t="s">
        <v>20268</v>
      </c>
    </row>
    <row r="2290" spans="1:14">
      <c r="A2290" t="s">
        <v>9256</v>
      </c>
      <c r="B2290">
        <v>2812732</v>
      </c>
      <c r="C2290">
        <v>2813373</v>
      </c>
      <c r="E2290" t="s">
        <v>14314</v>
      </c>
      <c r="F2290" t="s">
        <v>20269</v>
      </c>
      <c r="H2290">
        <v>93523732</v>
      </c>
      <c r="I2290" t="s">
        <v>14292</v>
      </c>
      <c r="L2290" t="s">
        <v>20270</v>
      </c>
      <c r="M2290">
        <v>213</v>
      </c>
      <c r="N2290" t="s">
        <v>20271</v>
      </c>
    </row>
    <row r="2291" spans="1:14">
      <c r="A2291" t="s">
        <v>9256</v>
      </c>
      <c r="B2291">
        <v>2813548</v>
      </c>
      <c r="C2291">
        <v>2816007</v>
      </c>
      <c r="E2291" t="s">
        <v>14290</v>
      </c>
      <c r="F2291" t="s">
        <v>14615</v>
      </c>
      <c r="H2291">
        <v>93523733</v>
      </c>
      <c r="I2291" t="s">
        <v>14292</v>
      </c>
      <c r="L2291" t="s">
        <v>20272</v>
      </c>
      <c r="M2291">
        <v>819</v>
      </c>
      <c r="N2291" t="s">
        <v>20273</v>
      </c>
    </row>
    <row r="2292" spans="1:14">
      <c r="A2292" t="s">
        <v>9256</v>
      </c>
      <c r="B2292">
        <v>2816211</v>
      </c>
      <c r="C2292">
        <v>2818685</v>
      </c>
      <c r="E2292" t="s">
        <v>14290</v>
      </c>
      <c r="F2292" t="s">
        <v>14615</v>
      </c>
      <c r="H2292">
        <v>93523734</v>
      </c>
      <c r="I2292" t="s">
        <v>14292</v>
      </c>
      <c r="L2292" t="s">
        <v>20274</v>
      </c>
      <c r="M2292">
        <v>824</v>
      </c>
      <c r="N2292" t="s">
        <v>20275</v>
      </c>
    </row>
    <row r="2293" spans="1:14">
      <c r="A2293" t="s">
        <v>9256</v>
      </c>
      <c r="B2293">
        <v>2818842</v>
      </c>
      <c r="C2293">
        <v>2820596</v>
      </c>
      <c r="E2293" t="s">
        <v>14290</v>
      </c>
      <c r="F2293" t="s">
        <v>17187</v>
      </c>
      <c r="H2293">
        <v>93523735</v>
      </c>
      <c r="I2293" t="s">
        <v>14292</v>
      </c>
      <c r="L2293" t="s">
        <v>20276</v>
      </c>
      <c r="M2293">
        <v>584</v>
      </c>
      <c r="N2293" t="s">
        <v>20277</v>
      </c>
    </row>
    <row r="2294" spans="1:14">
      <c r="A2294" t="s">
        <v>9256</v>
      </c>
      <c r="B2294">
        <v>2820599</v>
      </c>
      <c r="C2294">
        <v>2822107</v>
      </c>
      <c r="E2294" t="s">
        <v>14290</v>
      </c>
      <c r="F2294" t="s">
        <v>17184</v>
      </c>
      <c r="H2294">
        <v>93523736</v>
      </c>
      <c r="I2294" t="s">
        <v>14292</v>
      </c>
      <c r="L2294" t="s">
        <v>20278</v>
      </c>
      <c r="M2294">
        <v>502</v>
      </c>
      <c r="N2294" t="s">
        <v>20279</v>
      </c>
    </row>
    <row r="2295" spans="1:14">
      <c r="A2295" t="s">
        <v>9256</v>
      </c>
      <c r="B2295">
        <v>2822146</v>
      </c>
      <c r="C2295">
        <v>2824146</v>
      </c>
      <c r="E2295" t="s">
        <v>14290</v>
      </c>
      <c r="F2295" t="s">
        <v>20280</v>
      </c>
      <c r="H2295">
        <v>93523737</v>
      </c>
      <c r="I2295" t="s">
        <v>14292</v>
      </c>
      <c r="L2295" t="s">
        <v>20281</v>
      </c>
      <c r="M2295">
        <v>666</v>
      </c>
      <c r="N2295" t="s">
        <v>20282</v>
      </c>
    </row>
    <row r="2296" spans="1:14">
      <c r="A2296" t="s">
        <v>9256</v>
      </c>
      <c r="B2296">
        <v>2824439</v>
      </c>
      <c r="C2296">
        <v>2824849</v>
      </c>
      <c r="E2296" t="s">
        <v>14314</v>
      </c>
      <c r="F2296" t="s">
        <v>14291</v>
      </c>
      <c r="H2296">
        <v>93523738</v>
      </c>
      <c r="I2296" t="s">
        <v>14292</v>
      </c>
      <c r="L2296" t="s">
        <v>20283</v>
      </c>
      <c r="M2296">
        <v>136</v>
      </c>
      <c r="N2296" t="s">
        <v>20284</v>
      </c>
    </row>
    <row r="2297" spans="1:14">
      <c r="A2297" t="s">
        <v>9256</v>
      </c>
      <c r="B2297">
        <v>2824924</v>
      </c>
      <c r="C2297">
        <v>2826480</v>
      </c>
      <c r="E2297" t="s">
        <v>14314</v>
      </c>
      <c r="F2297" t="s">
        <v>15179</v>
      </c>
      <c r="H2297">
        <v>93523739</v>
      </c>
      <c r="I2297" t="s">
        <v>14292</v>
      </c>
      <c r="L2297" t="s">
        <v>20285</v>
      </c>
      <c r="M2297">
        <v>518</v>
      </c>
      <c r="N2297" t="s">
        <v>20286</v>
      </c>
    </row>
    <row r="2298" spans="1:14">
      <c r="A2298" t="s">
        <v>9256</v>
      </c>
      <c r="B2298">
        <v>2826499</v>
      </c>
      <c r="C2298">
        <v>2829360</v>
      </c>
      <c r="E2298" t="s">
        <v>14314</v>
      </c>
      <c r="F2298" t="s">
        <v>14965</v>
      </c>
      <c r="H2298">
        <v>93523740</v>
      </c>
      <c r="I2298" t="s">
        <v>14292</v>
      </c>
      <c r="L2298" t="s">
        <v>20287</v>
      </c>
      <c r="M2298">
        <v>953</v>
      </c>
      <c r="N2298" t="s">
        <v>20288</v>
      </c>
    </row>
    <row r="2299" spans="1:14">
      <c r="A2299" t="s">
        <v>9256</v>
      </c>
      <c r="B2299">
        <v>2829642</v>
      </c>
      <c r="C2299">
        <v>2832644</v>
      </c>
      <c r="E2299" t="s">
        <v>14290</v>
      </c>
      <c r="F2299" t="s">
        <v>14965</v>
      </c>
      <c r="H2299">
        <v>93523741</v>
      </c>
      <c r="I2299" t="s">
        <v>14292</v>
      </c>
      <c r="L2299" t="s">
        <v>20289</v>
      </c>
      <c r="M2299">
        <v>1000</v>
      </c>
      <c r="N2299" t="s">
        <v>20290</v>
      </c>
    </row>
    <row r="2300" spans="1:14">
      <c r="A2300" t="s">
        <v>9256</v>
      </c>
      <c r="B2300">
        <v>2832662</v>
      </c>
      <c r="C2300">
        <v>2834236</v>
      </c>
      <c r="E2300" t="s">
        <v>14290</v>
      </c>
      <c r="F2300" t="s">
        <v>15179</v>
      </c>
      <c r="H2300">
        <v>93523742</v>
      </c>
      <c r="I2300" t="s">
        <v>14292</v>
      </c>
      <c r="L2300" t="s">
        <v>20291</v>
      </c>
      <c r="M2300">
        <v>524</v>
      </c>
      <c r="N2300" t="s">
        <v>20292</v>
      </c>
    </row>
    <row r="2301" spans="1:14">
      <c r="A2301" t="s">
        <v>9256</v>
      </c>
      <c r="B2301">
        <v>2834781</v>
      </c>
      <c r="C2301">
        <v>2836028</v>
      </c>
      <c r="E2301" t="s">
        <v>14290</v>
      </c>
      <c r="F2301" t="s">
        <v>14414</v>
      </c>
      <c r="H2301">
        <v>93523743</v>
      </c>
      <c r="I2301" t="s">
        <v>14415</v>
      </c>
      <c r="N2301" t="s">
        <v>20293</v>
      </c>
    </row>
    <row r="2302" spans="1:14">
      <c r="A2302" t="s">
        <v>9256</v>
      </c>
      <c r="B2302">
        <v>2836077</v>
      </c>
      <c r="C2302">
        <v>2837111</v>
      </c>
      <c r="E2302" t="s">
        <v>14290</v>
      </c>
      <c r="F2302" t="s">
        <v>20294</v>
      </c>
      <c r="H2302">
        <v>93523744</v>
      </c>
      <c r="I2302" t="s">
        <v>14292</v>
      </c>
      <c r="L2302" t="s">
        <v>20295</v>
      </c>
      <c r="M2302">
        <v>344</v>
      </c>
      <c r="N2302" t="s">
        <v>20296</v>
      </c>
    </row>
    <row r="2303" spans="1:14">
      <c r="A2303" t="s">
        <v>9256</v>
      </c>
      <c r="B2303">
        <v>2837117</v>
      </c>
      <c r="C2303">
        <v>2838121</v>
      </c>
      <c r="E2303" t="s">
        <v>14290</v>
      </c>
      <c r="F2303" t="s">
        <v>14403</v>
      </c>
      <c r="H2303">
        <v>93523745</v>
      </c>
      <c r="I2303" t="s">
        <v>14292</v>
      </c>
      <c r="L2303" t="s">
        <v>20297</v>
      </c>
      <c r="M2303">
        <v>334</v>
      </c>
      <c r="N2303" t="s">
        <v>20298</v>
      </c>
    </row>
    <row r="2304" spans="1:14">
      <c r="A2304" t="s">
        <v>9256</v>
      </c>
      <c r="B2304">
        <v>2838136</v>
      </c>
      <c r="C2304">
        <v>2839482</v>
      </c>
      <c r="E2304" t="s">
        <v>14290</v>
      </c>
      <c r="F2304" t="s">
        <v>16210</v>
      </c>
      <c r="H2304">
        <v>93523746</v>
      </c>
      <c r="I2304" t="s">
        <v>14292</v>
      </c>
      <c r="L2304" t="s">
        <v>20299</v>
      </c>
      <c r="M2304">
        <v>448</v>
      </c>
      <c r="N2304" t="s">
        <v>20300</v>
      </c>
    </row>
    <row r="2305" spans="1:14">
      <c r="A2305" t="s">
        <v>9256</v>
      </c>
      <c r="B2305">
        <v>2839567</v>
      </c>
      <c r="C2305">
        <v>2840160</v>
      </c>
      <c r="E2305" t="s">
        <v>14290</v>
      </c>
      <c r="F2305" t="s">
        <v>16246</v>
      </c>
      <c r="H2305">
        <v>93523747</v>
      </c>
      <c r="I2305" t="s">
        <v>14292</v>
      </c>
      <c r="L2305" t="s">
        <v>20301</v>
      </c>
      <c r="M2305">
        <v>197</v>
      </c>
      <c r="N2305" t="s">
        <v>20302</v>
      </c>
    </row>
    <row r="2306" spans="1:14">
      <c r="A2306" t="s">
        <v>9256</v>
      </c>
      <c r="B2306">
        <v>2840273</v>
      </c>
      <c r="C2306">
        <v>2840659</v>
      </c>
      <c r="E2306" t="s">
        <v>14290</v>
      </c>
      <c r="F2306" t="s">
        <v>20303</v>
      </c>
      <c r="H2306">
        <v>93523748</v>
      </c>
      <c r="I2306" t="s">
        <v>14292</v>
      </c>
      <c r="L2306" t="s">
        <v>20304</v>
      </c>
      <c r="M2306">
        <v>128</v>
      </c>
      <c r="N2306" t="s">
        <v>20305</v>
      </c>
    </row>
    <row r="2307" spans="1:14">
      <c r="A2307" t="s">
        <v>9256</v>
      </c>
      <c r="B2307">
        <v>2840751</v>
      </c>
      <c r="C2307">
        <v>2841548</v>
      </c>
      <c r="E2307" t="s">
        <v>14290</v>
      </c>
      <c r="F2307" t="s">
        <v>20306</v>
      </c>
      <c r="H2307">
        <v>93523749</v>
      </c>
      <c r="I2307" t="s">
        <v>14292</v>
      </c>
      <c r="L2307" t="s">
        <v>20307</v>
      </c>
      <c r="M2307">
        <v>265</v>
      </c>
      <c r="N2307" t="s">
        <v>20308</v>
      </c>
    </row>
    <row r="2308" spans="1:14">
      <c r="A2308" t="s">
        <v>9256</v>
      </c>
      <c r="B2308">
        <v>2841569</v>
      </c>
      <c r="C2308">
        <v>2843038</v>
      </c>
      <c r="E2308" t="s">
        <v>14290</v>
      </c>
      <c r="F2308" t="s">
        <v>20309</v>
      </c>
      <c r="G2308" t="s">
        <v>20310</v>
      </c>
      <c r="H2308">
        <v>93523750</v>
      </c>
      <c r="I2308" t="s">
        <v>14292</v>
      </c>
      <c r="L2308" t="s">
        <v>20311</v>
      </c>
      <c r="M2308">
        <v>489</v>
      </c>
      <c r="N2308" t="s">
        <v>20312</v>
      </c>
    </row>
    <row r="2309" spans="1:14">
      <c r="A2309" t="s">
        <v>9256</v>
      </c>
      <c r="B2309">
        <v>2843132</v>
      </c>
      <c r="C2309">
        <v>2843515</v>
      </c>
      <c r="E2309" t="s">
        <v>14314</v>
      </c>
      <c r="F2309" t="s">
        <v>20313</v>
      </c>
      <c r="H2309">
        <v>93523751</v>
      </c>
      <c r="I2309" t="s">
        <v>14292</v>
      </c>
      <c r="L2309" t="s">
        <v>20314</v>
      </c>
      <c r="M2309">
        <v>127</v>
      </c>
      <c r="N2309" t="s">
        <v>20315</v>
      </c>
    </row>
    <row r="2310" spans="1:14">
      <c r="A2310" t="s">
        <v>9256</v>
      </c>
      <c r="B2310">
        <v>2843493</v>
      </c>
      <c r="C2310">
        <v>2844275</v>
      </c>
      <c r="E2310" t="s">
        <v>14314</v>
      </c>
      <c r="F2310" t="s">
        <v>20316</v>
      </c>
      <c r="H2310">
        <v>93523752</v>
      </c>
      <c r="I2310" t="s">
        <v>14292</v>
      </c>
      <c r="L2310" t="s">
        <v>20317</v>
      </c>
      <c r="M2310">
        <v>260</v>
      </c>
      <c r="N2310" t="s">
        <v>20318</v>
      </c>
    </row>
    <row r="2311" spans="1:14">
      <c r="A2311" t="s">
        <v>9256</v>
      </c>
      <c r="B2311">
        <v>2844368</v>
      </c>
      <c r="C2311">
        <v>2844440</v>
      </c>
      <c r="E2311" t="s">
        <v>14314</v>
      </c>
      <c r="F2311" t="s">
        <v>16484</v>
      </c>
      <c r="H2311">
        <v>93523753</v>
      </c>
      <c r="I2311" t="s">
        <v>13638</v>
      </c>
      <c r="N2311" t="s">
        <v>20319</v>
      </c>
    </row>
    <row r="2312" spans="1:14">
      <c r="A2312" t="s">
        <v>9256</v>
      </c>
      <c r="B2312">
        <v>2844456</v>
      </c>
      <c r="C2312">
        <v>2844540</v>
      </c>
      <c r="E2312" t="s">
        <v>14314</v>
      </c>
      <c r="F2312" t="s">
        <v>19044</v>
      </c>
      <c r="H2312">
        <v>93523754</v>
      </c>
      <c r="I2312" t="s">
        <v>13638</v>
      </c>
      <c r="N2312" t="s">
        <v>20320</v>
      </c>
    </row>
    <row r="2313" spans="1:14">
      <c r="A2313" t="s">
        <v>9256</v>
      </c>
      <c r="B2313">
        <v>2844564</v>
      </c>
      <c r="C2313">
        <v>2844636</v>
      </c>
      <c r="E2313" t="s">
        <v>14314</v>
      </c>
      <c r="F2313" t="s">
        <v>16484</v>
      </c>
      <c r="H2313">
        <v>93523755</v>
      </c>
      <c r="I2313" t="s">
        <v>13638</v>
      </c>
      <c r="N2313" t="s">
        <v>20321</v>
      </c>
    </row>
    <row r="2314" spans="1:14">
      <c r="A2314" t="s">
        <v>9256</v>
      </c>
      <c r="B2314">
        <v>2844710</v>
      </c>
      <c r="C2314">
        <v>2845171</v>
      </c>
      <c r="E2314" t="s">
        <v>14314</v>
      </c>
      <c r="F2314" t="s">
        <v>20322</v>
      </c>
      <c r="H2314">
        <v>93523756</v>
      </c>
      <c r="I2314" t="s">
        <v>14292</v>
      </c>
      <c r="L2314" t="s">
        <v>20323</v>
      </c>
      <c r="M2314">
        <v>153</v>
      </c>
      <c r="N2314" t="s">
        <v>20324</v>
      </c>
    </row>
    <row r="2315" spans="1:14">
      <c r="A2315" t="s">
        <v>9256</v>
      </c>
      <c r="B2315">
        <v>2845164</v>
      </c>
      <c r="C2315">
        <v>2846504</v>
      </c>
      <c r="E2315" t="s">
        <v>14314</v>
      </c>
      <c r="F2315" t="s">
        <v>20325</v>
      </c>
      <c r="G2315" t="s">
        <v>20326</v>
      </c>
      <c r="H2315">
        <v>93523757</v>
      </c>
      <c r="I2315" t="s">
        <v>14292</v>
      </c>
      <c r="L2315" t="s">
        <v>20327</v>
      </c>
      <c r="M2315">
        <v>446</v>
      </c>
      <c r="N2315" t="s">
        <v>20328</v>
      </c>
    </row>
    <row r="2316" spans="1:14">
      <c r="A2316" t="s">
        <v>9256</v>
      </c>
      <c r="B2316">
        <v>2846518</v>
      </c>
      <c r="C2316">
        <v>2846931</v>
      </c>
      <c r="E2316" t="s">
        <v>14314</v>
      </c>
      <c r="F2316" t="s">
        <v>20329</v>
      </c>
      <c r="H2316">
        <v>93523758</v>
      </c>
      <c r="I2316" t="s">
        <v>14292</v>
      </c>
      <c r="L2316" t="s">
        <v>20330</v>
      </c>
      <c r="M2316">
        <v>137</v>
      </c>
      <c r="N2316" t="s">
        <v>20331</v>
      </c>
    </row>
    <row r="2317" spans="1:14">
      <c r="A2317" t="s">
        <v>9256</v>
      </c>
      <c r="B2317">
        <v>2846954</v>
      </c>
      <c r="C2317">
        <v>2847589</v>
      </c>
      <c r="E2317" t="s">
        <v>14314</v>
      </c>
      <c r="F2317" t="s">
        <v>20332</v>
      </c>
      <c r="G2317" t="s">
        <v>20333</v>
      </c>
      <c r="H2317">
        <v>93523759</v>
      </c>
      <c r="I2317" t="s">
        <v>14292</v>
      </c>
      <c r="L2317" t="s">
        <v>20334</v>
      </c>
      <c r="M2317">
        <v>211</v>
      </c>
      <c r="N2317" t="s">
        <v>20335</v>
      </c>
    </row>
    <row r="2318" spans="1:14">
      <c r="A2318" t="s">
        <v>9256</v>
      </c>
      <c r="B2318">
        <v>2847676</v>
      </c>
      <c r="C2318">
        <v>2848365</v>
      </c>
      <c r="E2318" t="s">
        <v>14314</v>
      </c>
      <c r="F2318" t="s">
        <v>20336</v>
      </c>
      <c r="H2318">
        <v>93523760</v>
      </c>
      <c r="I2318" t="s">
        <v>14292</v>
      </c>
      <c r="L2318" t="s">
        <v>20337</v>
      </c>
      <c r="M2318">
        <v>229</v>
      </c>
      <c r="N2318" t="s">
        <v>20338</v>
      </c>
    </row>
    <row r="2319" spans="1:14">
      <c r="A2319" t="s">
        <v>9256</v>
      </c>
      <c r="B2319">
        <v>2848346</v>
      </c>
      <c r="C2319">
        <v>2848846</v>
      </c>
      <c r="E2319" t="s">
        <v>14314</v>
      </c>
      <c r="F2319" t="s">
        <v>20339</v>
      </c>
      <c r="H2319">
        <v>93523761</v>
      </c>
      <c r="I2319" t="s">
        <v>14292</v>
      </c>
      <c r="L2319" t="s">
        <v>20340</v>
      </c>
      <c r="M2319">
        <v>166</v>
      </c>
      <c r="N2319" t="s">
        <v>20341</v>
      </c>
    </row>
    <row r="2320" spans="1:14">
      <c r="A2320" t="s">
        <v>9256</v>
      </c>
      <c r="B2320">
        <v>2848843</v>
      </c>
      <c r="C2320">
        <v>2849802</v>
      </c>
      <c r="E2320" t="s">
        <v>14314</v>
      </c>
      <c r="F2320" t="s">
        <v>20342</v>
      </c>
      <c r="H2320">
        <v>93523762</v>
      </c>
      <c r="I2320" t="s">
        <v>14292</v>
      </c>
      <c r="L2320" t="s">
        <v>20343</v>
      </c>
      <c r="M2320">
        <v>319</v>
      </c>
      <c r="N2320" t="s">
        <v>20344</v>
      </c>
    </row>
    <row r="2321" spans="1:14">
      <c r="A2321" t="s">
        <v>9256</v>
      </c>
      <c r="B2321">
        <v>2849859</v>
      </c>
      <c r="C2321">
        <v>2850938</v>
      </c>
      <c r="E2321" t="s">
        <v>14290</v>
      </c>
      <c r="F2321" t="s">
        <v>20345</v>
      </c>
      <c r="G2321" t="s">
        <v>20346</v>
      </c>
      <c r="H2321">
        <v>93523763</v>
      </c>
      <c r="I2321" t="s">
        <v>14292</v>
      </c>
      <c r="L2321" t="s">
        <v>20347</v>
      </c>
      <c r="M2321">
        <v>359</v>
      </c>
      <c r="N2321" t="s">
        <v>20348</v>
      </c>
    </row>
    <row r="2322" spans="1:14">
      <c r="A2322" t="s">
        <v>9256</v>
      </c>
      <c r="B2322">
        <v>2851058</v>
      </c>
      <c r="C2322">
        <v>2852434</v>
      </c>
      <c r="E2322" t="s">
        <v>14290</v>
      </c>
      <c r="F2322" t="s">
        <v>20349</v>
      </c>
      <c r="H2322">
        <v>93523764</v>
      </c>
      <c r="I2322" t="s">
        <v>14292</v>
      </c>
      <c r="L2322" t="s">
        <v>20350</v>
      </c>
      <c r="M2322">
        <v>458</v>
      </c>
      <c r="N2322" t="s">
        <v>20351</v>
      </c>
    </row>
    <row r="2323" spans="1:14">
      <c r="A2323" t="s">
        <v>9256</v>
      </c>
      <c r="B2323">
        <v>2852516</v>
      </c>
      <c r="C2323">
        <v>2853220</v>
      </c>
      <c r="E2323" t="s">
        <v>14290</v>
      </c>
      <c r="F2323" t="s">
        <v>20352</v>
      </c>
      <c r="H2323">
        <v>93523765</v>
      </c>
      <c r="I2323" t="s">
        <v>14292</v>
      </c>
      <c r="L2323" t="s">
        <v>20353</v>
      </c>
      <c r="M2323">
        <v>234</v>
      </c>
      <c r="N2323" t="s">
        <v>20354</v>
      </c>
    </row>
    <row r="2324" spans="1:14">
      <c r="A2324" t="s">
        <v>9256</v>
      </c>
      <c r="B2324">
        <v>2853232</v>
      </c>
      <c r="C2324">
        <v>2853975</v>
      </c>
      <c r="E2324" t="s">
        <v>14290</v>
      </c>
      <c r="F2324" t="s">
        <v>20355</v>
      </c>
      <c r="H2324">
        <v>93523766</v>
      </c>
      <c r="I2324" t="s">
        <v>14292</v>
      </c>
      <c r="L2324" t="s">
        <v>20356</v>
      </c>
      <c r="M2324">
        <v>247</v>
      </c>
      <c r="N2324" t="s">
        <v>20357</v>
      </c>
    </row>
    <row r="2325" spans="1:14">
      <c r="A2325" t="s">
        <v>9256</v>
      </c>
      <c r="B2325">
        <v>2853990</v>
      </c>
      <c r="C2325">
        <v>2856680</v>
      </c>
      <c r="E2325" t="s">
        <v>14290</v>
      </c>
      <c r="F2325" t="s">
        <v>20358</v>
      </c>
      <c r="G2325" t="s">
        <v>20359</v>
      </c>
      <c r="H2325">
        <v>93523767</v>
      </c>
      <c r="I2325" t="s">
        <v>14292</v>
      </c>
      <c r="L2325" t="s">
        <v>20360</v>
      </c>
      <c r="M2325">
        <v>896</v>
      </c>
      <c r="N2325" t="s">
        <v>20361</v>
      </c>
    </row>
    <row r="2326" spans="1:14">
      <c r="A2326" t="s">
        <v>9256</v>
      </c>
      <c r="B2326">
        <v>2856853</v>
      </c>
      <c r="C2326">
        <v>2857368</v>
      </c>
      <c r="E2326" t="s">
        <v>14290</v>
      </c>
      <c r="F2326" t="s">
        <v>15962</v>
      </c>
      <c r="H2326">
        <v>93523768</v>
      </c>
      <c r="I2326" t="s">
        <v>14292</v>
      </c>
      <c r="L2326" t="s">
        <v>20362</v>
      </c>
      <c r="M2326">
        <v>171</v>
      </c>
      <c r="N2326" t="s">
        <v>20363</v>
      </c>
    </row>
    <row r="2327" spans="1:14">
      <c r="A2327" t="s">
        <v>9256</v>
      </c>
      <c r="B2327">
        <v>2857443</v>
      </c>
      <c r="C2327">
        <v>2857937</v>
      </c>
      <c r="E2327" t="s">
        <v>14290</v>
      </c>
      <c r="F2327" t="s">
        <v>15962</v>
      </c>
      <c r="H2327">
        <v>93523769</v>
      </c>
      <c r="I2327" t="s">
        <v>14292</v>
      </c>
      <c r="L2327" t="s">
        <v>20364</v>
      </c>
      <c r="M2327">
        <v>164</v>
      </c>
      <c r="N2327" t="s">
        <v>20365</v>
      </c>
    </row>
    <row r="2328" spans="1:14">
      <c r="A2328" t="s">
        <v>9256</v>
      </c>
      <c r="B2328">
        <v>2858028</v>
      </c>
      <c r="C2328">
        <v>2858858</v>
      </c>
      <c r="E2328" t="s">
        <v>14290</v>
      </c>
      <c r="F2328" t="s">
        <v>20366</v>
      </c>
      <c r="G2328" t="s">
        <v>20367</v>
      </c>
      <c r="H2328">
        <v>93523770</v>
      </c>
      <c r="I2328" t="s">
        <v>14292</v>
      </c>
      <c r="L2328" t="s">
        <v>20368</v>
      </c>
      <c r="M2328">
        <v>276</v>
      </c>
      <c r="N2328" t="s">
        <v>20369</v>
      </c>
    </row>
    <row r="2329" spans="1:14">
      <c r="A2329" t="s">
        <v>9256</v>
      </c>
      <c r="B2329">
        <v>2859170</v>
      </c>
      <c r="C2329">
        <v>2859538</v>
      </c>
      <c r="E2329" t="s">
        <v>14314</v>
      </c>
      <c r="F2329" t="s">
        <v>20370</v>
      </c>
      <c r="H2329">
        <v>93523771</v>
      </c>
      <c r="I2329" t="s">
        <v>14292</v>
      </c>
      <c r="L2329" t="s">
        <v>20371</v>
      </c>
      <c r="M2329">
        <v>122</v>
      </c>
      <c r="N2329" t="s">
        <v>20372</v>
      </c>
    </row>
    <row r="2330" spans="1:14">
      <c r="A2330" t="s">
        <v>9256</v>
      </c>
      <c r="B2330">
        <v>2859542</v>
      </c>
      <c r="C2330">
        <v>2860858</v>
      </c>
      <c r="E2330" t="s">
        <v>14314</v>
      </c>
      <c r="F2330" t="s">
        <v>15974</v>
      </c>
      <c r="H2330">
        <v>93523772</v>
      </c>
      <c r="I2330" t="s">
        <v>14292</v>
      </c>
      <c r="L2330" t="s">
        <v>20373</v>
      </c>
      <c r="M2330">
        <v>438</v>
      </c>
      <c r="N2330" t="s">
        <v>20374</v>
      </c>
    </row>
    <row r="2331" spans="1:14">
      <c r="A2331" t="s">
        <v>9256</v>
      </c>
      <c r="B2331">
        <v>2860985</v>
      </c>
      <c r="C2331">
        <v>2862355</v>
      </c>
      <c r="E2331" t="s">
        <v>14290</v>
      </c>
      <c r="F2331" t="s">
        <v>16210</v>
      </c>
      <c r="H2331">
        <v>93523773</v>
      </c>
      <c r="I2331" t="s">
        <v>14292</v>
      </c>
      <c r="L2331" t="s">
        <v>20375</v>
      </c>
      <c r="M2331">
        <v>456</v>
      </c>
      <c r="N2331" t="s">
        <v>20376</v>
      </c>
    </row>
    <row r="2332" spans="1:14">
      <c r="A2332" t="s">
        <v>9256</v>
      </c>
      <c r="B2332">
        <v>2862439</v>
      </c>
      <c r="C2332">
        <v>2862864</v>
      </c>
      <c r="E2332" t="s">
        <v>14290</v>
      </c>
      <c r="F2332" t="s">
        <v>20377</v>
      </c>
      <c r="H2332">
        <v>93523774</v>
      </c>
      <c r="I2332" t="s">
        <v>14292</v>
      </c>
      <c r="L2332" t="s">
        <v>20378</v>
      </c>
      <c r="M2332">
        <v>141</v>
      </c>
      <c r="N2332" t="s">
        <v>20379</v>
      </c>
    </row>
    <row r="2333" spans="1:14">
      <c r="A2333" t="s">
        <v>9256</v>
      </c>
      <c r="B2333">
        <v>2862864</v>
      </c>
      <c r="C2333">
        <v>2863313</v>
      </c>
      <c r="E2333" t="s">
        <v>14290</v>
      </c>
      <c r="F2333" t="s">
        <v>20377</v>
      </c>
      <c r="H2333">
        <v>93523775</v>
      </c>
      <c r="I2333" t="s">
        <v>14292</v>
      </c>
      <c r="L2333" t="s">
        <v>20380</v>
      </c>
      <c r="M2333">
        <v>149</v>
      </c>
      <c r="N2333" t="s">
        <v>20381</v>
      </c>
    </row>
    <row r="2334" spans="1:14">
      <c r="A2334" t="s">
        <v>9256</v>
      </c>
      <c r="B2334">
        <v>2863363</v>
      </c>
      <c r="C2334">
        <v>2865420</v>
      </c>
      <c r="E2334" t="s">
        <v>14314</v>
      </c>
      <c r="F2334" t="s">
        <v>14955</v>
      </c>
      <c r="H2334">
        <v>93523776</v>
      </c>
      <c r="I2334" t="s">
        <v>14292</v>
      </c>
      <c r="L2334" t="s">
        <v>20382</v>
      </c>
      <c r="M2334">
        <v>685</v>
      </c>
      <c r="N2334" t="s">
        <v>20383</v>
      </c>
    </row>
    <row r="2335" spans="1:14">
      <c r="A2335" t="s">
        <v>9256</v>
      </c>
      <c r="B2335">
        <v>2865427</v>
      </c>
      <c r="C2335">
        <v>2866620</v>
      </c>
      <c r="E2335" t="s">
        <v>14314</v>
      </c>
      <c r="F2335" t="s">
        <v>20384</v>
      </c>
      <c r="H2335">
        <v>93523777</v>
      </c>
      <c r="I2335" t="s">
        <v>14292</v>
      </c>
      <c r="L2335" t="s">
        <v>20385</v>
      </c>
      <c r="M2335">
        <v>397</v>
      </c>
      <c r="N2335" t="s">
        <v>20386</v>
      </c>
    </row>
    <row r="2336" spans="1:14">
      <c r="A2336" t="s">
        <v>9256</v>
      </c>
      <c r="B2336">
        <v>2866716</v>
      </c>
      <c r="C2336">
        <v>2869130</v>
      </c>
      <c r="E2336" t="s">
        <v>14290</v>
      </c>
      <c r="F2336" t="s">
        <v>14648</v>
      </c>
      <c r="H2336">
        <v>93523778</v>
      </c>
      <c r="I2336" t="s">
        <v>14292</v>
      </c>
      <c r="L2336" t="s">
        <v>20387</v>
      </c>
      <c r="M2336">
        <v>804</v>
      </c>
      <c r="N2336" t="s">
        <v>20388</v>
      </c>
    </row>
    <row r="2337" spans="1:14">
      <c r="A2337" t="s">
        <v>9256</v>
      </c>
      <c r="B2337">
        <v>2869190</v>
      </c>
      <c r="C2337">
        <v>2869732</v>
      </c>
      <c r="E2337" t="s">
        <v>14290</v>
      </c>
      <c r="F2337" t="s">
        <v>20389</v>
      </c>
      <c r="H2337">
        <v>93523779</v>
      </c>
      <c r="I2337" t="s">
        <v>14292</v>
      </c>
      <c r="L2337" t="s">
        <v>20390</v>
      </c>
      <c r="M2337">
        <v>180</v>
      </c>
      <c r="N2337" t="s">
        <v>20391</v>
      </c>
    </row>
    <row r="2338" spans="1:14">
      <c r="A2338" t="s">
        <v>9256</v>
      </c>
      <c r="B2338">
        <v>2869798</v>
      </c>
      <c r="C2338">
        <v>2872542</v>
      </c>
      <c r="E2338" t="s">
        <v>14290</v>
      </c>
      <c r="F2338" t="s">
        <v>20392</v>
      </c>
      <c r="H2338">
        <v>93523780</v>
      </c>
      <c r="I2338" t="s">
        <v>14292</v>
      </c>
      <c r="L2338" t="s">
        <v>20393</v>
      </c>
      <c r="M2338">
        <v>914</v>
      </c>
      <c r="N2338" t="s">
        <v>20394</v>
      </c>
    </row>
    <row r="2339" spans="1:14">
      <c r="A2339" t="s">
        <v>9256</v>
      </c>
      <c r="B2339">
        <v>2872613</v>
      </c>
      <c r="C2339">
        <v>2873284</v>
      </c>
      <c r="E2339" t="s">
        <v>14314</v>
      </c>
      <c r="F2339" t="s">
        <v>15790</v>
      </c>
      <c r="H2339">
        <v>93523781</v>
      </c>
      <c r="I2339" t="s">
        <v>14292</v>
      </c>
      <c r="L2339" t="s">
        <v>20395</v>
      </c>
      <c r="M2339">
        <v>223</v>
      </c>
      <c r="N2339" t="s">
        <v>20396</v>
      </c>
    </row>
    <row r="2340" spans="1:14">
      <c r="A2340" t="s">
        <v>9256</v>
      </c>
      <c r="B2340">
        <v>2873306</v>
      </c>
      <c r="C2340">
        <v>2874343</v>
      </c>
      <c r="E2340" t="s">
        <v>14314</v>
      </c>
      <c r="F2340" t="s">
        <v>20397</v>
      </c>
      <c r="G2340" t="s">
        <v>20398</v>
      </c>
      <c r="H2340">
        <v>93523782</v>
      </c>
      <c r="I2340" t="s">
        <v>14292</v>
      </c>
      <c r="L2340" t="s">
        <v>20399</v>
      </c>
      <c r="M2340">
        <v>345</v>
      </c>
      <c r="N2340" t="s">
        <v>20400</v>
      </c>
    </row>
    <row r="2341" spans="1:14">
      <c r="A2341" t="s">
        <v>9256</v>
      </c>
      <c r="B2341">
        <v>2874540</v>
      </c>
      <c r="C2341">
        <v>2874613</v>
      </c>
      <c r="E2341" t="s">
        <v>14290</v>
      </c>
      <c r="F2341" t="s">
        <v>14751</v>
      </c>
      <c r="H2341">
        <v>93523783</v>
      </c>
      <c r="I2341" t="s">
        <v>13638</v>
      </c>
      <c r="N2341" t="s">
        <v>20401</v>
      </c>
    </row>
    <row r="2342" spans="1:14">
      <c r="A2342" t="s">
        <v>9256</v>
      </c>
      <c r="B2342">
        <v>2874762</v>
      </c>
      <c r="C2342">
        <v>2875202</v>
      </c>
      <c r="E2342" t="s">
        <v>14290</v>
      </c>
      <c r="F2342" t="s">
        <v>20402</v>
      </c>
      <c r="H2342">
        <v>93523784</v>
      </c>
      <c r="I2342" t="s">
        <v>14292</v>
      </c>
      <c r="L2342" t="s">
        <v>20403</v>
      </c>
      <c r="M2342">
        <v>146</v>
      </c>
      <c r="N2342" t="s">
        <v>20404</v>
      </c>
    </row>
    <row r="2343" spans="1:14">
      <c r="A2343" t="s">
        <v>9256</v>
      </c>
      <c r="B2343">
        <v>2875272</v>
      </c>
      <c r="C2343">
        <v>2875346</v>
      </c>
      <c r="E2343" t="s">
        <v>14314</v>
      </c>
      <c r="F2343" t="s">
        <v>20405</v>
      </c>
      <c r="H2343">
        <v>93523785</v>
      </c>
      <c r="I2343" t="s">
        <v>13638</v>
      </c>
      <c r="N2343" t="s">
        <v>20406</v>
      </c>
    </row>
    <row r="2344" spans="1:14">
      <c r="A2344" t="s">
        <v>9256</v>
      </c>
      <c r="B2344">
        <v>2875380</v>
      </c>
      <c r="C2344">
        <v>2875454</v>
      </c>
      <c r="E2344" t="s">
        <v>14314</v>
      </c>
      <c r="F2344" t="s">
        <v>20405</v>
      </c>
      <c r="H2344">
        <v>93523786</v>
      </c>
      <c r="I2344" t="s">
        <v>13638</v>
      </c>
      <c r="N2344" t="s">
        <v>20407</v>
      </c>
    </row>
    <row r="2345" spans="1:14">
      <c r="A2345" t="s">
        <v>9256</v>
      </c>
      <c r="B2345">
        <v>2875488</v>
      </c>
      <c r="C2345">
        <v>2875562</v>
      </c>
      <c r="E2345" t="s">
        <v>14314</v>
      </c>
      <c r="F2345" t="s">
        <v>20405</v>
      </c>
      <c r="H2345">
        <v>93523787</v>
      </c>
      <c r="I2345" t="s">
        <v>13638</v>
      </c>
      <c r="N2345" t="s">
        <v>20408</v>
      </c>
    </row>
    <row r="2346" spans="1:14">
      <c r="A2346" t="s">
        <v>9256</v>
      </c>
      <c r="B2346">
        <v>2875798</v>
      </c>
      <c r="C2346">
        <v>2877141</v>
      </c>
      <c r="E2346" t="s">
        <v>14290</v>
      </c>
      <c r="F2346" t="s">
        <v>20409</v>
      </c>
      <c r="G2346" t="s">
        <v>20410</v>
      </c>
      <c r="H2346">
        <v>93523788</v>
      </c>
      <c r="I2346" t="s">
        <v>14292</v>
      </c>
      <c r="L2346" t="s">
        <v>20411</v>
      </c>
      <c r="M2346">
        <v>447</v>
      </c>
      <c r="N2346" t="s">
        <v>20412</v>
      </c>
    </row>
    <row r="2347" spans="1:14">
      <c r="A2347" t="s">
        <v>9256</v>
      </c>
      <c r="B2347">
        <v>2877201</v>
      </c>
      <c r="C2347">
        <v>2878682</v>
      </c>
      <c r="E2347" t="s">
        <v>14290</v>
      </c>
      <c r="F2347" t="s">
        <v>20413</v>
      </c>
      <c r="H2347">
        <v>93523789</v>
      </c>
      <c r="I2347" t="s">
        <v>14292</v>
      </c>
      <c r="L2347" t="s">
        <v>20414</v>
      </c>
      <c r="M2347">
        <v>493</v>
      </c>
      <c r="N2347" t="s">
        <v>20415</v>
      </c>
    </row>
    <row r="2348" spans="1:14">
      <c r="A2348" t="s">
        <v>9256</v>
      </c>
      <c r="B2348">
        <v>2878698</v>
      </c>
      <c r="C2348">
        <v>2880104</v>
      </c>
      <c r="E2348" t="s">
        <v>14290</v>
      </c>
      <c r="F2348" t="s">
        <v>20416</v>
      </c>
      <c r="G2348" t="s">
        <v>20417</v>
      </c>
      <c r="H2348">
        <v>93523790</v>
      </c>
      <c r="I2348" t="s">
        <v>14292</v>
      </c>
      <c r="L2348" t="s">
        <v>20418</v>
      </c>
      <c r="M2348">
        <v>468</v>
      </c>
      <c r="N2348" t="s">
        <v>20419</v>
      </c>
    </row>
    <row r="2349" spans="1:14">
      <c r="A2349" t="s">
        <v>9256</v>
      </c>
      <c r="B2349">
        <v>2880188</v>
      </c>
      <c r="C2349">
        <v>2880658</v>
      </c>
      <c r="E2349" t="s">
        <v>14314</v>
      </c>
      <c r="F2349" t="s">
        <v>17257</v>
      </c>
      <c r="H2349">
        <v>93523791</v>
      </c>
      <c r="I2349" t="s">
        <v>14292</v>
      </c>
      <c r="L2349" t="s">
        <v>20420</v>
      </c>
      <c r="M2349">
        <v>156</v>
      </c>
      <c r="N2349" t="s">
        <v>20421</v>
      </c>
    </row>
    <row r="2350" spans="1:14">
      <c r="A2350" t="s">
        <v>9256</v>
      </c>
      <c r="B2350">
        <v>2880803</v>
      </c>
      <c r="C2350">
        <v>2881351</v>
      </c>
      <c r="E2350" t="s">
        <v>14290</v>
      </c>
      <c r="F2350" t="s">
        <v>14439</v>
      </c>
      <c r="H2350">
        <v>93523792</v>
      </c>
      <c r="I2350" t="s">
        <v>14292</v>
      </c>
      <c r="L2350" t="s">
        <v>20422</v>
      </c>
      <c r="M2350">
        <v>182</v>
      </c>
      <c r="N2350" t="s">
        <v>20423</v>
      </c>
    </row>
    <row r="2351" spans="1:14">
      <c r="A2351" t="s">
        <v>9256</v>
      </c>
      <c r="B2351">
        <v>2881404</v>
      </c>
      <c r="C2351">
        <v>2881874</v>
      </c>
      <c r="E2351" t="s">
        <v>14314</v>
      </c>
      <c r="F2351" t="s">
        <v>20424</v>
      </c>
      <c r="H2351">
        <v>93523793</v>
      </c>
      <c r="I2351" t="s">
        <v>14292</v>
      </c>
      <c r="L2351" t="s">
        <v>20425</v>
      </c>
      <c r="M2351">
        <v>156</v>
      </c>
      <c r="N2351" t="s">
        <v>20426</v>
      </c>
    </row>
    <row r="2352" spans="1:14">
      <c r="A2352" t="s">
        <v>9256</v>
      </c>
      <c r="B2352">
        <v>2881874</v>
      </c>
      <c r="C2352">
        <v>2882464</v>
      </c>
      <c r="E2352" t="s">
        <v>14314</v>
      </c>
      <c r="F2352" t="s">
        <v>20424</v>
      </c>
      <c r="H2352">
        <v>93523794</v>
      </c>
      <c r="I2352" t="s">
        <v>14292</v>
      </c>
      <c r="L2352" t="s">
        <v>20427</v>
      </c>
      <c r="M2352">
        <v>196</v>
      </c>
      <c r="N2352" t="s">
        <v>20428</v>
      </c>
    </row>
    <row r="2353" spans="1:14">
      <c r="A2353" t="s">
        <v>9256</v>
      </c>
      <c r="B2353">
        <v>2882497</v>
      </c>
      <c r="C2353">
        <v>2882970</v>
      </c>
      <c r="E2353" t="s">
        <v>14314</v>
      </c>
      <c r="F2353" t="s">
        <v>14291</v>
      </c>
      <c r="H2353">
        <v>93523795</v>
      </c>
      <c r="I2353" t="s">
        <v>14292</v>
      </c>
      <c r="L2353" t="s">
        <v>20429</v>
      </c>
      <c r="M2353">
        <v>157</v>
      </c>
      <c r="N2353" t="s">
        <v>20430</v>
      </c>
    </row>
    <row r="2354" spans="1:14">
      <c r="A2354" t="s">
        <v>9256</v>
      </c>
      <c r="B2354">
        <v>2882980</v>
      </c>
      <c r="C2354">
        <v>2883723</v>
      </c>
      <c r="E2354" t="s">
        <v>14314</v>
      </c>
      <c r="F2354" t="s">
        <v>20431</v>
      </c>
      <c r="H2354">
        <v>93523796</v>
      </c>
      <c r="I2354" t="s">
        <v>14292</v>
      </c>
      <c r="L2354" t="s">
        <v>20432</v>
      </c>
      <c r="M2354">
        <v>247</v>
      </c>
      <c r="N2354" t="s">
        <v>20433</v>
      </c>
    </row>
    <row r="2355" spans="1:14">
      <c r="A2355" t="s">
        <v>9256</v>
      </c>
      <c r="B2355">
        <v>2883804</v>
      </c>
      <c r="C2355">
        <v>2883891</v>
      </c>
      <c r="E2355" t="s">
        <v>14314</v>
      </c>
      <c r="F2355" t="s">
        <v>20434</v>
      </c>
      <c r="H2355">
        <v>93523797</v>
      </c>
      <c r="I2355" t="s">
        <v>13638</v>
      </c>
      <c r="N2355" t="s">
        <v>20435</v>
      </c>
    </row>
    <row r="2356" spans="1:14">
      <c r="A2356" t="s">
        <v>9256</v>
      </c>
      <c r="B2356">
        <v>2884039</v>
      </c>
      <c r="C2356">
        <v>2884824</v>
      </c>
      <c r="E2356" t="s">
        <v>14314</v>
      </c>
      <c r="F2356" t="s">
        <v>18701</v>
      </c>
      <c r="H2356">
        <v>93523798</v>
      </c>
      <c r="I2356" t="s">
        <v>14292</v>
      </c>
      <c r="L2356" t="s">
        <v>20436</v>
      </c>
      <c r="M2356">
        <v>261</v>
      </c>
      <c r="N2356" t="s">
        <v>20437</v>
      </c>
    </row>
    <row r="2357" spans="1:14">
      <c r="A2357" t="s">
        <v>9256</v>
      </c>
      <c r="B2357">
        <v>2884828</v>
      </c>
      <c r="C2357">
        <v>2885802</v>
      </c>
      <c r="E2357" t="s">
        <v>14314</v>
      </c>
      <c r="F2357" t="s">
        <v>17302</v>
      </c>
      <c r="H2357">
        <v>93523799</v>
      </c>
      <c r="I2357" t="s">
        <v>14292</v>
      </c>
      <c r="L2357" t="s">
        <v>20438</v>
      </c>
      <c r="M2357">
        <v>324</v>
      </c>
      <c r="N2357" t="s">
        <v>20439</v>
      </c>
    </row>
    <row r="2358" spans="1:14">
      <c r="A2358" t="s">
        <v>9256</v>
      </c>
      <c r="B2358">
        <v>2885884</v>
      </c>
      <c r="C2358">
        <v>2886576</v>
      </c>
      <c r="E2358" t="s">
        <v>14314</v>
      </c>
      <c r="F2358" t="s">
        <v>19092</v>
      </c>
      <c r="H2358">
        <v>93523800</v>
      </c>
      <c r="I2358" t="s">
        <v>14292</v>
      </c>
      <c r="L2358" t="s">
        <v>20440</v>
      </c>
      <c r="M2358">
        <v>230</v>
      </c>
      <c r="N2358" t="s">
        <v>20441</v>
      </c>
    </row>
    <row r="2359" spans="1:14">
      <c r="A2359" t="s">
        <v>9256</v>
      </c>
      <c r="B2359">
        <v>2886784</v>
      </c>
      <c r="C2359">
        <v>2887794</v>
      </c>
      <c r="E2359" t="s">
        <v>14290</v>
      </c>
      <c r="F2359" t="s">
        <v>20442</v>
      </c>
      <c r="G2359" t="s">
        <v>20443</v>
      </c>
      <c r="H2359">
        <v>93523801</v>
      </c>
      <c r="I2359" t="s">
        <v>14292</v>
      </c>
      <c r="L2359" t="s">
        <v>20444</v>
      </c>
      <c r="M2359">
        <v>336</v>
      </c>
      <c r="N2359" t="s">
        <v>20445</v>
      </c>
    </row>
    <row r="2360" spans="1:14">
      <c r="A2360" t="s">
        <v>9256</v>
      </c>
      <c r="B2360">
        <v>2887815</v>
      </c>
      <c r="C2360">
        <v>2888504</v>
      </c>
      <c r="E2360" t="s">
        <v>14290</v>
      </c>
      <c r="F2360" t="s">
        <v>20446</v>
      </c>
      <c r="G2360" t="s">
        <v>20447</v>
      </c>
      <c r="H2360">
        <v>93523802</v>
      </c>
      <c r="I2360" t="s">
        <v>14292</v>
      </c>
      <c r="L2360" t="s">
        <v>20448</v>
      </c>
      <c r="M2360">
        <v>229</v>
      </c>
      <c r="N2360" t="s">
        <v>20449</v>
      </c>
    </row>
    <row r="2361" spans="1:14">
      <c r="A2361" t="s">
        <v>9256</v>
      </c>
      <c r="B2361">
        <v>2888689</v>
      </c>
      <c r="C2361">
        <v>2889561</v>
      </c>
      <c r="E2361" t="s">
        <v>14290</v>
      </c>
      <c r="F2361" t="s">
        <v>20450</v>
      </c>
      <c r="H2361">
        <v>93523803</v>
      </c>
      <c r="I2361" t="s">
        <v>14292</v>
      </c>
      <c r="L2361" t="s">
        <v>20451</v>
      </c>
      <c r="M2361">
        <v>290</v>
      </c>
      <c r="N2361" t="s">
        <v>20452</v>
      </c>
    </row>
    <row r="2362" spans="1:14">
      <c r="A2362" t="s">
        <v>9256</v>
      </c>
      <c r="B2362">
        <v>2889659</v>
      </c>
      <c r="C2362">
        <v>2890639</v>
      </c>
      <c r="E2362" t="s">
        <v>14290</v>
      </c>
      <c r="F2362" t="s">
        <v>19865</v>
      </c>
      <c r="G2362" t="s">
        <v>19866</v>
      </c>
      <c r="H2362">
        <v>93523804</v>
      </c>
      <c r="I2362" t="s">
        <v>14292</v>
      </c>
      <c r="L2362" t="s">
        <v>20453</v>
      </c>
      <c r="M2362">
        <v>326</v>
      </c>
      <c r="N2362" t="s">
        <v>20454</v>
      </c>
    </row>
    <row r="2363" spans="1:14">
      <c r="A2363" t="s">
        <v>9256</v>
      </c>
      <c r="B2363">
        <v>2890721</v>
      </c>
      <c r="C2363">
        <v>2892472</v>
      </c>
      <c r="E2363" t="s">
        <v>14290</v>
      </c>
      <c r="F2363" t="s">
        <v>17187</v>
      </c>
      <c r="H2363">
        <v>93523805</v>
      </c>
      <c r="I2363" t="s">
        <v>14292</v>
      </c>
      <c r="L2363" t="s">
        <v>20455</v>
      </c>
      <c r="M2363">
        <v>583</v>
      </c>
      <c r="N2363" t="s">
        <v>20456</v>
      </c>
    </row>
    <row r="2364" spans="1:14">
      <c r="A2364" t="s">
        <v>9256</v>
      </c>
      <c r="B2364">
        <v>2892476</v>
      </c>
      <c r="C2364">
        <v>2893948</v>
      </c>
      <c r="E2364" t="s">
        <v>14290</v>
      </c>
      <c r="F2364" t="s">
        <v>17184</v>
      </c>
      <c r="H2364">
        <v>93523806</v>
      </c>
      <c r="I2364" t="s">
        <v>14292</v>
      </c>
      <c r="L2364" t="s">
        <v>20457</v>
      </c>
      <c r="M2364">
        <v>490</v>
      </c>
      <c r="N2364" t="s">
        <v>20458</v>
      </c>
    </row>
    <row r="2365" spans="1:14">
      <c r="A2365" t="s">
        <v>9256</v>
      </c>
      <c r="B2365">
        <v>2893992</v>
      </c>
      <c r="C2365">
        <v>2895089</v>
      </c>
      <c r="E2365" t="s">
        <v>14314</v>
      </c>
      <c r="F2365" t="s">
        <v>20459</v>
      </c>
      <c r="G2365" t="s">
        <v>20460</v>
      </c>
      <c r="H2365">
        <v>93523807</v>
      </c>
      <c r="I2365" t="s">
        <v>14292</v>
      </c>
      <c r="L2365" t="s">
        <v>20461</v>
      </c>
      <c r="M2365">
        <v>365</v>
      </c>
      <c r="N2365" t="s">
        <v>20462</v>
      </c>
    </row>
    <row r="2366" spans="1:14">
      <c r="A2366" t="s">
        <v>9256</v>
      </c>
      <c r="B2366">
        <v>2895102</v>
      </c>
      <c r="C2366">
        <v>2896211</v>
      </c>
      <c r="E2366" t="s">
        <v>14314</v>
      </c>
      <c r="F2366" t="s">
        <v>18848</v>
      </c>
      <c r="H2366">
        <v>93523808</v>
      </c>
      <c r="I2366" t="s">
        <v>14292</v>
      </c>
      <c r="L2366" t="s">
        <v>20463</v>
      </c>
      <c r="M2366">
        <v>369</v>
      </c>
      <c r="N2366" t="s">
        <v>20464</v>
      </c>
    </row>
    <row r="2367" spans="1:14">
      <c r="A2367" t="s">
        <v>9256</v>
      </c>
      <c r="B2367">
        <v>2896239</v>
      </c>
      <c r="C2367">
        <v>2896616</v>
      </c>
      <c r="E2367" t="s">
        <v>14314</v>
      </c>
      <c r="F2367" t="s">
        <v>18848</v>
      </c>
      <c r="H2367">
        <v>93523809</v>
      </c>
      <c r="I2367" t="s">
        <v>14292</v>
      </c>
      <c r="L2367" t="s">
        <v>20465</v>
      </c>
      <c r="M2367">
        <v>125</v>
      </c>
      <c r="N2367" t="s">
        <v>20466</v>
      </c>
    </row>
    <row r="2368" spans="1:14">
      <c r="A2368" t="s">
        <v>9256</v>
      </c>
      <c r="B2368">
        <v>2896809</v>
      </c>
      <c r="C2368">
        <v>2902490</v>
      </c>
      <c r="E2368" t="s">
        <v>14314</v>
      </c>
      <c r="F2368" t="s">
        <v>20467</v>
      </c>
      <c r="H2368">
        <v>93523810</v>
      </c>
      <c r="I2368" t="s">
        <v>14292</v>
      </c>
      <c r="L2368" t="s">
        <v>20468</v>
      </c>
      <c r="M2368">
        <v>1893</v>
      </c>
      <c r="N2368" t="s">
        <v>20469</v>
      </c>
    </row>
    <row r="2369" spans="1:14">
      <c r="A2369" t="s">
        <v>9256</v>
      </c>
      <c r="B2369">
        <v>2902578</v>
      </c>
      <c r="C2369">
        <v>2903075</v>
      </c>
      <c r="E2369" t="s">
        <v>14314</v>
      </c>
      <c r="F2369" t="s">
        <v>20470</v>
      </c>
      <c r="H2369">
        <v>93523811</v>
      </c>
      <c r="I2369" t="s">
        <v>14292</v>
      </c>
      <c r="L2369" t="s">
        <v>20471</v>
      </c>
      <c r="M2369">
        <v>165</v>
      </c>
      <c r="N2369" t="s">
        <v>20472</v>
      </c>
    </row>
    <row r="2370" spans="1:14">
      <c r="A2370" t="s">
        <v>9256</v>
      </c>
      <c r="B2370">
        <v>2903151</v>
      </c>
      <c r="C2370">
        <v>2903945</v>
      </c>
      <c r="E2370" t="s">
        <v>14314</v>
      </c>
      <c r="F2370" t="s">
        <v>20473</v>
      </c>
      <c r="H2370">
        <v>93523812</v>
      </c>
      <c r="I2370" t="s">
        <v>14292</v>
      </c>
      <c r="L2370" t="s">
        <v>20474</v>
      </c>
      <c r="M2370">
        <v>264</v>
      </c>
      <c r="N2370" t="s">
        <v>20475</v>
      </c>
    </row>
    <row r="2371" spans="1:14">
      <c r="A2371" t="s">
        <v>9256</v>
      </c>
      <c r="B2371">
        <v>2904339</v>
      </c>
      <c r="C2371">
        <v>2905487</v>
      </c>
      <c r="E2371" t="s">
        <v>14290</v>
      </c>
      <c r="F2371" t="s">
        <v>20476</v>
      </c>
      <c r="H2371">
        <v>93523813</v>
      </c>
      <c r="I2371" t="s">
        <v>14292</v>
      </c>
      <c r="L2371" t="s">
        <v>20477</v>
      </c>
      <c r="M2371">
        <v>382</v>
      </c>
      <c r="N2371" t="s">
        <v>20478</v>
      </c>
    </row>
    <row r="2372" spans="1:14">
      <c r="A2372" t="s">
        <v>9256</v>
      </c>
      <c r="B2372">
        <v>2906028</v>
      </c>
      <c r="C2372">
        <v>2906396</v>
      </c>
      <c r="E2372" t="s">
        <v>14290</v>
      </c>
      <c r="F2372" t="s">
        <v>14291</v>
      </c>
      <c r="H2372">
        <v>93523814</v>
      </c>
      <c r="I2372" t="s">
        <v>14292</v>
      </c>
      <c r="L2372" t="s">
        <v>20479</v>
      </c>
      <c r="M2372">
        <v>122</v>
      </c>
      <c r="N2372" t="s">
        <v>20480</v>
      </c>
    </row>
    <row r="2373" spans="1:14">
      <c r="A2373" t="s">
        <v>9256</v>
      </c>
      <c r="B2373">
        <v>2906388</v>
      </c>
      <c r="C2373">
        <v>2908364</v>
      </c>
      <c r="E2373" t="s">
        <v>14314</v>
      </c>
      <c r="F2373" t="s">
        <v>14397</v>
      </c>
      <c r="H2373">
        <v>93523815</v>
      </c>
      <c r="I2373" t="s">
        <v>14292</v>
      </c>
      <c r="L2373" t="s">
        <v>20481</v>
      </c>
      <c r="M2373">
        <v>658</v>
      </c>
      <c r="N2373" t="s">
        <v>20482</v>
      </c>
    </row>
    <row r="2374" spans="1:14">
      <c r="A2374" t="s">
        <v>9256</v>
      </c>
      <c r="B2374">
        <v>2908425</v>
      </c>
      <c r="C2374">
        <v>2909639</v>
      </c>
      <c r="E2374" t="s">
        <v>14314</v>
      </c>
      <c r="F2374" t="s">
        <v>20483</v>
      </c>
      <c r="H2374">
        <v>93523816</v>
      </c>
      <c r="I2374" t="s">
        <v>14292</v>
      </c>
      <c r="L2374" t="s">
        <v>20484</v>
      </c>
      <c r="M2374">
        <v>404</v>
      </c>
      <c r="N2374" t="s">
        <v>20485</v>
      </c>
    </row>
    <row r="2375" spans="1:14">
      <c r="A2375" t="s">
        <v>9256</v>
      </c>
      <c r="B2375">
        <v>2909764</v>
      </c>
      <c r="C2375">
        <v>2910846</v>
      </c>
      <c r="E2375" t="s">
        <v>14290</v>
      </c>
      <c r="F2375" t="s">
        <v>20486</v>
      </c>
      <c r="H2375">
        <v>93523817</v>
      </c>
      <c r="I2375" t="s">
        <v>14292</v>
      </c>
      <c r="L2375" t="s">
        <v>20487</v>
      </c>
      <c r="M2375">
        <v>360</v>
      </c>
      <c r="N2375" t="s">
        <v>20488</v>
      </c>
    </row>
    <row r="2376" spans="1:14">
      <c r="A2376" t="s">
        <v>9256</v>
      </c>
      <c r="B2376">
        <v>2910836</v>
      </c>
      <c r="C2376">
        <v>2911309</v>
      </c>
      <c r="E2376" t="s">
        <v>14290</v>
      </c>
      <c r="F2376" t="s">
        <v>20489</v>
      </c>
      <c r="H2376">
        <v>93523818</v>
      </c>
      <c r="I2376" t="s">
        <v>14292</v>
      </c>
      <c r="L2376" t="s">
        <v>20490</v>
      </c>
      <c r="M2376">
        <v>157</v>
      </c>
      <c r="N2376" t="s">
        <v>20491</v>
      </c>
    </row>
    <row r="2377" spans="1:14">
      <c r="A2377" t="s">
        <v>9256</v>
      </c>
      <c r="B2377">
        <v>2911306</v>
      </c>
      <c r="C2377">
        <v>2913465</v>
      </c>
      <c r="E2377" t="s">
        <v>14290</v>
      </c>
      <c r="F2377" t="s">
        <v>18327</v>
      </c>
      <c r="H2377">
        <v>93523819</v>
      </c>
      <c r="I2377" t="s">
        <v>14292</v>
      </c>
      <c r="L2377" t="s">
        <v>20492</v>
      </c>
      <c r="M2377">
        <v>719</v>
      </c>
      <c r="N2377" t="s">
        <v>20493</v>
      </c>
    </row>
    <row r="2378" spans="1:14">
      <c r="A2378" t="s">
        <v>9256</v>
      </c>
      <c r="B2378">
        <v>2913627</v>
      </c>
      <c r="C2378">
        <v>2913794</v>
      </c>
      <c r="E2378" t="s">
        <v>14314</v>
      </c>
      <c r="F2378" t="s">
        <v>14291</v>
      </c>
      <c r="H2378">
        <v>93523820</v>
      </c>
      <c r="I2378" t="s">
        <v>14292</v>
      </c>
      <c r="L2378" t="s">
        <v>20494</v>
      </c>
      <c r="M2378">
        <v>55</v>
      </c>
      <c r="N2378" t="s">
        <v>20495</v>
      </c>
    </row>
    <row r="2379" spans="1:14">
      <c r="A2379" t="s">
        <v>9256</v>
      </c>
      <c r="B2379">
        <v>2913787</v>
      </c>
      <c r="C2379">
        <v>2914386</v>
      </c>
      <c r="E2379" t="s">
        <v>14314</v>
      </c>
      <c r="F2379" t="s">
        <v>20496</v>
      </c>
      <c r="H2379">
        <v>93523821</v>
      </c>
      <c r="I2379" t="s">
        <v>14292</v>
      </c>
      <c r="L2379" t="s">
        <v>20497</v>
      </c>
      <c r="M2379">
        <v>199</v>
      </c>
      <c r="N2379" t="s">
        <v>20498</v>
      </c>
    </row>
    <row r="2380" spans="1:14">
      <c r="A2380" t="s">
        <v>9256</v>
      </c>
      <c r="B2380">
        <v>2914504</v>
      </c>
      <c r="C2380">
        <v>2915631</v>
      </c>
      <c r="E2380" t="s">
        <v>14314</v>
      </c>
      <c r="F2380" t="s">
        <v>20499</v>
      </c>
      <c r="G2380" t="s">
        <v>20500</v>
      </c>
      <c r="H2380">
        <v>93523822</v>
      </c>
      <c r="I2380" t="s">
        <v>14292</v>
      </c>
      <c r="L2380" t="s">
        <v>20501</v>
      </c>
      <c r="M2380">
        <v>375</v>
      </c>
      <c r="N2380" t="s">
        <v>20502</v>
      </c>
    </row>
    <row r="2381" spans="1:14">
      <c r="A2381" t="s">
        <v>9256</v>
      </c>
      <c r="B2381">
        <v>2915822</v>
      </c>
      <c r="C2381">
        <v>2917978</v>
      </c>
      <c r="E2381" t="s">
        <v>14290</v>
      </c>
      <c r="F2381" t="s">
        <v>16792</v>
      </c>
      <c r="H2381">
        <v>93523823</v>
      </c>
      <c r="I2381" t="s">
        <v>14292</v>
      </c>
      <c r="L2381" t="s">
        <v>20503</v>
      </c>
      <c r="M2381">
        <v>718</v>
      </c>
      <c r="N2381" t="s">
        <v>20504</v>
      </c>
    </row>
    <row r="2382" spans="1:14">
      <c r="A2382" t="s">
        <v>9256</v>
      </c>
      <c r="B2382">
        <v>2918138</v>
      </c>
      <c r="C2382">
        <v>2918908</v>
      </c>
      <c r="E2382" t="s">
        <v>14290</v>
      </c>
      <c r="F2382" t="s">
        <v>17414</v>
      </c>
      <c r="H2382">
        <v>93523824</v>
      </c>
      <c r="I2382" t="s">
        <v>14292</v>
      </c>
      <c r="L2382" t="s">
        <v>20505</v>
      </c>
      <c r="M2382">
        <v>256</v>
      </c>
      <c r="N2382" t="s">
        <v>20506</v>
      </c>
    </row>
    <row r="2383" spans="1:14">
      <c r="A2383" t="s">
        <v>9256</v>
      </c>
      <c r="B2383">
        <v>2918905</v>
      </c>
      <c r="C2383">
        <v>2920059</v>
      </c>
      <c r="E2383" t="s">
        <v>14290</v>
      </c>
      <c r="F2383" t="s">
        <v>20507</v>
      </c>
      <c r="H2383">
        <v>93523825</v>
      </c>
      <c r="I2383" t="s">
        <v>14292</v>
      </c>
      <c r="L2383" t="s">
        <v>20508</v>
      </c>
      <c r="M2383">
        <v>384</v>
      </c>
      <c r="N2383" t="s">
        <v>20509</v>
      </c>
    </row>
    <row r="2384" spans="1:14">
      <c r="A2384" t="s">
        <v>9256</v>
      </c>
      <c r="B2384">
        <v>2920185</v>
      </c>
      <c r="C2384">
        <v>2921465</v>
      </c>
      <c r="E2384" t="s">
        <v>14314</v>
      </c>
      <c r="F2384" t="s">
        <v>17260</v>
      </c>
      <c r="H2384">
        <v>93523826</v>
      </c>
      <c r="I2384" t="s">
        <v>14292</v>
      </c>
      <c r="L2384" t="s">
        <v>20510</v>
      </c>
      <c r="M2384">
        <v>426</v>
      </c>
      <c r="N2384" t="s">
        <v>20511</v>
      </c>
    </row>
    <row r="2385" spans="1:14">
      <c r="A2385" t="s">
        <v>9256</v>
      </c>
      <c r="B2385">
        <v>2921536</v>
      </c>
      <c r="C2385">
        <v>2922864</v>
      </c>
      <c r="E2385" t="s">
        <v>14314</v>
      </c>
      <c r="F2385" t="s">
        <v>16210</v>
      </c>
      <c r="H2385">
        <v>93523827</v>
      </c>
      <c r="I2385" t="s">
        <v>14292</v>
      </c>
      <c r="L2385" t="s">
        <v>20512</v>
      </c>
      <c r="M2385">
        <v>442</v>
      </c>
      <c r="N2385" t="s">
        <v>20513</v>
      </c>
    </row>
    <row r="2386" spans="1:14">
      <c r="A2386" t="s">
        <v>9256</v>
      </c>
      <c r="B2386">
        <v>2922939</v>
      </c>
      <c r="C2386">
        <v>2923826</v>
      </c>
      <c r="E2386" t="s">
        <v>14290</v>
      </c>
      <c r="F2386" t="s">
        <v>20514</v>
      </c>
      <c r="H2386">
        <v>93523828</v>
      </c>
      <c r="I2386" t="s">
        <v>14292</v>
      </c>
      <c r="L2386" t="s">
        <v>20515</v>
      </c>
      <c r="M2386">
        <v>295</v>
      </c>
      <c r="N2386" t="s">
        <v>20516</v>
      </c>
    </row>
    <row r="2387" spans="1:14">
      <c r="A2387" t="s">
        <v>9256</v>
      </c>
      <c r="B2387">
        <v>2923934</v>
      </c>
      <c r="C2387">
        <v>2926126</v>
      </c>
      <c r="E2387" t="s">
        <v>14314</v>
      </c>
      <c r="F2387" t="s">
        <v>20517</v>
      </c>
      <c r="H2387">
        <v>93523829</v>
      </c>
      <c r="I2387" t="s">
        <v>14292</v>
      </c>
      <c r="L2387" t="s">
        <v>20518</v>
      </c>
      <c r="M2387">
        <v>730</v>
      </c>
      <c r="N2387" t="s">
        <v>20519</v>
      </c>
    </row>
    <row r="2388" spans="1:14">
      <c r="A2388" t="s">
        <v>9256</v>
      </c>
      <c r="B2388">
        <v>2926272</v>
      </c>
      <c r="C2388">
        <v>2928476</v>
      </c>
      <c r="E2388" t="s">
        <v>14314</v>
      </c>
      <c r="F2388" t="s">
        <v>20520</v>
      </c>
      <c r="H2388">
        <v>93523830</v>
      </c>
      <c r="I2388" t="s">
        <v>14292</v>
      </c>
      <c r="L2388" t="s">
        <v>20521</v>
      </c>
      <c r="M2388">
        <v>734</v>
      </c>
      <c r="N2388" t="s">
        <v>20522</v>
      </c>
    </row>
    <row r="2389" spans="1:14">
      <c r="A2389" t="s">
        <v>9256</v>
      </c>
      <c r="B2389">
        <v>2928642</v>
      </c>
      <c r="C2389">
        <v>2929478</v>
      </c>
      <c r="E2389" t="s">
        <v>14290</v>
      </c>
      <c r="F2389" t="s">
        <v>14748</v>
      </c>
      <c r="H2389">
        <v>93523831</v>
      </c>
      <c r="I2389" t="s">
        <v>14292</v>
      </c>
      <c r="L2389" t="s">
        <v>20523</v>
      </c>
      <c r="M2389">
        <v>278</v>
      </c>
      <c r="N2389" t="s">
        <v>20524</v>
      </c>
    </row>
    <row r="2390" spans="1:14">
      <c r="A2390" t="s">
        <v>9256</v>
      </c>
      <c r="B2390">
        <v>2929538</v>
      </c>
      <c r="C2390">
        <v>2931241</v>
      </c>
      <c r="E2390" t="s">
        <v>14290</v>
      </c>
      <c r="F2390" t="s">
        <v>20525</v>
      </c>
      <c r="H2390">
        <v>93523832</v>
      </c>
      <c r="I2390" t="s">
        <v>14292</v>
      </c>
      <c r="L2390" t="s">
        <v>20526</v>
      </c>
      <c r="M2390">
        <v>567</v>
      </c>
      <c r="N2390" t="s">
        <v>20527</v>
      </c>
    </row>
    <row r="2391" spans="1:14">
      <c r="A2391" t="s">
        <v>9256</v>
      </c>
      <c r="B2391">
        <v>2931403</v>
      </c>
      <c r="C2391">
        <v>2931576</v>
      </c>
      <c r="E2391" t="s">
        <v>14314</v>
      </c>
      <c r="F2391" t="s">
        <v>14414</v>
      </c>
      <c r="H2391">
        <v>93523833</v>
      </c>
      <c r="I2391" t="s">
        <v>14415</v>
      </c>
      <c r="N2391" t="s">
        <v>20528</v>
      </c>
    </row>
    <row r="2392" spans="1:14">
      <c r="A2392" t="s">
        <v>9256</v>
      </c>
      <c r="B2392">
        <v>2931630</v>
      </c>
      <c r="C2392">
        <v>2932277</v>
      </c>
      <c r="E2392" t="s">
        <v>14314</v>
      </c>
      <c r="F2392" t="s">
        <v>20529</v>
      </c>
      <c r="H2392">
        <v>93523834</v>
      </c>
      <c r="I2392" t="s">
        <v>14292</v>
      </c>
      <c r="L2392" t="s">
        <v>20530</v>
      </c>
      <c r="M2392">
        <v>215</v>
      </c>
      <c r="N2392" t="s">
        <v>20531</v>
      </c>
    </row>
    <row r="2393" spans="1:14">
      <c r="A2393" t="s">
        <v>9256</v>
      </c>
      <c r="B2393">
        <v>2932976</v>
      </c>
      <c r="C2393">
        <v>2933917</v>
      </c>
      <c r="E2393" t="s">
        <v>14290</v>
      </c>
      <c r="F2393" t="s">
        <v>20532</v>
      </c>
      <c r="H2393">
        <v>93523835</v>
      </c>
      <c r="I2393" t="s">
        <v>14292</v>
      </c>
      <c r="L2393" t="s">
        <v>20533</v>
      </c>
      <c r="M2393">
        <v>313</v>
      </c>
      <c r="N2393" t="s">
        <v>20534</v>
      </c>
    </row>
    <row r="2394" spans="1:14">
      <c r="A2394" t="s">
        <v>9256</v>
      </c>
      <c r="B2394">
        <v>2933998</v>
      </c>
      <c r="C2394">
        <v>2935074</v>
      </c>
      <c r="E2394" t="s">
        <v>14314</v>
      </c>
      <c r="F2394" t="s">
        <v>20535</v>
      </c>
      <c r="G2394" t="s">
        <v>20536</v>
      </c>
      <c r="H2394">
        <v>93523836</v>
      </c>
      <c r="I2394" t="s">
        <v>14292</v>
      </c>
      <c r="L2394" t="s">
        <v>20537</v>
      </c>
      <c r="M2394">
        <v>358</v>
      </c>
      <c r="N2394" t="s">
        <v>20538</v>
      </c>
    </row>
    <row r="2395" spans="1:14">
      <c r="A2395" t="s">
        <v>9256</v>
      </c>
      <c r="B2395">
        <v>2935245</v>
      </c>
      <c r="C2395">
        <v>2937305</v>
      </c>
      <c r="E2395" t="s">
        <v>14290</v>
      </c>
      <c r="F2395" t="s">
        <v>20539</v>
      </c>
      <c r="H2395">
        <v>93523837</v>
      </c>
      <c r="I2395" t="s">
        <v>14292</v>
      </c>
      <c r="L2395" t="s">
        <v>20540</v>
      </c>
      <c r="M2395">
        <v>686</v>
      </c>
      <c r="N2395" t="s">
        <v>20541</v>
      </c>
    </row>
    <row r="2396" spans="1:14">
      <c r="A2396" t="s">
        <v>9256</v>
      </c>
      <c r="B2396">
        <v>2937309</v>
      </c>
      <c r="C2396">
        <v>2938004</v>
      </c>
      <c r="E2396" t="s">
        <v>14290</v>
      </c>
      <c r="F2396" t="s">
        <v>18432</v>
      </c>
      <c r="H2396">
        <v>93523838</v>
      </c>
      <c r="I2396" t="s">
        <v>14292</v>
      </c>
      <c r="L2396" t="s">
        <v>20542</v>
      </c>
      <c r="M2396">
        <v>231</v>
      </c>
      <c r="N2396" t="s">
        <v>20543</v>
      </c>
    </row>
    <row r="2397" spans="1:14">
      <c r="A2397" t="s">
        <v>9256</v>
      </c>
      <c r="B2397">
        <v>2938060</v>
      </c>
      <c r="C2397">
        <v>2938521</v>
      </c>
      <c r="E2397" t="s">
        <v>14290</v>
      </c>
      <c r="F2397" t="s">
        <v>20544</v>
      </c>
      <c r="H2397">
        <v>93523839</v>
      </c>
      <c r="I2397" t="s">
        <v>14292</v>
      </c>
      <c r="L2397" t="s">
        <v>20545</v>
      </c>
      <c r="M2397">
        <v>153</v>
      </c>
      <c r="N2397" t="s">
        <v>20546</v>
      </c>
    </row>
    <row r="2398" spans="1:14">
      <c r="A2398" t="s">
        <v>9256</v>
      </c>
      <c r="B2398">
        <v>2938555</v>
      </c>
      <c r="C2398">
        <v>2939826</v>
      </c>
      <c r="E2398" t="s">
        <v>14290</v>
      </c>
      <c r="F2398" t="s">
        <v>20547</v>
      </c>
      <c r="H2398">
        <v>93523840</v>
      </c>
      <c r="I2398" t="s">
        <v>14292</v>
      </c>
      <c r="L2398" t="s">
        <v>20548</v>
      </c>
      <c r="M2398">
        <v>423</v>
      </c>
      <c r="N2398" t="s">
        <v>20549</v>
      </c>
    </row>
    <row r="2399" spans="1:14">
      <c r="A2399" t="s">
        <v>9256</v>
      </c>
      <c r="B2399">
        <v>2939947</v>
      </c>
      <c r="C2399">
        <v>2940633</v>
      </c>
      <c r="E2399" t="s">
        <v>14290</v>
      </c>
      <c r="F2399" t="s">
        <v>20550</v>
      </c>
      <c r="H2399">
        <v>93523841</v>
      </c>
      <c r="I2399" t="s">
        <v>14292</v>
      </c>
      <c r="L2399" t="s">
        <v>20551</v>
      </c>
      <c r="M2399">
        <v>228</v>
      </c>
      <c r="N2399" t="s">
        <v>20552</v>
      </c>
    </row>
    <row r="2400" spans="1:14">
      <c r="A2400" t="s">
        <v>9256</v>
      </c>
      <c r="B2400">
        <v>2940809</v>
      </c>
      <c r="C2400">
        <v>2942164</v>
      </c>
      <c r="E2400" t="s">
        <v>14290</v>
      </c>
      <c r="F2400" t="s">
        <v>20553</v>
      </c>
      <c r="G2400" t="s">
        <v>20554</v>
      </c>
      <c r="H2400">
        <v>93523842</v>
      </c>
      <c r="I2400" t="s">
        <v>14292</v>
      </c>
      <c r="L2400" t="s">
        <v>20555</v>
      </c>
      <c r="M2400">
        <v>451</v>
      </c>
      <c r="N2400" t="s">
        <v>20556</v>
      </c>
    </row>
    <row r="2401" spans="1:14">
      <c r="A2401" t="s">
        <v>9256</v>
      </c>
      <c r="B2401">
        <v>2942299</v>
      </c>
      <c r="C2401">
        <v>2943729</v>
      </c>
      <c r="E2401" t="s">
        <v>14290</v>
      </c>
      <c r="F2401" t="s">
        <v>20557</v>
      </c>
      <c r="H2401">
        <v>93523843</v>
      </c>
      <c r="I2401" t="s">
        <v>14292</v>
      </c>
      <c r="L2401" t="s">
        <v>20558</v>
      </c>
      <c r="M2401">
        <v>476</v>
      </c>
      <c r="N2401" t="s">
        <v>20559</v>
      </c>
    </row>
    <row r="2402" spans="1:14">
      <c r="A2402" t="s">
        <v>9256</v>
      </c>
      <c r="B2402">
        <v>2943918</v>
      </c>
      <c r="C2402">
        <v>2944187</v>
      </c>
      <c r="E2402" t="s">
        <v>14290</v>
      </c>
      <c r="F2402" t="s">
        <v>20303</v>
      </c>
      <c r="H2402">
        <v>93523844</v>
      </c>
      <c r="I2402" t="s">
        <v>14292</v>
      </c>
      <c r="L2402" t="s">
        <v>20560</v>
      </c>
      <c r="M2402">
        <v>89</v>
      </c>
      <c r="N2402" t="s">
        <v>20561</v>
      </c>
    </row>
    <row r="2403" spans="1:14">
      <c r="A2403" t="s">
        <v>9256</v>
      </c>
      <c r="B2403">
        <v>2944229</v>
      </c>
      <c r="C2403">
        <v>2945869</v>
      </c>
      <c r="E2403" t="s">
        <v>14290</v>
      </c>
      <c r="F2403" t="s">
        <v>20562</v>
      </c>
      <c r="G2403" t="s">
        <v>20563</v>
      </c>
      <c r="H2403">
        <v>93523845</v>
      </c>
      <c r="I2403" t="s">
        <v>14292</v>
      </c>
      <c r="L2403" t="s">
        <v>20564</v>
      </c>
      <c r="M2403">
        <v>546</v>
      </c>
      <c r="N2403" t="s">
        <v>20565</v>
      </c>
    </row>
    <row r="2404" spans="1:14">
      <c r="A2404" t="s">
        <v>9256</v>
      </c>
      <c r="B2404">
        <v>2946013</v>
      </c>
      <c r="C2404">
        <v>2946096</v>
      </c>
      <c r="E2404" t="s">
        <v>14290</v>
      </c>
      <c r="F2404" t="s">
        <v>19044</v>
      </c>
      <c r="H2404">
        <v>93523846</v>
      </c>
      <c r="I2404" t="s">
        <v>13638</v>
      </c>
      <c r="N2404" t="s">
        <v>20566</v>
      </c>
    </row>
    <row r="2405" spans="1:14">
      <c r="A2405" t="s">
        <v>9256</v>
      </c>
      <c r="B2405">
        <v>2946115</v>
      </c>
      <c r="C2405">
        <v>2946666</v>
      </c>
      <c r="E2405" t="s">
        <v>14290</v>
      </c>
      <c r="F2405" t="s">
        <v>15442</v>
      </c>
      <c r="H2405">
        <v>93523847</v>
      </c>
      <c r="I2405" t="s">
        <v>14292</v>
      </c>
      <c r="L2405" t="s">
        <v>20567</v>
      </c>
      <c r="M2405">
        <v>183</v>
      </c>
      <c r="N2405" t="s">
        <v>20568</v>
      </c>
    </row>
    <row r="2406" spans="1:14">
      <c r="A2406" t="s">
        <v>9256</v>
      </c>
      <c r="B2406">
        <v>2946714</v>
      </c>
      <c r="C2406">
        <v>2947106</v>
      </c>
      <c r="E2406" t="s">
        <v>14290</v>
      </c>
      <c r="F2406" t="s">
        <v>14291</v>
      </c>
      <c r="H2406">
        <v>93523848</v>
      </c>
      <c r="I2406" t="s">
        <v>14292</v>
      </c>
      <c r="L2406" t="s">
        <v>20569</v>
      </c>
      <c r="M2406">
        <v>130</v>
      </c>
      <c r="N2406" t="s">
        <v>20570</v>
      </c>
    </row>
    <row r="2407" spans="1:14">
      <c r="A2407" t="s">
        <v>9256</v>
      </c>
      <c r="B2407">
        <v>2947153</v>
      </c>
      <c r="C2407">
        <v>2947626</v>
      </c>
      <c r="E2407" t="s">
        <v>14290</v>
      </c>
      <c r="F2407" t="s">
        <v>14291</v>
      </c>
      <c r="H2407">
        <v>93523849</v>
      </c>
      <c r="I2407" t="s">
        <v>14292</v>
      </c>
      <c r="L2407" t="s">
        <v>20571</v>
      </c>
      <c r="M2407">
        <v>157</v>
      </c>
      <c r="N2407" t="s">
        <v>20572</v>
      </c>
    </row>
    <row r="2408" spans="1:14">
      <c r="A2408" t="s">
        <v>9256</v>
      </c>
      <c r="B2408">
        <v>2947737</v>
      </c>
      <c r="C2408">
        <v>2948522</v>
      </c>
      <c r="E2408" t="s">
        <v>14314</v>
      </c>
      <c r="F2408" t="s">
        <v>20573</v>
      </c>
      <c r="G2408" t="s">
        <v>20574</v>
      </c>
      <c r="H2408">
        <v>93523850</v>
      </c>
      <c r="I2408" t="s">
        <v>14292</v>
      </c>
      <c r="L2408" t="s">
        <v>20575</v>
      </c>
      <c r="M2408">
        <v>261</v>
      </c>
      <c r="N2408" t="s">
        <v>20576</v>
      </c>
    </row>
    <row r="2409" spans="1:14">
      <c r="A2409" t="s">
        <v>9256</v>
      </c>
      <c r="B2409">
        <v>2948593</v>
      </c>
      <c r="C2409">
        <v>2950680</v>
      </c>
      <c r="E2409" t="s">
        <v>14314</v>
      </c>
      <c r="F2409" t="s">
        <v>20577</v>
      </c>
      <c r="H2409">
        <v>93523851</v>
      </c>
      <c r="I2409" t="s">
        <v>14292</v>
      </c>
      <c r="L2409" t="s">
        <v>20578</v>
      </c>
      <c r="M2409">
        <v>695</v>
      </c>
      <c r="N2409" t="s">
        <v>20579</v>
      </c>
    </row>
    <row r="2410" spans="1:14">
      <c r="A2410" t="s">
        <v>9256</v>
      </c>
      <c r="B2410">
        <v>2950702</v>
      </c>
      <c r="C2410">
        <v>2951616</v>
      </c>
      <c r="E2410" t="s">
        <v>14314</v>
      </c>
      <c r="F2410" t="s">
        <v>16205</v>
      </c>
      <c r="H2410">
        <v>93523852</v>
      </c>
      <c r="I2410" t="s">
        <v>14292</v>
      </c>
      <c r="L2410" t="s">
        <v>20580</v>
      </c>
      <c r="M2410">
        <v>304</v>
      </c>
      <c r="N2410" t="s">
        <v>20581</v>
      </c>
    </row>
    <row r="2411" spans="1:14">
      <c r="A2411" t="s">
        <v>9256</v>
      </c>
      <c r="B2411">
        <v>2951984</v>
      </c>
      <c r="C2411">
        <v>2954605</v>
      </c>
      <c r="E2411" t="s">
        <v>14290</v>
      </c>
      <c r="F2411" t="s">
        <v>20582</v>
      </c>
      <c r="H2411">
        <v>93523853</v>
      </c>
      <c r="I2411" t="s">
        <v>14292</v>
      </c>
      <c r="L2411" t="s">
        <v>20583</v>
      </c>
      <c r="M2411">
        <v>873</v>
      </c>
      <c r="N2411" t="s">
        <v>20584</v>
      </c>
    </row>
    <row r="2412" spans="1:14">
      <c r="A2412" t="s">
        <v>9256</v>
      </c>
      <c r="B2412">
        <v>2954864</v>
      </c>
      <c r="C2412">
        <v>2956777</v>
      </c>
      <c r="E2412" t="s">
        <v>14290</v>
      </c>
      <c r="F2412" t="s">
        <v>14493</v>
      </c>
      <c r="H2412">
        <v>93523854</v>
      </c>
      <c r="I2412" t="s">
        <v>14292</v>
      </c>
      <c r="L2412" t="s">
        <v>20585</v>
      </c>
      <c r="M2412">
        <v>637</v>
      </c>
      <c r="N2412" t="s">
        <v>20586</v>
      </c>
    </row>
    <row r="2413" spans="1:14">
      <c r="A2413" t="s">
        <v>9256</v>
      </c>
      <c r="B2413">
        <v>2956802</v>
      </c>
      <c r="C2413">
        <v>2958658</v>
      </c>
      <c r="E2413" t="s">
        <v>14290</v>
      </c>
      <c r="F2413" t="s">
        <v>14493</v>
      </c>
      <c r="H2413">
        <v>93525947</v>
      </c>
      <c r="I2413" t="s">
        <v>14292</v>
      </c>
      <c r="L2413" t="s">
        <v>20587</v>
      </c>
      <c r="M2413">
        <v>618</v>
      </c>
      <c r="N2413" t="s">
        <v>20588</v>
      </c>
    </row>
    <row r="2414" spans="1:14">
      <c r="A2414" t="s">
        <v>9256</v>
      </c>
      <c r="B2414">
        <v>2958732</v>
      </c>
      <c r="C2414">
        <v>2959583</v>
      </c>
      <c r="E2414" t="s">
        <v>14290</v>
      </c>
      <c r="F2414" t="s">
        <v>14985</v>
      </c>
      <c r="H2414">
        <v>93523855</v>
      </c>
      <c r="I2414" t="s">
        <v>14292</v>
      </c>
      <c r="L2414" t="s">
        <v>20589</v>
      </c>
      <c r="M2414">
        <v>283</v>
      </c>
      <c r="N2414" t="s">
        <v>20590</v>
      </c>
    </row>
    <row r="2415" spans="1:14">
      <c r="A2415" t="s">
        <v>9256</v>
      </c>
      <c r="B2415">
        <v>2959622</v>
      </c>
      <c r="C2415">
        <v>2960656</v>
      </c>
      <c r="E2415" t="s">
        <v>14290</v>
      </c>
      <c r="F2415" t="s">
        <v>20591</v>
      </c>
      <c r="H2415">
        <v>93523856</v>
      </c>
      <c r="I2415" t="s">
        <v>14292</v>
      </c>
      <c r="L2415" t="s">
        <v>20592</v>
      </c>
      <c r="M2415">
        <v>344</v>
      </c>
      <c r="N2415" t="s">
        <v>20593</v>
      </c>
    </row>
    <row r="2416" spans="1:14">
      <c r="A2416" t="s">
        <v>9256</v>
      </c>
      <c r="B2416">
        <v>2960719</v>
      </c>
      <c r="C2416">
        <v>2961180</v>
      </c>
      <c r="E2416" t="s">
        <v>14290</v>
      </c>
      <c r="F2416" t="s">
        <v>14291</v>
      </c>
      <c r="H2416">
        <v>93523857</v>
      </c>
      <c r="I2416" t="s">
        <v>14292</v>
      </c>
      <c r="L2416" t="s">
        <v>20594</v>
      </c>
      <c r="M2416">
        <v>153</v>
      </c>
      <c r="N2416" t="s">
        <v>20595</v>
      </c>
    </row>
    <row r="2417" spans="1:14">
      <c r="A2417" t="s">
        <v>9256</v>
      </c>
      <c r="B2417">
        <v>2961220</v>
      </c>
      <c r="C2417">
        <v>2961292</v>
      </c>
      <c r="E2417" t="s">
        <v>14290</v>
      </c>
      <c r="F2417" t="s">
        <v>16482</v>
      </c>
      <c r="H2417">
        <v>93523858</v>
      </c>
      <c r="I2417" t="s">
        <v>13638</v>
      </c>
      <c r="N2417" t="s">
        <v>20596</v>
      </c>
    </row>
    <row r="2418" spans="1:14">
      <c r="A2418" t="s">
        <v>9256</v>
      </c>
      <c r="B2418">
        <v>2961388</v>
      </c>
      <c r="C2418">
        <v>2961681</v>
      </c>
      <c r="E2418" t="s">
        <v>14290</v>
      </c>
      <c r="F2418" t="s">
        <v>15392</v>
      </c>
      <c r="H2418">
        <v>93523859</v>
      </c>
      <c r="I2418" t="s">
        <v>14292</v>
      </c>
      <c r="L2418" t="s">
        <v>20597</v>
      </c>
      <c r="M2418">
        <v>97</v>
      </c>
      <c r="N2418" t="s">
        <v>20598</v>
      </c>
    </row>
    <row r="2419" spans="1:14">
      <c r="A2419" t="s">
        <v>9256</v>
      </c>
      <c r="B2419">
        <v>2962064</v>
      </c>
      <c r="C2419">
        <v>2962288</v>
      </c>
      <c r="E2419" t="s">
        <v>14314</v>
      </c>
      <c r="F2419" t="s">
        <v>17648</v>
      </c>
      <c r="H2419">
        <v>301046728</v>
      </c>
      <c r="I2419" t="s">
        <v>14292</v>
      </c>
      <c r="L2419" t="s">
        <v>20599</v>
      </c>
      <c r="M2419">
        <v>74</v>
      </c>
      <c r="N2419" t="s">
        <v>20600</v>
      </c>
    </row>
    <row r="2420" spans="1:14">
      <c r="A2420" t="s">
        <v>9256</v>
      </c>
      <c r="B2420">
        <v>2962708</v>
      </c>
      <c r="C2420">
        <v>2963445</v>
      </c>
      <c r="E2420" t="s">
        <v>14290</v>
      </c>
      <c r="F2420" t="s">
        <v>16215</v>
      </c>
      <c r="H2420">
        <v>93523860</v>
      </c>
      <c r="I2420" t="s">
        <v>14292</v>
      </c>
      <c r="L2420" t="s">
        <v>20601</v>
      </c>
      <c r="M2420">
        <v>245</v>
      </c>
      <c r="N2420" t="s">
        <v>20602</v>
      </c>
    </row>
    <row r="2421" spans="1:14">
      <c r="A2421" t="s">
        <v>9256</v>
      </c>
      <c r="B2421">
        <v>2963680</v>
      </c>
      <c r="C2421">
        <v>2963952</v>
      </c>
      <c r="E2421" t="s">
        <v>14290</v>
      </c>
      <c r="F2421" t="s">
        <v>14439</v>
      </c>
      <c r="H2421">
        <v>301046729</v>
      </c>
      <c r="I2421" t="s">
        <v>14292</v>
      </c>
      <c r="L2421" t="s">
        <v>20603</v>
      </c>
      <c r="M2421">
        <v>90</v>
      </c>
      <c r="N2421" t="s">
        <v>20604</v>
      </c>
    </row>
    <row r="2422" spans="1:14">
      <c r="A2422" t="s">
        <v>9256</v>
      </c>
      <c r="B2422">
        <v>2964137</v>
      </c>
      <c r="C2422">
        <v>2964532</v>
      </c>
      <c r="E2422" t="s">
        <v>14314</v>
      </c>
      <c r="F2422" t="s">
        <v>17454</v>
      </c>
      <c r="H2422">
        <v>93523861</v>
      </c>
      <c r="I2422" t="s">
        <v>14292</v>
      </c>
      <c r="L2422" t="s">
        <v>20605</v>
      </c>
      <c r="M2422">
        <v>131</v>
      </c>
      <c r="N2422" t="s">
        <v>20606</v>
      </c>
    </row>
    <row r="2423" spans="1:14">
      <c r="A2423" t="s">
        <v>9256</v>
      </c>
      <c r="B2423">
        <v>2964627</v>
      </c>
      <c r="C2423">
        <v>2964809</v>
      </c>
      <c r="E2423" t="s">
        <v>14314</v>
      </c>
      <c r="F2423" t="s">
        <v>17451</v>
      </c>
      <c r="H2423">
        <v>93523862</v>
      </c>
      <c r="I2423" t="s">
        <v>14292</v>
      </c>
      <c r="L2423" t="s">
        <v>20607</v>
      </c>
      <c r="M2423">
        <v>60</v>
      </c>
      <c r="N2423" t="s">
        <v>20608</v>
      </c>
    </row>
    <row r="2424" spans="1:14">
      <c r="A2424" t="s">
        <v>9256</v>
      </c>
      <c r="B2424">
        <v>2965127</v>
      </c>
      <c r="C2424">
        <v>2966109</v>
      </c>
      <c r="E2424" t="s">
        <v>14314</v>
      </c>
      <c r="F2424" t="s">
        <v>14414</v>
      </c>
      <c r="H2424">
        <v>93523863</v>
      </c>
      <c r="I2424" t="s">
        <v>14415</v>
      </c>
      <c r="N2424" t="s">
        <v>20609</v>
      </c>
    </row>
    <row r="2425" spans="1:14">
      <c r="A2425" t="s">
        <v>9256</v>
      </c>
      <c r="B2425">
        <v>2966102</v>
      </c>
      <c r="C2425">
        <v>2966443</v>
      </c>
      <c r="E2425" t="s">
        <v>14314</v>
      </c>
      <c r="F2425" t="s">
        <v>19730</v>
      </c>
      <c r="H2425">
        <v>93523864</v>
      </c>
      <c r="I2425" t="s">
        <v>14292</v>
      </c>
      <c r="L2425" t="s">
        <v>20610</v>
      </c>
      <c r="M2425">
        <v>113</v>
      </c>
      <c r="N2425" t="s">
        <v>20611</v>
      </c>
    </row>
    <row r="2426" spans="1:14">
      <c r="A2426" t="s">
        <v>9256</v>
      </c>
      <c r="B2426">
        <v>2966533</v>
      </c>
      <c r="C2426">
        <v>2967003</v>
      </c>
      <c r="E2426" t="s">
        <v>14290</v>
      </c>
      <c r="F2426" t="s">
        <v>14291</v>
      </c>
      <c r="H2426">
        <v>93523865</v>
      </c>
      <c r="I2426" t="s">
        <v>14292</v>
      </c>
      <c r="L2426" t="s">
        <v>20612</v>
      </c>
      <c r="M2426">
        <v>156</v>
      </c>
      <c r="N2426" t="s">
        <v>20613</v>
      </c>
    </row>
    <row r="2427" spans="1:14">
      <c r="A2427" t="s">
        <v>9256</v>
      </c>
      <c r="B2427">
        <v>2967399</v>
      </c>
      <c r="C2427">
        <v>2967542</v>
      </c>
      <c r="E2427" t="s">
        <v>14290</v>
      </c>
      <c r="F2427" t="s">
        <v>20614</v>
      </c>
      <c r="H2427">
        <v>93523866</v>
      </c>
      <c r="I2427" t="s">
        <v>14292</v>
      </c>
      <c r="L2427" t="s">
        <v>20615</v>
      </c>
      <c r="M2427">
        <v>47</v>
      </c>
      <c r="N2427" t="s">
        <v>20616</v>
      </c>
    </row>
    <row r="2428" spans="1:14">
      <c r="A2428" t="s">
        <v>9256</v>
      </c>
      <c r="B2428">
        <v>2967567</v>
      </c>
      <c r="C2428">
        <v>2969234</v>
      </c>
      <c r="E2428" t="s">
        <v>14290</v>
      </c>
      <c r="F2428" t="s">
        <v>14291</v>
      </c>
      <c r="H2428">
        <v>93523867</v>
      </c>
      <c r="I2428" t="s">
        <v>14292</v>
      </c>
      <c r="L2428" t="s">
        <v>20617</v>
      </c>
      <c r="M2428">
        <v>555</v>
      </c>
      <c r="N2428" t="s">
        <v>20618</v>
      </c>
    </row>
    <row r="2429" spans="1:14">
      <c r="A2429" t="s">
        <v>9256</v>
      </c>
      <c r="B2429">
        <v>2969384</v>
      </c>
      <c r="C2429">
        <v>2969457</v>
      </c>
      <c r="E2429" t="s">
        <v>14314</v>
      </c>
      <c r="F2429" t="s">
        <v>16995</v>
      </c>
      <c r="H2429">
        <v>93523868</v>
      </c>
      <c r="I2429" t="s">
        <v>13638</v>
      </c>
      <c r="N2429" t="s">
        <v>20619</v>
      </c>
    </row>
    <row r="2430" spans="1:14">
      <c r="A2430" t="s">
        <v>9256</v>
      </c>
      <c r="B2430">
        <v>2969542</v>
      </c>
      <c r="C2430">
        <v>2969856</v>
      </c>
      <c r="E2430" t="s">
        <v>14290</v>
      </c>
      <c r="F2430" t="s">
        <v>20620</v>
      </c>
      <c r="H2430">
        <v>93523869</v>
      </c>
      <c r="I2430" t="s">
        <v>14292</v>
      </c>
      <c r="L2430" t="s">
        <v>20621</v>
      </c>
      <c r="M2430">
        <v>104</v>
      </c>
      <c r="N2430" t="s">
        <v>20622</v>
      </c>
    </row>
    <row r="2431" spans="1:14">
      <c r="A2431" t="s">
        <v>9256</v>
      </c>
      <c r="B2431">
        <v>2969853</v>
      </c>
      <c r="C2431">
        <v>2970410</v>
      </c>
      <c r="E2431" t="s">
        <v>14290</v>
      </c>
      <c r="F2431" t="s">
        <v>20623</v>
      </c>
      <c r="G2431" t="s">
        <v>20624</v>
      </c>
      <c r="H2431">
        <v>93523870</v>
      </c>
      <c r="I2431" t="s">
        <v>14292</v>
      </c>
      <c r="L2431" t="s">
        <v>20625</v>
      </c>
      <c r="M2431">
        <v>185</v>
      </c>
      <c r="N2431" t="s">
        <v>20626</v>
      </c>
    </row>
    <row r="2432" spans="1:14">
      <c r="A2432" t="s">
        <v>9256</v>
      </c>
      <c r="B2432">
        <v>2970509</v>
      </c>
      <c r="C2432">
        <v>2971843</v>
      </c>
      <c r="E2432" t="s">
        <v>14314</v>
      </c>
      <c r="F2432" t="s">
        <v>20627</v>
      </c>
      <c r="G2432" t="s">
        <v>20628</v>
      </c>
      <c r="H2432">
        <v>93523871</v>
      </c>
      <c r="I2432" t="s">
        <v>14292</v>
      </c>
      <c r="L2432" t="s">
        <v>20629</v>
      </c>
      <c r="M2432">
        <v>444</v>
      </c>
      <c r="N2432" t="s">
        <v>20630</v>
      </c>
    </row>
    <row r="2433" spans="1:14">
      <c r="A2433" t="s">
        <v>9256</v>
      </c>
      <c r="B2433">
        <v>2972039</v>
      </c>
      <c r="C2433">
        <v>2974993</v>
      </c>
      <c r="E2433" t="s">
        <v>14290</v>
      </c>
      <c r="F2433" t="s">
        <v>20631</v>
      </c>
      <c r="H2433">
        <v>93523872</v>
      </c>
      <c r="I2433" t="s">
        <v>14292</v>
      </c>
      <c r="L2433" t="s">
        <v>20632</v>
      </c>
      <c r="M2433">
        <v>984</v>
      </c>
      <c r="N2433" t="s">
        <v>20633</v>
      </c>
    </row>
    <row r="2434" spans="1:14">
      <c r="A2434" t="s">
        <v>9256</v>
      </c>
      <c r="B2434">
        <v>2975074</v>
      </c>
      <c r="C2434">
        <v>2976105</v>
      </c>
      <c r="E2434" t="s">
        <v>14314</v>
      </c>
      <c r="F2434" t="s">
        <v>15336</v>
      </c>
      <c r="H2434">
        <v>93523873</v>
      </c>
      <c r="I2434" t="s">
        <v>14292</v>
      </c>
      <c r="L2434" t="s">
        <v>20634</v>
      </c>
      <c r="M2434">
        <v>343</v>
      </c>
      <c r="N2434" t="s">
        <v>20635</v>
      </c>
    </row>
    <row r="2435" spans="1:14">
      <c r="A2435" t="s">
        <v>9256</v>
      </c>
      <c r="B2435">
        <v>2976121</v>
      </c>
      <c r="C2435">
        <v>2976858</v>
      </c>
      <c r="E2435" t="s">
        <v>14314</v>
      </c>
      <c r="F2435" t="s">
        <v>15392</v>
      </c>
      <c r="H2435">
        <v>93523874</v>
      </c>
      <c r="I2435" t="s">
        <v>14292</v>
      </c>
      <c r="L2435" t="s">
        <v>20636</v>
      </c>
      <c r="M2435">
        <v>245</v>
      </c>
      <c r="N2435" t="s">
        <v>20637</v>
      </c>
    </row>
    <row r="2436" spans="1:14">
      <c r="A2436" t="s">
        <v>9256</v>
      </c>
      <c r="B2436">
        <v>2976855</v>
      </c>
      <c r="C2436">
        <v>2978285</v>
      </c>
      <c r="E2436" t="s">
        <v>14314</v>
      </c>
      <c r="F2436" t="s">
        <v>20638</v>
      </c>
      <c r="H2436">
        <v>93523875</v>
      </c>
      <c r="I2436" t="s">
        <v>14292</v>
      </c>
      <c r="L2436" t="s">
        <v>20639</v>
      </c>
      <c r="M2436">
        <v>476</v>
      </c>
      <c r="N2436" t="s">
        <v>20640</v>
      </c>
    </row>
    <row r="2437" spans="1:14">
      <c r="A2437" t="s">
        <v>9256</v>
      </c>
      <c r="B2437">
        <v>2978474</v>
      </c>
      <c r="C2437">
        <v>2979808</v>
      </c>
      <c r="E2437" t="s">
        <v>14314</v>
      </c>
      <c r="F2437" t="s">
        <v>20627</v>
      </c>
      <c r="H2437">
        <v>93523876</v>
      </c>
      <c r="I2437" t="s">
        <v>14292</v>
      </c>
      <c r="L2437" t="s">
        <v>20641</v>
      </c>
      <c r="M2437">
        <v>444</v>
      </c>
      <c r="N2437" t="s">
        <v>20642</v>
      </c>
    </row>
    <row r="2438" spans="1:14">
      <c r="A2438" t="s">
        <v>9256</v>
      </c>
      <c r="B2438">
        <v>2979974</v>
      </c>
      <c r="C2438">
        <v>2980156</v>
      </c>
      <c r="E2438" t="s">
        <v>14314</v>
      </c>
      <c r="F2438" t="s">
        <v>14291</v>
      </c>
      <c r="H2438">
        <v>93523877</v>
      </c>
      <c r="I2438" t="s">
        <v>14292</v>
      </c>
      <c r="L2438" t="s">
        <v>20643</v>
      </c>
      <c r="M2438">
        <v>60</v>
      </c>
      <c r="N2438" t="s">
        <v>20644</v>
      </c>
    </row>
    <row r="2439" spans="1:14">
      <c r="A2439" t="s">
        <v>9256</v>
      </c>
      <c r="B2439">
        <v>2980170</v>
      </c>
      <c r="C2439">
        <v>2980559</v>
      </c>
      <c r="E2439" t="s">
        <v>14314</v>
      </c>
      <c r="F2439" t="s">
        <v>20645</v>
      </c>
      <c r="H2439">
        <v>93523878</v>
      </c>
      <c r="I2439" t="s">
        <v>14292</v>
      </c>
      <c r="L2439" t="s">
        <v>20646</v>
      </c>
      <c r="M2439">
        <v>129</v>
      </c>
      <c r="N2439" t="s">
        <v>20647</v>
      </c>
    </row>
    <row r="2440" spans="1:14">
      <c r="A2440" t="s">
        <v>9256</v>
      </c>
      <c r="B2440">
        <v>2980646</v>
      </c>
      <c r="C2440">
        <v>2981578</v>
      </c>
      <c r="E2440" t="s">
        <v>14290</v>
      </c>
      <c r="F2440" t="s">
        <v>15126</v>
      </c>
      <c r="H2440">
        <v>93523879</v>
      </c>
      <c r="I2440" t="s">
        <v>14292</v>
      </c>
      <c r="L2440" t="s">
        <v>20648</v>
      </c>
      <c r="M2440">
        <v>310</v>
      </c>
      <c r="N2440" t="s">
        <v>20649</v>
      </c>
    </row>
    <row r="2441" spans="1:14">
      <c r="A2441" t="s">
        <v>9256</v>
      </c>
      <c r="B2441">
        <v>2982085</v>
      </c>
      <c r="C2441">
        <v>2983149</v>
      </c>
      <c r="E2441" t="s">
        <v>14290</v>
      </c>
      <c r="F2441" t="s">
        <v>15122</v>
      </c>
      <c r="G2441" t="s">
        <v>15123</v>
      </c>
      <c r="H2441">
        <v>93523880</v>
      </c>
      <c r="I2441" t="s">
        <v>14292</v>
      </c>
      <c r="L2441" t="s">
        <v>20650</v>
      </c>
      <c r="M2441">
        <v>354</v>
      </c>
      <c r="N2441" t="s">
        <v>20651</v>
      </c>
    </row>
    <row r="2442" spans="1:14">
      <c r="A2442" t="s">
        <v>9256</v>
      </c>
      <c r="B2442">
        <v>2983161</v>
      </c>
      <c r="C2442">
        <v>2983541</v>
      </c>
      <c r="E2442" t="s">
        <v>14290</v>
      </c>
      <c r="F2442" t="s">
        <v>14291</v>
      </c>
      <c r="H2442">
        <v>93523881</v>
      </c>
      <c r="I2442" t="s">
        <v>14292</v>
      </c>
      <c r="L2442" t="s">
        <v>20652</v>
      </c>
      <c r="M2442">
        <v>126</v>
      </c>
      <c r="N2442" t="s">
        <v>20653</v>
      </c>
    </row>
    <row r="2443" spans="1:14">
      <c r="A2443" t="s">
        <v>9256</v>
      </c>
      <c r="B2443">
        <v>2983558</v>
      </c>
      <c r="C2443">
        <v>2985498</v>
      </c>
      <c r="E2443" t="s">
        <v>14290</v>
      </c>
      <c r="F2443" t="s">
        <v>20173</v>
      </c>
      <c r="H2443">
        <v>93523882</v>
      </c>
      <c r="I2443" t="s">
        <v>14292</v>
      </c>
      <c r="L2443" t="s">
        <v>20654</v>
      </c>
      <c r="M2443">
        <v>646</v>
      </c>
      <c r="N2443" t="s">
        <v>20655</v>
      </c>
    </row>
    <row r="2444" spans="1:14">
      <c r="A2444" t="s">
        <v>9256</v>
      </c>
      <c r="B2444">
        <v>2985472</v>
      </c>
      <c r="C2444">
        <v>2985579</v>
      </c>
      <c r="E2444" t="s">
        <v>14314</v>
      </c>
      <c r="F2444" t="s">
        <v>15106</v>
      </c>
      <c r="H2444">
        <v>93523883</v>
      </c>
      <c r="I2444" t="s">
        <v>14292</v>
      </c>
      <c r="L2444" t="s">
        <v>20656</v>
      </c>
      <c r="M2444">
        <v>35</v>
      </c>
      <c r="N2444" t="s">
        <v>20657</v>
      </c>
    </row>
    <row r="2445" spans="1:14">
      <c r="A2445" t="s">
        <v>9256</v>
      </c>
      <c r="B2445">
        <v>2985651</v>
      </c>
      <c r="C2445">
        <v>2986142</v>
      </c>
      <c r="E2445" t="s">
        <v>14314</v>
      </c>
      <c r="F2445" t="s">
        <v>20658</v>
      </c>
      <c r="H2445">
        <v>93523884</v>
      </c>
      <c r="I2445" t="s">
        <v>14292</v>
      </c>
      <c r="L2445" t="s">
        <v>20659</v>
      </c>
      <c r="M2445">
        <v>163</v>
      </c>
      <c r="N2445" t="s">
        <v>20660</v>
      </c>
    </row>
    <row r="2446" spans="1:14">
      <c r="A2446" t="s">
        <v>9256</v>
      </c>
      <c r="B2446">
        <v>2986263</v>
      </c>
      <c r="C2446">
        <v>2986688</v>
      </c>
      <c r="E2446" t="s">
        <v>14314</v>
      </c>
      <c r="F2446" t="s">
        <v>20661</v>
      </c>
      <c r="H2446">
        <v>93523885</v>
      </c>
      <c r="I2446" t="s">
        <v>14292</v>
      </c>
      <c r="L2446" t="s">
        <v>20662</v>
      </c>
      <c r="M2446">
        <v>141</v>
      </c>
      <c r="N2446" t="s">
        <v>20663</v>
      </c>
    </row>
    <row r="2447" spans="1:14">
      <c r="A2447" t="s">
        <v>9256</v>
      </c>
      <c r="B2447">
        <v>2986790</v>
      </c>
      <c r="C2447">
        <v>2986984</v>
      </c>
      <c r="E2447" t="s">
        <v>14314</v>
      </c>
      <c r="F2447" t="s">
        <v>15100</v>
      </c>
      <c r="H2447">
        <v>93523886</v>
      </c>
      <c r="I2447" t="s">
        <v>14292</v>
      </c>
      <c r="L2447" t="s">
        <v>20664</v>
      </c>
      <c r="M2447">
        <v>64</v>
      </c>
      <c r="N2447" t="s">
        <v>20665</v>
      </c>
    </row>
    <row r="2448" spans="1:14">
      <c r="A2448" t="s">
        <v>9256</v>
      </c>
      <c r="B2448">
        <v>2987070</v>
      </c>
      <c r="C2448">
        <v>2988860</v>
      </c>
      <c r="E2448" t="s">
        <v>14314</v>
      </c>
      <c r="F2448" t="s">
        <v>15097</v>
      </c>
      <c r="H2448">
        <v>93523887</v>
      </c>
      <c r="I2448" t="s">
        <v>14292</v>
      </c>
      <c r="L2448" t="s">
        <v>20666</v>
      </c>
      <c r="M2448">
        <v>596</v>
      </c>
      <c r="N2448" t="s">
        <v>20667</v>
      </c>
    </row>
    <row r="2449" spans="1:14">
      <c r="A2449" t="s">
        <v>9256</v>
      </c>
      <c r="B2449">
        <v>2988857</v>
      </c>
      <c r="C2449">
        <v>2989399</v>
      </c>
      <c r="E2449" t="s">
        <v>14314</v>
      </c>
      <c r="F2449" t="s">
        <v>15094</v>
      </c>
      <c r="H2449">
        <v>93523888</v>
      </c>
      <c r="I2449" t="s">
        <v>14292</v>
      </c>
      <c r="L2449" t="s">
        <v>20668</v>
      </c>
      <c r="M2449">
        <v>180</v>
      </c>
      <c r="N2449" t="s">
        <v>20669</v>
      </c>
    </row>
    <row r="2450" spans="1:14">
      <c r="A2450" t="s">
        <v>9256</v>
      </c>
      <c r="B2450">
        <v>2989509</v>
      </c>
      <c r="C2450">
        <v>2989709</v>
      </c>
      <c r="E2450" t="s">
        <v>14290</v>
      </c>
      <c r="F2450" t="s">
        <v>14291</v>
      </c>
      <c r="H2450">
        <v>93523889</v>
      </c>
      <c r="I2450" t="s">
        <v>14292</v>
      </c>
      <c r="L2450" t="s">
        <v>20670</v>
      </c>
      <c r="M2450">
        <v>66</v>
      </c>
      <c r="N2450" t="s">
        <v>20671</v>
      </c>
    </row>
    <row r="2451" spans="1:14">
      <c r="A2451" t="s">
        <v>9256</v>
      </c>
      <c r="B2451">
        <v>2989857</v>
      </c>
      <c r="C2451">
        <v>2991428</v>
      </c>
      <c r="E2451" t="s">
        <v>14290</v>
      </c>
      <c r="F2451" t="s">
        <v>14870</v>
      </c>
      <c r="H2451">
        <v>93523890</v>
      </c>
      <c r="I2451" t="s">
        <v>14292</v>
      </c>
      <c r="L2451" t="s">
        <v>20672</v>
      </c>
      <c r="M2451">
        <v>523</v>
      </c>
      <c r="N2451" t="s">
        <v>20673</v>
      </c>
    </row>
    <row r="2452" spans="1:14">
      <c r="A2452" t="s">
        <v>9256</v>
      </c>
      <c r="B2452">
        <v>2991667</v>
      </c>
      <c r="C2452">
        <v>2991828</v>
      </c>
      <c r="E2452" t="s">
        <v>14290</v>
      </c>
      <c r="F2452" t="s">
        <v>14291</v>
      </c>
      <c r="H2452">
        <v>93525995</v>
      </c>
      <c r="I2452" t="s">
        <v>14292</v>
      </c>
      <c r="L2452" t="s">
        <v>20674</v>
      </c>
      <c r="M2452">
        <v>53</v>
      </c>
      <c r="N2452" t="s">
        <v>20675</v>
      </c>
    </row>
    <row r="2453" spans="1:14">
      <c r="A2453" t="s">
        <v>9256</v>
      </c>
      <c r="B2453">
        <v>2992127</v>
      </c>
      <c r="C2453">
        <v>2993728</v>
      </c>
      <c r="E2453" t="s">
        <v>14290</v>
      </c>
      <c r="F2453" t="s">
        <v>20676</v>
      </c>
      <c r="H2453">
        <v>93523891</v>
      </c>
      <c r="I2453" t="s">
        <v>14292</v>
      </c>
      <c r="L2453" t="s">
        <v>20677</v>
      </c>
      <c r="M2453">
        <v>533</v>
      </c>
      <c r="N2453" t="s">
        <v>20678</v>
      </c>
    </row>
    <row r="2454" spans="1:14">
      <c r="A2454" t="s">
        <v>9256</v>
      </c>
      <c r="B2454">
        <v>2993749</v>
      </c>
      <c r="C2454">
        <v>2994783</v>
      </c>
      <c r="E2454" t="s">
        <v>14290</v>
      </c>
      <c r="F2454" t="s">
        <v>20679</v>
      </c>
      <c r="H2454">
        <v>93523892</v>
      </c>
      <c r="I2454" t="s">
        <v>14292</v>
      </c>
      <c r="L2454" t="s">
        <v>20680</v>
      </c>
      <c r="M2454">
        <v>344</v>
      </c>
      <c r="N2454" t="s">
        <v>20681</v>
      </c>
    </row>
    <row r="2455" spans="1:14">
      <c r="A2455" t="s">
        <v>9256</v>
      </c>
      <c r="B2455">
        <v>2995028</v>
      </c>
      <c r="C2455">
        <v>2996803</v>
      </c>
      <c r="E2455" t="s">
        <v>14290</v>
      </c>
      <c r="F2455" t="s">
        <v>14291</v>
      </c>
      <c r="H2455">
        <v>93523893</v>
      </c>
      <c r="I2455" t="s">
        <v>14292</v>
      </c>
      <c r="L2455" t="s">
        <v>20682</v>
      </c>
      <c r="M2455">
        <v>591</v>
      </c>
      <c r="N2455" t="s">
        <v>20683</v>
      </c>
    </row>
    <row r="2456" spans="1:14">
      <c r="A2456" t="s">
        <v>9256</v>
      </c>
      <c r="B2456">
        <v>2996813</v>
      </c>
      <c r="C2456">
        <v>2998264</v>
      </c>
      <c r="E2456" t="s">
        <v>14290</v>
      </c>
      <c r="F2456" t="s">
        <v>14326</v>
      </c>
      <c r="H2456">
        <v>93523894</v>
      </c>
      <c r="I2456" t="s">
        <v>14292</v>
      </c>
      <c r="L2456" t="s">
        <v>20684</v>
      </c>
      <c r="M2456">
        <v>483</v>
      </c>
      <c r="N2456" t="s">
        <v>20685</v>
      </c>
    </row>
    <row r="2457" spans="1:14">
      <c r="A2457" t="s">
        <v>9256</v>
      </c>
      <c r="B2457">
        <v>2998523</v>
      </c>
      <c r="C2457">
        <v>2999398</v>
      </c>
      <c r="E2457" t="s">
        <v>14290</v>
      </c>
      <c r="F2457" t="s">
        <v>14291</v>
      </c>
      <c r="H2457">
        <v>93523895</v>
      </c>
      <c r="I2457" t="s">
        <v>14292</v>
      </c>
      <c r="L2457" t="s">
        <v>20686</v>
      </c>
      <c r="M2457">
        <v>291</v>
      </c>
      <c r="N2457" t="s">
        <v>20687</v>
      </c>
    </row>
    <row r="2458" spans="1:14">
      <c r="A2458" t="s">
        <v>9256</v>
      </c>
      <c r="B2458">
        <v>2999395</v>
      </c>
      <c r="C2458">
        <v>3000324</v>
      </c>
      <c r="E2458" t="s">
        <v>14290</v>
      </c>
      <c r="F2458" t="s">
        <v>14291</v>
      </c>
      <c r="H2458">
        <v>93523896</v>
      </c>
      <c r="I2458" t="s">
        <v>14292</v>
      </c>
      <c r="L2458" t="s">
        <v>20688</v>
      </c>
      <c r="M2458">
        <v>309</v>
      </c>
      <c r="N2458" t="s">
        <v>20689</v>
      </c>
    </row>
    <row r="2459" spans="1:14">
      <c r="A2459" t="s">
        <v>9256</v>
      </c>
      <c r="B2459">
        <v>3000343</v>
      </c>
      <c r="C2459">
        <v>3001218</v>
      </c>
      <c r="E2459" t="s">
        <v>14290</v>
      </c>
      <c r="F2459" t="s">
        <v>14335</v>
      </c>
      <c r="H2459">
        <v>93523897</v>
      </c>
      <c r="I2459" t="s">
        <v>14292</v>
      </c>
      <c r="L2459" t="s">
        <v>20690</v>
      </c>
      <c r="M2459">
        <v>291</v>
      </c>
      <c r="N2459" t="s">
        <v>20691</v>
      </c>
    </row>
    <row r="2460" spans="1:14">
      <c r="A2460" t="s">
        <v>9256</v>
      </c>
      <c r="B2460">
        <v>3001229</v>
      </c>
      <c r="C2460">
        <v>3002194</v>
      </c>
      <c r="E2460" t="s">
        <v>14290</v>
      </c>
      <c r="F2460" t="s">
        <v>14291</v>
      </c>
      <c r="H2460">
        <v>93523898</v>
      </c>
      <c r="I2460" t="s">
        <v>14292</v>
      </c>
      <c r="L2460" t="s">
        <v>20692</v>
      </c>
      <c r="M2460">
        <v>321</v>
      </c>
      <c r="N2460" t="s">
        <v>20693</v>
      </c>
    </row>
    <row r="2461" spans="1:14">
      <c r="A2461" t="s">
        <v>9256</v>
      </c>
      <c r="B2461">
        <v>3002223</v>
      </c>
      <c r="C2461">
        <v>3002444</v>
      </c>
      <c r="E2461" t="s">
        <v>14290</v>
      </c>
      <c r="F2461" t="s">
        <v>20694</v>
      </c>
      <c r="H2461">
        <v>93523899</v>
      </c>
      <c r="I2461" t="s">
        <v>14292</v>
      </c>
      <c r="L2461" t="s">
        <v>20695</v>
      </c>
      <c r="M2461">
        <v>73</v>
      </c>
      <c r="N2461" t="s">
        <v>20696</v>
      </c>
    </row>
    <row r="2462" spans="1:14">
      <c r="A2462" t="s">
        <v>9256</v>
      </c>
      <c r="B2462">
        <v>3002451</v>
      </c>
      <c r="C2462">
        <v>3003668</v>
      </c>
      <c r="E2462" t="s">
        <v>14290</v>
      </c>
      <c r="F2462" t="s">
        <v>20211</v>
      </c>
      <c r="H2462">
        <v>93523900</v>
      </c>
      <c r="I2462" t="s">
        <v>14292</v>
      </c>
      <c r="L2462" t="s">
        <v>20697</v>
      </c>
      <c r="M2462">
        <v>405</v>
      </c>
      <c r="N2462" t="s">
        <v>20698</v>
      </c>
    </row>
    <row r="2463" spans="1:14">
      <c r="A2463" t="s">
        <v>9256</v>
      </c>
      <c r="B2463">
        <v>3003665</v>
      </c>
      <c r="C2463">
        <v>3004387</v>
      </c>
      <c r="E2463" t="s">
        <v>14290</v>
      </c>
      <c r="F2463" t="s">
        <v>17910</v>
      </c>
      <c r="H2463">
        <v>93523901</v>
      </c>
      <c r="I2463" t="s">
        <v>14292</v>
      </c>
      <c r="L2463" t="s">
        <v>20699</v>
      </c>
      <c r="M2463">
        <v>240</v>
      </c>
      <c r="N2463" t="s">
        <v>20700</v>
      </c>
    </row>
    <row r="2464" spans="1:14">
      <c r="A2464" t="s">
        <v>9256</v>
      </c>
      <c r="B2464">
        <v>3004389</v>
      </c>
      <c r="C2464">
        <v>3005066</v>
      </c>
      <c r="E2464" t="s">
        <v>14290</v>
      </c>
      <c r="F2464" t="s">
        <v>20701</v>
      </c>
      <c r="H2464">
        <v>93523902</v>
      </c>
      <c r="I2464" t="s">
        <v>14292</v>
      </c>
      <c r="L2464" t="s">
        <v>20702</v>
      </c>
      <c r="M2464">
        <v>225</v>
      </c>
      <c r="N2464" t="s">
        <v>20703</v>
      </c>
    </row>
    <row r="2465" spans="1:14">
      <c r="A2465" t="s">
        <v>9256</v>
      </c>
      <c r="B2465">
        <v>3005071</v>
      </c>
      <c r="C2465">
        <v>3005715</v>
      </c>
      <c r="E2465" t="s">
        <v>14290</v>
      </c>
      <c r="F2465" t="s">
        <v>14369</v>
      </c>
      <c r="H2465">
        <v>93523903</v>
      </c>
      <c r="I2465" t="s">
        <v>14292</v>
      </c>
      <c r="L2465" t="s">
        <v>20704</v>
      </c>
      <c r="M2465">
        <v>214</v>
      </c>
      <c r="N2465" t="s">
        <v>20705</v>
      </c>
    </row>
    <row r="2466" spans="1:14">
      <c r="A2466" t="s">
        <v>9256</v>
      </c>
      <c r="B2466">
        <v>3005705</v>
      </c>
      <c r="C2466">
        <v>3006565</v>
      </c>
      <c r="E2466" t="s">
        <v>14290</v>
      </c>
      <c r="F2466" t="s">
        <v>15066</v>
      </c>
      <c r="H2466">
        <v>93523904</v>
      </c>
      <c r="I2466" t="s">
        <v>14292</v>
      </c>
      <c r="L2466" t="s">
        <v>20706</v>
      </c>
      <c r="M2466">
        <v>286</v>
      </c>
      <c r="N2466" t="s">
        <v>20707</v>
      </c>
    </row>
    <row r="2467" spans="1:14">
      <c r="A2467" t="s">
        <v>9256</v>
      </c>
      <c r="B2467">
        <v>3006569</v>
      </c>
      <c r="C2467">
        <v>3006979</v>
      </c>
      <c r="E2467" t="s">
        <v>14290</v>
      </c>
      <c r="F2467" t="s">
        <v>20708</v>
      </c>
      <c r="H2467">
        <v>93523905</v>
      </c>
      <c r="I2467" t="s">
        <v>14292</v>
      </c>
      <c r="L2467" t="s">
        <v>20709</v>
      </c>
      <c r="M2467">
        <v>136</v>
      </c>
      <c r="N2467" t="s">
        <v>20710</v>
      </c>
    </row>
    <row r="2468" spans="1:14">
      <c r="A2468" t="s">
        <v>9256</v>
      </c>
      <c r="B2468">
        <v>3007042</v>
      </c>
      <c r="C2468">
        <v>3007176</v>
      </c>
      <c r="E2468" t="s">
        <v>14290</v>
      </c>
      <c r="F2468" t="s">
        <v>14291</v>
      </c>
      <c r="H2468">
        <v>93525968</v>
      </c>
      <c r="I2468" t="s">
        <v>14292</v>
      </c>
      <c r="L2468" t="s">
        <v>20711</v>
      </c>
      <c r="M2468">
        <v>44</v>
      </c>
      <c r="N2468" t="s">
        <v>20712</v>
      </c>
    </row>
    <row r="2469" spans="1:14">
      <c r="A2469" t="s">
        <v>9256</v>
      </c>
      <c r="B2469">
        <v>3007386</v>
      </c>
      <c r="C2469">
        <v>3008360</v>
      </c>
      <c r="E2469" t="s">
        <v>14290</v>
      </c>
      <c r="F2469" t="s">
        <v>19841</v>
      </c>
      <c r="H2469">
        <v>93523906</v>
      </c>
      <c r="I2469" t="s">
        <v>14292</v>
      </c>
      <c r="L2469" t="s">
        <v>20713</v>
      </c>
      <c r="M2469">
        <v>324</v>
      </c>
      <c r="N2469" t="s">
        <v>20714</v>
      </c>
    </row>
    <row r="2470" spans="1:14">
      <c r="A2470" t="s">
        <v>9256</v>
      </c>
      <c r="B2470">
        <v>3008466</v>
      </c>
      <c r="C2470">
        <v>3010790</v>
      </c>
      <c r="E2470" t="s">
        <v>14314</v>
      </c>
      <c r="F2470" t="s">
        <v>15450</v>
      </c>
      <c r="H2470">
        <v>93523907</v>
      </c>
      <c r="I2470" t="s">
        <v>14292</v>
      </c>
      <c r="L2470" t="s">
        <v>20715</v>
      </c>
      <c r="M2470">
        <v>774</v>
      </c>
      <c r="N2470" t="s">
        <v>20716</v>
      </c>
    </row>
    <row r="2471" spans="1:14">
      <c r="A2471" t="s">
        <v>9256</v>
      </c>
      <c r="B2471">
        <v>3010897</v>
      </c>
      <c r="C2471">
        <v>3011478</v>
      </c>
      <c r="E2471" t="s">
        <v>14314</v>
      </c>
      <c r="F2471" t="s">
        <v>17648</v>
      </c>
      <c r="H2471">
        <v>93523908</v>
      </c>
      <c r="I2471" t="s">
        <v>14292</v>
      </c>
      <c r="L2471" t="s">
        <v>20717</v>
      </c>
      <c r="M2471">
        <v>193</v>
      </c>
      <c r="N2471" t="s">
        <v>20718</v>
      </c>
    </row>
    <row r="2472" spans="1:14">
      <c r="A2472" t="s">
        <v>9256</v>
      </c>
      <c r="B2472">
        <v>3011488</v>
      </c>
      <c r="C2472">
        <v>3012174</v>
      </c>
      <c r="E2472" t="s">
        <v>14314</v>
      </c>
      <c r="F2472" t="s">
        <v>16649</v>
      </c>
      <c r="H2472">
        <v>93523909</v>
      </c>
      <c r="I2472" t="s">
        <v>14292</v>
      </c>
      <c r="L2472" t="s">
        <v>20719</v>
      </c>
      <c r="M2472">
        <v>228</v>
      </c>
      <c r="N2472" t="s">
        <v>20720</v>
      </c>
    </row>
    <row r="2473" spans="1:14">
      <c r="A2473" t="s">
        <v>9256</v>
      </c>
      <c r="B2473">
        <v>3012200</v>
      </c>
      <c r="C2473">
        <v>3013138</v>
      </c>
      <c r="E2473" t="s">
        <v>14314</v>
      </c>
      <c r="F2473" t="s">
        <v>14985</v>
      </c>
      <c r="H2473">
        <v>93523910</v>
      </c>
      <c r="I2473" t="s">
        <v>14292</v>
      </c>
      <c r="L2473" t="s">
        <v>20721</v>
      </c>
      <c r="M2473">
        <v>312</v>
      </c>
      <c r="N2473" t="s">
        <v>20722</v>
      </c>
    </row>
    <row r="2474" spans="1:14">
      <c r="A2474" t="s">
        <v>9256</v>
      </c>
      <c r="B2474">
        <v>3013151</v>
      </c>
      <c r="C2474">
        <v>3014533</v>
      </c>
      <c r="E2474" t="s">
        <v>14314</v>
      </c>
      <c r="F2474" t="s">
        <v>15339</v>
      </c>
      <c r="H2474">
        <v>93523911</v>
      </c>
      <c r="I2474" t="s">
        <v>14292</v>
      </c>
      <c r="L2474" t="s">
        <v>20723</v>
      </c>
      <c r="M2474">
        <v>460</v>
      </c>
      <c r="N2474" t="s">
        <v>20724</v>
      </c>
    </row>
    <row r="2475" spans="1:14">
      <c r="A2475" t="s">
        <v>9256</v>
      </c>
      <c r="B2475">
        <v>3014552</v>
      </c>
      <c r="C2475">
        <v>3016126</v>
      </c>
      <c r="E2475" t="s">
        <v>14314</v>
      </c>
      <c r="F2475" t="s">
        <v>14902</v>
      </c>
      <c r="H2475">
        <v>93523912</v>
      </c>
      <c r="I2475" t="s">
        <v>14292</v>
      </c>
      <c r="L2475" t="s">
        <v>20725</v>
      </c>
      <c r="M2475">
        <v>524</v>
      </c>
      <c r="N2475" t="s">
        <v>20726</v>
      </c>
    </row>
    <row r="2476" spans="1:14">
      <c r="A2476" t="s">
        <v>9256</v>
      </c>
      <c r="B2476">
        <v>3016330</v>
      </c>
      <c r="C2476">
        <v>3016402</v>
      </c>
      <c r="E2476" t="s">
        <v>14314</v>
      </c>
      <c r="F2476" t="s">
        <v>16476</v>
      </c>
      <c r="H2476">
        <v>93523913</v>
      </c>
      <c r="I2476" t="s">
        <v>13638</v>
      </c>
      <c r="N2476" t="s">
        <v>20727</v>
      </c>
    </row>
    <row r="2477" spans="1:14">
      <c r="A2477" t="s">
        <v>9256</v>
      </c>
      <c r="B2477">
        <v>3016538</v>
      </c>
      <c r="C2477">
        <v>3017143</v>
      </c>
      <c r="E2477" t="s">
        <v>14290</v>
      </c>
      <c r="F2477" t="s">
        <v>14982</v>
      </c>
      <c r="H2477">
        <v>93523914</v>
      </c>
      <c r="I2477" t="s">
        <v>14292</v>
      </c>
      <c r="L2477" t="s">
        <v>20728</v>
      </c>
      <c r="M2477">
        <v>201</v>
      </c>
      <c r="N2477" t="s">
        <v>20729</v>
      </c>
    </row>
    <row r="2478" spans="1:14">
      <c r="A2478" t="s">
        <v>9256</v>
      </c>
      <c r="B2478">
        <v>3017149</v>
      </c>
      <c r="C2478">
        <v>3017763</v>
      </c>
      <c r="E2478" t="s">
        <v>14314</v>
      </c>
      <c r="F2478" t="s">
        <v>20730</v>
      </c>
      <c r="H2478">
        <v>93523915</v>
      </c>
      <c r="I2478" t="s">
        <v>14292</v>
      </c>
      <c r="L2478" t="s">
        <v>20731</v>
      </c>
      <c r="M2478">
        <v>204</v>
      </c>
      <c r="N2478" t="s">
        <v>20732</v>
      </c>
    </row>
    <row r="2479" spans="1:14">
      <c r="A2479" t="s">
        <v>9256</v>
      </c>
      <c r="B2479">
        <v>3017888</v>
      </c>
      <c r="C2479">
        <v>3018250</v>
      </c>
      <c r="E2479" t="s">
        <v>14290</v>
      </c>
      <c r="F2479" t="s">
        <v>19730</v>
      </c>
      <c r="H2479">
        <v>93523916</v>
      </c>
      <c r="I2479" t="s">
        <v>14292</v>
      </c>
      <c r="L2479" t="s">
        <v>19731</v>
      </c>
      <c r="M2479">
        <v>120</v>
      </c>
      <c r="N2479" t="s">
        <v>20733</v>
      </c>
    </row>
    <row r="2480" spans="1:14">
      <c r="A2480" t="s">
        <v>9256</v>
      </c>
      <c r="B2480">
        <v>3018258</v>
      </c>
      <c r="C2480">
        <v>3019229</v>
      </c>
      <c r="E2480" t="s">
        <v>14290</v>
      </c>
      <c r="F2480" t="s">
        <v>19727</v>
      </c>
      <c r="H2480">
        <v>93523917</v>
      </c>
      <c r="I2480" t="s">
        <v>14292</v>
      </c>
      <c r="L2480" t="s">
        <v>19728</v>
      </c>
      <c r="M2480">
        <v>323</v>
      </c>
      <c r="N2480" t="s">
        <v>20734</v>
      </c>
    </row>
    <row r="2481" spans="1:14">
      <c r="A2481" t="s">
        <v>9256</v>
      </c>
      <c r="B2481">
        <v>3019359</v>
      </c>
      <c r="C2481">
        <v>3019432</v>
      </c>
      <c r="E2481" t="s">
        <v>14314</v>
      </c>
      <c r="F2481" t="s">
        <v>17222</v>
      </c>
      <c r="H2481">
        <v>93523918</v>
      </c>
      <c r="I2481" t="s">
        <v>13638</v>
      </c>
      <c r="N2481" t="s">
        <v>20735</v>
      </c>
    </row>
    <row r="2482" spans="1:14">
      <c r="A2482" t="s">
        <v>9256</v>
      </c>
      <c r="B2482">
        <v>3019640</v>
      </c>
      <c r="C2482">
        <v>3019715</v>
      </c>
      <c r="E2482" t="s">
        <v>14290</v>
      </c>
      <c r="F2482" t="s">
        <v>20736</v>
      </c>
      <c r="H2482">
        <v>93523919</v>
      </c>
      <c r="I2482" t="s">
        <v>13638</v>
      </c>
      <c r="N2482" t="s">
        <v>20737</v>
      </c>
    </row>
    <row r="2483" spans="1:14">
      <c r="A2483" t="s">
        <v>9256</v>
      </c>
      <c r="B2483">
        <v>3020189</v>
      </c>
      <c r="C2483">
        <v>3021424</v>
      </c>
      <c r="E2483" t="s">
        <v>14290</v>
      </c>
      <c r="F2483" t="s">
        <v>15333</v>
      </c>
      <c r="H2483">
        <v>93523920</v>
      </c>
      <c r="I2483" t="s">
        <v>14292</v>
      </c>
      <c r="L2483" t="s">
        <v>20738</v>
      </c>
      <c r="M2483">
        <v>411</v>
      </c>
      <c r="N2483" t="s">
        <v>20739</v>
      </c>
    </row>
    <row r="2484" spans="1:14">
      <c r="A2484" t="s">
        <v>9256</v>
      </c>
      <c r="B2484">
        <v>3021506</v>
      </c>
      <c r="C2484">
        <v>3021688</v>
      </c>
      <c r="E2484" t="s">
        <v>14314</v>
      </c>
      <c r="F2484" t="s">
        <v>14291</v>
      </c>
      <c r="H2484">
        <v>93523921</v>
      </c>
      <c r="I2484" t="s">
        <v>14292</v>
      </c>
      <c r="L2484" t="s">
        <v>20740</v>
      </c>
      <c r="M2484">
        <v>60</v>
      </c>
      <c r="N2484" t="s">
        <v>20741</v>
      </c>
    </row>
    <row r="2485" spans="1:14">
      <c r="A2485" t="s">
        <v>9256</v>
      </c>
      <c r="B2485">
        <v>3021724</v>
      </c>
      <c r="C2485">
        <v>3021999</v>
      </c>
      <c r="E2485" t="s">
        <v>14290</v>
      </c>
      <c r="F2485" t="s">
        <v>14291</v>
      </c>
      <c r="H2485">
        <v>93523922</v>
      </c>
      <c r="I2485" t="s">
        <v>14292</v>
      </c>
      <c r="L2485" t="s">
        <v>20742</v>
      </c>
      <c r="M2485">
        <v>91</v>
      </c>
      <c r="N2485" t="s">
        <v>20743</v>
      </c>
    </row>
    <row r="2486" spans="1:14">
      <c r="A2486" t="s">
        <v>9256</v>
      </c>
      <c r="B2486">
        <v>3022020</v>
      </c>
      <c r="C2486">
        <v>3023147</v>
      </c>
      <c r="E2486" t="s">
        <v>14290</v>
      </c>
      <c r="F2486" t="s">
        <v>14291</v>
      </c>
      <c r="H2486">
        <v>93523923</v>
      </c>
      <c r="I2486" t="s">
        <v>14292</v>
      </c>
      <c r="L2486" t="s">
        <v>20744</v>
      </c>
      <c r="M2486">
        <v>375</v>
      </c>
      <c r="N2486" t="s">
        <v>20745</v>
      </c>
    </row>
    <row r="2487" spans="1:14">
      <c r="A2487" t="s">
        <v>9256</v>
      </c>
      <c r="B2487">
        <v>3023151</v>
      </c>
      <c r="C2487">
        <v>3024044</v>
      </c>
      <c r="E2487" t="s">
        <v>14290</v>
      </c>
      <c r="F2487" t="s">
        <v>14291</v>
      </c>
      <c r="H2487">
        <v>93523924</v>
      </c>
      <c r="I2487" t="s">
        <v>14292</v>
      </c>
      <c r="L2487" t="s">
        <v>20746</v>
      </c>
      <c r="M2487">
        <v>297</v>
      </c>
      <c r="N2487" t="s">
        <v>20747</v>
      </c>
    </row>
    <row r="2488" spans="1:14">
      <c r="A2488" t="s">
        <v>9256</v>
      </c>
      <c r="B2488">
        <v>3024120</v>
      </c>
      <c r="C2488">
        <v>3024485</v>
      </c>
      <c r="E2488" t="s">
        <v>14290</v>
      </c>
      <c r="F2488" t="s">
        <v>14291</v>
      </c>
      <c r="H2488">
        <v>93523925</v>
      </c>
      <c r="I2488" t="s">
        <v>14292</v>
      </c>
      <c r="L2488" t="s">
        <v>20748</v>
      </c>
      <c r="M2488">
        <v>121</v>
      </c>
      <c r="N2488" t="s">
        <v>20749</v>
      </c>
    </row>
    <row r="2489" spans="1:14">
      <c r="A2489" t="s">
        <v>9256</v>
      </c>
      <c r="B2489">
        <v>3024482</v>
      </c>
      <c r="C2489">
        <v>3025462</v>
      </c>
      <c r="E2489" t="s">
        <v>14290</v>
      </c>
      <c r="F2489" t="s">
        <v>14291</v>
      </c>
      <c r="H2489">
        <v>93523926</v>
      </c>
      <c r="I2489" t="s">
        <v>14292</v>
      </c>
      <c r="L2489" t="s">
        <v>20750</v>
      </c>
      <c r="M2489">
        <v>326</v>
      </c>
      <c r="N2489" t="s">
        <v>20751</v>
      </c>
    </row>
    <row r="2490" spans="1:14">
      <c r="A2490" t="s">
        <v>9256</v>
      </c>
      <c r="B2490">
        <v>3025505</v>
      </c>
      <c r="C2490">
        <v>3025984</v>
      </c>
      <c r="E2490" t="s">
        <v>14290</v>
      </c>
      <c r="F2490" t="s">
        <v>14291</v>
      </c>
      <c r="H2490">
        <v>93523927</v>
      </c>
      <c r="I2490" t="s">
        <v>14292</v>
      </c>
      <c r="L2490" t="s">
        <v>20752</v>
      </c>
      <c r="M2490">
        <v>159</v>
      </c>
      <c r="N2490" t="s">
        <v>20753</v>
      </c>
    </row>
    <row r="2491" spans="1:14">
      <c r="A2491" t="s">
        <v>9256</v>
      </c>
      <c r="B2491">
        <v>3026080</v>
      </c>
      <c r="C2491">
        <v>3026370</v>
      </c>
      <c r="E2491" t="s">
        <v>14290</v>
      </c>
      <c r="F2491" t="s">
        <v>20754</v>
      </c>
      <c r="H2491">
        <v>93523928</v>
      </c>
      <c r="I2491" t="s">
        <v>14292</v>
      </c>
      <c r="L2491" t="s">
        <v>20755</v>
      </c>
      <c r="M2491">
        <v>96</v>
      </c>
      <c r="N2491" t="s">
        <v>20756</v>
      </c>
    </row>
    <row r="2492" spans="1:14">
      <c r="A2492" t="s">
        <v>9256</v>
      </c>
      <c r="B2492">
        <v>3026655</v>
      </c>
      <c r="C2492">
        <v>3026933</v>
      </c>
      <c r="E2492" t="s">
        <v>14290</v>
      </c>
      <c r="F2492" t="s">
        <v>14291</v>
      </c>
      <c r="H2492">
        <v>93523929</v>
      </c>
      <c r="I2492" t="s">
        <v>14292</v>
      </c>
      <c r="L2492" t="s">
        <v>20757</v>
      </c>
      <c r="M2492">
        <v>92</v>
      </c>
      <c r="N2492" t="s">
        <v>20758</v>
      </c>
    </row>
    <row r="2493" spans="1:14">
      <c r="A2493" t="s">
        <v>9256</v>
      </c>
      <c r="B2493">
        <v>3026920</v>
      </c>
      <c r="C2493">
        <v>3027726</v>
      </c>
      <c r="E2493" t="s">
        <v>14290</v>
      </c>
      <c r="F2493" t="s">
        <v>20759</v>
      </c>
      <c r="H2493">
        <v>93523930</v>
      </c>
      <c r="I2493" t="s">
        <v>14292</v>
      </c>
      <c r="L2493" t="s">
        <v>20760</v>
      </c>
      <c r="M2493">
        <v>268</v>
      </c>
      <c r="N2493" t="s">
        <v>20761</v>
      </c>
    </row>
    <row r="2494" spans="1:14">
      <c r="A2494" t="s">
        <v>9256</v>
      </c>
      <c r="B2494">
        <v>3027728</v>
      </c>
      <c r="C2494">
        <v>3028486</v>
      </c>
      <c r="E2494" t="s">
        <v>14290</v>
      </c>
      <c r="F2494" t="s">
        <v>15311</v>
      </c>
      <c r="H2494">
        <v>93523931</v>
      </c>
      <c r="I2494" t="s">
        <v>14292</v>
      </c>
      <c r="L2494" t="s">
        <v>20762</v>
      </c>
      <c r="M2494">
        <v>252</v>
      </c>
      <c r="N2494" t="s">
        <v>20763</v>
      </c>
    </row>
    <row r="2495" spans="1:14">
      <c r="A2495" t="s">
        <v>9256</v>
      </c>
      <c r="B2495">
        <v>3028499</v>
      </c>
      <c r="C2495">
        <v>3029734</v>
      </c>
      <c r="E2495" t="s">
        <v>14290</v>
      </c>
      <c r="F2495" t="s">
        <v>14291</v>
      </c>
      <c r="H2495">
        <v>93523932</v>
      </c>
      <c r="I2495" t="s">
        <v>14292</v>
      </c>
      <c r="L2495" t="s">
        <v>20764</v>
      </c>
      <c r="M2495">
        <v>411</v>
      </c>
      <c r="N2495" t="s">
        <v>20765</v>
      </c>
    </row>
    <row r="2496" spans="1:14">
      <c r="A2496" t="s">
        <v>9256</v>
      </c>
      <c r="B2496">
        <v>3029747</v>
      </c>
      <c r="C2496">
        <v>3030628</v>
      </c>
      <c r="E2496" t="s">
        <v>14290</v>
      </c>
      <c r="F2496" t="s">
        <v>14291</v>
      </c>
      <c r="H2496">
        <v>93523933</v>
      </c>
      <c r="I2496" t="s">
        <v>14292</v>
      </c>
      <c r="L2496" t="s">
        <v>20766</v>
      </c>
      <c r="M2496">
        <v>293</v>
      </c>
      <c r="N2496" t="s">
        <v>20767</v>
      </c>
    </row>
    <row r="2497" spans="1:14">
      <c r="A2497" t="s">
        <v>9256</v>
      </c>
      <c r="B2497">
        <v>3030655</v>
      </c>
      <c r="C2497">
        <v>3031809</v>
      </c>
      <c r="E2497" t="s">
        <v>14290</v>
      </c>
      <c r="F2497" t="s">
        <v>14291</v>
      </c>
      <c r="H2497">
        <v>93523934</v>
      </c>
      <c r="I2497" t="s">
        <v>14292</v>
      </c>
      <c r="L2497" t="s">
        <v>20768</v>
      </c>
      <c r="M2497">
        <v>384</v>
      </c>
      <c r="N2497" t="s">
        <v>20769</v>
      </c>
    </row>
    <row r="2498" spans="1:14">
      <c r="A2498" t="s">
        <v>9256</v>
      </c>
      <c r="B2498">
        <v>3031929</v>
      </c>
      <c r="C2498">
        <v>3032783</v>
      </c>
      <c r="E2498" t="s">
        <v>14290</v>
      </c>
      <c r="F2498" t="s">
        <v>14291</v>
      </c>
      <c r="H2498">
        <v>93523935</v>
      </c>
      <c r="I2498" t="s">
        <v>14292</v>
      </c>
      <c r="L2498" t="s">
        <v>20770</v>
      </c>
      <c r="M2498">
        <v>284</v>
      </c>
      <c r="N2498" t="s">
        <v>20771</v>
      </c>
    </row>
    <row r="2499" spans="1:14">
      <c r="A2499" t="s">
        <v>9256</v>
      </c>
      <c r="B2499">
        <v>3033344</v>
      </c>
      <c r="C2499">
        <v>3033820</v>
      </c>
      <c r="E2499" t="s">
        <v>14314</v>
      </c>
      <c r="F2499" t="s">
        <v>14291</v>
      </c>
      <c r="H2499">
        <v>93523936</v>
      </c>
      <c r="I2499" t="s">
        <v>14292</v>
      </c>
      <c r="L2499" t="s">
        <v>20772</v>
      </c>
      <c r="M2499">
        <v>158</v>
      </c>
      <c r="N2499" t="s">
        <v>20773</v>
      </c>
    </row>
    <row r="2500" spans="1:14">
      <c r="A2500" t="s">
        <v>9256</v>
      </c>
      <c r="B2500">
        <v>3033832</v>
      </c>
      <c r="C2500">
        <v>3034722</v>
      </c>
      <c r="E2500" t="s">
        <v>14314</v>
      </c>
      <c r="F2500" t="s">
        <v>20774</v>
      </c>
      <c r="H2500">
        <v>93523937</v>
      </c>
      <c r="I2500" t="s">
        <v>14292</v>
      </c>
      <c r="L2500" t="s">
        <v>20775</v>
      </c>
      <c r="M2500">
        <v>296</v>
      </c>
      <c r="N2500" t="s">
        <v>20776</v>
      </c>
    </row>
    <row r="2501" spans="1:14">
      <c r="A2501" t="s">
        <v>9256</v>
      </c>
      <c r="B2501">
        <v>3034723</v>
      </c>
      <c r="C2501">
        <v>3035445</v>
      </c>
      <c r="E2501" t="s">
        <v>14314</v>
      </c>
      <c r="F2501" t="s">
        <v>20777</v>
      </c>
      <c r="G2501" t="s">
        <v>20778</v>
      </c>
      <c r="H2501">
        <v>93523938</v>
      </c>
      <c r="I2501" t="s">
        <v>14292</v>
      </c>
      <c r="L2501" t="s">
        <v>20779</v>
      </c>
      <c r="M2501">
        <v>240</v>
      </c>
      <c r="N2501" t="s">
        <v>20780</v>
      </c>
    </row>
    <row r="2502" spans="1:14">
      <c r="A2502" t="s">
        <v>9256</v>
      </c>
      <c r="B2502">
        <v>3035665</v>
      </c>
      <c r="C2502">
        <v>3036144</v>
      </c>
      <c r="E2502" t="s">
        <v>14314</v>
      </c>
      <c r="F2502" t="s">
        <v>15210</v>
      </c>
      <c r="H2502">
        <v>93523939</v>
      </c>
      <c r="I2502" t="s">
        <v>14292</v>
      </c>
      <c r="L2502" t="s">
        <v>20781</v>
      </c>
      <c r="M2502">
        <v>159</v>
      </c>
      <c r="N2502" t="s">
        <v>20782</v>
      </c>
    </row>
    <row r="2503" spans="1:14">
      <c r="A2503" t="s">
        <v>9256</v>
      </c>
      <c r="B2503">
        <v>3036141</v>
      </c>
      <c r="C2503">
        <v>3036599</v>
      </c>
      <c r="E2503" t="s">
        <v>14314</v>
      </c>
      <c r="F2503" t="s">
        <v>15213</v>
      </c>
      <c r="H2503">
        <v>93523940</v>
      </c>
      <c r="I2503" t="s">
        <v>14292</v>
      </c>
      <c r="L2503" t="s">
        <v>20783</v>
      </c>
      <c r="M2503">
        <v>152</v>
      </c>
      <c r="N2503" t="s">
        <v>20784</v>
      </c>
    </row>
    <row r="2504" spans="1:14">
      <c r="A2504" t="s">
        <v>9256</v>
      </c>
      <c r="B2504">
        <v>3036620</v>
      </c>
      <c r="C2504">
        <v>3037207</v>
      </c>
      <c r="E2504" t="s">
        <v>14314</v>
      </c>
      <c r="F2504" t="s">
        <v>15219</v>
      </c>
      <c r="H2504">
        <v>93523941</v>
      </c>
      <c r="I2504" t="s">
        <v>14292</v>
      </c>
      <c r="L2504" t="s">
        <v>20785</v>
      </c>
      <c r="M2504">
        <v>195</v>
      </c>
      <c r="N2504" t="s">
        <v>20786</v>
      </c>
    </row>
    <row r="2505" spans="1:14">
      <c r="A2505" t="s">
        <v>9256</v>
      </c>
      <c r="B2505">
        <v>3037204</v>
      </c>
      <c r="C2505">
        <v>3038118</v>
      </c>
      <c r="E2505" t="s">
        <v>14314</v>
      </c>
      <c r="F2505" t="s">
        <v>15222</v>
      </c>
      <c r="G2505" t="s">
        <v>15223</v>
      </c>
      <c r="H2505">
        <v>93523942</v>
      </c>
      <c r="I2505" t="s">
        <v>14292</v>
      </c>
      <c r="L2505" t="s">
        <v>20787</v>
      </c>
      <c r="M2505">
        <v>304</v>
      </c>
      <c r="N2505" t="s">
        <v>20788</v>
      </c>
    </row>
    <row r="2506" spans="1:14">
      <c r="A2506" t="s">
        <v>9256</v>
      </c>
      <c r="B2506">
        <v>3038169</v>
      </c>
      <c r="C2506">
        <v>3039476</v>
      </c>
      <c r="E2506" t="s">
        <v>14314</v>
      </c>
      <c r="F2506" t="s">
        <v>15226</v>
      </c>
      <c r="G2506" t="s">
        <v>15227</v>
      </c>
      <c r="H2506">
        <v>93523943</v>
      </c>
      <c r="I2506" t="s">
        <v>14292</v>
      </c>
      <c r="L2506" t="s">
        <v>20789</v>
      </c>
      <c r="M2506">
        <v>435</v>
      </c>
      <c r="N2506" t="s">
        <v>20790</v>
      </c>
    </row>
    <row r="2507" spans="1:14">
      <c r="A2507" t="s">
        <v>9256</v>
      </c>
      <c r="B2507">
        <v>3039427</v>
      </c>
      <c r="C2507">
        <v>3039729</v>
      </c>
      <c r="E2507" t="s">
        <v>14314</v>
      </c>
      <c r="F2507" t="s">
        <v>14291</v>
      </c>
      <c r="H2507">
        <v>93523944</v>
      </c>
      <c r="I2507" t="s">
        <v>14292</v>
      </c>
      <c r="L2507" t="s">
        <v>20791</v>
      </c>
      <c r="M2507">
        <v>100</v>
      </c>
      <c r="N2507" t="s">
        <v>20792</v>
      </c>
    </row>
    <row r="2508" spans="1:14">
      <c r="A2508" t="s">
        <v>9256</v>
      </c>
      <c r="B2508">
        <v>3039726</v>
      </c>
      <c r="C2508">
        <v>3040349</v>
      </c>
      <c r="E2508" t="s">
        <v>14314</v>
      </c>
      <c r="F2508" t="s">
        <v>15233</v>
      </c>
      <c r="G2508" t="s">
        <v>15234</v>
      </c>
      <c r="H2508">
        <v>93523945</v>
      </c>
      <c r="I2508" t="s">
        <v>14292</v>
      </c>
      <c r="L2508" t="s">
        <v>20793</v>
      </c>
      <c r="M2508">
        <v>207</v>
      </c>
      <c r="N2508" t="s">
        <v>20794</v>
      </c>
    </row>
    <row r="2509" spans="1:14">
      <c r="A2509" t="s">
        <v>9256</v>
      </c>
      <c r="B2509">
        <v>3040472</v>
      </c>
      <c r="C2509">
        <v>3041485</v>
      </c>
      <c r="E2509" t="s">
        <v>14314</v>
      </c>
      <c r="F2509" t="s">
        <v>15237</v>
      </c>
      <c r="G2509" t="s">
        <v>15238</v>
      </c>
      <c r="H2509">
        <v>93523946</v>
      </c>
      <c r="I2509" t="s">
        <v>14292</v>
      </c>
      <c r="L2509" t="s">
        <v>20795</v>
      </c>
      <c r="M2509">
        <v>337</v>
      </c>
      <c r="N2509" t="s">
        <v>20796</v>
      </c>
    </row>
    <row r="2510" spans="1:14">
      <c r="A2510" t="s">
        <v>9256</v>
      </c>
      <c r="B2510">
        <v>3041488</v>
      </c>
      <c r="C2510">
        <v>3042117</v>
      </c>
      <c r="E2510" t="s">
        <v>14314</v>
      </c>
      <c r="F2510" t="s">
        <v>15241</v>
      </c>
      <c r="H2510">
        <v>93523947</v>
      </c>
      <c r="I2510" t="s">
        <v>14292</v>
      </c>
      <c r="L2510" t="s">
        <v>20797</v>
      </c>
      <c r="M2510">
        <v>209</v>
      </c>
      <c r="N2510" t="s">
        <v>20798</v>
      </c>
    </row>
    <row r="2511" spans="1:14">
      <c r="A2511" t="s">
        <v>9256</v>
      </c>
      <c r="B2511">
        <v>3042114</v>
      </c>
      <c r="C2511">
        <v>3042470</v>
      </c>
      <c r="E2511" t="s">
        <v>14314</v>
      </c>
      <c r="F2511" t="s">
        <v>15244</v>
      </c>
      <c r="H2511">
        <v>93523948</v>
      </c>
      <c r="I2511" t="s">
        <v>14292</v>
      </c>
      <c r="L2511" t="s">
        <v>20799</v>
      </c>
      <c r="M2511">
        <v>118</v>
      </c>
      <c r="N2511" t="s">
        <v>20800</v>
      </c>
    </row>
    <row r="2512" spans="1:14">
      <c r="A2512" t="s">
        <v>9256</v>
      </c>
      <c r="B2512">
        <v>3042479</v>
      </c>
      <c r="C2512">
        <v>3045004</v>
      </c>
      <c r="E2512" t="s">
        <v>14314</v>
      </c>
      <c r="F2512" t="s">
        <v>16339</v>
      </c>
      <c r="H2512">
        <v>93523949</v>
      </c>
      <c r="I2512" t="s">
        <v>14292</v>
      </c>
      <c r="L2512" t="s">
        <v>20801</v>
      </c>
      <c r="M2512">
        <v>841</v>
      </c>
      <c r="N2512" t="s">
        <v>20802</v>
      </c>
    </row>
    <row r="2513" spans="1:14">
      <c r="A2513" t="s">
        <v>9256</v>
      </c>
      <c r="B2513">
        <v>3045001</v>
      </c>
      <c r="C2513">
        <v>3045330</v>
      </c>
      <c r="E2513" t="s">
        <v>14314</v>
      </c>
      <c r="F2513" t="s">
        <v>15252</v>
      </c>
      <c r="H2513">
        <v>93523950</v>
      </c>
      <c r="I2513" t="s">
        <v>14292</v>
      </c>
      <c r="L2513" t="s">
        <v>20803</v>
      </c>
      <c r="M2513">
        <v>109</v>
      </c>
      <c r="N2513" t="s">
        <v>20804</v>
      </c>
    </row>
    <row r="2514" spans="1:14">
      <c r="A2514" t="s">
        <v>9256</v>
      </c>
      <c r="B2514">
        <v>3045336</v>
      </c>
      <c r="C2514">
        <v>3045632</v>
      </c>
      <c r="E2514" t="s">
        <v>14314</v>
      </c>
      <c r="F2514" t="s">
        <v>15255</v>
      </c>
      <c r="H2514">
        <v>93523951</v>
      </c>
      <c r="I2514" t="s">
        <v>14292</v>
      </c>
      <c r="L2514" t="s">
        <v>20805</v>
      </c>
      <c r="M2514">
        <v>98</v>
      </c>
      <c r="N2514" t="s">
        <v>20806</v>
      </c>
    </row>
    <row r="2515" spans="1:14">
      <c r="A2515" t="s">
        <v>9256</v>
      </c>
      <c r="B2515">
        <v>3046192</v>
      </c>
      <c r="C2515">
        <v>3047202</v>
      </c>
      <c r="E2515" t="s">
        <v>14290</v>
      </c>
      <c r="F2515" t="s">
        <v>14291</v>
      </c>
      <c r="H2515">
        <v>93523952</v>
      </c>
      <c r="I2515" t="s">
        <v>14292</v>
      </c>
      <c r="L2515" t="s">
        <v>20807</v>
      </c>
      <c r="M2515">
        <v>336</v>
      </c>
      <c r="N2515" t="s">
        <v>20808</v>
      </c>
    </row>
    <row r="2516" spans="1:14">
      <c r="A2516" t="s">
        <v>9256</v>
      </c>
      <c r="B2516">
        <v>3047235</v>
      </c>
      <c r="C2516">
        <v>3048374</v>
      </c>
      <c r="E2516" t="s">
        <v>14290</v>
      </c>
      <c r="F2516" t="s">
        <v>20809</v>
      </c>
      <c r="H2516">
        <v>93523953</v>
      </c>
      <c r="I2516" t="s">
        <v>14292</v>
      </c>
      <c r="L2516" t="s">
        <v>20810</v>
      </c>
      <c r="M2516">
        <v>379</v>
      </c>
      <c r="N2516" t="s">
        <v>20811</v>
      </c>
    </row>
    <row r="2517" spans="1:14">
      <c r="A2517" t="s">
        <v>9256</v>
      </c>
      <c r="B2517">
        <v>3048830</v>
      </c>
      <c r="C2517">
        <v>3049495</v>
      </c>
      <c r="E2517" t="s">
        <v>14314</v>
      </c>
      <c r="F2517" t="s">
        <v>20812</v>
      </c>
      <c r="H2517">
        <v>93523954</v>
      </c>
      <c r="I2517" t="s">
        <v>14292</v>
      </c>
      <c r="L2517" t="s">
        <v>20813</v>
      </c>
      <c r="M2517">
        <v>221</v>
      </c>
      <c r="N2517" t="s">
        <v>20814</v>
      </c>
    </row>
    <row r="2518" spans="1:14">
      <c r="A2518" t="s">
        <v>9256</v>
      </c>
      <c r="B2518">
        <v>3049483</v>
      </c>
      <c r="C2518">
        <v>3049932</v>
      </c>
      <c r="E2518" t="s">
        <v>14314</v>
      </c>
      <c r="F2518" t="s">
        <v>15260</v>
      </c>
      <c r="H2518">
        <v>93523955</v>
      </c>
      <c r="I2518" t="s">
        <v>14292</v>
      </c>
      <c r="L2518" t="s">
        <v>20815</v>
      </c>
      <c r="M2518">
        <v>149</v>
      </c>
      <c r="N2518" t="s">
        <v>20816</v>
      </c>
    </row>
    <row r="2519" spans="1:14">
      <c r="A2519" t="s">
        <v>9256</v>
      </c>
      <c r="B2519">
        <v>3049941</v>
      </c>
      <c r="C2519">
        <v>3050735</v>
      </c>
      <c r="E2519" t="s">
        <v>14314</v>
      </c>
      <c r="F2519" t="s">
        <v>15265</v>
      </c>
      <c r="H2519">
        <v>93523956</v>
      </c>
      <c r="I2519" t="s">
        <v>14292</v>
      </c>
      <c r="L2519" t="s">
        <v>20817</v>
      </c>
      <c r="M2519">
        <v>264</v>
      </c>
      <c r="N2519" t="s">
        <v>20818</v>
      </c>
    </row>
    <row r="2520" spans="1:14">
      <c r="A2520" t="s">
        <v>9256</v>
      </c>
      <c r="B2520">
        <v>3051455</v>
      </c>
      <c r="C2520">
        <v>3051877</v>
      </c>
      <c r="E2520" t="s">
        <v>14290</v>
      </c>
      <c r="F2520" t="s">
        <v>15270</v>
      </c>
      <c r="G2520" t="s">
        <v>15271</v>
      </c>
      <c r="H2520">
        <v>93523957</v>
      </c>
      <c r="I2520" t="s">
        <v>14292</v>
      </c>
      <c r="L2520" t="s">
        <v>20819</v>
      </c>
      <c r="M2520">
        <v>140</v>
      </c>
      <c r="N2520" t="s">
        <v>20820</v>
      </c>
    </row>
    <row r="2521" spans="1:14">
      <c r="A2521" t="s">
        <v>9256</v>
      </c>
      <c r="B2521">
        <v>3051862</v>
      </c>
      <c r="C2521">
        <v>3053109</v>
      </c>
      <c r="E2521" t="s">
        <v>14290</v>
      </c>
      <c r="F2521" t="s">
        <v>15274</v>
      </c>
      <c r="G2521" t="s">
        <v>15275</v>
      </c>
      <c r="H2521">
        <v>93523958</v>
      </c>
      <c r="I2521" t="s">
        <v>14292</v>
      </c>
      <c r="L2521" t="s">
        <v>20821</v>
      </c>
      <c r="M2521">
        <v>415</v>
      </c>
      <c r="N2521" t="s">
        <v>20822</v>
      </c>
    </row>
    <row r="2522" spans="1:14">
      <c r="A2522" t="s">
        <v>9256</v>
      </c>
      <c r="B2522">
        <v>3053146</v>
      </c>
      <c r="C2522">
        <v>3055176</v>
      </c>
      <c r="E2522" t="s">
        <v>14290</v>
      </c>
      <c r="F2522" t="s">
        <v>15278</v>
      </c>
      <c r="G2522" t="s">
        <v>15279</v>
      </c>
      <c r="H2522">
        <v>93523959</v>
      </c>
      <c r="I2522" t="s">
        <v>14292</v>
      </c>
      <c r="L2522" t="s">
        <v>20823</v>
      </c>
      <c r="M2522">
        <v>676</v>
      </c>
      <c r="N2522" t="s">
        <v>20824</v>
      </c>
    </row>
    <row r="2523" spans="1:14">
      <c r="A2523" t="s">
        <v>9256</v>
      </c>
      <c r="B2523">
        <v>3055282</v>
      </c>
      <c r="C2523">
        <v>3055650</v>
      </c>
      <c r="E2523" t="s">
        <v>14314</v>
      </c>
      <c r="F2523" t="s">
        <v>14291</v>
      </c>
      <c r="H2523">
        <v>93523960</v>
      </c>
      <c r="I2523" t="s">
        <v>14292</v>
      </c>
      <c r="L2523" t="s">
        <v>20825</v>
      </c>
      <c r="M2523">
        <v>122</v>
      </c>
      <c r="N2523" t="s">
        <v>20826</v>
      </c>
    </row>
    <row r="2524" spans="1:14">
      <c r="A2524" t="s">
        <v>9256</v>
      </c>
      <c r="B2524">
        <v>3055657</v>
      </c>
      <c r="C2524">
        <v>3056466</v>
      </c>
      <c r="E2524" t="s">
        <v>14314</v>
      </c>
      <c r="F2524" t="s">
        <v>20827</v>
      </c>
      <c r="H2524">
        <v>93523961</v>
      </c>
      <c r="I2524" t="s">
        <v>14292</v>
      </c>
      <c r="L2524" t="s">
        <v>20828</v>
      </c>
      <c r="M2524">
        <v>269</v>
      </c>
      <c r="N2524" t="s">
        <v>20829</v>
      </c>
    </row>
    <row r="2525" spans="1:14">
      <c r="A2525" t="s">
        <v>9256</v>
      </c>
      <c r="B2525">
        <v>3056558</v>
      </c>
      <c r="C2525">
        <v>3057319</v>
      </c>
      <c r="E2525" t="s">
        <v>14314</v>
      </c>
      <c r="F2525" t="s">
        <v>14291</v>
      </c>
      <c r="H2525">
        <v>93523962</v>
      </c>
      <c r="I2525" t="s">
        <v>14292</v>
      </c>
      <c r="L2525" t="s">
        <v>20830</v>
      </c>
      <c r="M2525">
        <v>253</v>
      </c>
      <c r="N2525" t="s">
        <v>20831</v>
      </c>
    </row>
    <row r="2526" spans="1:14">
      <c r="A2526" t="s">
        <v>9256</v>
      </c>
      <c r="B2526">
        <v>3057328</v>
      </c>
      <c r="C2526">
        <v>3057876</v>
      </c>
      <c r="E2526" t="s">
        <v>14314</v>
      </c>
      <c r="F2526" t="s">
        <v>20832</v>
      </c>
      <c r="H2526">
        <v>93523963</v>
      </c>
      <c r="I2526" t="s">
        <v>14292</v>
      </c>
      <c r="L2526" t="s">
        <v>20833</v>
      </c>
      <c r="M2526">
        <v>182</v>
      </c>
      <c r="N2526" t="s">
        <v>20834</v>
      </c>
    </row>
    <row r="2527" spans="1:14">
      <c r="A2527" t="s">
        <v>9256</v>
      </c>
      <c r="B2527">
        <v>3057878</v>
      </c>
      <c r="C2527">
        <v>3058630</v>
      </c>
      <c r="E2527" t="s">
        <v>14314</v>
      </c>
      <c r="F2527" t="s">
        <v>20777</v>
      </c>
      <c r="G2527" t="s">
        <v>20778</v>
      </c>
      <c r="H2527">
        <v>93523964</v>
      </c>
      <c r="I2527" t="s">
        <v>14292</v>
      </c>
      <c r="L2527" t="s">
        <v>20835</v>
      </c>
      <c r="M2527">
        <v>250</v>
      </c>
      <c r="N2527" t="s">
        <v>20836</v>
      </c>
    </row>
    <row r="2528" spans="1:14">
      <c r="A2528" t="s">
        <v>9256</v>
      </c>
      <c r="B2528">
        <v>3058655</v>
      </c>
      <c r="C2528">
        <v>3061147</v>
      </c>
      <c r="E2528" t="s">
        <v>14314</v>
      </c>
      <c r="F2528" t="s">
        <v>20837</v>
      </c>
      <c r="G2528" t="s">
        <v>20838</v>
      </c>
      <c r="H2528">
        <v>93523965</v>
      </c>
      <c r="I2528" t="s">
        <v>14292</v>
      </c>
      <c r="L2528" t="s">
        <v>20839</v>
      </c>
      <c r="M2528">
        <v>830</v>
      </c>
      <c r="N2528" t="s">
        <v>20840</v>
      </c>
    </row>
    <row r="2529" spans="1:14">
      <c r="A2529" t="s">
        <v>9256</v>
      </c>
      <c r="B2529">
        <v>3061151</v>
      </c>
      <c r="C2529">
        <v>3062059</v>
      </c>
      <c r="E2529" t="s">
        <v>14314</v>
      </c>
      <c r="F2529" t="s">
        <v>20841</v>
      </c>
      <c r="H2529">
        <v>93523966</v>
      </c>
      <c r="I2529" t="s">
        <v>14292</v>
      </c>
      <c r="L2529" t="s">
        <v>20842</v>
      </c>
      <c r="M2529">
        <v>302</v>
      </c>
      <c r="N2529" t="s">
        <v>20843</v>
      </c>
    </row>
    <row r="2530" spans="1:14">
      <c r="A2530" t="s">
        <v>9256</v>
      </c>
      <c r="B2530">
        <v>3062061</v>
      </c>
      <c r="C2530">
        <v>3062573</v>
      </c>
      <c r="E2530" t="s">
        <v>14314</v>
      </c>
      <c r="F2530" t="s">
        <v>20844</v>
      </c>
      <c r="H2530">
        <v>93523967</v>
      </c>
      <c r="I2530" t="s">
        <v>14292</v>
      </c>
      <c r="L2530" t="s">
        <v>20845</v>
      </c>
      <c r="M2530">
        <v>170</v>
      </c>
      <c r="N2530" t="s">
        <v>20846</v>
      </c>
    </row>
    <row r="2531" spans="1:14">
      <c r="A2531" t="s">
        <v>9256</v>
      </c>
      <c r="B2531">
        <v>3062585</v>
      </c>
      <c r="C2531">
        <v>3063088</v>
      </c>
      <c r="E2531" t="s">
        <v>14314</v>
      </c>
      <c r="F2531" t="s">
        <v>20847</v>
      </c>
      <c r="H2531">
        <v>93523968</v>
      </c>
      <c r="I2531" t="s">
        <v>14292</v>
      </c>
      <c r="L2531" t="s">
        <v>20848</v>
      </c>
      <c r="M2531">
        <v>167</v>
      </c>
      <c r="N2531" t="s">
        <v>20849</v>
      </c>
    </row>
    <row r="2532" spans="1:14">
      <c r="A2532" t="s">
        <v>9256</v>
      </c>
      <c r="B2532">
        <v>3063108</v>
      </c>
      <c r="C2532">
        <v>3064070</v>
      </c>
      <c r="E2532" t="s">
        <v>14314</v>
      </c>
      <c r="F2532" t="s">
        <v>20850</v>
      </c>
      <c r="H2532">
        <v>93523969</v>
      </c>
      <c r="I2532" t="s">
        <v>14292</v>
      </c>
      <c r="L2532" t="s">
        <v>20851</v>
      </c>
      <c r="M2532">
        <v>320</v>
      </c>
      <c r="N2532" t="s">
        <v>20852</v>
      </c>
    </row>
    <row r="2533" spans="1:14">
      <c r="A2533" t="s">
        <v>9256</v>
      </c>
      <c r="B2533">
        <v>3064091</v>
      </c>
      <c r="C2533">
        <v>3065251</v>
      </c>
      <c r="E2533" t="s">
        <v>14314</v>
      </c>
      <c r="F2533" t="s">
        <v>14291</v>
      </c>
      <c r="H2533">
        <v>93523970</v>
      </c>
      <c r="I2533" t="s">
        <v>14292</v>
      </c>
      <c r="L2533" t="s">
        <v>20853</v>
      </c>
      <c r="M2533">
        <v>386</v>
      </c>
      <c r="N2533" t="s">
        <v>20854</v>
      </c>
    </row>
    <row r="2534" spans="1:14">
      <c r="A2534" t="s">
        <v>9256</v>
      </c>
      <c r="B2534">
        <v>3065263</v>
      </c>
      <c r="C2534">
        <v>3066141</v>
      </c>
      <c r="E2534" t="s">
        <v>14314</v>
      </c>
      <c r="F2534" t="s">
        <v>20855</v>
      </c>
      <c r="H2534">
        <v>93523971</v>
      </c>
      <c r="I2534" t="s">
        <v>14292</v>
      </c>
      <c r="L2534" t="s">
        <v>20856</v>
      </c>
      <c r="M2534">
        <v>292</v>
      </c>
      <c r="N2534" t="s">
        <v>20857</v>
      </c>
    </row>
    <row r="2535" spans="1:14">
      <c r="A2535" t="s">
        <v>9256</v>
      </c>
      <c r="B2535">
        <v>3066153</v>
      </c>
      <c r="C2535">
        <v>3067997</v>
      </c>
      <c r="E2535" t="s">
        <v>14314</v>
      </c>
      <c r="F2535" t="s">
        <v>20858</v>
      </c>
      <c r="H2535">
        <v>93523972</v>
      </c>
      <c r="I2535" t="s">
        <v>14292</v>
      </c>
      <c r="L2535" t="s">
        <v>20859</v>
      </c>
      <c r="M2535">
        <v>614</v>
      </c>
      <c r="N2535" t="s">
        <v>20860</v>
      </c>
    </row>
    <row r="2536" spans="1:14">
      <c r="A2536" t="s">
        <v>9256</v>
      </c>
      <c r="B2536">
        <v>3068005</v>
      </c>
      <c r="C2536">
        <v>3068469</v>
      </c>
      <c r="E2536" t="s">
        <v>14314</v>
      </c>
      <c r="F2536" t="s">
        <v>17020</v>
      </c>
      <c r="H2536">
        <v>93523973</v>
      </c>
      <c r="I2536" t="s">
        <v>14292</v>
      </c>
      <c r="L2536" t="s">
        <v>20861</v>
      </c>
      <c r="M2536">
        <v>154</v>
      </c>
      <c r="N2536" t="s">
        <v>20862</v>
      </c>
    </row>
    <row r="2537" spans="1:14">
      <c r="A2537" t="s">
        <v>9256</v>
      </c>
      <c r="B2537">
        <v>3068460</v>
      </c>
      <c r="C2537">
        <v>3068900</v>
      </c>
      <c r="E2537" t="s">
        <v>14314</v>
      </c>
      <c r="F2537" t="s">
        <v>20777</v>
      </c>
      <c r="G2537" t="s">
        <v>20778</v>
      </c>
      <c r="H2537">
        <v>93523974</v>
      </c>
      <c r="I2537" t="s">
        <v>14292</v>
      </c>
      <c r="L2537" t="s">
        <v>20863</v>
      </c>
      <c r="M2537">
        <v>146</v>
      </c>
      <c r="N2537" t="s">
        <v>20864</v>
      </c>
    </row>
    <row r="2538" spans="1:14">
      <c r="A2538" t="s">
        <v>9256</v>
      </c>
      <c r="B2538">
        <v>3068903</v>
      </c>
      <c r="C2538">
        <v>3069301</v>
      </c>
      <c r="E2538" t="s">
        <v>14314</v>
      </c>
      <c r="F2538" t="s">
        <v>20777</v>
      </c>
      <c r="G2538" t="s">
        <v>20778</v>
      </c>
      <c r="H2538">
        <v>93523975</v>
      </c>
      <c r="I2538" t="s">
        <v>14292</v>
      </c>
      <c r="L2538" t="s">
        <v>20865</v>
      </c>
      <c r="M2538">
        <v>132</v>
      </c>
      <c r="N2538" t="s">
        <v>20866</v>
      </c>
    </row>
    <row r="2539" spans="1:14">
      <c r="A2539" t="s">
        <v>9256</v>
      </c>
      <c r="B2539">
        <v>3069316</v>
      </c>
      <c r="C2539">
        <v>3069609</v>
      </c>
      <c r="E2539" t="s">
        <v>14314</v>
      </c>
      <c r="F2539" t="s">
        <v>14291</v>
      </c>
      <c r="H2539">
        <v>93523976</v>
      </c>
      <c r="I2539" t="s">
        <v>14292</v>
      </c>
      <c r="L2539" t="s">
        <v>20867</v>
      </c>
      <c r="M2539">
        <v>97</v>
      </c>
      <c r="N2539" t="s">
        <v>20868</v>
      </c>
    </row>
    <row r="2540" spans="1:14">
      <c r="A2540" t="s">
        <v>9256</v>
      </c>
      <c r="B2540">
        <v>3070017</v>
      </c>
      <c r="C2540">
        <v>3071102</v>
      </c>
      <c r="E2540" t="s">
        <v>14314</v>
      </c>
      <c r="F2540" t="s">
        <v>14291</v>
      </c>
      <c r="H2540">
        <v>93523977</v>
      </c>
      <c r="I2540" t="s">
        <v>14292</v>
      </c>
      <c r="L2540" t="s">
        <v>20869</v>
      </c>
      <c r="M2540">
        <v>361</v>
      </c>
      <c r="N2540" t="s">
        <v>20870</v>
      </c>
    </row>
    <row r="2541" spans="1:14">
      <c r="A2541" t="s">
        <v>9256</v>
      </c>
      <c r="B2541">
        <v>3071115</v>
      </c>
      <c r="C2541">
        <v>3071528</v>
      </c>
      <c r="E2541" t="s">
        <v>14314</v>
      </c>
      <c r="F2541" t="s">
        <v>20777</v>
      </c>
      <c r="G2541" t="s">
        <v>20778</v>
      </c>
      <c r="H2541">
        <v>93523978</v>
      </c>
      <c r="I2541" t="s">
        <v>14292</v>
      </c>
      <c r="L2541" t="s">
        <v>20871</v>
      </c>
      <c r="M2541">
        <v>137</v>
      </c>
      <c r="N2541" t="s">
        <v>20872</v>
      </c>
    </row>
    <row r="2542" spans="1:14">
      <c r="A2542" t="s">
        <v>9256</v>
      </c>
      <c r="B2542">
        <v>3071542</v>
      </c>
      <c r="C2542">
        <v>3071964</v>
      </c>
      <c r="E2542" t="s">
        <v>14314</v>
      </c>
      <c r="F2542" t="s">
        <v>20777</v>
      </c>
      <c r="G2542" t="s">
        <v>20778</v>
      </c>
      <c r="H2542">
        <v>93523979</v>
      </c>
      <c r="I2542" t="s">
        <v>14292</v>
      </c>
      <c r="L2542" t="s">
        <v>20873</v>
      </c>
      <c r="M2542">
        <v>140</v>
      </c>
      <c r="N2542" t="s">
        <v>20874</v>
      </c>
    </row>
    <row r="2543" spans="1:14">
      <c r="A2543" t="s">
        <v>9256</v>
      </c>
      <c r="B2543">
        <v>3071976</v>
      </c>
      <c r="C2543">
        <v>3074453</v>
      </c>
      <c r="E2543" t="s">
        <v>14314</v>
      </c>
      <c r="F2543" t="s">
        <v>20875</v>
      </c>
      <c r="H2543">
        <v>93523980</v>
      </c>
      <c r="I2543" t="s">
        <v>14292</v>
      </c>
      <c r="L2543" t="s">
        <v>20876</v>
      </c>
      <c r="M2543">
        <v>825</v>
      </c>
      <c r="N2543" t="s">
        <v>20877</v>
      </c>
    </row>
    <row r="2544" spans="1:14">
      <c r="A2544" t="s">
        <v>9256</v>
      </c>
      <c r="B2544">
        <v>3074701</v>
      </c>
      <c r="C2544">
        <v>3075681</v>
      </c>
      <c r="E2544" t="s">
        <v>14314</v>
      </c>
      <c r="F2544" t="s">
        <v>15696</v>
      </c>
      <c r="H2544">
        <v>93523981</v>
      </c>
      <c r="I2544" t="s">
        <v>14292</v>
      </c>
      <c r="L2544" t="s">
        <v>15697</v>
      </c>
      <c r="M2544">
        <v>326</v>
      </c>
      <c r="N2544" t="s">
        <v>20878</v>
      </c>
    </row>
    <row r="2545" spans="1:14">
      <c r="A2545" t="s">
        <v>9256</v>
      </c>
      <c r="B2545">
        <v>3075877</v>
      </c>
      <c r="C2545">
        <v>3076275</v>
      </c>
      <c r="E2545" t="s">
        <v>14290</v>
      </c>
      <c r="F2545" t="s">
        <v>20777</v>
      </c>
      <c r="G2545" t="s">
        <v>20778</v>
      </c>
      <c r="H2545">
        <v>93523982</v>
      </c>
      <c r="I2545" t="s">
        <v>14292</v>
      </c>
      <c r="L2545" t="s">
        <v>20879</v>
      </c>
      <c r="M2545">
        <v>132</v>
      </c>
      <c r="N2545" t="s">
        <v>20880</v>
      </c>
    </row>
    <row r="2546" spans="1:14">
      <c r="A2546" t="s">
        <v>9256</v>
      </c>
      <c r="B2546">
        <v>3076393</v>
      </c>
      <c r="C2546">
        <v>3078201</v>
      </c>
      <c r="E2546" t="s">
        <v>14290</v>
      </c>
      <c r="F2546" t="s">
        <v>20881</v>
      </c>
      <c r="H2546">
        <v>93523983</v>
      </c>
      <c r="I2546" t="s">
        <v>14292</v>
      </c>
      <c r="L2546" t="s">
        <v>20882</v>
      </c>
      <c r="M2546">
        <v>602</v>
      </c>
      <c r="N2546" t="s">
        <v>20883</v>
      </c>
    </row>
    <row r="2547" spans="1:14">
      <c r="A2547" t="s">
        <v>9256</v>
      </c>
      <c r="B2547">
        <v>3078213</v>
      </c>
      <c r="C2547">
        <v>3079571</v>
      </c>
      <c r="E2547" t="s">
        <v>14290</v>
      </c>
      <c r="F2547" t="s">
        <v>14291</v>
      </c>
      <c r="H2547">
        <v>93523984</v>
      </c>
      <c r="I2547" t="s">
        <v>14292</v>
      </c>
      <c r="L2547" t="s">
        <v>20884</v>
      </c>
      <c r="M2547">
        <v>452</v>
      </c>
      <c r="N2547" t="s">
        <v>20885</v>
      </c>
    </row>
    <row r="2548" spans="1:14">
      <c r="A2548" t="s">
        <v>9256</v>
      </c>
      <c r="B2548">
        <v>3079617</v>
      </c>
      <c r="C2548">
        <v>3080090</v>
      </c>
      <c r="E2548" t="s">
        <v>14290</v>
      </c>
      <c r="F2548" t="s">
        <v>14291</v>
      </c>
      <c r="H2548">
        <v>93523985</v>
      </c>
      <c r="I2548" t="s">
        <v>14292</v>
      </c>
      <c r="L2548" t="s">
        <v>20886</v>
      </c>
      <c r="M2548">
        <v>157</v>
      </c>
      <c r="N2548" t="s">
        <v>20887</v>
      </c>
    </row>
    <row r="2549" spans="1:14">
      <c r="A2549" t="s">
        <v>9256</v>
      </c>
      <c r="B2549">
        <v>3080087</v>
      </c>
      <c r="C2549">
        <v>3081463</v>
      </c>
      <c r="E2549" t="s">
        <v>14290</v>
      </c>
      <c r="F2549" t="s">
        <v>20888</v>
      </c>
      <c r="H2549">
        <v>93523986</v>
      </c>
      <c r="I2549" t="s">
        <v>14292</v>
      </c>
      <c r="L2549" t="s">
        <v>20889</v>
      </c>
      <c r="M2549">
        <v>458</v>
      </c>
      <c r="N2549" t="s">
        <v>20890</v>
      </c>
    </row>
    <row r="2550" spans="1:14">
      <c r="A2550" t="s">
        <v>9256</v>
      </c>
      <c r="B2550">
        <v>3081545</v>
      </c>
      <c r="C2550">
        <v>3085909</v>
      </c>
      <c r="E2550" t="s">
        <v>14290</v>
      </c>
      <c r="F2550" t="s">
        <v>20891</v>
      </c>
      <c r="H2550">
        <v>93523987</v>
      </c>
      <c r="I2550" t="s">
        <v>14292</v>
      </c>
      <c r="L2550" t="s">
        <v>20892</v>
      </c>
      <c r="M2550">
        <v>1454</v>
      </c>
      <c r="N2550" t="s">
        <v>20893</v>
      </c>
    </row>
    <row r="2551" spans="1:14">
      <c r="A2551" t="s">
        <v>9256</v>
      </c>
      <c r="B2551">
        <v>3085935</v>
      </c>
      <c r="C2551">
        <v>3086627</v>
      </c>
      <c r="E2551" t="s">
        <v>14290</v>
      </c>
      <c r="F2551" t="s">
        <v>20894</v>
      </c>
      <c r="H2551">
        <v>93523988</v>
      </c>
      <c r="I2551" t="s">
        <v>14292</v>
      </c>
      <c r="L2551" t="s">
        <v>20895</v>
      </c>
      <c r="M2551">
        <v>230</v>
      </c>
      <c r="N2551" t="s">
        <v>20896</v>
      </c>
    </row>
    <row r="2552" spans="1:14">
      <c r="A2552" t="s">
        <v>9256</v>
      </c>
      <c r="B2552">
        <v>3086998</v>
      </c>
      <c r="C2552">
        <v>3087858</v>
      </c>
      <c r="E2552" t="s">
        <v>14314</v>
      </c>
      <c r="F2552" t="s">
        <v>14291</v>
      </c>
      <c r="H2552">
        <v>93523989</v>
      </c>
      <c r="I2552" t="s">
        <v>14292</v>
      </c>
      <c r="L2552" t="s">
        <v>20897</v>
      </c>
      <c r="M2552">
        <v>286</v>
      </c>
      <c r="N2552" t="s">
        <v>20898</v>
      </c>
    </row>
    <row r="2553" spans="1:14">
      <c r="A2553" t="s">
        <v>9256</v>
      </c>
      <c r="B2553">
        <v>3087865</v>
      </c>
      <c r="C2553">
        <v>3088926</v>
      </c>
      <c r="E2553" t="s">
        <v>14314</v>
      </c>
      <c r="F2553" t="s">
        <v>15166</v>
      </c>
      <c r="H2553">
        <v>93523990</v>
      </c>
      <c r="I2553" t="s">
        <v>14292</v>
      </c>
      <c r="L2553" t="s">
        <v>20899</v>
      </c>
      <c r="M2553">
        <v>353</v>
      </c>
      <c r="N2553" t="s">
        <v>20900</v>
      </c>
    </row>
    <row r="2554" spans="1:14">
      <c r="A2554" t="s">
        <v>9256</v>
      </c>
      <c r="B2554">
        <v>3088920</v>
      </c>
      <c r="C2554">
        <v>3090050</v>
      </c>
      <c r="E2554" t="s">
        <v>14314</v>
      </c>
      <c r="F2554" t="s">
        <v>20901</v>
      </c>
      <c r="H2554">
        <v>93523991</v>
      </c>
      <c r="I2554" t="s">
        <v>14292</v>
      </c>
      <c r="L2554" t="s">
        <v>20902</v>
      </c>
      <c r="M2554">
        <v>376</v>
      </c>
      <c r="N2554" t="s">
        <v>20903</v>
      </c>
    </row>
    <row r="2555" spans="1:14">
      <c r="A2555" t="s">
        <v>9256</v>
      </c>
      <c r="B2555">
        <v>3090253</v>
      </c>
      <c r="C2555">
        <v>3094617</v>
      </c>
      <c r="E2555" t="s">
        <v>14290</v>
      </c>
      <c r="F2555" t="s">
        <v>20891</v>
      </c>
      <c r="H2555">
        <v>93523992</v>
      </c>
      <c r="I2555" t="s">
        <v>14292</v>
      </c>
      <c r="L2555" t="s">
        <v>20904</v>
      </c>
      <c r="M2555">
        <v>1454</v>
      </c>
      <c r="N2555" t="s">
        <v>20905</v>
      </c>
    </row>
    <row r="2556" spans="1:14">
      <c r="A2556" t="s">
        <v>9256</v>
      </c>
      <c r="B2556">
        <v>3094651</v>
      </c>
      <c r="C2556">
        <v>3095271</v>
      </c>
      <c r="E2556" t="s">
        <v>14290</v>
      </c>
      <c r="F2556" t="s">
        <v>14291</v>
      </c>
      <c r="H2556">
        <v>93523993</v>
      </c>
      <c r="I2556" t="s">
        <v>14292</v>
      </c>
      <c r="L2556" t="s">
        <v>20906</v>
      </c>
      <c r="M2556">
        <v>206</v>
      </c>
      <c r="N2556" t="s">
        <v>20907</v>
      </c>
    </row>
    <row r="2557" spans="1:14">
      <c r="A2557" t="s">
        <v>9256</v>
      </c>
      <c r="B2557">
        <v>3095414</v>
      </c>
      <c r="C2557">
        <v>3096334</v>
      </c>
      <c r="E2557" t="s">
        <v>14290</v>
      </c>
      <c r="F2557" t="s">
        <v>14291</v>
      </c>
      <c r="H2557">
        <v>93523994</v>
      </c>
      <c r="I2557" t="s">
        <v>14292</v>
      </c>
      <c r="L2557" t="s">
        <v>20908</v>
      </c>
      <c r="M2557">
        <v>306</v>
      </c>
      <c r="N2557" t="s">
        <v>20909</v>
      </c>
    </row>
    <row r="2558" spans="1:14">
      <c r="A2558" t="s">
        <v>9256</v>
      </c>
      <c r="B2558">
        <v>3096359</v>
      </c>
      <c r="C2558">
        <v>3098632</v>
      </c>
      <c r="E2558" t="s">
        <v>14290</v>
      </c>
      <c r="F2558" t="s">
        <v>14291</v>
      </c>
      <c r="H2558">
        <v>93523995</v>
      </c>
      <c r="I2558" t="s">
        <v>14292</v>
      </c>
      <c r="L2558" t="s">
        <v>20910</v>
      </c>
      <c r="M2558">
        <v>757</v>
      </c>
      <c r="N2558" t="s">
        <v>20911</v>
      </c>
    </row>
    <row r="2559" spans="1:14">
      <c r="A2559" t="s">
        <v>9256</v>
      </c>
      <c r="B2559">
        <v>3098817</v>
      </c>
      <c r="C2559">
        <v>3100049</v>
      </c>
      <c r="E2559" t="s">
        <v>14290</v>
      </c>
      <c r="F2559" t="s">
        <v>15166</v>
      </c>
      <c r="H2559">
        <v>93523996</v>
      </c>
      <c r="I2559" t="s">
        <v>14292</v>
      </c>
      <c r="L2559" t="s">
        <v>20912</v>
      </c>
      <c r="M2559">
        <v>410</v>
      </c>
      <c r="N2559" t="s">
        <v>20913</v>
      </c>
    </row>
    <row r="2560" spans="1:14">
      <c r="A2560" t="s">
        <v>9256</v>
      </c>
      <c r="B2560">
        <v>3100046</v>
      </c>
      <c r="C2560">
        <v>3100549</v>
      </c>
      <c r="E2560" t="s">
        <v>14290</v>
      </c>
      <c r="F2560" t="s">
        <v>14291</v>
      </c>
      <c r="H2560">
        <v>93523997</v>
      </c>
      <c r="I2560" t="s">
        <v>14292</v>
      </c>
      <c r="L2560" t="s">
        <v>20914</v>
      </c>
      <c r="M2560">
        <v>167</v>
      </c>
      <c r="N2560" t="s">
        <v>20915</v>
      </c>
    </row>
    <row r="2561" spans="1:14">
      <c r="A2561" t="s">
        <v>9256</v>
      </c>
      <c r="B2561">
        <v>3100656</v>
      </c>
      <c r="C2561">
        <v>3101636</v>
      </c>
      <c r="E2561" t="s">
        <v>14290</v>
      </c>
      <c r="F2561" t="s">
        <v>20916</v>
      </c>
      <c r="H2561">
        <v>93523998</v>
      </c>
      <c r="I2561" t="s">
        <v>14292</v>
      </c>
      <c r="L2561" t="s">
        <v>20917</v>
      </c>
      <c r="M2561">
        <v>326</v>
      </c>
      <c r="N2561" t="s">
        <v>20918</v>
      </c>
    </row>
    <row r="2562" spans="1:14">
      <c r="A2562" t="s">
        <v>9256</v>
      </c>
      <c r="B2562">
        <v>3102130</v>
      </c>
      <c r="C2562">
        <v>3102750</v>
      </c>
      <c r="E2562" t="s">
        <v>14290</v>
      </c>
      <c r="F2562" t="s">
        <v>19399</v>
      </c>
      <c r="H2562">
        <v>93523999</v>
      </c>
      <c r="I2562" t="s">
        <v>14292</v>
      </c>
      <c r="L2562" t="s">
        <v>20919</v>
      </c>
      <c r="M2562">
        <v>206</v>
      </c>
      <c r="N2562" t="s">
        <v>20920</v>
      </c>
    </row>
    <row r="2563" spans="1:14">
      <c r="A2563" t="s">
        <v>9256</v>
      </c>
      <c r="B2563">
        <v>3102755</v>
      </c>
      <c r="C2563">
        <v>3103894</v>
      </c>
      <c r="E2563" t="s">
        <v>14290</v>
      </c>
      <c r="F2563" t="s">
        <v>20921</v>
      </c>
      <c r="H2563">
        <v>93524000</v>
      </c>
      <c r="I2563" t="s">
        <v>14292</v>
      </c>
      <c r="L2563" t="s">
        <v>20922</v>
      </c>
      <c r="M2563">
        <v>379</v>
      </c>
      <c r="N2563" t="s">
        <v>20923</v>
      </c>
    </row>
    <row r="2564" spans="1:14">
      <c r="A2564" t="s">
        <v>9256</v>
      </c>
      <c r="B2564">
        <v>3103998</v>
      </c>
      <c r="C2564">
        <v>3104360</v>
      </c>
      <c r="E2564" t="s">
        <v>14290</v>
      </c>
      <c r="F2564" t="s">
        <v>14291</v>
      </c>
      <c r="H2564">
        <v>93524001</v>
      </c>
      <c r="I2564" t="s">
        <v>14292</v>
      </c>
      <c r="L2564" t="s">
        <v>18651</v>
      </c>
      <c r="M2564">
        <v>120</v>
      </c>
      <c r="N2564" t="s">
        <v>20924</v>
      </c>
    </row>
    <row r="2565" spans="1:14">
      <c r="A2565" t="s">
        <v>9256</v>
      </c>
      <c r="B2565">
        <v>3104354</v>
      </c>
      <c r="C2565">
        <v>3104689</v>
      </c>
      <c r="E2565" t="s">
        <v>14290</v>
      </c>
      <c r="F2565" t="s">
        <v>18653</v>
      </c>
      <c r="G2565" t="s">
        <v>18654</v>
      </c>
      <c r="H2565">
        <v>93524002</v>
      </c>
      <c r="I2565" t="s">
        <v>14292</v>
      </c>
      <c r="L2565" t="s">
        <v>18655</v>
      </c>
      <c r="M2565">
        <v>111</v>
      </c>
      <c r="N2565" t="s">
        <v>20925</v>
      </c>
    </row>
    <row r="2566" spans="1:14">
      <c r="A2566" t="s">
        <v>9256</v>
      </c>
      <c r="B2566">
        <v>3104762</v>
      </c>
      <c r="C2566">
        <v>3106555</v>
      </c>
      <c r="E2566" t="s">
        <v>14290</v>
      </c>
      <c r="F2566" t="s">
        <v>18657</v>
      </c>
      <c r="G2566" t="s">
        <v>18658</v>
      </c>
      <c r="H2566">
        <v>93524003</v>
      </c>
      <c r="I2566" t="s">
        <v>14292</v>
      </c>
      <c r="L2566" t="s">
        <v>18659</v>
      </c>
      <c r="M2566">
        <v>597</v>
      </c>
      <c r="N2566" t="s">
        <v>20926</v>
      </c>
    </row>
    <row r="2567" spans="1:14">
      <c r="A2567" t="s">
        <v>9256</v>
      </c>
      <c r="B2567">
        <v>3106852</v>
      </c>
      <c r="C2567">
        <v>3107376</v>
      </c>
      <c r="E2567" t="s">
        <v>14290</v>
      </c>
      <c r="F2567" t="s">
        <v>19399</v>
      </c>
      <c r="H2567">
        <v>93524004</v>
      </c>
      <c r="I2567" t="s">
        <v>14292</v>
      </c>
      <c r="L2567" t="s">
        <v>20927</v>
      </c>
      <c r="M2567">
        <v>174</v>
      </c>
      <c r="N2567" t="s">
        <v>20928</v>
      </c>
    </row>
    <row r="2568" spans="1:14">
      <c r="A2568" t="s">
        <v>9256</v>
      </c>
      <c r="B2568">
        <v>3107573</v>
      </c>
      <c r="C2568">
        <v>3109912</v>
      </c>
      <c r="E2568" t="s">
        <v>14290</v>
      </c>
      <c r="F2568" t="s">
        <v>14621</v>
      </c>
      <c r="H2568">
        <v>93524005</v>
      </c>
      <c r="I2568" t="s">
        <v>14292</v>
      </c>
      <c r="L2568" t="s">
        <v>20929</v>
      </c>
      <c r="M2568">
        <v>779</v>
      </c>
      <c r="N2568" t="s">
        <v>20930</v>
      </c>
    </row>
    <row r="2569" spans="1:14">
      <c r="A2569" t="s">
        <v>9256</v>
      </c>
      <c r="B2569">
        <v>3109893</v>
      </c>
      <c r="C2569">
        <v>3111212</v>
      </c>
      <c r="E2569" t="s">
        <v>14290</v>
      </c>
      <c r="F2569" t="s">
        <v>14864</v>
      </c>
      <c r="H2569">
        <v>93524006</v>
      </c>
      <c r="I2569" t="s">
        <v>14292</v>
      </c>
      <c r="L2569" t="s">
        <v>20931</v>
      </c>
      <c r="M2569">
        <v>439</v>
      </c>
      <c r="N2569" t="s">
        <v>20932</v>
      </c>
    </row>
    <row r="2570" spans="1:14">
      <c r="A2570" t="s">
        <v>9256</v>
      </c>
      <c r="B2570">
        <v>3111827</v>
      </c>
      <c r="C2570">
        <v>3113665</v>
      </c>
      <c r="E2570" t="s">
        <v>14290</v>
      </c>
      <c r="F2570" t="s">
        <v>16274</v>
      </c>
      <c r="H2570">
        <v>93524007</v>
      </c>
      <c r="I2570" t="s">
        <v>14292</v>
      </c>
      <c r="L2570" t="s">
        <v>20933</v>
      </c>
      <c r="M2570">
        <v>612</v>
      </c>
      <c r="N2570" t="s">
        <v>20934</v>
      </c>
    </row>
    <row r="2571" spans="1:14">
      <c r="A2571" t="s">
        <v>9256</v>
      </c>
      <c r="B2571">
        <v>3113719</v>
      </c>
      <c r="C2571">
        <v>3113994</v>
      </c>
      <c r="E2571" t="s">
        <v>14290</v>
      </c>
      <c r="F2571" t="s">
        <v>15320</v>
      </c>
      <c r="H2571">
        <v>93524008</v>
      </c>
      <c r="I2571" t="s">
        <v>14292</v>
      </c>
      <c r="L2571" t="s">
        <v>20935</v>
      </c>
      <c r="M2571">
        <v>91</v>
      </c>
      <c r="N2571" t="s">
        <v>20936</v>
      </c>
    </row>
    <row r="2572" spans="1:14">
      <c r="A2572" t="s">
        <v>9256</v>
      </c>
      <c r="B2572">
        <v>3114067</v>
      </c>
      <c r="C2572">
        <v>3115839</v>
      </c>
      <c r="E2572" t="s">
        <v>14290</v>
      </c>
      <c r="F2572" t="s">
        <v>20937</v>
      </c>
      <c r="H2572">
        <v>93524009</v>
      </c>
      <c r="I2572" t="s">
        <v>14292</v>
      </c>
      <c r="L2572" t="s">
        <v>20938</v>
      </c>
      <c r="M2572">
        <v>590</v>
      </c>
      <c r="N2572" t="s">
        <v>20939</v>
      </c>
    </row>
    <row r="2573" spans="1:14">
      <c r="A2573" t="s">
        <v>9256</v>
      </c>
      <c r="B2573">
        <v>3116136</v>
      </c>
      <c r="C2573">
        <v>3116348</v>
      </c>
      <c r="E2573" t="s">
        <v>14290</v>
      </c>
      <c r="F2573" t="s">
        <v>14291</v>
      </c>
      <c r="H2573">
        <v>93524010</v>
      </c>
      <c r="I2573" t="s">
        <v>14292</v>
      </c>
      <c r="L2573" t="s">
        <v>20940</v>
      </c>
      <c r="M2573">
        <v>70</v>
      </c>
      <c r="N2573" t="s">
        <v>20941</v>
      </c>
    </row>
    <row r="2574" spans="1:14">
      <c r="A2574" t="s">
        <v>9256</v>
      </c>
      <c r="B2574">
        <v>3116367</v>
      </c>
      <c r="C2574">
        <v>3116576</v>
      </c>
      <c r="E2574" t="s">
        <v>14290</v>
      </c>
      <c r="F2574" t="s">
        <v>14291</v>
      </c>
      <c r="H2574">
        <v>93524011</v>
      </c>
      <c r="I2574" t="s">
        <v>14292</v>
      </c>
      <c r="L2574" t="s">
        <v>20942</v>
      </c>
      <c r="M2574">
        <v>69</v>
      </c>
      <c r="N2574" t="s">
        <v>20943</v>
      </c>
    </row>
    <row r="2575" spans="1:14">
      <c r="A2575" t="s">
        <v>9256</v>
      </c>
      <c r="B2575">
        <v>3116596</v>
      </c>
      <c r="C2575">
        <v>3117570</v>
      </c>
      <c r="E2575" t="s">
        <v>14290</v>
      </c>
      <c r="F2575" t="s">
        <v>20944</v>
      </c>
      <c r="H2575">
        <v>93524012</v>
      </c>
      <c r="I2575" t="s">
        <v>14292</v>
      </c>
      <c r="L2575" t="s">
        <v>20945</v>
      </c>
      <c r="M2575">
        <v>324</v>
      </c>
      <c r="N2575" t="s">
        <v>20946</v>
      </c>
    </row>
    <row r="2576" spans="1:14">
      <c r="A2576" t="s">
        <v>9256</v>
      </c>
      <c r="B2576">
        <v>3117592</v>
      </c>
      <c r="C2576">
        <v>3117813</v>
      </c>
      <c r="E2576" t="s">
        <v>14290</v>
      </c>
      <c r="F2576" t="s">
        <v>20947</v>
      </c>
      <c r="H2576">
        <v>93524013</v>
      </c>
      <c r="I2576" t="s">
        <v>14292</v>
      </c>
      <c r="L2576" t="s">
        <v>20948</v>
      </c>
      <c r="M2576">
        <v>73</v>
      </c>
      <c r="N2576" t="s">
        <v>20949</v>
      </c>
    </row>
    <row r="2577" spans="1:14">
      <c r="A2577" t="s">
        <v>9256</v>
      </c>
      <c r="B2577">
        <v>3117850</v>
      </c>
      <c r="C2577">
        <v>3118959</v>
      </c>
      <c r="E2577" t="s">
        <v>14290</v>
      </c>
      <c r="F2577" t="s">
        <v>14291</v>
      </c>
      <c r="H2577">
        <v>93524014</v>
      </c>
      <c r="I2577" t="s">
        <v>14292</v>
      </c>
      <c r="L2577" t="s">
        <v>20950</v>
      </c>
      <c r="M2577">
        <v>369</v>
      </c>
      <c r="N2577" t="s">
        <v>20951</v>
      </c>
    </row>
    <row r="2578" spans="1:14">
      <c r="A2578" t="s">
        <v>9256</v>
      </c>
      <c r="B2578">
        <v>3118970</v>
      </c>
      <c r="C2578">
        <v>3119671</v>
      </c>
      <c r="E2578" t="s">
        <v>14290</v>
      </c>
      <c r="F2578" t="s">
        <v>20952</v>
      </c>
      <c r="H2578">
        <v>93524015</v>
      </c>
      <c r="I2578" t="s">
        <v>14292</v>
      </c>
      <c r="L2578" t="s">
        <v>20953</v>
      </c>
      <c r="M2578">
        <v>233</v>
      </c>
      <c r="N2578" t="s">
        <v>20954</v>
      </c>
    </row>
    <row r="2579" spans="1:14">
      <c r="A2579" t="s">
        <v>9256</v>
      </c>
      <c r="B2579">
        <v>3119668</v>
      </c>
      <c r="C2579">
        <v>3120459</v>
      </c>
      <c r="E2579" t="s">
        <v>14290</v>
      </c>
      <c r="F2579" t="s">
        <v>20955</v>
      </c>
      <c r="H2579">
        <v>93524016</v>
      </c>
      <c r="I2579" t="s">
        <v>14292</v>
      </c>
      <c r="L2579" t="s">
        <v>20956</v>
      </c>
      <c r="M2579">
        <v>263</v>
      </c>
      <c r="N2579" t="s">
        <v>20957</v>
      </c>
    </row>
    <row r="2580" spans="1:14">
      <c r="A2580" t="s">
        <v>9256</v>
      </c>
      <c r="B2580">
        <v>3120543</v>
      </c>
      <c r="C2580">
        <v>3121247</v>
      </c>
      <c r="E2580" t="s">
        <v>14314</v>
      </c>
      <c r="F2580" t="s">
        <v>20958</v>
      </c>
      <c r="H2580">
        <v>93524017</v>
      </c>
      <c r="I2580" t="s">
        <v>14292</v>
      </c>
      <c r="L2580" t="s">
        <v>20959</v>
      </c>
      <c r="M2580">
        <v>234</v>
      </c>
      <c r="N2580" t="s">
        <v>20960</v>
      </c>
    </row>
    <row r="2581" spans="1:14">
      <c r="A2581" t="s">
        <v>9256</v>
      </c>
      <c r="B2581">
        <v>3121304</v>
      </c>
      <c r="C2581">
        <v>3122023</v>
      </c>
      <c r="E2581" t="s">
        <v>14314</v>
      </c>
      <c r="F2581" t="s">
        <v>20958</v>
      </c>
      <c r="H2581">
        <v>93524018</v>
      </c>
      <c r="I2581" t="s">
        <v>14292</v>
      </c>
      <c r="L2581" t="s">
        <v>20961</v>
      </c>
      <c r="M2581">
        <v>239</v>
      </c>
      <c r="N2581" t="s">
        <v>20962</v>
      </c>
    </row>
    <row r="2582" spans="1:14">
      <c r="A2582" t="s">
        <v>9256</v>
      </c>
      <c r="B2582">
        <v>3122080</v>
      </c>
      <c r="C2582">
        <v>3122373</v>
      </c>
      <c r="E2582" t="s">
        <v>14314</v>
      </c>
      <c r="F2582" t="s">
        <v>14406</v>
      </c>
      <c r="H2582">
        <v>93524019</v>
      </c>
      <c r="I2582" t="s">
        <v>14292</v>
      </c>
      <c r="L2582" t="s">
        <v>20963</v>
      </c>
      <c r="M2582">
        <v>97</v>
      </c>
      <c r="N2582" t="s">
        <v>20964</v>
      </c>
    </row>
    <row r="2583" spans="1:14">
      <c r="A2583" t="s">
        <v>9256</v>
      </c>
      <c r="B2583">
        <v>3122610</v>
      </c>
      <c r="C2583">
        <v>3123446</v>
      </c>
      <c r="E2583" t="s">
        <v>14314</v>
      </c>
      <c r="F2583" t="s">
        <v>20965</v>
      </c>
      <c r="H2583">
        <v>93524020</v>
      </c>
      <c r="I2583" t="s">
        <v>14292</v>
      </c>
      <c r="L2583" t="s">
        <v>20966</v>
      </c>
      <c r="M2583">
        <v>278</v>
      </c>
      <c r="N2583" t="s">
        <v>20967</v>
      </c>
    </row>
    <row r="2584" spans="1:14">
      <c r="A2584" t="s">
        <v>9256</v>
      </c>
      <c r="B2584">
        <v>3123654</v>
      </c>
      <c r="C2584">
        <v>3123947</v>
      </c>
      <c r="E2584" t="s">
        <v>14290</v>
      </c>
      <c r="F2584" t="s">
        <v>14406</v>
      </c>
      <c r="H2584">
        <v>93524021</v>
      </c>
      <c r="I2584" t="s">
        <v>14292</v>
      </c>
      <c r="L2584" t="s">
        <v>20968</v>
      </c>
      <c r="M2584">
        <v>97</v>
      </c>
      <c r="N2584" t="s">
        <v>20969</v>
      </c>
    </row>
    <row r="2585" spans="1:14">
      <c r="A2585" t="s">
        <v>9256</v>
      </c>
      <c r="B2585">
        <v>3123944</v>
      </c>
      <c r="C2585">
        <v>3124246</v>
      </c>
      <c r="E2585" t="s">
        <v>14290</v>
      </c>
      <c r="F2585" t="s">
        <v>14406</v>
      </c>
      <c r="H2585">
        <v>93524022</v>
      </c>
      <c r="I2585" t="s">
        <v>14292</v>
      </c>
      <c r="L2585" t="s">
        <v>20970</v>
      </c>
      <c r="M2585">
        <v>100</v>
      </c>
      <c r="N2585" t="s">
        <v>20971</v>
      </c>
    </row>
    <row r="2586" spans="1:14">
      <c r="A2586" t="s">
        <v>9256</v>
      </c>
      <c r="B2586">
        <v>3124309</v>
      </c>
      <c r="C2586">
        <v>3124668</v>
      </c>
      <c r="E2586" t="s">
        <v>14314</v>
      </c>
      <c r="F2586" t="s">
        <v>14291</v>
      </c>
      <c r="H2586">
        <v>93524023</v>
      </c>
      <c r="I2586" t="s">
        <v>14292</v>
      </c>
      <c r="L2586" t="s">
        <v>20972</v>
      </c>
      <c r="M2586">
        <v>119</v>
      </c>
      <c r="N2586" t="s">
        <v>20973</v>
      </c>
    </row>
    <row r="2587" spans="1:14">
      <c r="A2587" t="s">
        <v>9256</v>
      </c>
      <c r="B2587">
        <v>3124732</v>
      </c>
      <c r="C2587">
        <v>3125511</v>
      </c>
      <c r="E2587" t="s">
        <v>14290</v>
      </c>
      <c r="F2587" t="s">
        <v>20759</v>
      </c>
      <c r="H2587">
        <v>93524024</v>
      </c>
      <c r="I2587" t="s">
        <v>14292</v>
      </c>
      <c r="L2587" t="s">
        <v>20974</v>
      </c>
      <c r="M2587">
        <v>259</v>
      </c>
      <c r="N2587" t="s">
        <v>20975</v>
      </c>
    </row>
    <row r="2588" spans="1:14">
      <c r="A2588" t="s">
        <v>9256</v>
      </c>
      <c r="B2588">
        <v>3125611</v>
      </c>
      <c r="C2588">
        <v>3126474</v>
      </c>
      <c r="E2588" t="s">
        <v>14314</v>
      </c>
      <c r="F2588" t="s">
        <v>15216</v>
      </c>
      <c r="H2588">
        <v>93524025</v>
      </c>
      <c r="I2588" t="s">
        <v>14292</v>
      </c>
      <c r="L2588" t="s">
        <v>20976</v>
      </c>
      <c r="M2588">
        <v>287</v>
      </c>
      <c r="N2588" t="s">
        <v>20977</v>
      </c>
    </row>
    <row r="2589" spans="1:14">
      <c r="A2589" t="s">
        <v>9256</v>
      </c>
      <c r="B2589">
        <v>3126611</v>
      </c>
      <c r="C2589">
        <v>3127570</v>
      </c>
      <c r="E2589" t="s">
        <v>14314</v>
      </c>
      <c r="F2589" t="s">
        <v>15126</v>
      </c>
      <c r="H2589">
        <v>93524026</v>
      </c>
      <c r="I2589" t="s">
        <v>14292</v>
      </c>
      <c r="L2589" t="s">
        <v>20978</v>
      </c>
      <c r="M2589">
        <v>319</v>
      </c>
      <c r="N2589" t="s">
        <v>20979</v>
      </c>
    </row>
    <row r="2590" spans="1:14">
      <c r="A2590" t="s">
        <v>9256</v>
      </c>
      <c r="B2590">
        <v>3127676</v>
      </c>
      <c r="C2590">
        <v>3128422</v>
      </c>
      <c r="E2590" t="s">
        <v>14290</v>
      </c>
      <c r="F2590" t="s">
        <v>20980</v>
      </c>
      <c r="H2590">
        <v>93524027</v>
      </c>
      <c r="I2590" t="s">
        <v>14292</v>
      </c>
      <c r="L2590" t="s">
        <v>20981</v>
      </c>
      <c r="M2590">
        <v>248</v>
      </c>
      <c r="N2590" t="s">
        <v>20982</v>
      </c>
    </row>
    <row r="2591" spans="1:14">
      <c r="A2591" t="s">
        <v>9256</v>
      </c>
      <c r="B2591">
        <v>3128419</v>
      </c>
      <c r="C2591">
        <v>3129417</v>
      </c>
      <c r="E2591" t="s">
        <v>14290</v>
      </c>
      <c r="F2591" t="s">
        <v>20983</v>
      </c>
      <c r="H2591">
        <v>93524028</v>
      </c>
      <c r="I2591" t="s">
        <v>14292</v>
      </c>
      <c r="L2591" t="s">
        <v>20984</v>
      </c>
      <c r="M2591">
        <v>332</v>
      </c>
      <c r="N2591" t="s">
        <v>20985</v>
      </c>
    </row>
    <row r="2592" spans="1:14">
      <c r="A2592" t="s">
        <v>9256</v>
      </c>
      <c r="B2592">
        <v>3129424</v>
      </c>
      <c r="C2592">
        <v>3130998</v>
      </c>
      <c r="E2592" t="s">
        <v>14314</v>
      </c>
      <c r="F2592" t="s">
        <v>14291</v>
      </c>
      <c r="H2592">
        <v>93524029</v>
      </c>
      <c r="I2592" t="s">
        <v>14292</v>
      </c>
      <c r="L2592" t="s">
        <v>20986</v>
      </c>
      <c r="M2592">
        <v>524</v>
      </c>
      <c r="N2592" t="s">
        <v>20987</v>
      </c>
    </row>
    <row r="2593" spans="1:14">
      <c r="A2593" t="s">
        <v>9256</v>
      </c>
      <c r="B2593">
        <v>3131177</v>
      </c>
      <c r="C2593">
        <v>3132157</v>
      </c>
      <c r="E2593" t="s">
        <v>14290</v>
      </c>
      <c r="F2593" t="s">
        <v>15696</v>
      </c>
      <c r="H2593">
        <v>93524030</v>
      </c>
      <c r="I2593" t="s">
        <v>14292</v>
      </c>
      <c r="L2593" t="s">
        <v>15697</v>
      </c>
      <c r="M2593">
        <v>326</v>
      </c>
      <c r="N2593" t="s">
        <v>20988</v>
      </c>
    </row>
    <row r="2594" spans="1:14">
      <c r="A2594" t="s">
        <v>9256</v>
      </c>
      <c r="B2594">
        <v>3132160</v>
      </c>
      <c r="C2594">
        <v>3133065</v>
      </c>
      <c r="E2594" t="s">
        <v>14314</v>
      </c>
      <c r="F2594" t="s">
        <v>14870</v>
      </c>
      <c r="H2594">
        <v>93524031</v>
      </c>
      <c r="I2594" t="s">
        <v>14292</v>
      </c>
      <c r="L2594" t="s">
        <v>20989</v>
      </c>
      <c r="M2594">
        <v>301</v>
      </c>
      <c r="N2594" t="s">
        <v>20990</v>
      </c>
    </row>
    <row r="2595" spans="1:14">
      <c r="A2595" t="s">
        <v>9256</v>
      </c>
      <c r="B2595">
        <v>3133263</v>
      </c>
      <c r="C2595">
        <v>3133922</v>
      </c>
      <c r="E2595" t="s">
        <v>14314</v>
      </c>
      <c r="F2595" t="s">
        <v>14291</v>
      </c>
      <c r="H2595">
        <v>93525948</v>
      </c>
      <c r="I2595" t="s">
        <v>14292</v>
      </c>
      <c r="L2595" t="s">
        <v>20991</v>
      </c>
      <c r="M2595">
        <v>219</v>
      </c>
      <c r="N2595" t="s">
        <v>20992</v>
      </c>
    </row>
    <row r="2596" spans="1:14">
      <c r="A2596" t="s">
        <v>9256</v>
      </c>
      <c r="B2596">
        <v>3133998</v>
      </c>
      <c r="C2596">
        <v>3135122</v>
      </c>
      <c r="E2596" t="s">
        <v>14314</v>
      </c>
      <c r="F2596" t="s">
        <v>14291</v>
      </c>
      <c r="H2596">
        <v>93524032</v>
      </c>
      <c r="I2596" t="s">
        <v>14292</v>
      </c>
      <c r="L2596" t="s">
        <v>20993</v>
      </c>
      <c r="M2596">
        <v>374</v>
      </c>
      <c r="N2596" t="s">
        <v>20994</v>
      </c>
    </row>
    <row r="2597" spans="1:14">
      <c r="A2597" t="s">
        <v>9256</v>
      </c>
      <c r="B2597">
        <v>3135145</v>
      </c>
      <c r="C2597">
        <v>3135705</v>
      </c>
      <c r="E2597" t="s">
        <v>14314</v>
      </c>
      <c r="F2597" t="s">
        <v>14291</v>
      </c>
      <c r="H2597">
        <v>93524033</v>
      </c>
      <c r="I2597" t="s">
        <v>14292</v>
      </c>
      <c r="L2597" t="s">
        <v>20995</v>
      </c>
      <c r="M2597">
        <v>186</v>
      </c>
      <c r="N2597" t="s">
        <v>20996</v>
      </c>
    </row>
    <row r="2598" spans="1:14">
      <c r="A2598" t="s">
        <v>9256</v>
      </c>
      <c r="B2598">
        <v>3136050</v>
      </c>
      <c r="C2598">
        <v>3137090</v>
      </c>
      <c r="E2598" t="s">
        <v>14290</v>
      </c>
      <c r="F2598" t="s">
        <v>20997</v>
      </c>
      <c r="H2598">
        <v>93524034</v>
      </c>
      <c r="I2598" t="s">
        <v>14292</v>
      </c>
      <c r="L2598" t="s">
        <v>20998</v>
      </c>
      <c r="M2598">
        <v>346</v>
      </c>
      <c r="N2598" t="s">
        <v>20999</v>
      </c>
    </row>
    <row r="2599" spans="1:14">
      <c r="A2599" t="s">
        <v>9256</v>
      </c>
      <c r="B2599">
        <v>3137537</v>
      </c>
      <c r="C2599">
        <v>3137992</v>
      </c>
      <c r="E2599" t="s">
        <v>14314</v>
      </c>
      <c r="F2599" t="s">
        <v>15759</v>
      </c>
      <c r="H2599">
        <v>93525949</v>
      </c>
      <c r="I2599" t="s">
        <v>14292</v>
      </c>
      <c r="L2599" t="s">
        <v>21000</v>
      </c>
      <c r="M2599">
        <v>151</v>
      </c>
      <c r="N2599" t="s">
        <v>21001</v>
      </c>
    </row>
    <row r="2600" spans="1:14">
      <c r="A2600" t="s">
        <v>9256</v>
      </c>
      <c r="B2600">
        <v>3138371</v>
      </c>
      <c r="C2600">
        <v>3142699</v>
      </c>
      <c r="E2600" t="s">
        <v>14290</v>
      </c>
      <c r="F2600" t="s">
        <v>14291</v>
      </c>
      <c r="H2600">
        <v>93524035</v>
      </c>
      <c r="I2600" t="s">
        <v>14292</v>
      </c>
      <c r="L2600" t="s">
        <v>21002</v>
      </c>
      <c r="M2600">
        <v>1442</v>
      </c>
      <c r="N2600" t="s">
        <v>21003</v>
      </c>
    </row>
    <row r="2601" spans="1:14">
      <c r="A2601" t="s">
        <v>9256</v>
      </c>
      <c r="B2601">
        <v>3143596</v>
      </c>
      <c r="C2601">
        <v>3144816</v>
      </c>
      <c r="E2601" t="s">
        <v>14290</v>
      </c>
      <c r="F2601" t="s">
        <v>15333</v>
      </c>
      <c r="H2601">
        <v>93524036</v>
      </c>
      <c r="I2601" t="s">
        <v>14292</v>
      </c>
      <c r="L2601" t="s">
        <v>21004</v>
      </c>
      <c r="M2601">
        <v>406</v>
      </c>
      <c r="N2601" t="s">
        <v>21005</v>
      </c>
    </row>
    <row r="2602" spans="1:14">
      <c r="A2602" t="s">
        <v>9256</v>
      </c>
      <c r="B2602">
        <v>3144866</v>
      </c>
      <c r="C2602">
        <v>3145885</v>
      </c>
      <c r="E2602" t="s">
        <v>14290</v>
      </c>
      <c r="F2602" t="s">
        <v>15265</v>
      </c>
      <c r="H2602">
        <v>93524037</v>
      </c>
      <c r="I2602" t="s">
        <v>14292</v>
      </c>
      <c r="L2602" t="s">
        <v>21006</v>
      </c>
      <c r="M2602">
        <v>339</v>
      </c>
      <c r="N2602" t="s">
        <v>21007</v>
      </c>
    </row>
    <row r="2603" spans="1:14">
      <c r="A2603" t="s">
        <v>9256</v>
      </c>
      <c r="B2603">
        <v>3146032</v>
      </c>
      <c r="C2603">
        <v>3146328</v>
      </c>
      <c r="E2603" t="s">
        <v>14314</v>
      </c>
      <c r="F2603" t="s">
        <v>14406</v>
      </c>
      <c r="H2603">
        <v>93524038</v>
      </c>
      <c r="I2603" t="s">
        <v>14292</v>
      </c>
      <c r="L2603" t="s">
        <v>21008</v>
      </c>
      <c r="M2603">
        <v>98</v>
      </c>
      <c r="N2603" t="s">
        <v>21009</v>
      </c>
    </row>
    <row r="2604" spans="1:14">
      <c r="A2604" t="s">
        <v>9256</v>
      </c>
      <c r="B2604">
        <v>3146333</v>
      </c>
      <c r="C2604">
        <v>3146620</v>
      </c>
      <c r="E2604" t="s">
        <v>14314</v>
      </c>
      <c r="F2604" t="s">
        <v>14406</v>
      </c>
      <c r="H2604">
        <v>93524039</v>
      </c>
      <c r="I2604" t="s">
        <v>14292</v>
      </c>
      <c r="L2604" t="s">
        <v>21010</v>
      </c>
      <c r="M2604">
        <v>95</v>
      </c>
      <c r="N2604" t="s">
        <v>21011</v>
      </c>
    </row>
    <row r="2605" spans="1:14">
      <c r="A2605" t="s">
        <v>9256</v>
      </c>
      <c r="B2605">
        <v>3146960</v>
      </c>
      <c r="C2605">
        <v>3147268</v>
      </c>
      <c r="E2605" t="s">
        <v>14290</v>
      </c>
      <c r="F2605" t="s">
        <v>14406</v>
      </c>
      <c r="H2605">
        <v>93524040</v>
      </c>
      <c r="I2605" t="s">
        <v>14292</v>
      </c>
      <c r="L2605" t="s">
        <v>21012</v>
      </c>
      <c r="M2605">
        <v>102</v>
      </c>
      <c r="N2605" t="s">
        <v>21013</v>
      </c>
    </row>
    <row r="2606" spans="1:14">
      <c r="A2606" t="s">
        <v>9256</v>
      </c>
      <c r="B2606">
        <v>3147249</v>
      </c>
      <c r="C2606">
        <v>3148481</v>
      </c>
      <c r="E2606" t="s">
        <v>14290</v>
      </c>
      <c r="F2606" t="s">
        <v>21014</v>
      </c>
      <c r="H2606">
        <v>93524041</v>
      </c>
      <c r="I2606" t="s">
        <v>14292</v>
      </c>
      <c r="L2606" t="s">
        <v>21015</v>
      </c>
      <c r="M2606">
        <v>410</v>
      </c>
      <c r="N2606" t="s">
        <v>21016</v>
      </c>
    </row>
    <row r="2607" spans="1:14">
      <c r="A2607" t="s">
        <v>9256</v>
      </c>
      <c r="B2607">
        <v>3148816</v>
      </c>
      <c r="C2607">
        <v>3149790</v>
      </c>
      <c r="E2607" t="s">
        <v>14290</v>
      </c>
      <c r="F2607" t="s">
        <v>15216</v>
      </c>
      <c r="H2607">
        <v>93524042</v>
      </c>
      <c r="I2607" t="s">
        <v>14292</v>
      </c>
      <c r="L2607" t="s">
        <v>21017</v>
      </c>
      <c r="M2607">
        <v>324</v>
      </c>
      <c r="N2607" t="s">
        <v>21018</v>
      </c>
    </row>
    <row r="2608" spans="1:14">
      <c r="A2608" t="s">
        <v>9256</v>
      </c>
      <c r="B2608">
        <v>3149938</v>
      </c>
      <c r="C2608">
        <v>3150321</v>
      </c>
      <c r="E2608" t="s">
        <v>14290</v>
      </c>
      <c r="F2608" t="s">
        <v>16073</v>
      </c>
      <c r="H2608">
        <v>93524043</v>
      </c>
      <c r="I2608" t="s">
        <v>14292</v>
      </c>
      <c r="L2608" t="s">
        <v>21019</v>
      </c>
      <c r="M2608">
        <v>127</v>
      </c>
      <c r="N2608" t="s">
        <v>21020</v>
      </c>
    </row>
    <row r="2609" spans="1:14">
      <c r="A2609" t="s">
        <v>9256</v>
      </c>
      <c r="B2609">
        <v>3150287</v>
      </c>
      <c r="C2609">
        <v>3151210</v>
      </c>
      <c r="E2609" t="s">
        <v>14290</v>
      </c>
      <c r="F2609" t="s">
        <v>16076</v>
      </c>
      <c r="H2609">
        <v>93524044</v>
      </c>
      <c r="I2609" t="s">
        <v>14292</v>
      </c>
      <c r="L2609" t="s">
        <v>21021</v>
      </c>
      <c r="M2609">
        <v>307</v>
      </c>
      <c r="N2609" t="s">
        <v>21022</v>
      </c>
    </row>
    <row r="2610" spans="1:14">
      <c r="A2610" t="s">
        <v>9256</v>
      </c>
      <c r="B2610">
        <v>3151215</v>
      </c>
      <c r="C2610">
        <v>3151940</v>
      </c>
      <c r="E2610" t="s">
        <v>14290</v>
      </c>
      <c r="F2610" t="s">
        <v>14291</v>
      </c>
      <c r="H2610">
        <v>93524045</v>
      </c>
      <c r="I2610" t="s">
        <v>14292</v>
      </c>
      <c r="L2610" t="s">
        <v>21023</v>
      </c>
      <c r="M2610">
        <v>241</v>
      </c>
      <c r="N2610" t="s">
        <v>21024</v>
      </c>
    </row>
    <row r="2611" spans="1:14">
      <c r="A2611" t="s">
        <v>9256</v>
      </c>
      <c r="B2611">
        <v>3151983</v>
      </c>
      <c r="C2611">
        <v>3152315</v>
      </c>
      <c r="E2611" t="s">
        <v>14314</v>
      </c>
      <c r="F2611" t="s">
        <v>14406</v>
      </c>
      <c r="H2611">
        <v>93524046</v>
      </c>
      <c r="I2611" t="s">
        <v>14292</v>
      </c>
      <c r="L2611" t="s">
        <v>21025</v>
      </c>
      <c r="M2611">
        <v>110</v>
      </c>
      <c r="N2611" t="s">
        <v>21026</v>
      </c>
    </row>
    <row r="2612" spans="1:14">
      <c r="A2612" t="s">
        <v>9256</v>
      </c>
      <c r="B2612">
        <v>3152446</v>
      </c>
      <c r="C2612">
        <v>3152841</v>
      </c>
      <c r="E2612" t="s">
        <v>14314</v>
      </c>
      <c r="F2612" t="s">
        <v>15286</v>
      </c>
      <c r="H2612">
        <v>93524047</v>
      </c>
      <c r="I2612" t="s">
        <v>14292</v>
      </c>
      <c r="L2612" t="s">
        <v>21027</v>
      </c>
      <c r="M2612">
        <v>131</v>
      </c>
      <c r="N2612" t="s">
        <v>21028</v>
      </c>
    </row>
    <row r="2613" spans="1:14">
      <c r="A2613" t="s">
        <v>9256</v>
      </c>
      <c r="B2613">
        <v>3152819</v>
      </c>
      <c r="C2613">
        <v>3153058</v>
      </c>
      <c r="E2613" t="s">
        <v>14314</v>
      </c>
      <c r="F2613" t="s">
        <v>14291</v>
      </c>
      <c r="H2613">
        <v>93524048</v>
      </c>
      <c r="I2613" t="s">
        <v>14292</v>
      </c>
      <c r="L2613" t="s">
        <v>21029</v>
      </c>
      <c r="M2613">
        <v>79</v>
      </c>
      <c r="N2613" t="s">
        <v>21030</v>
      </c>
    </row>
    <row r="2614" spans="1:14">
      <c r="A2614" t="s">
        <v>9256</v>
      </c>
      <c r="B2614">
        <v>3153137</v>
      </c>
      <c r="C2614">
        <v>3153295</v>
      </c>
      <c r="E2614" t="s">
        <v>14314</v>
      </c>
      <c r="F2614" t="s">
        <v>14291</v>
      </c>
      <c r="H2614">
        <v>93525950</v>
      </c>
      <c r="I2614" t="s">
        <v>14292</v>
      </c>
      <c r="L2614" t="s">
        <v>21031</v>
      </c>
      <c r="M2614">
        <v>52</v>
      </c>
      <c r="N2614" t="s">
        <v>21032</v>
      </c>
    </row>
    <row r="2615" spans="1:14">
      <c r="A2615" t="s">
        <v>9256</v>
      </c>
      <c r="B2615">
        <v>3153304</v>
      </c>
      <c r="C2615">
        <v>3153828</v>
      </c>
      <c r="E2615" t="s">
        <v>14314</v>
      </c>
      <c r="F2615" t="s">
        <v>21033</v>
      </c>
      <c r="H2615">
        <v>93524049</v>
      </c>
      <c r="I2615" t="s">
        <v>14292</v>
      </c>
      <c r="L2615" t="s">
        <v>21034</v>
      </c>
      <c r="M2615">
        <v>174</v>
      </c>
      <c r="N2615" t="s">
        <v>21035</v>
      </c>
    </row>
    <row r="2616" spans="1:14">
      <c r="A2616" t="s">
        <v>9256</v>
      </c>
      <c r="B2616">
        <v>3153837</v>
      </c>
      <c r="C2616">
        <v>3154346</v>
      </c>
      <c r="E2616" t="s">
        <v>14314</v>
      </c>
      <c r="F2616" t="s">
        <v>14712</v>
      </c>
      <c r="H2616">
        <v>93524050</v>
      </c>
      <c r="I2616" t="s">
        <v>14292</v>
      </c>
      <c r="L2616" t="s">
        <v>21036</v>
      </c>
      <c r="M2616">
        <v>169</v>
      </c>
      <c r="N2616" t="s">
        <v>21037</v>
      </c>
    </row>
    <row r="2617" spans="1:14">
      <c r="A2617" t="s">
        <v>9256</v>
      </c>
      <c r="B2617">
        <v>3154448</v>
      </c>
      <c r="C2617">
        <v>3155284</v>
      </c>
      <c r="E2617" t="s">
        <v>14290</v>
      </c>
      <c r="F2617" t="s">
        <v>15711</v>
      </c>
      <c r="H2617">
        <v>93524051</v>
      </c>
      <c r="I2617" t="s">
        <v>14292</v>
      </c>
      <c r="L2617" t="s">
        <v>21038</v>
      </c>
      <c r="M2617">
        <v>278</v>
      </c>
      <c r="N2617" t="s">
        <v>21039</v>
      </c>
    </row>
    <row r="2618" spans="1:14">
      <c r="A2618" t="s">
        <v>9256</v>
      </c>
      <c r="B2618">
        <v>3155341</v>
      </c>
      <c r="C2618">
        <v>3156726</v>
      </c>
      <c r="E2618" t="s">
        <v>14290</v>
      </c>
      <c r="F2618" t="s">
        <v>21040</v>
      </c>
      <c r="H2618">
        <v>93524052</v>
      </c>
      <c r="I2618" t="s">
        <v>14292</v>
      </c>
      <c r="L2618" t="s">
        <v>21041</v>
      </c>
      <c r="M2618">
        <v>461</v>
      </c>
      <c r="N2618" t="s">
        <v>21042</v>
      </c>
    </row>
    <row r="2619" spans="1:14">
      <c r="A2619" t="s">
        <v>9256</v>
      </c>
      <c r="B2619">
        <v>3156736</v>
      </c>
      <c r="C2619">
        <v>3157380</v>
      </c>
      <c r="E2619" t="s">
        <v>14290</v>
      </c>
      <c r="F2619" t="s">
        <v>14291</v>
      </c>
      <c r="H2619">
        <v>93524053</v>
      </c>
      <c r="I2619" t="s">
        <v>14292</v>
      </c>
      <c r="L2619" t="s">
        <v>21043</v>
      </c>
      <c r="M2619">
        <v>214</v>
      </c>
      <c r="N2619" t="s">
        <v>21044</v>
      </c>
    </row>
    <row r="2620" spans="1:14">
      <c r="A2620" t="s">
        <v>9256</v>
      </c>
      <c r="B2620">
        <v>3157609</v>
      </c>
      <c r="C2620">
        <v>3158481</v>
      </c>
      <c r="E2620" t="s">
        <v>14314</v>
      </c>
      <c r="F2620" t="s">
        <v>15525</v>
      </c>
      <c r="H2620">
        <v>93524054</v>
      </c>
      <c r="I2620" t="s">
        <v>14292</v>
      </c>
      <c r="L2620" t="s">
        <v>21045</v>
      </c>
      <c r="M2620">
        <v>290</v>
      </c>
      <c r="N2620" t="s">
        <v>21046</v>
      </c>
    </row>
    <row r="2621" spans="1:14">
      <c r="A2621" t="s">
        <v>9256</v>
      </c>
      <c r="B2621">
        <v>3158645</v>
      </c>
      <c r="C2621">
        <v>3159118</v>
      </c>
      <c r="E2621" t="s">
        <v>14290</v>
      </c>
      <c r="F2621" t="s">
        <v>17257</v>
      </c>
      <c r="H2621">
        <v>93524055</v>
      </c>
      <c r="I2621" t="s">
        <v>14292</v>
      </c>
      <c r="L2621" t="s">
        <v>21047</v>
      </c>
      <c r="M2621">
        <v>157</v>
      </c>
      <c r="N2621" t="s">
        <v>21048</v>
      </c>
    </row>
    <row r="2622" spans="1:14">
      <c r="A2622" t="s">
        <v>9256</v>
      </c>
      <c r="B2622">
        <v>3159220</v>
      </c>
      <c r="C2622">
        <v>3160026</v>
      </c>
      <c r="E2622" t="s">
        <v>14290</v>
      </c>
      <c r="F2622" t="s">
        <v>15711</v>
      </c>
      <c r="H2622">
        <v>93524056</v>
      </c>
      <c r="I2622" t="s">
        <v>14292</v>
      </c>
      <c r="L2622" t="s">
        <v>21049</v>
      </c>
      <c r="M2622">
        <v>268</v>
      </c>
      <c r="N2622" t="s">
        <v>21050</v>
      </c>
    </row>
    <row r="2623" spans="1:14">
      <c r="A2623" t="s">
        <v>9256</v>
      </c>
      <c r="B2623">
        <v>3160125</v>
      </c>
      <c r="C2623">
        <v>3160487</v>
      </c>
      <c r="E2623" t="s">
        <v>14290</v>
      </c>
      <c r="F2623" t="s">
        <v>20107</v>
      </c>
      <c r="H2623">
        <v>93524057</v>
      </c>
      <c r="I2623" t="s">
        <v>14292</v>
      </c>
      <c r="L2623" t="s">
        <v>21051</v>
      </c>
      <c r="M2623">
        <v>120</v>
      </c>
      <c r="N2623" t="s">
        <v>21052</v>
      </c>
    </row>
    <row r="2624" spans="1:14">
      <c r="A2624" t="s">
        <v>9256</v>
      </c>
      <c r="B2624">
        <v>3160523</v>
      </c>
      <c r="C2624">
        <v>3161257</v>
      </c>
      <c r="E2624" t="s">
        <v>14290</v>
      </c>
      <c r="F2624" t="s">
        <v>14645</v>
      </c>
      <c r="H2624">
        <v>93524058</v>
      </c>
      <c r="I2624" t="s">
        <v>14292</v>
      </c>
      <c r="L2624" t="s">
        <v>21053</v>
      </c>
      <c r="M2624">
        <v>244</v>
      </c>
      <c r="N2624" t="s">
        <v>21054</v>
      </c>
    </row>
    <row r="2625" spans="1:14">
      <c r="A2625" t="s">
        <v>9256</v>
      </c>
      <c r="B2625">
        <v>3161335</v>
      </c>
      <c r="C2625">
        <v>3162009</v>
      </c>
      <c r="E2625" t="s">
        <v>14290</v>
      </c>
      <c r="F2625" t="s">
        <v>21055</v>
      </c>
      <c r="G2625" t="s">
        <v>21056</v>
      </c>
      <c r="H2625">
        <v>93524059</v>
      </c>
      <c r="I2625" t="s">
        <v>14292</v>
      </c>
      <c r="L2625" t="s">
        <v>21057</v>
      </c>
      <c r="M2625">
        <v>224</v>
      </c>
      <c r="N2625" t="s">
        <v>21058</v>
      </c>
    </row>
    <row r="2626" spans="1:14">
      <c r="A2626" t="s">
        <v>9256</v>
      </c>
      <c r="B2626">
        <v>3162020</v>
      </c>
      <c r="C2626">
        <v>3162484</v>
      </c>
      <c r="E2626" t="s">
        <v>14290</v>
      </c>
      <c r="F2626" t="s">
        <v>21059</v>
      </c>
      <c r="G2626" t="s">
        <v>21060</v>
      </c>
      <c r="H2626">
        <v>93524060</v>
      </c>
      <c r="I2626" t="s">
        <v>14292</v>
      </c>
      <c r="L2626" t="s">
        <v>21061</v>
      </c>
      <c r="M2626">
        <v>154</v>
      </c>
      <c r="N2626" t="s">
        <v>21062</v>
      </c>
    </row>
    <row r="2627" spans="1:14">
      <c r="A2627" t="s">
        <v>9256</v>
      </c>
      <c r="B2627">
        <v>3162572</v>
      </c>
      <c r="C2627">
        <v>3163369</v>
      </c>
      <c r="E2627" t="s">
        <v>14290</v>
      </c>
      <c r="F2627" t="s">
        <v>15435</v>
      </c>
      <c r="H2627">
        <v>93524061</v>
      </c>
      <c r="I2627" t="s">
        <v>14292</v>
      </c>
      <c r="L2627" t="s">
        <v>21063</v>
      </c>
      <c r="M2627">
        <v>265</v>
      </c>
      <c r="N2627" t="s">
        <v>21064</v>
      </c>
    </row>
    <row r="2628" spans="1:14">
      <c r="A2628" t="s">
        <v>9256</v>
      </c>
      <c r="B2628">
        <v>3163694</v>
      </c>
      <c r="C2628">
        <v>3164656</v>
      </c>
      <c r="E2628" t="s">
        <v>14314</v>
      </c>
      <c r="F2628" t="s">
        <v>15762</v>
      </c>
      <c r="H2628">
        <v>93524062</v>
      </c>
      <c r="I2628" t="s">
        <v>14292</v>
      </c>
      <c r="L2628" t="s">
        <v>16388</v>
      </c>
      <c r="M2628">
        <v>320</v>
      </c>
      <c r="N2628" t="s">
        <v>21065</v>
      </c>
    </row>
    <row r="2629" spans="1:14">
      <c r="A2629" t="s">
        <v>9256</v>
      </c>
      <c r="B2629">
        <v>3164683</v>
      </c>
      <c r="C2629">
        <v>3165060</v>
      </c>
      <c r="E2629" t="s">
        <v>14314</v>
      </c>
      <c r="F2629" t="s">
        <v>15759</v>
      </c>
      <c r="H2629">
        <v>93524063</v>
      </c>
      <c r="I2629" t="s">
        <v>14292</v>
      </c>
      <c r="L2629" t="s">
        <v>16390</v>
      </c>
      <c r="M2629">
        <v>125</v>
      </c>
      <c r="N2629" t="s">
        <v>21066</v>
      </c>
    </row>
    <row r="2630" spans="1:14">
      <c r="A2630" t="s">
        <v>9256</v>
      </c>
      <c r="B2630">
        <v>3165163</v>
      </c>
      <c r="C2630">
        <v>3165927</v>
      </c>
      <c r="E2630" t="s">
        <v>14314</v>
      </c>
      <c r="F2630" t="s">
        <v>21067</v>
      </c>
      <c r="H2630">
        <v>93524064</v>
      </c>
      <c r="I2630" t="s">
        <v>14292</v>
      </c>
      <c r="L2630" t="s">
        <v>21068</v>
      </c>
      <c r="M2630">
        <v>254</v>
      </c>
      <c r="N2630" t="s">
        <v>21069</v>
      </c>
    </row>
    <row r="2631" spans="1:14">
      <c r="A2631" t="s">
        <v>9256</v>
      </c>
      <c r="B2631">
        <v>3165954</v>
      </c>
      <c r="C2631">
        <v>3167213</v>
      </c>
      <c r="E2631" t="s">
        <v>14314</v>
      </c>
      <c r="F2631" t="s">
        <v>21070</v>
      </c>
      <c r="H2631">
        <v>93524065</v>
      </c>
      <c r="I2631" t="s">
        <v>14292</v>
      </c>
      <c r="L2631" t="s">
        <v>21071</v>
      </c>
      <c r="M2631">
        <v>419</v>
      </c>
      <c r="N2631" t="s">
        <v>21072</v>
      </c>
    </row>
    <row r="2632" spans="1:14">
      <c r="A2632" t="s">
        <v>9256</v>
      </c>
      <c r="B2632">
        <v>3167506</v>
      </c>
      <c r="C2632">
        <v>3167841</v>
      </c>
      <c r="E2632" t="s">
        <v>14290</v>
      </c>
      <c r="F2632" t="s">
        <v>15442</v>
      </c>
      <c r="H2632">
        <v>93525951</v>
      </c>
      <c r="I2632" t="s">
        <v>14292</v>
      </c>
      <c r="L2632" t="s">
        <v>21073</v>
      </c>
      <c r="M2632">
        <v>111</v>
      </c>
      <c r="N2632" t="s">
        <v>21074</v>
      </c>
    </row>
    <row r="2633" spans="1:14">
      <c r="A2633" t="s">
        <v>9256</v>
      </c>
      <c r="B2633">
        <v>3167845</v>
      </c>
      <c r="C2633">
        <v>3168078</v>
      </c>
      <c r="E2633" t="s">
        <v>14290</v>
      </c>
      <c r="F2633" t="s">
        <v>15442</v>
      </c>
      <c r="H2633">
        <v>93525952</v>
      </c>
      <c r="I2633" t="s">
        <v>14292</v>
      </c>
      <c r="L2633" t="s">
        <v>21075</v>
      </c>
      <c r="M2633">
        <v>77</v>
      </c>
      <c r="N2633" t="s">
        <v>21076</v>
      </c>
    </row>
    <row r="2634" spans="1:14">
      <c r="A2634" t="s">
        <v>9256</v>
      </c>
      <c r="B2634">
        <v>3168421</v>
      </c>
      <c r="C2634">
        <v>3169323</v>
      </c>
      <c r="E2634" t="s">
        <v>14314</v>
      </c>
      <c r="F2634" t="s">
        <v>15762</v>
      </c>
      <c r="H2634">
        <v>93524066</v>
      </c>
      <c r="I2634" t="s">
        <v>14292</v>
      </c>
      <c r="L2634" t="s">
        <v>18346</v>
      </c>
      <c r="M2634">
        <v>300</v>
      </c>
      <c r="N2634" t="s">
        <v>21077</v>
      </c>
    </row>
    <row r="2635" spans="1:14">
      <c r="A2635" t="s">
        <v>9256</v>
      </c>
      <c r="B2635">
        <v>3169281</v>
      </c>
      <c r="C2635">
        <v>3169688</v>
      </c>
      <c r="E2635" t="s">
        <v>14314</v>
      </c>
      <c r="F2635" t="s">
        <v>15759</v>
      </c>
      <c r="H2635">
        <v>93524067</v>
      </c>
      <c r="I2635" t="s">
        <v>14292</v>
      </c>
      <c r="L2635" t="s">
        <v>21078</v>
      </c>
      <c r="M2635">
        <v>135</v>
      </c>
      <c r="N2635" t="s">
        <v>21079</v>
      </c>
    </row>
    <row r="2636" spans="1:14">
      <c r="A2636" t="s">
        <v>9256</v>
      </c>
      <c r="B2636">
        <v>3169847</v>
      </c>
      <c r="C2636">
        <v>3170692</v>
      </c>
      <c r="E2636" t="s">
        <v>14290</v>
      </c>
      <c r="F2636" t="s">
        <v>14972</v>
      </c>
      <c r="H2636">
        <v>93524068</v>
      </c>
      <c r="I2636" t="s">
        <v>14292</v>
      </c>
      <c r="L2636" t="s">
        <v>21080</v>
      </c>
      <c r="M2636">
        <v>281</v>
      </c>
      <c r="N2636" t="s">
        <v>21081</v>
      </c>
    </row>
    <row r="2637" spans="1:14">
      <c r="A2637" t="s">
        <v>9256</v>
      </c>
      <c r="B2637">
        <v>3170942</v>
      </c>
      <c r="C2637">
        <v>3174247</v>
      </c>
      <c r="E2637" t="s">
        <v>14290</v>
      </c>
      <c r="F2637" t="s">
        <v>15450</v>
      </c>
      <c r="H2637">
        <v>93524069</v>
      </c>
      <c r="I2637" t="s">
        <v>14292</v>
      </c>
      <c r="L2637" t="s">
        <v>21082</v>
      </c>
      <c r="M2637">
        <v>1101</v>
      </c>
      <c r="N2637" t="s">
        <v>21083</v>
      </c>
    </row>
    <row r="2638" spans="1:14">
      <c r="A2638" t="s">
        <v>9256</v>
      </c>
      <c r="B2638">
        <v>3174266</v>
      </c>
      <c r="C2638">
        <v>3175753</v>
      </c>
      <c r="E2638" t="s">
        <v>14290</v>
      </c>
      <c r="F2638" t="s">
        <v>15179</v>
      </c>
      <c r="H2638">
        <v>93524070</v>
      </c>
      <c r="I2638" t="s">
        <v>14292</v>
      </c>
      <c r="L2638" t="s">
        <v>21084</v>
      </c>
      <c r="M2638">
        <v>495</v>
      </c>
      <c r="N2638" t="s">
        <v>21085</v>
      </c>
    </row>
    <row r="2639" spans="1:14">
      <c r="A2639" t="s">
        <v>9256</v>
      </c>
      <c r="B2639">
        <v>3175802</v>
      </c>
      <c r="C2639">
        <v>3177349</v>
      </c>
      <c r="E2639" t="s">
        <v>14290</v>
      </c>
      <c r="F2639" t="s">
        <v>16589</v>
      </c>
      <c r="H2639">
        <v>93524071</v>
      </c>
      <c r="I2639" t="s">
        <v>14292</v>
      </c>
      <c r="L2639" t="s">
        <v>21086</v>
      </c>
      <c r="M2639">
        <v>515</v>
      </c>
      <c r="N2639" t="s">
        <v>21087</v>
      </c>
    </row>
    <row r="2640" spans="1:14">
      <c r="A2640" t="s">
        <v>9256</v>
      </c>
      <c r="B2640">
        <v>3177509</v>
      </c>
      <c r="C2640">
        <v>3178981</v>
      </c>
      <c r="E2640" t="s">
        <v>14290</v>
      </c>
      <c r="F2640" t="s">
        <v>16589</v>
      </c>
      <c r="H2640">
        <v>93524072</v>
      </c>
      <c r="I2640" t="s">
        <v>14292</v>
      </c>
      <c r="L2640" t="s">
        <v>21088</v>
      </c>
      <c r="M2640">
        <v>490</v>
      </c>
      <c r="N2640" t="s">
        <v>21089</v>
      </c>
    </row>
    <row r="2641" spans="1:14">
      <c r="A2641" t="s">
        <v>9256</v>
      </c>
      <c r="B2641">
        <v>3179029</v>
      </c>
      <c r="C2641">
        <v>3180624</v>
      </c>
      <c r="E2641" t="s">
        <v>14290</v>
      </c>
      <c r="F2641" t="s">
        <v>16589</v>
      </c>
      <c r="H2641">
        <v>93524073</v>
      </c>
      <c r="I2641" t="s">
        <v>14292</v>
      </c>
      <c r="L2641" t="s">
        <v>21090</v>
      </c>
      <c r="M2641">
        <v>531</v>
      </c>
      <c r="N2641" t="s">
        <v>21091</v>
      </c>
    </row>
    <row r="2642" spans="1:14">
      <c r="A2642" t="s">
        <v>9256</v>
      </c>
      <c r="B2642">
        <v>3180705</v>
      </c>
      <c r="C2642">
        <v>3181655</v>
      </c>
      <c r="E2642" t="s">
        <v>14290</v>
      </c>
      <c r="F2642" t="s">
        <v>21092</v>
      </c>
      <c r="H2642">
        <v>93524074</v>
      </c>
      <c r="I2642" t="s">
        <v>14292</v>
      </c>
      <c r="L2642" t="s">
        <v>21093</v>
      </c>
      <c r="M2642">
        <v>316</v>
      </c>
      <c r="N2642" t="s">
        <v>21094</v>
      </c>
    </row>
    <row r="2643" spans="1:14">
      <c r="A2643" t="s">
        <v>9256</v>
      </c>
      <c r="B2643">
        <v>3181674</v>
      </c>
      <c r="C2643">
        <v>3183176</v>
      </c>
      <c r="E2643" t="s">
        <v>14290</v>
      </c>
      <c r="F2643" t="s">
        <v>21095</v>
      </c>
      <c r="H2643">
        <v>93524075</v>
      </c>
      <c r="I2643" t="s">
        <v>14292</v>
      </c>
      <c r="L2643" t="s">
        <v>21096</v>
      </c>
      <c r="M2643">
        <v>500</v>
      </c>
      <c r="N2643" t="s">
        <v>21097</v>
      </c>
    </row>
    <row r="2644" spans="1:14">
      <c r="A2644" t="s">
        <v>9256</v>
      </c>
      <c r="B2644">
        <v>3183681</v>
      </c>
      <c r="C2644">
        <v>3184709</v>
      </c>
      <c r="E2644" t="s">
        <v>14290</v>
      </c>
      <c r="F2644" t="s">
        <v>14414</v>
      </c>
      <c r="H2644">
        <v>93524076</v>
      </c>
      <c r="I2644" t="s">
        <v>14415</v>
      </c>
      <c r="N2644" t="s">
        <v>21098</v>
      </c>
    </row>
    <row r="2645" spans="1:14">
      <c r="A2645" t="s">
        <v>9256</v>
      </c>
      <c r="B2645">
        <v>3184702</v>
      </c>
      <c r="C2645">
        <v>3185280</v>
      </c>
      <c r="E2645" t="s">
        <v>14314</v>
      </c>
      <c r="F2645" t="s">
        <v>14414</v>
      </c>
      <c r="H2645">
        <v>93524077</v>
      </c>
      <c r="I2645" t="s">
        <v>14415</v>
      </c>
      <c r="N2645" t="s">
        <v>21099</v>
      </c>
    </row>
    <row r="2646" spans="1:14">
      <c r="A2646" t="s">
        <v>9256</v>
      </c>
      <c r="B2646">
        <v>3185462</v>
      </c>
      <c r="C2646">
        <v>3187249</v>
      </c>
      <c r="E2646" t="s">
        <v>14314</v>
      </c>
      <c r="F2646" t="s">
        <v>21100</v>
      </c>
      <c r="H2646">
        <v>93524078</v>
      </c>
      <c r="I2646" t="s">
        <v>14292</v>
      </c>
      <c r="L2646" t="s">
        <v>21101</v>
      </c>
      <c r="M2646">
        <v>595</v>
      </c>
      <c r="N2646" t="s">
        <v>21102</v>
      </c>
    </row>
    <row r="2647" spans="1:14">
      <c r="A2647" t="s">
        <v>9256</v>
      </c>
      <c r="B2647">
        <v>3187255</v>
      </c>
      <c r="C2647">
        <v>3189516</v>
      </c>
      <c r="E2647" t="s">
        <v>14314</v>
      </c>
      <c r="F2647" t="s">
        <v>21103</v>
      </c>
      <c r="H2647">
        <v>93524079</v>
      </c>
      <c r="I2647" t="s">
        <v>14292</v>
      </c>
      <c r="L2647" t="s">
        <v>21104</v>
      </c>
      <c r="M2647">
        <v>753</v>
      </c>
      <c r="N2647" t="s">
        <v>21105</v>
      </c>
    </row>
    <row r="2648" spans="1:14">
      <c r="A2648" t="s">
        <v>9256</v>
      </c>
      <c r="B2648">
        <v>3190218</v>
      </c>
      <c r="C2648">
        <v>3190691</v>
      </c>
      <c r="E2648" t="s">
        <v>14290</v>
      </c>
      <c r="F2648" t="s">
        <v>14291</v>
      </c>
      <c r="H2648">
        <v>93524080</v>
      </c>
      <c r="I2648" t="s">
        <v>14292</v>
      </c>
      <c r="L2648" t="s">
        <v>21106</v>
      </c>
      <c r="M2648">
        <v>157</v>
      </c>
      <c r="N2648" t="s">
        <v>21107</v>
      </c>
    </row>
    <row r="2649" spans="1:14">
      <c r="A2649" t="s">
        <v>9256</v>
      </c>
      <c r="B2649">
        <v>3190733</v>
      </c>
      <c r="C2649">
        <v>3190918</v>
      </c>
      <c r="E2649" t="s">
        <v>14290</v>
      </c>
      <c r="F2649" t="s">
        <v>14406</v>
      </c>
      <c r="H2649">
        <v>93524081</v>
      </c>
      <c r="I2649" t="s">
        <v>14292</v>
      </c>
      <c r="L2649" t="s">
        <v>21108</v>
      </c>
      <c r="M2649">
        <v>61</v>
      </c>
      <c r="N2649" t="s">
        <v>21109</v>
      </c>
    </row>
    <row r="2650" spans="1:14">
      <c r="A2650" t="s">
        <v>9256</v>
      </c>
      <c r="B2650">
        <v>3191290</v>
      </c>
      <c r="C2650">
        <v>3191370</v>
      </c>
      <c r="E2650" t="s">
        <v>14290</v>
      </c>
      <c r="F2650" t="s">
        <v>21110</v>
      </c>
      <c r="H2650">
        <v>301046730</v>
      </c>
      <c r="I2650" t="s">
        <v>14292</v>
      </c>
      <c r="L2650" t="s">
        <v>21111</v>
      </c>
      <c r="M2650">
        <v>26</v>
      </c>
      <c r="N2650" t="s">
        <v>21112</v>
      </c>
    </row>
    <row r="2651" spans="1:14">
      <c r="A2651" t="s">
        <v>9256</v>
      </c>
      <c r="B2651">
        <v>3191398</v>
      </c>
      <c r="C2651">
        <v>3193107</v>
      </c>
      <c r="E2651" t="s">
        <v>14290</v>
      </c>
      <c r="F2651" t="s">
        <v>21113</v>
      </c>
      <c r="G2651" t="s">
        <v>21114</v>
      </c>
      <c r="H2651">
        <v>93524082</v>
      </c>
      <c r="I2651" t="s">
        <v>14292</v>
      </c>
      <c r="L2651" t="s">
        <v>21115</v>
      </c>
      <c r="M2651">
        <v>569</v>
      </c>
      <c r="N2651" t="s">
        <v>21116</v>
      </c>
    </row>
    <row r="2652" spans="1:14">
      <c r="A2652" t="s">
        <v>9256</v>
      </c>
      <c r="B2652">
        <v>3193124</v>
      </c>
      <c r="C2652">
        <v>3195163</v>
      </c>
      <c r="E2652" t="s">
        <v>14290</v>
      </c>
      <c r="F2652" t="s">
        <v>21117</v>
      </c>
      <c r="G2652" t="s">
        <v>21118</v>
      </c>
      <c r="H2652">
        <v>93524083</v>
      </c>
      <c r="I2652" t="s">
        <v>14292</v>
      </c>
      <c r="L2652" t="s">
        <v>21119</v>
      </c>
      <c r="M2652">
        <v>679</v>
      </c>
      <c r="N2652" t="s">
        <v>21120</v>
      </c>
    </row>
    <row r="2653" spans="1:14">
      <c r="A2653" t="s">
        <v>9256</v>
      </c>
      <c r="B2653">
        <v>3195244</v>
      </c>
      <c r="C2653">
        <v>3195825</v>
      </c>
      <c r="E2653" t="s">
        <v>14290</v>
      </c>
      <c r="F2653" t="s">
        <v>21121</v>
      </c>
      <c r="H2653">
        <v>93524084</v>
      </c>
      <c r="I2653" t="s">
        <v>14292</v>
      </c>
      <c r="L2653" t="s">
        <v>21122</v>
      </c>
      <c r="M2653">
        <v>193</v>
      </c>
      <c r="N2653" t="s">
        <v>21123</v>
      </c>
    </row>
    <row r="2654" spans="1:14">
      <c r="A2654" t="s">
        <v>9256</v>
      </c>
      <c r="B2654">
        <v>3195858</v>
      </c>
      <c r="C2654">
        <v>3196628</v>
      </c>
      <c r="E2654" t="s">
        <v>14290</v>
      </c>
      <c r="F2654" t="s">
        <v>14291</v>
      </c>
      <c r="H2654">
        <v>93524085</v>
      </c>
      <c r="I2654" t="s">
        <v>14292</v>
      </c>
      <c r="L2654" t="s">
        <v>21124</v>
      </c>
      <c r="M2654">
        <v>256</v>
      </c>
      <c r="N2654" t="s">
        <v>21125</v>
      </c>
    </row>
    <row r="2655" spans="1:14">
      <c r="A2655" t="s">
        <v>9256</v>
      </c>
      <c r="B2655">
        <v>3196642</v>
      </c>
      <c r="C2655">
        <v>3197763</v>
      </c>
      <c r="E2655" t="s">
        <v>14290</v>
      </c>
      <c r="F2655" t="s">
        <v>21126</v>
      </c>
      <c r="H2655">
        <v>93524086</v>
      </c>
      <c r="I2655" t="s">
        <v>14292</v>
      </c>
      <c r="L2655" t="s">
        <v>21127</v>
      </c>
      <c r="M2655">
        <v>373</v>
      </c>
      <c r="N2655" t="s">
        <v>21128</v>
      </c>
    </row>
    <row r="2656" spans="1:14">
      <c r="A2656" t="s">
        <v>9256</v>
      </c>
      <c r="B2656">
        <v>3197774</v>
      </c>
      <c r="C2656">
        <v>3199492</v>
      </c>
      <c r="E2656" t="s">
        <v>14290</v>
      </c>
      <c r="F2656" t="s">
        <v>14493</v>
      </c>
      <c r="H2656">
        <v>93524087</v>
      </c>
      <c r="I2656" t="s">
        <v>14292</v>
      </c>
      <c r="L2656" t="s">
        <v>21129</v>
      </c>
      <c r="M2656">
        <v>572</v>
      </c>
      <c r="N2656" t="s">
        <v>21130</v>
      </c>
    </row>
    <row r="2657" spans="1:14">
      <c r="A2657" t="s">
        <v>9256</v>
      </c>
      <c r="B2657">
        <v>3199521</v>
      </c>
      <c r="C2657">
        <v>3200867</v>
      </c>
      <c r="E2657" t="s">
        <v>14290</v>
      </c>
      <c r="F2657" t="s">
        <v>15745</v>
      </c>
      <c r="H2657">
        <v>93524088</v>
      </c>
      <c r="I2657" t="s">
        <v>14292</v>
      </c>
      <c r="L2657" t="s">
        <v>21131</v>
      </c>
      <c r="M2657">
        <v>448</v>
      </c>
      <c r="N2657" t="s">
        <v>21132</v>
      </c>
    </row>
    <row r="2658" spans="1:14">
      <c r="A2658" t="s">
        <v>9256</v>
      </c>
      <c r="B2658">
        <v>3201217</v>
      </c>
      <c r="C2658">
        <v>3201363</v>
      </c>
      <c r="E2658" t="s">
        <v>14290</v>
      </c>
      <c r="F2658" t="s">
        <v>14870</v>
      </c>
      <c r="H2658">
        <v>93525969</v>
      </c>
      <c r="I2658" t="s">
        <v>14292</v>
      </c>
      <c r="L2658" t="s">
        <v>21133</v>
      </c>
      <c r="M2658">
        <v>48</v>
      </c>
      <c r="N2658" t="s">
        <v>21134</v>
      </c>
    </row>
    <row r="2659" spans="1:14">
      <c r="A2659" t="s">
        <v>9256</v>
      </c>
      <c r="B2659">
        <v>3201390</v>
      </c>
      <c r="C2659">
        <v>3201638</v>
      </c>
      <c r="E2659" t="s">
        <v>14290</v>
      </c>
      <c r="F2659" t="s">
        <v>14870</v>
      </c>
      <c r="H2659">
        <v>93525970</v>
      </c>
      <c r="I2659" t="s">
        <v>14292</v>
      </c>
      <c r="L2659" t="s">
        <v>21135</v>
      </c>
      <c r="M2659">
        <v>82</v>
      </c>
      <c r="N2659" t="s">
        <v>21136</v>
      </c>
    </row>
    <row r="2660" spans="1:14">
      <c r="A2660" t="s">
        <v>9256</v>
      </c>
      <c r="B2660">
        <v>3201792</v>
      </c>
      <c r="C2660">
        <v>3202006</v>
      </c>
      <c r="E2660" t="s">
        <v>14314</v>
      </c>
      <c r="F2660" t="s">
        <v>14414</v>
      </c>
      <c r="H2660">
        <v>93525996</v>
      </c>
      <c r="I2660" t="s">
        <v>14415</v>
      </c>
      <c r="N2660" t="s">
        <v>21137</v>
      </c>
    </row>
    <row r="2661" spans="1:14">
      <c r="A2661" t="s">
        <v>9256</v>
      </c>
      <c r="B2661">
        <v>3202583</v>
      </c>
      <c r="C2661">
        <v>3203401</v>
      </c>
      <c r="E2661" t="s">
        <v>14290</v>
      </c>
      <c r="F2661" t="s">
        <v>15711</v>
      </c>
      <c r="H2661">
        <v>93524089</v>
      </c>
      <c r="I2661" t="s">
        <v>14292</v>
      </c>
      <c r="L2661" t="s">
        <v>21138</v>
      </c>
      <c r="M2661">
        <v>272</v>
      </c>
      <c r="N2661" t="s">
        <v>21139</v>
      </c>
    </row>
    <row r="2662" spans="1:14">
      <c r="A2662" t="s">
        <v>9256</v>
      </c>
      <c r="B2662">
        <v>3203412</v>
      </c>
      <c r="C2662">
        <v>3204368</v>
      </c>
      <c r="E2662" t="s">
        <v>14290</v>
      </c>
      <c r="F2662" t="s">
        <v>21140</v>
      </c>
      <c r="H2662">
        <v>93524090</v>
      </c>
      <c r="I2662" t="s">
        <v>14292</v>
      </c>
      <c r="L2662" t="s">
        <v>21141</v>
      </c>
      <c r="M2662">
        <v>318</v>
      </c>
      <c r="N2662" t="s">
        <v>21142</v>
      </c>
    </row>
    <row r="2663" spans="1:14">
      <c r="A2663" t="s">
        <v>9256</v>
      </c>
      <c r="B2663">
        <v>3204438</v>
      </c>
      <c r="C2663">
        <v>3204665</v>
      </c>
      <c r="E2663" t="s">
        <v>14290</v>
      </c>
      <c r="F2663" t="s">
        <v>14291</v>
      </c>
      <c r="H2663">
        <v>93524091</v>
      </c>
      <c r="I2663" t="s">
        <v>14292</v>
      </c>
      <c r="L2663" t="s">
        <v>21143</v>
      </c>
      <c r="M2663">
        <v>75</v>
      </c>
      <c r="N2663" t="s">
        <v>21144</v>
      </c>
    </row>
    <row r="2664" spans="1:14">
      <c r="A2664" t="s">
        <v>9256</v>
      </c>
      <c r="B2664">
        <v>3204820</v>
      </c>
      <c r="C2664">
        <v>3205089</v>
      </c>
      <c r="E2664" t="s">
        <v>14290</v>
      </c>
      <c r="F2664" t="s">
        <v>14291</v>
      </c>
      <c r="H2664">
        <v>93524092</v>
      </c>
      <c r="I2664" t="s">
        <v>14292</v>
      </c>
      <c r="L2664" t="s">
        <v>21145</v>
      </c>
      <c r="M2664">
        <v>89</v>
      </c>
      <c r="N2664" t="s">
        <v>21146</v>
      </c>
    </row>
    <row r="2665" spans="1:14">
      <c r="A2665" t="s">
        <v>9256</v>
      </c>
      <c r="B2665">
        <v>3205237</v>
      </c>
      <c r="C2665">
        <v>3205587</v>
      </c>
      <c r="E2665" t="s">
        <v>14290</v>
      </c>
      <c r="F2665" t="s">
        <v>14406</v>
      </c>
      <c r="H2665">
        <v>93524093</v>
      </c>
      <c r="I2665" t="s">
        <v>14292</v>
      </c>
      <c r="L2665" t="s">
        <v>21147</v>
      </c>
      <c r="M2665">
        <v>116</v>
      </c>
      <c r="N2665" t="s">
        <v>21148</v>
      </c>
    </row>
    <row r="2666" spans="1:14">
      <c r="A2666" t="s">
        <v>9256</v>
      </c>
      <c r="B2666">
        <v>3205842</v>
      </c>
      <c r="C2666">
        <v>3206426</v>
      </c>
      <c r="E2666" t="s">
        <v>14290</v>
      </c>
      <c r="F2666" t="s">
        <v>19420</v>
      </c>
      <c r="H2666">
        <v>93524094</v>
      </c>
      <c r="I2666" t="s">
        <v>14292</v>
      </c>
      <c r="L2666" t="s">
        <v>21149</v>
      </c>
      <c r="M2666">
        <v>194</v>
      </c>
      <c r="N2666" t="s">
        <v>21150</v>
      </c>
    </row>
    <row r="2667" spans="1:14">
      <c r="A2667" t="s">
        <v>9256</v>
      </c>
      <c r="B2667">
        <v>3206431</v>
      </c>
      <c r="C2667">
        <v>3207351</v>
      </c>
      <c r="E2667" t="s">
        <v>14290</v>
      </c>
      <c r="F2667" t="s">
        <v>19423</v>
      </c>
      <c r="H2667">
        <v>93524095</v>
      </c>
      <c r="I2667" t="s">
        <v>14292</v>
      </c>
      <c r="L2667" t="s">
        <v>21151</v>
      </c>
      <c r="M2667">
        <v>306</v>
      </c>
      <c r="N2667" t="s">
        <v>21152</v>
      </c>
    </row>
    <row r="2668" spans="1:14">
      <c r="A2668" t="s">
        <v>9256</v>
      </c>
      <c r="B2668">
        <v>3207348</v>
      </c>
      <c r="C2668">
        <v>3207752</v>
      </c>
      <c r="E2668" t="s">
        <v>14290</v>
      </c>
      <c r="F2668" t="s">
        <v>14439</v>
      </c>
      <c r="H2668">
        <v>93524096</v>
      </c>
      <c r="I2668" t="s">
        <v>14292</v>
      </c>
      <c r="L2668" t="s">
        <v>21153</v>
      </c>
      <c r="M2668">
        <v>134</v>
      </c>
      <c r="N2668" t="s">
        <v>21154</v>
      </c>
    </row>
    <row r="2669" spans="1:14">
      <c r="A2669" t="s">
        <v>9256</v>
      </c>
      <c r="B2669">
        <v>3208142</v>
      </c>
      <c r="C2669">
        <v>3208315</v>
      </c>
      <c r="E2669" t="s">
        <v>14314</v>
      </c>
      <c r="F2669" t="s">
        <v>14414</v>
      </c>
      <c r="H2669">
        <v>93524097</v>
      </c>
      <c r="I2669" t="s">
        <v>14415</v>
      </c>
      <c r="N2669" t="s">
        <v>21155</v>
      </c>
    </row>
    <row r="2670" spans="1:14">
      <c r="A2670" t="s">
        <v>9256</v>
      </c>
      <c r="B2670">
        <v>3208637</v>
      </c>
      <c r="C2670">
        <v>3209869</v>
      </c>
      <c r="E2670" t="s">
        <v>14290</v>
      </c>
      <c r="F2670" t="s">
        <v>15333</v>
      </c>
      <c r="H2670">
        <v>93524098</v>
      </c>
      <c r="I2670" t="s">
        <v>14292</v>
      </c>
      <c r="L2670" t="s">
        <v>21156</v>
      </c>
      <c r="M2670">
        <v>410</v>
      </c>
      <c r="N2670" t="s">
        <v>21157</v>
      </c>
    </row>
    <row r="2671" spans="1:14">
      <c r="A2671" t="s">
        <v>9256</v>
      </c>
      <c r="B2671">
        <v>3209896</v>
      </c>
      <c r="C2671">
        <v>3211218</v>
      </c>
      <c r="E2671" t="s">
        <v>14290</v>
      </c>
      <c r="F2671" t="s">
        <v>15333</v>
      </c>
      <c r="H2671">
        <v>93524099</v>
      </c>
      <c r="I2671" t="s">
        <v>14292</v>
      </c>
      <c r="L2671" t="s">
        <v>21158</v>
      </c>
      <c r="M2671">
        <v>440</v>
      </c>
      <c r="N2671" t="s">
        <v>21159</v>
      </c>
    </row>
    <row r="2672" spans="1:14">
      <c r="A2672" t="s">
        <v>9256</v>
      </c>
      <c r="B2672">
        <v>3211258</v>
      </c>
      <c r="C2672">
        <v>3211557</v>
      </c>
      <c r="E2672" t="s">
        <v>14314</v>
      </c>
      <c r="F2672" t="s">
        <v>14291</v>
      </c>
      <c r="H2672">
        <v>93524100</v>
      </c>
      <c r="I2672" t="s">
        <v>14292</v>
      </c>
      <c r="L2672" t="s">
        <v>21160</v>
      </c>
      <c r="M2672">
        <v>99</v>
      </c>
      <c r="N2672" t="s">
        <v>21161</v>
      </c>
    </row>
    <row r="2673" spans="1:14">
      <c r="A2673" t="s">
        <v>9256</v>
      </c>
      <c r="B2673">
        <v>3211846</v>
      </c>
      <c r="C2673">
        <v>3212139</v>
      </c>
      <c r="E2673" t="s">
        <v>14314</v>
      </c>
      <c r="F2673" t="s">
        <v>14406</v>
      </c>
      <c r="H2673">
        <v>93524101</v>
      </c>
      <c r="I2673" t="s">
        <v>14292</v>
      </c>
      <c r="L2673" t="s">
        <v>21162</v>
      </c>
      <c r="M2673">
        <v>97</v>
      </c>
      <c r="N2673" t="s">
        <v>21163</v>
      </c>
    </row>
    <row r="2674" spans="1:14">
      <c r="A2674" t="s">
        <v>9256</v>
      </c>
      <c r="B2674">
        <v>3212199</v>
      </c>
      <c r="C2674">
        <v>3212501</v>
      </c>
      <c r="E2674" t="s">
        <v>14314</v>
      </c>
      <c r="F2674" t="s">
        <v>15244</v>
      </c>
      <c r="H2674">
        <v>93524102</v>
      </c>
      <c r="I2674" t="s">
        <v>14292</v>
      </c>
      <c r="L2674" t="s">
        <v>21164</v>
      </c>
      <c r="M2674">
        <v>100</v>
      </c>
      <c r="N2674" t="s">
        <v>21165</v>
      </c>
    </row>
    <row r="2675" spans="1:14">
      <c r="A2675" t="s">
        <v>9256</v>
      </c>
      <c r="B2675">
        <v>3212512</v>
      </c>
      <c r="C2675">
        <v>3212817</v>
      </c>
      <c r="E2675" t="s">
        <v>14314</v>
      </c>
      <c r="F2675" t="s">
        <v>14406</v>
      </c>
      <c r="H2675">
        <v>93524103</v>
      </c>
      <c r="I2675" t="s">
        <v>14292</v>
      </c>
      <c r="L2675" t="s">
        <v>21166</v>
      </c>
      <c r="M2675">
        <v>101</v>
      </c>
      <c r="N2675" t="s">
        <v>21167</v>
      </c>
    </row>
    <row r="2676" spans="1:14">
      <c r="A2676" t="s">
        <v>9256</v>
      </c>
      <c r="B2676">
        <v>3212814</v>
      </c>
      <c r="C2676">
        <v>3213101</v>
      </c>
      <c r="E2676" t="s">
        <v>14314</v>
      </c>
      <c r="F2676" t="s">
        <v>15260</v>
      </c>
      <c r="H2676">
        <v>93524104</v>
      </c>
      <c r="I2676" t="s">
        <v>14292</v>
      </c>
      <c r="L2676" t="s">
        <v>21168</v>
      </c>
      <c r="M2676">
        <v>95</v>
      </c>
      <c r="N2676" t="s">
        <v>21169</v>
      </c>
    </row>
    <row r="2677" spans="1:14">
      <c r="A2677" t="s">
        <v>9256</v>
      </c>
      <c r="B2677">
        <v>3213592</v>
      </c>
      <c r="C2677">
        <v>3214041</v>
      </c>
      <c r="E2677" t="s">
        <v>14290</v>
      </c>
      <c r="F2677" t="s">
        <v>15270</v>
      </c>
      <c r="G2677" t="s">
        <v>15271</v>
      </c>
      <c r="H2677">
        <v>93524105</v>
      </c>
      <c r="I2677" t="s">
        <v>14292</v>
      </c>
      <c r="L2677" t="s">
        <v>21170</v>
      </c>
      <c r="M2677">
        <v>149</v>
      </c>
      <c r="N2677" t="s">
        <v>21171</v>
      </c>
    </row>
    <row r="2678" spans="1:14">
      <c r="A2678" t="s">
        <v>9256</v>
      </c>
      <c r="B2678">
        <v>3214108</v>
      </c>
      <c r="C2678">
        <v>3214431</v>
      </c>
      <c r="E2678" t="s">
        <v>14314</v>
      </c>
      <c r="F2678" t="s">
        <v>14406</v>
      </c>
      <c r="H2678">
        <v>93524106</v>
      </c>
      <c r="I2678" t="s">
        <v>14292</v>
      </c>
      <c r="L2678" t="s">
        <v>21172</v>
      </c>
      <c r="M2678">
        <v>107</v>
      </c>
      <c r="N2678" t="s">
        <v>21173</v>
      </c>
    </row>
    <row r="2679" spans="1:14">
      <c r="A2679" t="s">
        <v>9256</v>
      </c>
      <c r="B2679">
        <v>3214561</v>
      </c>
      <c r="C2679">
        <v>3214947</v>
      </c>
      <c r="E2679" t="s">
        <v>14314</v>
      </c>
      <c r="F2679" t="s">
        <v>15286</v>
      </c>
      <c r="H2679">
        <v>93524107</v>
      </c>
      <c r="I2679" t="s">
        <v>14292</v>
      </c>
      <c r="L2679" t="s">
        <v>21174</v>
      </c>
      <c r="M2679">
        <v>128</v>
      </c>
      <c r="N2679" t="s">
        <v>21175</v>
      </c>
    </row>
    <row r="2680" spans="1:14">
      <c r="A2680" t="s">
        <v>9256</v>
      </c>
      <c r="B2680">
        <v>3214931</v>
      </c>
      <c r="C2680">
        <v>3215173</v>
      </c>
      <c r="E2680" t="s">
        <v>14314</v>
      </c>
      <c r="F2680" t="s">
        <v>14291</v>
      </c>
      <c r="H2680">
        <v>93524108</v>
      </c>
      <c r="I2680" t="s">
        <v>14292</v>
      </c>
      <c r="L2680" t="s">
        <v>21176</v>
      </c>
      <c r="M2680">
        <v>80</v>
      </c>
      <c r="N2680" t="s">
        <v>21177</v>
      </c>
    </row>
    <row r="2681" spans="1:14">
      <c r="A2681" t="s">
        <v>9256</v>
      </c>
      <c r="B2681">
        <v>3215202</v>
      </c>
      <c r="C2681">
        <v>3215447</v>
      </c>
      <c r="E2681" t="s">
        <v>14314</v>
      </c>
      <c r="F2681" t="s">
        <v>14291</v>
      </c>
      <c r="H2681">
        <v>93524109</v>
      </c>
      <c r="I2681" t="s">
        <v>14292</v>
      </c>
      <c r="L2681" t="s">
        <v>21178</v>
      </c>
      <c r="M2681">
        <v>81</v>
      </c>
      <c r="N2681" t="s">
        <v>21179</v>
      </c>
    </row>
    <row r="2682" spans="1:14">
      <c r="A2682" t="s">
        <v>9256</v>
      </c>
      <c r="B2682">
        <v>3215459</v>
      </c>
      <c r="C2682">
        <v>3217750</v>
      </c>
      <c r="E2682" t="s">
        <v>14314</v>
      </c>
      <c r="F2682" t="s">
        <v>14615</v>
      </c>
      <c r="H2682">
        <v>93524110</v>
      </c>
      <c r="I2682" t="s">
        <v>14292</v>
      </c>
      <c r="L2682" t="s">
        <v>21180</v>
      </c>
      <c r="M2682">
        <v>763</v>
      </c>
      <c r="N2682" t="s">
        <v>21181</v>
      </c>
    </row>
    <row r="2683" spans="1:14">
      <c r="A2683" t="s">
        <v>9256</v>
      </c>
      <c r="B2683">
        <v>3217780</v>
      </c>
      <c r="C2683">
        <v>3218319</v>
      </c>
      <c r="E2683" t="s">
        <v>14314</v>
      </c>
      <c r="F2683" t="s">
        <v>14291</v>
      </c>
      <c r="H2683">
        <v>93524111</v>
      </c>
      <c r="I2683" t="s">
        <v>14292</v>
      </c>
      <c r="L2683" t="s">
        <v>21182</v>
      </c>
      <c r="M2683">
        <v>179</v>
      </c>
      <c r="N2683" t="s">
        <v>21183</v>
      </c>
    </row>
    <row r="2684" spans="1:14">
      <c r="A2684" t="s">
        <v>9256</v>
      </c>
      <c r="B2684">
        <v>3218412</v>
      </c>
      <c r="C2684">
        <v>3218750</v>
      </c>
      <c r="E2684" t="s">
        <v>14314</v>
      </c>
      <c r="F2684" t="s">
        <v>14291</v>
      </c>
      <c r="H2684">
        <v>93524112</v>
      </c>
      <c r="I2684" t="s">
        <v>14292</v>
      </c>
      <c r="L2684" t="s">
        <v>21184</v>
      </c>
      <c r="M2684">
        <v>112</v>
      </c>
      <c r="N2684" t="s">
        <v>21185</v>
      </c>
    </row>
    <row r="2685" spans="1:14">
      <c r="A2685" t="s">
        <v>9256</v>
      </c>
      <c r="B2685">
        <v>3218792</v>
      </c>
      <c r="C2685">
        <v>3219220</v>
      </c>
      <c r="E2685" t="s">
        <v>14314</v>
      </c>
      <c r="F2685" t="s">
        <v>14291</v>
      </c>
      <c r="H2685">
        <v>93524113</v>
      </c>
      <c r="I2685" t="s">
        <v>14292</v>
      </c>
      <c r="L2685" t="s">
        <v>21186</v>
      </c>
      <c r="M2685">
        <v>142</v>
      </c>
      <c r="N2685" t="s">
        <v>21187</v>
      </c>
    </row>
    <row r="2686" spans="1:14">
      <c r="A2686" t="s">
        <v>9256</v>
      </c>
      <c r="B2686">
        <v>3219337</v>
      </c>
      <c r="C2686">
        <v>3220110</v>
      </c>
      <c r="E2686" t="s">
        <v>14314</v>
      </c>
      <c r="F2686" t="s">
        <v>14291</v>
      </c>
      <c r="H2686">
        <v>93524114</v>
      </c>
      <c r="I2686" t="s">
        <v>14292</v>
      </c>
      <c r="L2686" t="s">
        <v>21188</v>
      </c>
      <c r="M2686">
        <v>257</v>
      </c>
      <c r="N2686" t="s">
        <v>21189</v>
      </c>
    </row>
    <row r="2687" spans="1:14">
      <c r="A2687" t="s">
        <v>9256</v>
      </c>
      <c r="B2687">
        <v>3220362</v>
      </c>
      <c r="C2687">
        <v>3220934</v>
      </c>
      <c r="E2687" t="s">
        <v>14314</v>
      </c>
      <c r="F2687" t="s">
        <v>15027</v>
      </c>
      <c r="H2687">
        <v>93524115</v>
      </c>
      <c r="I2687" t="s">
        <v>14292</v>
      </c>
      <c r="L2687" t="s">
        <v>21190</v>
      </c>
      <c r="M2687">
        <v>190</v>
      </c>
      <c r="N2687" t="s">
        <v>21191</v>
      </c>
    </row>
    <row r="2688" spans="1:14">
      <c r="A2688" t="s">
        <v>9256</v>
      </c>
      <c r="B2688">
        <v>3220952</v>
      </c>
      <c r="C2688">
        <v>3221524</v>
      </c>
      <c r="E2688" t="s">
        <v>14314</v>
      </c>
      <c r="F2688" t="s">
        <v>15027</v>
      </c>
      <c r="H2688">
        <v>93524116</v>
      </c>
      <c r="I2688" t="s">
        <v>14292</v>
      </c>
      <c r="L2688" t="s">
        <v>21192</v>
      </c>
      <c r="M2688">
        <v>190</v>
      </c>
      <c r="N2688" t="s">
        <v>21193</v>
      </c>
    </row>
    <row r="2689" spans="1:14">
      <c r="A2689" t="s">
        <v>9256</v>
      </c>
      <c r="B2689">
        <v>3221707</v>
      </c>
      <c r="C2689">
        <v>3222825</v>
      </c>
      <c r="E2689" t="s">
        <v>14314</v>
      </c>
      <c r="F2689" t="s">
        <v>15333</v>
      </c>
      <c r="H2689">
        <v>93524117</v>
      </c>
      <c r="I2689" t="s">
        <v>14292</v>
      </c>
      <c r="L2689" t="s">
        <v>21194</v>
      </c>
      <c r="M2689">
        <v>372</v>
      </c>
      <c r="N2689" t="s">
        <v>21195</v>
      </c>
    </row>
    <row r="2690" spans="1:14">
      <c r="A2690" t="s">
        <v>9256</v>
      </c>
      <c r="B2690">
        <v>3223073</v>
      </c>
      <c r="C2690">
        <v>3223145</v>
      </c>
      <c r="E2690" t="s">
        <v>14314</v>
      </c>
      <c r="F2690" t="s">
        <v>20736</v>
      </c>
      <c r="H2690">
        <v>93524118</v>
      </c>
      <c r="I2690" t="s">
        <v>13638</v>
      </c>
      <c r="N2690" t="s">
        <v>21196</v>
      </c>
    </row>
    <row r="2691" spans="1:14">
      <c r="A2691" t="s">
        <v>9256</v>
      </c>
      <c r="B2691">
        <v>3223361</v>
      </c>
      <c r="C2691">
        <v>3224479</v>
      </c>
      <c r="E2691" t="s">
        <v>14290</v>
      </c>
      <c r="F2691" t="s">
        <v>21197</v>
      </c>
      <c r="H2691">
        <v>93524119</v>
      </c>
      <c r="I2691" t="s">
        <v>14292</v>
      </c>
      <c r="L2691" t="s">
        <v>21198</v>
      </c>
      <c r="M2691">
        <v>372</v>
      </c>
      <c r="N2691" t="s">
        <v>21199</v>
      </c>
    </row>
    <row r="2692" spans="1:14">
      <c r="A2692" t="s">
        <v>9256</v>
      </c>
      <c r="B2692">
        <v>3224556</v>
      </c>
      <c r="C2692">
        <v>3225584</v>
      </c>
      <c r="E2692" t="s">
        <v>14314</v>
      </c>
      <c r="F2692" t="s">
        <v>21200</v>
      </c>
      <c r="G2692" t="s">
        <v>21201</v>
      </c>
      <c r="H2692">
        <v>93524120</v>
      </c>
      <c r="I2692" t="s">
        <v>14292</v>
      </c>
      <c r="L2692" t="s">
        <v>21202</v>
      </c>
      <c r="M2692">
        <v>342</v>
      </c>
      <c r="N2692" t="s">
        <v>21203</v>
      </c>
    </row>
    <row r="2693" spans="1:14">
      <c r="A2693" t="s">
        <v>9256</v>
      </c>
      <c r="B2693">
        <v>3225592</v>
      </c>
      <c r="C2693">
        <v>3226701</v>
      </c>
      <c r="E2693" t="s">
        <v>14314</v>
      </c>
      <c r="F2693" t="s">
        <v>21204</v>
      </c>
      <c r="G2693" t="s">
        <v>21205</v>
      </c>
      <c r="H2693">
        <v>93524121</v>
      </c>
      <c r="I2693" t="s">
        <v>14292</v>
      </c>
      <c r="L2693" t="s">
        <v>21206</v>
      </c>
      <c r="M2693">
        <v>369</v>
      </c>
      <c r="N2693" t="s">
        <v>21207</v>
      </c>
    </row>
    <row r="2694" spans="1:14">
      <c r="A2694" t="s">
        <v>9256</v>
      </c>
      <c r="B2694">
        <v>3226712</v>
      </c>
      <c r="C2694">
        <v>3228460</v>
      </c>
      <c r="E2694" t="s">
        <v>14314</v>
      </c>
      <c r="F2694" t="s">
        <v>21208</v>
      </c>
      <c r="G2694" t="s">
        <v>21209</v>
      </c>
      <c r="H2694">
        <v>93524122</v>
      </c>
      <c r="I2694" t="s">
        <v>14292</v>
      </c>
      <c r="L2694" t="s">
        <v>21210</v>
      </c>
      <c r="M2694">
        <v>582</v>
      </c>
      <c r="N2694" t="s">
        <v>21211</v>
      </c>
    </row>
    <row r="2695" spans="1:14">
      <c r="A2695" t="s">
        <v>9256</v>
      </c>
      <c r="B2695">
        <v>3228491</v>
      </c>
      <c r="C2695">
        <v>3229441</v>
      </c>
      <c r="E2695" t="s">
        <v>14314</v>
      </c>
      <c r="F2695" t="s">
        <v>21212</v>
      </c>
      <c r="H2695">
        <v>93524123</v>
      </c>
      <c r="I2695" t="s">
        <v>14292</v>
      </c>
      <c r="L2695" t="s">
        <v>21213</v>
      </c>
      <c r="M2695">
        <v>316</v>
      </c>
      <c r="N2695" t="s">
        <v>21214</v>
      </c>
    </row>
    <row r="2696" spans="1:14">
      <c r="A2696" t="s">
        <v>9256</v>
      </c>
      <c r="B2696">
        <v>3229438</v>
      </c>
      <c r="C2696">
        <v>3230898</v>
      </c>
      <c r="E2696" t="s">
        <v>14314</v>
      </c>
      <c r="F2696" t="s">
        <v>14335</v>
      </c>
      <c r="H2696">
        <v>93524124</v>
      </c>
      <c r="I2696" t="s">
        <v>14292</v>
      </c>
      <c r="L2696" t="s">
        <v>21215</v>
      </c>
      <c r="M2696">
        <v>486</v>
      </c>
      <c r="N2696" t="s">
        <v>21216</v>
      </c>
    </row>
    <row r="2697" spans="1:14">
      <c r="A2697" t="s">
        <v>9256</v>
      </c>
      <c r="B2697">
        <v>3230895</v>
      </c>
      <c r="C2697">
        <v>3233831</v>
      </c>
      <c r="E2697" t="s">
        <v>14314</v>
      </c>
      <c r="F2697" t="s">
        <v>21217</v>
      </c>
      <c r="H2697">
        <v>93524125</v>
      </c>
      <c r="I2697" t="s">
        <v>14292</v>
      </c>
      <c r="L2697" t="s">
        <v>21218</v>
      </c>
      <c r="M2697">
        <v>978</v>
      </c>
      <c r="N2697" t="s">
        <v>21219</v>
      </c>
    </row>
    <row r="2698" spans="1:14">
      <c r="A2698" t="s">
        <v>9256</v>
      </c>
      <c r="B2698">
        <v>3233951</v>
      </c>
      <c r="C2698">
        <v>3234061</v>
      </c>
      <c r="E2698" t="s">
        <v>14290</v>
      </c>
      <c r="F2698" t="s">
        <v>14414</v>
      </c>
      <c r="H2698">
        <v>93525997</v>
      </c>
      <c r="I2698" t="s">
        <v>14415</v>
      </c>
      <c r="N2698" t="s">
        <v>21220</v>
      </c>
    </row>
    <row r="2699" spans="1:14">
      <c r="A2699" t="s">
        <v>9256</v>
      </c>
      <c r="B2699">
        <v>3235083</v>
      </c>
      <c r="C2699">
        <v>3236607</v>
      </c>
      <c r="E2699" t="s">
        <v>14290</v>
      </c>
      <c r="F2699" t="s">
        <v>16999</v>
      </c>
      <c r="H2699">
        <v>93524126</v>
      </c>
      <c r="I2699" t="s">
        <v>16991</v>
      </c>
      <c r="N2699" t="s">
        <v>21221</v>
      </c>
    </row>
    <row r="2700" spans="1:14">
      <c r="A2700" t="s">
        <v>9256</v>
      </c>
      <c r="B2700">
        <v>3236779</v>
      </c>
      <c r="C2700">
        <v>3236852</v>
      </c>
      <c r="E2700" t="s">
        <v>14290</v>
      </c>
      <c r="F2700" t="s">
        <v>16997</v>
      </c>
      <c r="H2700">
        <v>93524127</v>
      </c>
      <c r="I2700" t="s">
        <v>13638</v>
      </c>
      <c r="N2700" t="s">
        <v>21222</v>
      </c>
    </row>
    <row r="2701" spans="1:14">
      <c r="A2701" t="s">
        <v>9256</v>
      </c>
      <c r="B2701">
        <v>3236863</v>
      </c>
      <c r="C2701">
        <v>3236936</v>
      </c>
      <c r="E2701" t="s">
        <v>14290</v>
      </c>
      <c r="F2701" t="s">
        <v>16995</v>
      </c>
      <c r="H2701">
        <v>93524128</v>
      </c>
      <c r="I2701" t="s">
        <v>13638</v>
      </c>
      <c r="N2701" t="s">
        <v>21223</v>
      </c>
    </row>
    <row r="2702" spans="1:14">
      <c r="A2702" t="s">
        <v>9256</v>
      </c>
      <c r="B2702">
        <v>3237042</v>
      </c>
      <c r="C2702">
        <v>3239919</v>
      </c>
      <c r="E2702" t="s">
        <v>14290</v>
      </c>
      <c r="F2702" t="s">
        <v>16993</v>
      </c>
      <c r="H2702">
        <v>93524129</v>
      </c>
      <c r="I2702" t="s">
        <v>16991</v>
      </c>
      <c r="N2702" t="s">
        <v>21224</v>
      </c>
    </row>
    <row r="2703" spans="1:14">
      <c r="A2703" t="s">
        <v>9256</v>
      </c>
      <c r="B2703">
        <v>3240003</v>
      </c>
      <c r="C2703">
        <v>3240113</v>
      </c>
      <c r="E2703" t="s">
        <v>14290</v>
      </c>
      <c r="F2703" t="s">
        <v>16989</v>
      </c>
      <c r="G2703" t="s">
        <v>16990</v>
      </c>
      <c r="H2703">
        <v>93524130</v>
      </c>
      <c r="I2703" t="s">
        <v>16991</v>
      </c>
      <c r="N2703" t="s">
        <v>21225</v>
      </c>
    </row>
    <row r="2704" spans="1:14">
      <c r="A2704" t="s">
        <v>9256</v>
      </c>
      <c r="B2704">
        <v>3240226</v>
      </c>
      <c r="C2704">
        <v>3240759</v>
      </c>
      <c r="E2704" t="s">
        <v>14314</v>
      </c>
      <c r="F2704" t="s">
        <v>21226</v>
      </c>
      <c r="G2704" t="s">
        <v>21227</v>
      </c>
      <c r="H2704">
        <v>93524131</v>
      </c>
      <c r="I2704" t="s">
        <v>14292</v>
      </c>
      <c r="L2704" t="s">
        <v>21228</v>
      </c>
      <c r="M2704">
        <v>177</v>
      </c>
      <c r="N2704" t="s">
        <v>21229</v>
      </c>
    </row>
    <row r="2705" spans="1:14">
      <c r="A2705" t="s">
        <v>9256</v>
      </c>
      <c r="B2705">
        <v>3240762</v>
      </c>
      <c r="C2705">
        <v>3241511</v>
      </c>
      <c r="E2705" t="s">
        <v>14314</v>
      </c>
      <c r="F2705" t="s">
        <v>21230</v>
      </c>
      <c r="H2705">
        <v>93524132</v>
      </c>
      <c r="I2705" t="s">
        <v>14292</v>
      </c>
      <c r="L2705" t="s">
        <v>21231</v>
      </c>
      <c r="M2705">
        <v>249</v>
      </c>
      <c r="N2705" t="s">
        <v>21232</v>
      </c>
    </row>
    <row r="2706" spans="1:14">
      <c r="A2706" t="s">
        <v>9256</v>
      </c>
      <c r="B2706">
        <v>3241513</v>
      </c>
      <c r="C2706">
        <v>3242553</v>
      </c>
      <c r="E2706" t="s">
        <v>14314</v>
      </c>
      <c r="F2706" t="s">
        <v>21233</v>
      </c>
      <c r="G2706" t="s">
        <v>21234</v>
      </c>
      <c r="H2706">
        <v>93524133</v>
      </c>
      <c r="I2706" t="s">
        <v>14292</v>
      </c>
      <c r="L2706" t="s">
        <v>21235</v>
      </c>
      <c r="M2706">
        <v>346</v>
      </c>
      <c r="N2706" t="s">
        <v>21236</v>
      </c>
    </row>
    <row r="2707" spans="1:14">
      <c r="A2707" t="s">
        <v>9256</v>
      </c>
      <c r="B2707">
        <v>3242584</v>
      </c>
      <c r="C2707">
        <v>3243099</v>
      </c>
      <c r="E2707" t="s">
        <v>14314</v>
      </c>
      <c r="F2707" t="s">
        <v>21237</v>
      </c>
      <c r="H2707">
        <v>93524134</v>
      </c>
      <c r="I2707" t="s">
        <v>14292</v>
      </c>
      <c r="L2707" t="s">
        <v>21238</v>
      </c>
      <c r="M2707">
        <v>171</v>
      </c>
      <c r="N2707" t="s">
        <v>21239</v>
      </c>
    </row>
    <row r="2708" spans="1:14">
      <c r="A2708" t="s">
        <v>9256</v>
      </c>
      <c r="B2708">
        <v>3243092</v>
      </c>
      <c r="C2708">
        <v>3243661</v>
      </c>
      <c r="E2708" t="s">
        <v>14314</v>
      </c>
      <c r="F2708" t="s">
        <v>21240</v>
      </c>
      <c r="H2708">
        <v>93524135</v>
      </c>
      <c r="I2708" t="s">
        <v>14292</v>
      </c>
      <c r="L2708" t="s">
        <v>21241</v>
      </c>
      <c r="M2708">
        <v>189</v>
      </c>
      <c r="N2708" t="s">
        <v>21242</v>
      </c>
    </row>
    <row r="2709" spans="1:14">
      <c r="A2709" t="s">
        <v>9256</v>
      </c>
      <c r="B2709">
        <v>3243672</v>
      </c>
      <c r="C2709">
        <v>3244631</v>
      </c>
      <c r="E2709" t="s">
        <v>14314</v>
      </c>
      <c r="F2709" t="s">
        <v>21243</v>
      </c>
      <c r="G2709" t="s">
        <v>21244</v>
      </c>
      <c r="H2709">
        <v>93524136</v>
      </c>
      <c r="I2709" t="s">
        <v>14292</v>
      </c>
      <c r="L2709" t="s">
        <v>21245</v>
      </c>
      <c r="M2709">
        <v>319</v>
      </c>
      <c r="N2709" t="s">
        <v>21246</v>
      </c>
    </row>
    <row r="2710" spans="1:14">
      <c r="A2710" t="s">
        <v>9256</v>
      </c>
      <c r="B2710">
        <v>3245012</v>
      </c>
      <c r="C2710">
        <v>3245563</v>
      </c>
      <c r="E2710" t="s">
        <v>14290</v>
      </c>
      <c r="F2710" t="s">
        <v>14982</v>
      </c>
      <c r="H2710">
        <v>93524137</v>
      </c>
      <c r="I2710" t="s">
        <v>14292</v>
      </c>
      <c r="L2710" t="s">
        <v>21247</v>
      </c>
      <c r="M2710">
        <v>183</v>
      </c>
      <c r="N2710" t="s">
        <v>21248</v>
      </c>
    </row>
    <row r="2711" spans="1:14">
      <c r="A2711" t="s">
        <v>9256</v>
      </c>
      <c r="B2711">
        <v>3245625</v>
      </c>
      <c r="C2711">
        <v>3246605</v>
      </c>
      <c r="E2711" t="s">
        <v>14290</v>
      </c>
      <c r="F2711" t="s">
        <v>14972</v>
      </c>
      <c r="H2711">
        <v>93524138</v>
      </c>
      <c r="I2711" t="s">
        <v>14292</v>
      </c>
      <c r="L2711" t="s">
        <v>21249</v>
      </c>
      <c r="M2711">
        <v>326</v>
      </c>
      <c r="N2711" t="s">
        <v>21250</v>
      </c>
    </row>
    <row r="2712" spans="1:14">
      <c r="A2712" t="s">
        <v>9256</v>
      </c>
      <c r="B2712">
        <v>3246902</v>
      </c>
      <c r="C2712">
        <v>3250192</v>
      </c>
      <c r="E2712" t="s">
        <v>14290</v>
      </c>
      <c r="F2712" t="s">
        <v>15450</v>
      </c>
      <c r="H2712">
        <v>93524139</v>
      </c>
      <c r="I2712" t="s">
        <v>14292</v>
      </c>
      <c r="L2712" t="s">
        <v>21251</v>
      </c>
      <c r="M2712">
        <v>1096</v>
      </c>
      <c r="N2712" t="s">
        <v>21252</v>
      </c>
    </row>
    <row r="2713" spans="1:14">
      <c r="A2713" t="s">
        <v>9256</v>
      </c>
      <c r="B2713">
        <v>3250203</v>
      </c>
      <c r="C2713">
        <v>3251975</v>
      </c>
      <c r="E2713" t="s">
        <v>14290</v>
      </c>
      <c r="F2713" t="s">
        <v>15179</v>
      </c>
      <c r="H2713">
        <v>93524140</v>
      </c>
      <c r="I2713" t="s">
        <v>14292</v>
      </c>
      <c r="L2713" t="s">
        <v>21253</v>
      </c>
      <c r="M2713">
        <v>590</v>
      </c>
      <c r="N2713" t="s">
        <v>21254</v>
      </c>
    </row>
    <row r="2714" spans="1:14">
      <c r="A2714" t="s">
        <v>9256</v>
      </c>
      <c r="B2714">
        <v>3251979</v>
      </c>
      <c r="C2714">
        <v>3253703</v>
      </c>
      <c r="E2714" t="s">
        <v>14290</v>
      </c>
      <c r="F2714" t="s">
        <v>14853</v>
      </c>
      <c r="H2714">
        <v>93524141</v>
      </c>
      <c r="I2714" t="s">
        <v>14292</v>
      </c>
      <c r="L2714" t="s">
        <v>21255</v>
      </c>
      <c r="M2714">
        <v>574</v>
      </c>
      <c r="N2714" t="s">
        <v>21256</v>
      </c>
    </row>
    <row r="2715" spans="1:14">
      <c r="A2715" t="s">
        <v>9256</v>
      </c>
      <c r="B2715">
        <v>3253990</v>
      </c>
      <c r="C2715">
        <v>3254346</v>
      </c>
      <c r="E2715" t="s">
        <v>14290</v>
      </c>
      <c r="F2715" t="s">
        <v>21257</v>
      </c>
      <c r="G2715" t="s">
        <v>21258</v>
      </c>
      <c r="H2715">
        <v>93524142</v>
      </c>
      <c r="I2715" t="s">
        <v>14292</v>
      </c>
      <c r="L2715" t="s">
        <v>21259</v>
      </c>
      <c r="M2715">
        <v>118</v>
      </c>
      <c r="N2715" t="s">
        <v>21260</v>
      </c>
    </row>
    <row r="2716" spans="1:14">
      <c r="A2716" t="s">
        <v>9256</v>
      </c>
      <c r="B2716">
        <v>3254349</v>
      </c>
      <c r="C2716">
        <v>3254618</v>
      </c>
      <c r="E2716" t="s">
        <v>14290</v>
      </c>
      <c r="F2716" t="s">
        <v>21261</v>
      </c>
      <c r="G2716" t="s">
        <v>21262</v>
      </c>
      <c r="H2716">
        <v>93524143</v>
      </c>
      <c r="I2716" t="s">
        <v>14292</v>
      </c>
      <c r="L2716" t="s">
        <v>21263</v>
      </c>
      <c r="M2716">
        <v>89</v>
      </c>
      <c r="N2716" t="s">
        <v>21264</v>
      </c>
    </row>
    <row r="2717" spans="1:14">
      <c r="A2717" t="s">
        <v>9256</v>
      </c>
      <c r="B2717">
        <v>3254640</v>
      </c>
      <c r="C2717">
        <v>3255086</v>
      </c>
      <c r="E2717" t="s">
        <v>14290</v>
      </c>
      <c r="F2717" t="s">
        <v>21265</v>
      </c>
      <c r="G2717" t="s">
        <v>21266</v>
      </c>
      <c r="H2717">
        <v>93524144</v>
      </c>
      <c r="I2717" t="s">
        <v>14292</v>
      </c>
      <c r="L2717" t="s">
        <v>21267</v>
      </c>
      <c r="M2717">
        <v>148</v>
      </c>
      <c r="N2717" t="s">
        <v>21268</v>
      </c>
    </row>
    <row r="2718" spans="1:14">
      <c r="A2718" t="s">
        <v>9256</v>
      </c>
      <c r="B2718">
        <v>3255222</v>
      </c>
      <c r="C2718">
        <v>3256385</v>
      </c>
      <c r="E2718" t="s">
        <v>14290</v>
      </c>
      <c r="F2718" t="s">
        <v>21269</v>
      </c>
      <c r="H2718">
        <v>93524145</v>
      </c>
      <c r="I2718" t="s">
        <v>14292</v>
      </c>
      <c r="L2718" t="s">
        <v>21270</v>
      </c>
      <c r="M2718">
        <v>387</v>
      </c>
      <c r="N2718" t="s">
        <v>21271</v>
      </c>
    </row>
    <row r="2719" spans="1:14">
      <c r="A2719" t="s">
        <v>9256</v>
      </c>
      <c r="B2719">
        <v>3256423</v>
      </c>
      <c r="C2719">
        <v>3257307</v>
      </c>
      <c r="E2719" t="s">
        <v>14290</v>
      </c>
      <c r="F2719" t="s">
        <v>21272</v>
      </c>
      <c r="H2719">
        <v>93524146</v>
      </c>
      <c r="I2719" t="s">
        <v>14292</v>
      </c>
      <c r="L2719" t="s">
        <v>21273</v>
      </c>
      <c r="M2719">
        <v>294</v>
      </c>
      <c r="N2719" t="s">
        <v>21274</v>
      </c>
    </row>
    <row r="2720" spans="1:14">
      <c r="A2720" t="s">
        <v>9256</v>
      </c>
      <c r="B2720">
        <v>3257674</v>
      </c>
      <c r="C2720">
        <v>3259071</v>
      </c>
      <c r="E2720" t="s">
        <v>14290</v>
      </c>
      <c r="F2720" t="s">
        <v>21275</v>
      </c>
      <c r="G2720" t="s">
        <v>21276</v>
      </c>
      <c r="H2720">
        <v>93524147</v>
      </c>
      <c r="I2720" t="s">
        <v>14292</v>
      </c>
      <c r="L2720" t="s">
        <v>21277</v>
      </c>
      <c r="M2720">
        <v>465</v>
      </c>
      <c r="N2720" t="s">
        <v>21278</v>
      </c>
    </row>
    <row r="2721" spans="1:14">
      <c r="A2721" t="s">
        <v>9256</v>
      </c>
      <c r="B2721">
        <v>3259329</v>
      </c>
      <c r="C2721">
        <v>3261869</v>
      </c>
      <c r="E2721" t="s">
        <v>14290</v>
      </c>
      <c r="F2721" t="s">
        <v>21279</v>
      </c>
      <c r="H2721">
        <v>93524148</v>
      </c>
      <c r="I2721" t="s">
        <v>14292</v>
      </c>
      <c r="L2721" t="s">
        <v>21280</v>
      </c>
      <c r="M2721">
        <v>846</v>
      </c>
      <c r="N2721" t="s">
        <v>21281</v>
      </c>
    </row>
    <row r="2722" spans="1:14">
      <c r="A2722" t="s">
        <v>9256</v>
      </c>
      <c r="B2722">
        <v>3261893</v>
      </c>
      <c r="C2722">
        <v>3264580</v>
      </c>
      <c r="E2722" t="s">
        <v>14290</v>
      </c>
      <c r="F2722" t="s">
        <v>21282</v>
      </c>
      <c r="H2722">
        <v>93524149</v>
      </c>
      <c r="I2722" t="s">
        <v>14292</v>
      </c>
      <c r="L2722" t="s">
        <v>21283</v>
      </c>
      <c r="M2722">
        <v>895</v>
      </c>
      <c r="N2722" t="s">
        <v>21284</v>
      </c>
    </row>
    <row r="2723" spans="1:14">
      <c r="A2723" t="s">
        <v>9256</v>
      </c>
      <c r="B2723">
        <v>3264620</v>
      </c>
      <c r="C2723">
        <v>3264991</v>
      </c>
      <c r="E2723" t="s">
        <v>14314</v>
      </c>
      <c r="F2723" t="s">
        <v>21285</v>
      </c>
      <c r="H2723">
        <v>93524150</v>
      </c>
      <c r="I2723" t="s">
        <v>14292</v>
      </c>
      <c r="L2723" t="s">
        <v>21286</v>
      </c>
      <c r="M2723">
        <v>123</v>
      </c>
      <c r="N2723" t="s">
        <v>21287</v>
      </c>
    </row>
    <row r="2724" spans="1:14">
      <c r="A2724" t="s">
        <v>9256</v>
      </c>
      <c r="B2724">
        <v>3265083</v>
      </c>
      <c r="C2724">
        <v>3265451</v>
      </c>
      <c r="E2724" t="s">
        <v>14290</v>
      </c>
      <c r="F2724" t="s">
        <v>21288</v>
      </c>
      <c r="G2724" t="s">
        <v>21289</v>
      </c>
      <c r="H2724">
        <v>93524151</v>
      </c>
      <c r="I2724" t="s">
        <v>14292</v>
      </c>
      <c r="L2724" t="s">
        <v>21290</v>
      </c>
      <c r="M2724">
        <v>122</v>
      </c>
      <c r="N2724" t="s">
        <v>21291</v>
      </c>
    </row>
    <row r="2725" spans="1:14">
      <c r="A2725" t="s">
        <v>9256</v>
      </c>
      <c r="B2725">
        <v>3265529</v>
      </c>
      <c r="C2725">
        <v>3266965</v>
      </c>
      <c r="E2725" t="s">
        <v>14290</v>
      </c>
      <c r="F2725" t="s">
        <v>21292</v>
      </c>
      <c r="H2725">
        <v>93524152</v>
      </c>
      <c r="I2725" t="s">
        <v>14292</v>
      </c>
      <c r="L2725" t="s">
        <v>21293</v>
      </c>
      <c r="M2725">
        <v>478</v>
      </c>
      <c r="N2725" t="s">
        <v>21294</v>
      </c>
    </row>
    <row r="2726" spans="1:14">
      <c r="A2726" t="s">
        <v>9256</v>
      </c>
      <c r="B2726">
        <v>3266971</v>
      </c>
      <c r="C2726">
        <v>3268218</v>
      </c>
      <c r="E2726" t="s">
        <v>14290</v>
      </c>
      <c r="F2726" t="s">
        <v>21295</v>
      </c>
      <c r="H2726">
        <v>93524153</v>
      </c>
      <c r="I2726" t="s">
        <v>14292</v>
      </c>
      <c r="L2726" t="s">
        <v>21296</v>
      </c>
      <c r="M2726">
        <v>415</v>
      </c>
      <c r="N2726" t="s">
        <v>21297</v>
      </c>
    </row>
    <row r="2727" spans="1:14">
      <c r="A2727" t="s">
        <v>9256</v>
      </c>
      <c r="B2727">
        <v>3268313</v>
      </c>
      <c r="C2727">
        <v>3268957</v>
      </c>
      <c r="E2727" t="s">
        <v>14290</v>
      </c>
      <c r="F2727" t="s">
        <v>14612</v>
      </c>
      <c r="H2727">
        <v>93524154</v>
      </c>
      <c r="I2727" t="s">
        <v>14292</v>
      </c>
      <c r="L2727" t="s">
        <v>21298</v>
      </c>
      <c r="M2727">
        <v>214</v>
      </c>
      <c r="N2727" t="s">
        <v>21299</v>
      </c>
    </row>
    <row r="2728" spans="1:14">
      <c r="A2728" t="s">
        <v>9256</v>
      </c>
      <c r="B2728">
        <v>3269384</v>
      </c>
      <c r="C2728">
        <v>3269785</v>
      </c>
      <c r="E2728" t="s">
        <v>14314</v>
      </c>
      <c r="F2728" t="s">
        <v>14414</v>
      </c>
      <c r="H2728">
        <v>93524155</v>
      </c>
      <c r="I2728" t="s">
        <v>14415</v>
      </c>
      <c r="N2728" t="s">
        <v>21300</v>
      </c>
    </row>
    <row r="2729" spans="1:14">
      <c r="A2729" t="s">
        <v>9256</v>
      </c>
      <c r="B2729">
        <v>3269970</v>
      </c>
      <c r="C2729">
        <v>3273905</v>
      </c>
      <c r="E2729" t="s">
        <v>14290</v>
      </c>
      <c r="F2729" t="s">
        <v>17838</v>
      </c>
      <c r="H2729">
        <v>93524156</v>
      </c>
      <c r="I2729" t="s">
        <v>14292</v>
      </c>
      <c r="L2729" t="s">
        <v>21301</v>
      </c>
      <c r="M2729">
        <v>1311</v>
      </c>
      <c r="N2729" t="s">
        <v>21302</v>
      </c>
    </row>
    <row r="2730" spans="1:14">
      <c r="A2730" t="s">
        <v>9256</v>
      </c>
      <c r="B2730">
        <v>3274109</v>
      </c>
      <c r="C2730">
        <v>3275332</v>
      </c>
      <c r="E2730" t="s">
        <v>14290</v>
      </c>
      <c r="F2730" t="s">
        <v>15126</v>
      </c>
      <c r="H2730">
        <v>93524157</v>
      </c>
      <c r="I2730" t="s">
        <v>14292</v>
      </c>
      <c r="L2730" t="s">
        <v>21303</v>
      </c>
      <c r="M2730">
        <v>407</v>
      </c>
      <c r="N2730" t="s">
        <v>21304</v>
      </c>
    </row>
    <row r="2731" spans="1:14">
      <c r="A2731" t="s">
        <v>9256</v>
      </c>
      <c r="B2731">
        <v>3275828</v>
      </c>
      <c r="C2731">
        <v>3276367</v>
      </c>
      <c r="E2731" t="s">
        <v>14290</v>
      </c>
      <c r="F2731" t="s">
        <v>14318</v>
      </c>
      <c r="H2731">
        <v>93524158</v>
      </c>
      <c r="I2731" t="s">
        <v>14292</v>
      </c>
      <c r="L2731" t="s">
        <v>21305</v>
      </c>
      <c r="M2731">
        <v>179</v>
      </c>
      <c r="N2731" t="s">
        <v>21306</v>
      </c>
    </row>
    <row r="2732" spans="1:14">
      <c r="A2732" t="s">
        <v>9256</v>
      </c>
      <c r="B2732">
        <v>3276364</v>
      </c>
      <c r="C2732">
        <v>3277500</v>
      </c>
      <c r="E2732" t="s">
        <v>14290</v>
      </c>
      <c r="F2732" t="s">
        <v>15111</v>
      </c>
      <c r="H2732">
        <v>93524159</v>
      </c>
      <c r="I2732" t="s">
        <v>14292</v>
      </c>
      <c r="L2732" t="s">
        <v>21307</v>
      </c>
      <c r="M2732">
        <v>378</v>
      </c>
      <c r="N2732" t="s">
        <v>21308</v>
      </c>
    </row>
    <row r="2733" spans="1:14">
      <c r="A2733" t="s">
        <v>9256</v>
      </c>
      <c r="B2733">
        <v>3277600</v>
      </c>
      <c r="C2733">
        <v>3278325</v>
      </c>
      <c r="E2733" t="s">
        <v>14290</v>
      </c>
      <c r="F2733" t="s">
        <v>18314</v>
      </c>
      <c r="H2733">
        <v>93524160</v>
      </c>
      <c r="I2733" t="s">
        <v>14292</v>
      </c>
      <c r="L2733" t="s">
        <v>21309</v>
      </c>
      <c r="M2733">
        <v>241</v>
      </c>
      <c r="N2733" t="s">
        <v>21310</v>
      </c>
    </row>
    <row r="2734" spans="1:14">
      <c r="A2734" t="s">
        <v>9256</v>
      </c>
      <c r="B2734">
        <v>3278326</v>
      </c>
      <c r="C2734">
        <v>3278841</v>
      </c>
      <c r="E2734" t="s">
        <v>14314</v>
      </c>
      <c r="F2734" t="s">
        <v>14487</v>
      </c>
      <c r="H2734">
        <v>93524161</v>
      </c>
      <c r="I2734" t="s">
        <v>14292</v>
      </c>
      <c r="L2734" t="s">
        <v>21311</v>
      </c>
      <c r="M2734">
        <v>171</v>
      </c>
      <c r="N2734" t="s">
        <v>21312</v>
      </c>
    </row>
    <row r="2735" spans="1:14">
      <c r="A2735" t="s">
        <v>9256</v>
      </c>
      <c r="B2735">
        <v>3278854</v>
      </c>
      <c r="C2735">
        <v>3278964</v>
      </c>
      <c r="E2735" t="s">
        <v>14314</v>
      </c>
      <c r="F2735" t="s">
        <v>15106</v>
      </c>
      <c r="H2735">
        <v>93524162</v>
      </c>
      <c r="I2735" t="s">
        <v>14292</v>
      </c>
      <c r="L2735" t="s">
        <v>21313</v>
      </c>
      <c r="M2735">
        <v>36</v>
      </c>
      <c r="N2735" t="s">
        <v>21314</v>
      </c>
    </row>
    <row r="2736" spans="1:14">
      <c r="A2736" t="s">
        <v>9256</v>
      </c>
      <c r="B2736">
        <v>3279008</v>
      </c>
      <c r="C2736">
        <v>3279481</v>
      </c>
      <c r="E2736" t="s">
        <v>14314</v>
      </c>
      <c r="F2736" t="s">
        <v>15103</v>
      </c>
      <c r="H2736">
        <v>93524163</v>
      </c>
      <c r="I2736" t="s">
        <v>14292</v>
      </c>
      <c r="L2736" t="s">
        <v>21315</v>
      </c>
      <c r="M2736">
        <v>157</v>
      </c>
      <c r="N2736" t="s">
        <v>21316</v>
      </c>
    </row>
    <row r="2737" spans="1:14">
      <c r="A2737" t="s">
        <v>9256</v>
      </c>
      <c r="B2737">
        <v>3279717</v>
      </c>
      <c r="C2737">
        <v>3279977</v>
      </c>
      <c r="E2737" t="s">
        <v>14314</v>
      </c>
      <c r="F2737" t="s">
        <v>15100</v>
      </c>
      <c r="H2737">
        <v>93524164</v>
      </c>
      <c r="I2737" t="s">
        <v>14292</v>
      </c>
      <c r="L2737" t="s">
        <v>21317</v>
      </c>
      <c r="M2737">
        <v>86</v>
      </c>
      <c r="N2737" t="s">
        <v>21318</v>
      </c>
    </row>
    <row r="2738" spans="1:14">
      <c r="A2738" t="s">
        <v>9256</v>
      </c>
      <c r="B2738">
        <v>3280100</v>
      </c>
      <c r="C2738">
        <v>3280909</v>
      </c>
      <c r="E2738" t="s">
        <v>14290</v>
      </c>
      <c r="F2738" t="s">
        <v>14291</v>
      </c>
      <c r="H2738">
        <v>93524165</v>
      </c>
      <c r="I2738" t="s">
        <v>14292</v>
      </c>
      <c r="L2738" t="s">
        <v>21319</v>
      </c>
      <c r="M2738">
        <v>269</v>
      </c>
      <c r="N2738" t="s">
        <v>21320</v>
      </c>
    </row>
    <row r="2739" spans="1:14">
      <c r="A2739" t="s">
        <v>9256</v>
      </c>
      <c r="B2739">
        <v>3281067</v>
      </c>
      <c r="C2739">
        <v>3282302</v>
      </c>
      <c r="E2739" t="s">
        <v>14290</v>
      </c>
      <c r="F2739" t="s">
        <v>14361</v>
      </c>
      <c r="H2739">
        <v>93524166</v>
      </c>
      <c r="I2739" t="s">
        <v>14292</v>
      </c>
      <c r="L2739" t="s">
        <v>21321</v>
      </c>
      <c r="M2739">
        <v>411</v>
      </c>
      <c r="N2739" t="s">
        <v>21322</v>
      </c>
    </row>
    <row r="2740" spans="1:14">
      <c r="A2740" t="s">
        <v>9256</v>
      </c>
      <c r="B2740">
        <v>3282364</v>
      </c>
      <c r="C2740">
        <v>3283161</v>
      </c>
      <c r="E2740" t="s">
        <v>14290</v>
      </c>
      <c r="F2740" t="s">
        <v>21323</v>
      </c>
      <c r="H2740">
        <v>93524167</v>
      </c>
      <c r="I2740" t="s">
        <v>14292</v>
      </c>
      <c r="L2740" t="s">
        <v>21324</v>
      </c>
      <c r="M2740">
        <v>265</v>
      </c>
      <c r="N2740" t="s">
        <v>21325</v>
      </c>
    </row>
    <row r="2741" spans="1:14">
      <c r="A2741" t="s">
        <v>9256</v>
      </c>
      <c r="B2741">
        <v>3283185</v>
      </c>
      <c r="C2741">
        <v>3283988</v>
      </c>
      <c r="E2741" t="s">
        <v>14290</v>
      </c>
      <c r="F2741" t="s">
        <v>14381</v>
      </c>
      <c r="H2741">
        <v>93524168</v>
      </c>
      <c r="I2741" t="s">
        <v>14292</v>
      </c>
      <c r="L2741" t="s">
        <v>21326</v>
      </c>
      <c r="M2741">
        <v>267</v>
      </c>
      <c r="N2741" t="s">
        <v>21327</v>
      </c>
    </row>
    <row r="2742" spans="1:14">
      <c r="A2742" t="s">
        <v>9256</v>
      </c>
      <c r="B2742">
        <v>3283999</v>
      </c>
      <c r="C2742">
        <v>3286425</v>
      </c>
      <c r="E2742" t="s">
        <v>14290</v>
      </c>
      <c r="F2742" t="s">
        <v>14384</v>
      </c>
      <c r="H2742">
        <v>93524169</v>
      </c>
      <c r="I2742" t="s">
        <v>14292</v>
      </c>
      <c r="L2742" t="s">
        <v>21328</v>
      </c>
      <c r="M2742">
        <v>808</v>
      </c>
      <c r="N2742" t="s">
        <v>21329</v>
      </c>
    </row>
    <row r="2743" spans="1:14">
      <c r="A2743" t="s">
        <v>9256</v>
      </c>
      <c r="B2743">
        <v>3286581</v>
      </c>
      <c r="C2743">
        <v>3288068</v>
      </c>
      <c r="E2743" t="s">
        <v>14290</v>
      </c>
      <c r="F2743" t="s">
        <v>16210</v>
      </c>
      <c r="H2743">
        <v>93524170</v>
      </c>
      <c r="I2743" t="s">
        <v>14292</v>
      </c>
      <c r="L2743" t="s">
        <v>21330</v>
      </c>
      <c r="M2743">
        <v>495</v>
      </c>
      <c r="N2743" t="s">
        <v>21331</v>
      </c>
    </row>
    <row r="2744" spans="1:14">
      <c r="A2744" t="s">
        <v>9256</v>
      </c>
      <c r="B2744">
        <v>3288065</v>
      </c>
      <c r="C2744">
        <v>3289270</v>
      </c>
      <c r="E2744" t="s">
        <v>14290</v>
      </c>
      <c r="F2744" t="s">
        <v>21332</v>
      </c>
      <c r="H2744">
        <v>93524171</v>
      </c>
      <c r="I2744" t="s">
        <v>14292</v>
      </c>
      <c r="L2744" t="s">
        <v>21333</v>
      </c>
      <c r="M2744">
        <v>401</v>
      </c>
      <c r="N2744" t="s">
        <v>21334</v>
      </c>
    </row>
    <row r="2745" spans="1:14">
      <c r="A2745" t="s">
        <v>9256</v>
      </c>
      <c r="B2745">
        <v>3289286</v>
      </c>
      <c r="C2745">
        <v>3290350</v>
      </c>
      <c r="E2745" t="s">
        <v>14290</v>
      </c>
      <c r="F2745" t="s">
        <v>14338</v>
      </c>
      <c r="H2745">
        <v>93524172</v>
      </c>
      <c r="I2745" t="s">
        <v>14292</v>
      </c>
      <c r="L2745" t="s">
        <v>21335</v>
      </c>
      <c r="M2745">
        <v>354</v>
      </c>
      <c r="N2745" t="s">
        <v>21336</v>
      </c>
    </row>
    <row r="2746" spans="1:14">
      <c r="A2746" t="s">
        <v>9256</v>
      </c>
      <c r="B2746">
        <v>3290347</v>
      </c>
      <c r="C2746">
        <v>3291342</v>
      </c>
      <c r="E2746" t="s">
        <v>14290</v>
      </c>
      <c r="F2746" t="s">
        <v>14335</v>
      </c>
      <c r="H2746">
        <v>93524173</v>
      </c>
      <c r="I2746" t="s">
        <v>14292</v>
      </c>
      <c r="L2746" t="s">
        <v>21337</v>
      </c>
      <c r="M2746">
        <v>331</v>
      </c>
      <c r="N2746" t="s">
        <v>21338</v>
      </c>
    </row>
    <row r="2747" spans="1:14">
      <c r="A2747" t="s">
        <v>9256</v>
      </c>
      <c r="B2747">
        <v>3291401</v>
      </c>
      <c r="C2747">
        <v>3292339</v>
      </c>
      <c r="E2747" t="s">
        <v>14290</v>
      </c>
      <c r="F2747" t="s">
        <v>14291</v>
      </c>
      <c r="H2747">
        <v>93524174</v>
      </c>
      <c r="I2747" t="s">
        <v>14292</v>
      </c>
      <c r="L2747" t="s">
        <v>21339</v>
      </c>
      <c r="M2747">
        <v>312</v>
      </c>
      <c r="N2747" t="s">
        <v>21340</v>
      </c>
    </row>
    <row r="2748" spans="1:14">
      <c r="A2748" t="s">
        <v>9256</v>
      </c>
      <c r="B2748">
        <v>3292367</v>
      </c>
      <c r="C2748">
        <v>3293128</v>
      </c>
      <c r="E2748" t="s">
        <v>14290</v>
      </c>
      <c r="F2748" t="s">
        <v>16215</v>
      </c>
      <c r="H2748">
        <v>93524175</v>
      </c>
      <c r="I2748" t="s">
        <v>14292</v>
      </c>
      <c r="L2748" t="s">
        <v>21341</v>
      </c>
      <c r="M2748">
        <v>253</v>
      </c>
      <c r="N2748" t="s">
        <v>21342</v>
      </c>
    </row>
    <row r="2749" spans="1:14">
      <c r="A2749" t="s">
        <v>9256</v>
      </c>
      <c r="B2749">
        <v>3293205</v>
      </c>
      <c r="C2749">
        <v>3294311</v>
      </c>
      <c r="E2749" t="s">
        <v>14290</v>
      </c>
      <c r="F2749" t="s">
        <v>14364</v>
      </c>
      <c r="H2749">
        <v>93524176</v>
      </c>
      <c r="I2749" t="s">
        <v>14292</v>
      </c>
      <c r="L2749" t="s">
        <v>21343</v>
      </c>
      <c r="M2749">
        <v>368</v>
      </c>
      <c r="N2749" t="s">
        <v>21344</v>
      </c>
    </row>
    <row r="2750" spans="1:14">
      <c r="A2750" t="s">
        <v>9256</v>
      </c>
      <c r="B2750">
        <v>3294313</v>
      </c>
      <c r="C2750">
        <v>3295146</v>
      </c>
      <c r="E2750" t="s">
        <v>14290</v>
      </c>
      <c r="F2750" t="s">
        <v>14335</v>
      </c>
      <c r="H2750">
        <v>93524177</v>
      </c>
      <c r="I2750" t="s">
        <v>14292</v>
      </c>
      <c r="L2750" t="s">
        <v>21345</v>
      </c>
      <c r="M2750">
        <v>277</v>
      </c>
      <c r="N2750" t="s">
        <v>21346</v>
      </c>
    </row>
    <row r="2751" spans="1:14">
      <c r="A2751" t="s">
        <v>9256</v>
      </c>
      <c r="B2751">
        <v>3295134</v>
      </c>
      <c r="C2751">
        <v>3295994</v>
      </c>
      <c r="E2751" t="s">
        <v>14290</v>
      </c>
      <c r="F2751" t="s">
        <v>14291</v>
      </c>
      <c r="H2751">
        <v>93524178</v>
      </c>
      <c r="I2751" t="s">
        <v>14292</v>
      </c>
      <c r="L2751" t="s">
        <v>21347</v>
      </c>
      <c r="M2751">
        <v>286</v>
      </c>
      <c r="N2751" t="s">
        <v>21348</v>
      </c>
    </row>
    <row r="2752" spans="1:14">
      <c r="A2752" t="s">
        <v>9256</v>
      </c>
      <c r="B2752">
        <v>3296004</v>
      </c>
      <c r="C2752">
        <v>3297317</v>
      </c>
      <c r="E2752" t="s">
        <v>14290</v>
      </c>
      <c r="F2752" t="s">
        <v>21349</v>
      </c>
      <c r="H2752">
        <v>93524179</v>
      </c>
      <c r="I2752" t="s">
        <v>14292</v>
      </c>
      <c r="L2752" t="s">
        <v>21350</v>
      </c>
      <c r="M2752">
        <v>437</v>
      </c>
      <c r="N2752" t="s">
        <v>21351</v>
      </c>
    </row>
    <row r="2753" spans="1:14">
      <c r="A2753" t="s">
        <v>9256</v>
      </c>
      <c r="B2753">
        <v>3297314</v>
      </c>
      <c r="C2753">
        <v>3298423</v>
      </c>
      <c r="E2753" t="s">
        <v>14290</v>
      </c>
      <c r="F2753" t="s">
        <v>14364</v>
      </c>
      <c r="H2753">
        <v>93524180</v>
      </c>
      <c r="I2753" t="s">
        <v>14292</v>
      </c>
      <c r="L2753" t="s">
        <v>21352</v>
      </c>
      <c r="M2753">
        <v>369</v>
      </c>
      <c r="N2753" t="s">
        <v>21353</v>
      </c>
    </row>
    <row r="2754" spans="1:14">
      <c r="A2754" t="s">
        <v>9256</v>
      </c>
      <c r="B2754">
        <v>3298420</v>
      </c>
      <c r="C2754">
        <v>3299004</v>
      </c>
      <c r="E2754" t="s">
        <v>14290</v>
      </c>
      <c r="F2754" t="s">
        <v>21354</v>
      </c>
      <c r="H2754">
        <v>93524181</v>
      </c>
      <c r="I2754" t="s">
        <v>14292</v>
      </c>
      <c r="L2754" t="s">
        <v>21355</v>
      </c>
      <c r="M2754">
        <v>194</v>
      </c>
      <c r="N2754" t="s">
        <v>21356</v>
      </c>
    </row>
    <row r="2755" spans="1:14">
      <c r="A2755" t="s">
        <v>9256</v>
      </c>
      <c r="B2755">
        <v>3299100</v>
      </c>
      <c r="C2755">
        <v>3300191</v>
      </c>
      <c r="E2755" t="s">
        <v>14290</v>
      </c>
      <c r="F2755" t="s">
        <v>14827</v>
      </c>
      <c r="G2755" t="s">
        <v>14828</v>
      </c>
      <c r="H2755">
        <v>93524182</v>
      </c>
      <c r="I2755" t="s">
        <v>14292</v>
      </c>
      <c r="L2755" t="s">
        <v>21357</v>
      </c>
      <c r="M2755">
        <v>363</v>
      </c>
      <c r="N2755" t="s">
        <v>21358</v>
      </c>
    </row>
    <row r="2756" spans="1:14">
      <c r="A2756" t="s">
        <v>9256</v>
      </c>
      <c r="B2756">
        <v>3300191</v>
      </c>
      <c r="C2756">
        <v>3301273</v>
      </c>
      <c r="E2756" t="s">
        <v>14290</v>
      </c>
      <c r="F2756" t="s">
        <v>14831</v>
      </c>
      <c r="H2756">
        <v>93524183</v>
      </c>
      <c r="I2756" t="s">
        <v>14292</v>
      </c>
      <c r="L2756" t="s">
        <v>21359</v>
      </c>
      <c r="M2756">
        <v>360</v>
      </c>
      <c r="N2756" t="s">
        <v>21360</v>
      </c>
    </row>
    <row r="2757" spans="1:14">
      <c r="A2757" t="s">
        <v>9256</v>
      </c>
      <c r="B2757">
        <v>3301362</v>
      </c>
      <c r="C2757">
        <v>3302570</v>
      </c>
      <c r="E2757" t="s">
        <v>14290</v>
      </c>
      <c r="F2757" t="s">
        <v>15166</v>
      </c>
      <c r="H2757">
        <v>93524184</v>
      </c>
      <c r="I2757" t="s">
        <v>14292</v>
      </c>
      <c r="L2757" t="s">
        <v>21361</v>
      </c>
      <c r="M2757">
        <v>402</v>
      </c>
      <c r="N2757" t="s">
        <v>21362</v>
      </c>
    </row>
    <row r="2758" spans="1:14">
      <c r="A2758" t="s">
        <v>9256</v>
      </c>
      <c r="B2758">
        <v>3302582</v>
      </c>
      <c r="C2758">
        <v>3303154</v>
      </c>
      <c r="E2758" t="s">
        <v>14290</v>
      </c>
      <c r="F2758" t="s">
        <v>21363</v>
      </c>
      <c r="H2758">
        <v>93524185</v>
      </c>
      <c r="I2758" t="s">
        <v>14292</v>
      </c>
      <c r="L2758" t="s">
        <v>21364</v>
      </c>
      <c r="M2758">
        <v>190</v>
      </c>
      <c r="N2758" t="s">
        <v>21365</v>
      </c>
    </row>
    <row r="2759" spans="1:14">
      <c r="A2759" t="s">
        <v>9256</v>
      </c>
      <c r="B2759">
        <v>3303238</v>
      </c>
      <c r="C2759">
        <v>3304263</v>
      </c>
      <c r="E2759" t="s">
        <v>14314</v>
      </c>
      <c r="F2759" t="s">
        <v>14335</v>
      </c>
      <c r="H2759">
        <v>93524186</v>
      </c>
      <c r="I2759" t="s">
        <v>14292</v>
      </c>
      <c r="L2759" t="s">
        <v>21366</v>
      </c>
      <c r="M2759">
        <v>341</v>
      </c>
      <c r="N2759" t="s">
        <v>21367</v>
      </c>
    </row>
    <row r="2760" spans="1:14">
      <c r="A2760" t="s">
        <v>9256</v>
      </c>
      <c r="B2760">
        <v>3304260</v>
      </c>
      <c r="C2760">
        <v>3305150</v>
      </c>
      <c r="E2760" t="s">
        <v>14314</v>
      </c>
      <c r="F2760" t="s">
        <v>16616</v>
      </c>
      <c r="H2760">
        <v>93524187</v>
      </c>
      <c r="I2760" t="s">
        <v>14292</v>
      </c>
      <c r="L2760" t="s">
        <v>21368</v>
      </c>
      <c r="M2760">
        <v>296</v>
      </c>
      <c r="N2760" t="s">
        <v>21369</v>
      </c>
    </row>
    <row r="2761" spans="1:14">
      <c r="A2761" t="s">
        <v>9256</v>
      </c>
      <c r="B2761">
        <v>3305152</v>
      </c>
      <c r="C2761">
        <v>3306486</v>
      </c>
      <c r="E2761" t="s">
        <v>14314</v>
      </c>
      <c r="F2761" t="s">
        <v>21370</v>
      </c>
      <c r="G2761" t="s">
        <v>21371</v>
      </c>
      <c r="H2761">
        <v>93524188</v>
      </c>
      <c r="I2761" t="s">
        <v>14292</v>
      </c>
      <c r="L2761" t="s">
        <v>21372</v>
      </c>
      <c r="M2761">
        <v>444</v>
      </c>
      <c r="N2761" t="s">
        <v>21373</v>
      </c>
    </row>
    <row r="2762" spans="1:14">
      <c r="A2762" t="s">
        <v>9256</v>
      </c>
      <c r="B2762">
        <v>3306818</v>
      </c>
      <c r="C2762">
        <v>3307885</v>
      </c>
      <c r="E2762" t="s">
        <v>14314</v>
      </c>
      <c r="F2762" t="s">
        <v>18341</v>
      </c>
      <c r="H2762">
        <v>93524189</v>
      </c>
      <c r="I2762" t="s">
        <v>14292</v>
      </c>
      <c r="L2762" t="s">
        <v>21374</v>
      </c>
      <c r="M2762">
        <v>355</v>
      </c>
      <c r="N2762" t="s">
        <v>21375</v>
      </c>
    </row>
    <row r="2763" spans="1:14">
      <c r="A2763" t="s">
        <v>9256</v>
      </c>
      <c r="B2763">
        <v>3307971</v>
      </c>
      <c r="C2763">
        <v>3309686</v>
      </c>
      <c r="E2763" t="s">
        <v>14314</v>
      </c>
      <c r="F2763" t="s">
        <v>18413</v>
      </c>
      <c r="H2763">
        <v>93524190</v>
      </c>
      <c r="I2763" t="s">
        <v>14292</v>
      </c>
      <c r="L2763" t="s">
        <v>21376</v>
      </c>
      <c r="M2763">
        <v>571</v>
      </c>
      <c r="N2763" t="s">
        <v>21377</v>
      </c>
    </row>
    <row r="2764" spans="1:14">
      <c r="A2764" t="s">
        <v>9256</v>
      </c>
      <c r="B2764">
        <v>3309769</v>
      </c>
      <c r="C2764">
        <v>3311433</v>
      </c>
      <c r="E2764" t="s">
        <v>14290</v>
      </c>
      <c r="F2764" t="s">
        <v>16424</v>
      </c>
      <c r="H2764">
        <v>93524191</v>
      </c>
      <c r="I2764" t="s">
        <v>14292</v>
      </c>
      <c r="L2764" t="s">
        <v>21378</v>
      </c>
      <c r="M2764">
        <v>554</v>
      </c>
      <c r="N2764" t="s">
        <v>21379</v>
      </c>
    </row>
    <row r="2765" spans="1:14">
      <c r="A2765" t="s">
        <v>9256</v>
      </c>
      <c r="B2765">
        <v>3311599</v>
      </c>
      <c r="C2765">
        <v>3311814</v>
      </c>
      <c r="E2765" t="s">
        <v>14290</v>
      </c>
      <c r="F2765" t="s">
        <v>21380</v>
      </c>
      <c r="H2765">
        <v>93524192</v>
      </c>
      <c r="I2765" t="s">
        <v>14292</v>
      </c>
      <c r="L2765" t="s">
        <v>21381</v>
      </c>
      <c r="M2765">
        <v>71</v>
      </c>
      <c r="N2765" t="s">
        <v>21382</v>
      </c>
    </row>
    <row r="2766" spans="1:14">
      <c r="A2766" t="s">
        <v>9256</v>
      </c>
      <c r="B2766">
        <v>3311896</v>
      </c>
      <c r="C2766">
        <v>3314001</v>
      </c>
      <c r="E2766" t="s">
        <v>14290</v>
      </c>
      <c r="F2766" t="s">
        <v>14615</v>
      </c>
      <c r="H2766">
        <v>93524193</v>
      </c>
      <c r="I2766" t="s">
        <v>14292</v>
      </c>
      <c r="L2766" t="s">
        <v>21383</v>
      </c>
      <c r="M2766">
        <v>701</v>
      </c>
      <c r="N2766" t="s">
        <v>21384</v>
      </c>
    </row>
    <row r="2767" spans="1:14">
      <c r="A2767" t="s">
        <v>9256</v>
      </c>
      <c r="B2767">
        <v>3313996</v>
      </c>
      <c r="C2767">
        <v>3315306</v>
      </c>
      <c r="E2767" t="s">
        <v>14314</v>
      </c>
      <c r="F2767" t="s">
        <v>19649</v>
      </c>
      <c r="H2767">
        <v>93524194</v>
      </c>
      <c r="I2767" t="s">
        <v>14292</v>
      </c>
      <c r="L2767" t="s">
        <v>21385</v>
      </c>
      <c r="M2767">
        <v>436</v>
      </c>
      <c r="N2767" t="s">
        <v>21386</v>
      </c>
    </row>
    <row r="2768" spans="1:14">
      <c r="A2768" t="s">
        <v>9256</v>
      </c>
      <c r="B2768">
        <v>3315613</v>
      </c>
      <c r="C2768">
        <v>3317058</v>
      </c>
      <c r="E2768" t="s">
        <v>14290</v>
      </c>
      <c r="F2768" t="s">
        <v>18530</v>
      </c>
      <c r="H2768">
        <v>93524195</v>
      </c>
      <c r="I2768" t="s">
        <v>14292</v>
      </c>
      <c r="L2768" t="s">
        <v>18531</v>
      </c>
      <c r="M2768">
        <v>481</v>
      </c>
      <c r="N2768" t="s">
        <v>21387</v>
      </c>
    </row>
    <row r="2769" spans="1:14">
      <c r="A2769" t="s">
        <v>9256</v>
      </c>
      <c r="B2769">
        <v>3317421</v>
      </c>
      <c r="C2769">
        <v>3318266</v>
      </c>
      <c r="E2769" t="s">
        <v>14314</v>
      </c>
      <c r="F2769" t="s">
        <v>14406</v>
      </c>
      <c r="H2769">
        <v>93524196</v>
      </c>
      <c r="I2769" t="s">
        <v>14292</v>
      </c>
      <c r="L2769" t="s">
        <v>21388</v>
      </c>
      <c r="M2769">
        <v>281</v>
      </c>
      <c r="N2769" t="s">
        <v>21389</v>
      </c>
    </row>
    <row r="2770" spans="1:14">
      <c r="A2770" t="s">
        <v>9256</v>
      </c>
      <c r="B2770">
        <v>3318618</v>
      </c>
      <c r="C2770">
        <v>3320039</v>
      </c>
      <c r="E2770" t="s">
        <v>14314</v>
      </c>
      <c r="F2770" t="s">
        <v>21390</v>
      </c>
      <c r="H2770">
        <v>93524197</v>
      </c>
      <c r="I2770" t="s">
        <v>14292</v>
      </c>
      <c r="L2770" t="s">
        <v>21391</v>
      </c>
      <c r="M2770">
        <v>473</v>
      </c>
      <c r="N2770" t="s">
        <v>21392</v>
      </c>
    </row>
    <row r="2771" spans="1:14">
      <c r="A2771" t="s">
        <v>9256</v>
      </c>
      <c r="B2771">
        <v>3320121</v>
      </c>
      <c r="C2771">
        <v>3321320</v>
      </c>
      <c r="E2771" t="s">
        <v>14314</v>
      </c>
      <c r="F2771" t="s">
        <v>18400</v>
      </c>
      <c r="H2771">
        <v>93524198</v>
      </c>
      <c r="I2771" t="s">
        <v>14292</v>
      </c>
      <c r="L2771" t="s">
        <v>21393</v>
      </c>
      <c r="M2771">
        <v>399</v>
      </c>
      <c r="N2771" t="s">
        <v>21394</v>
      </c>
    </row>
    <row r="2772" spans="1:14">
      <c r="A2772" t="s">
        <v>9256</v>
      </c>
      <c r="B2772">
        <v>3321313</v>
      </c>
      <c r="C2772">
        <v>3322704</v>
      </c>
      <c r="E2772" t="s">
        <v>14314</v>
      </c>
      <c r="F2772" t="s">
        <v>14445</v>
      </c>
      <c r="H2772">
        <v>93524199</v>
      </c>
      <c r="I2772" t="s">
        <v>14292</v>
      </c>
      <c r="L2772" t="s">
        <v>21395</v>
      </c>
      <c r="M2772">
        <v>463</v>
      </c>
      <c r="N2772" t="s">
        <v>21396</v>
      </c>
    </row>
    <row r="2773" spans="1:14">
      <c r="A2773" t="s">
        <v>9256</v>
      </c>
      <c r="B2773">
        <v>3322723</v>
      </c>
      <c r="C2773">
        <v>3323895</v>
      </c>
      <c r="E2773" t="s">
        <v>14314</v>
      </c>
      <c r="F2773" t="s">
        <v>14879</v>
      </c>
      <c r="H2773">
        <v>93524200</v>
      </c>
      <c r="I2773" t="s">
        <v>14292</v>
      </c>
      <c r="L2773" t="s">
        <v>21397</v>
      </c>
      <c r="M2773">
        <v>390</v>
      </c>
      <c r="N2773" t="s">
        <v>21398</v>
      </c>
    </row>
    <row r="2774" spans="1:14">
      <c r="A2774" t="s">
        <v>9256</v>
      </c>
      <c r="B2774">
        <v>3323996</v>
      </c>
      <c r="C2774">
        <v>3325102</v>
      </c>
      <c r="E2774" t="s">
        <v>14314</v>
      </c>
      <c r="F2774" t="s">
        <v>21399</v>
      </c>
      <c r="H2774">
        <v>93524201</v>
      </c>
      <c r="I2774" t="s">
        <v>14292</v>
      </c>
      <c r="L2774" t="s">
        <v>21400</v>
      </c>
      <c r="M2774">
        <v>368</v>
      </c>
      <c r="N2774" t="s">
        <v>21401</v>
      </c>
    </row>
    <row r="2775" spans="1:14">
      <c r="A2775" t="s">
        <v>9256</v>
      </c>
      <c r="B2775">
        <v>3325188</v>
      </c>
      <c r="C2775">
        <v>3326654</v>
      </c>
      <c r="E2775" t="s">
        <v>14314</v>
      </c>
      <c r="F2775" t="s">
        <v>17184</v>
      </c>
      <c r="H2775">
        <v>93524202</v>
      </c>
      <c r="I2775" t="s">
        <v>14292</v>
      </c>
      <c r="L2775" t="s">
        <v>21402</v>
      </c>
      <c r="M2775">
        <v>488</v>
      </c>
      <c r="N2775" t="s">
        <v>21403</v>
      </c>
    </row>
    <row r="2776" spans="1:14">
      <c r="A2776" t="s">
        <v>9256</v>
      </c>
      <c r="B2776">
        <v>3326661</v>
      </c>
      <c r="C2776">
        <v>3328430</v>
      </c>
      <c r="E2776" t="s">
        <v>14314</v>
      </c>
      <c r="F2776" t="s">
        <v>17187</v>
      </c>
      <c r="H2776">
        <v>93524203</v>
      </c>
      <c r="I2776" t="s">
        <v>14292</v>
      </c>
      <c r="L2776" t="s">
        <v>21404</v>
      </c>
      <c r="M2776">
        <v>589</v>
      </c>
      <c r="N2776" t="s">
        <v>21405</v>
      </c>
    </row>
    <row r="2777" spans="1:14">
      <c r="A2777" t="s">
        <v>9256</v>
      </c>
      <c r="B2777">
        <v>3328438</v>
      </c>
      <c r="C2777">
        <v>3329910</v>
      </c>
      <c r="E2777" t="s">
        <v>14314</v>
      </c>
      <c r="F2777" t="s">
        <v>17184</v>
      </c>
      <c r="H2777">
        <v>93524204</v>
      </c>
      <c r="I2777" t="s">
        <v>14292</v>
      </c>
      <c r="L2777" t="s">
        <v>21406</v>
      </c>
      <c r="M2777">
        <v>490</v>
      </c>
      <c r="N2777" t="s">
        <v>21407</v>
      </c>
    </row>
    <row r="2778" spans="1:14">
      <c r="A2778" t="s">
        <v>9256</v>
      </c>
      <c r="B2778">
        <v>3329907</v>
      </c>
      <c r="C2778">
        <v>3331472</v>
      </c>
      <c r="E2778" t="s">
        <v>14314</v>
      </c>
      <c r="F2778" t="s">
        <v>17187</v>
      </c>
      <c r="H2778">
        <v>93524205</v>
      </c>
      <c r="I2778" t="s">
        <v>14292</v>
      </c>
      <c r="L2778" t="s">
        <v>21408</v>
      </c>
      <c r="M2778">
        <v>521</v>
      </c>
      <c r="N2778" t="s">
        <v>21409</v>
      </c>
    </row>
    <row r="2779" spans="1:14">
      <c r="A2779" t="s">
        <v>9256</v>
      </c>
      <c r="B2779">
        <v>3331456</v>
      </c>
      <c r="C2779">
        <v>3332058</v>
      </c>
      <c r="E2779" t="s">
        <v>14314</v>
      </c>
      <c r="F2779" t="s">
        <v>21410</v>
      </c>
      <c r="H2779">
        <v>93524206</v>
      </c>
      <c r="I2779" t="s">
        <v>14292</v>
      </c>
      <c r="L2779" t="s">
        <v>21411</v>
      </c>
      <c r="M2779">
        <v>200</v>
      </c>
      <c r="N2779" t="s">
        <v>21412</v>
      </c>
    </row>
    <row r="2780" spans="1:14">
      <c r="A2780" t="s">
        <v>9256</v>
      </c>
      <c r="B2780">
        <v>3332243</v>
      </c>
      <c r="C2780">
        <v>3333370</v>
      </c>
      <c r="E2780" t="s">
        <v>14314</v>
      </c>
      <c r="F2780" t="s">
        <v>21413</v>
      </c>
      <c r="H2780">
        <v>93524207</v>
      </c>
      <c r="I2780" t="s">
        <v>14292</v>
      </c>
      <c r="L2780" t="s">
        <v>21414</v>
      </c>
      <c r="M2780">
        <v>375</v>
      </c>
      <c r="N2780" t="s">
        <v>21415</v>
      </c>
    </row>
    <row r="2781" spans="1:14">
      <c r="A2781" t="s">
        <v>9256</v>
      </c>
      <c r="B2781">
        <v>3333385</v>
      </c>
      <c r="C2781">
        <v>3334353</v>
      </c>
      <c r="E2781" t="s">
        <v>14314</v>
      </c>
      <c r="F2781" t="s">
        <v>21416</v>
      </c>
      <c r="G2781" t="s">
        <v>21417</v>
      </c>
      <c r="H2781">
        <v>93524208</v>
      </c>
      <c r="I2781" t="s">
        <v>14292</v>
      </c>
      <c r="L2781" t="s">
        <v>21418</v>
      </c>
      <c r="M2781">
        <v>322</v>
      </c>
      <c r="N2781" t="s">
        <v>21419</v>
      </c>
    </row>
    <row r="2782" spans="1:14">
      <c r="A2782" t="s">
        <v>9256</v>
      </c>
      <c r="B2782">
        <v>3334350</v>
      </c>
      <c r="C2782">
        <v>3335549</v>
      </c>
      <c r="E2782" t="s">
        <v>14314</v>
      </c>
      <c r="F2782" t="s">
        <v>21420</v>
      </c>
      <c r="H2782">
        <v>93524209</v>
      </c>
      <c r="I2782" t="s">
        <v>14292</v>
      </c>
      <c r="L2782" t="s">
        <v>21421</v>
      </c>
      <c r="M2782">
        <v>399</v>
      </c>
      <c r="N2782" t="s">
        <v>21422</v>
      </c>
    </row>
    <row r="2783" spans="1:14">
      <c r="A2783" t="s">
        <v>9256</v>
      </c>
      <c r="B2783">
        <v>3335588</v>
      </c>
      <c r="C2783">
        <v>3336181</v>
      </c>
      <c r="E2783" t="s">
        <v>14314</v>
      </c>
      <c r="F2783" t="s">
        <v>14439</v>
      </c>
      <c r="H2783">
        <v>93524210</v>
      </c>
      <c r="I2783" t="s">
        <v>14292</v>
      </c>
      <c r="L2783" t="s">
        <v>21423</v>
      </c>
      <c r="M2783">
        <v>197</v>
      </c>
      <c r="N2783" t="s">
        <v>21424</v>
      </c>
    </row>
    <row r="2784" spans="1:14">
      <c r="A2784" t="s">
        <v>9256</v>
      </c>
      <c r="B2784">
        <v>3336210</v>
      </c>
      <c r="C2784">
        <v>3336650</v>
      </c>
      <c r="E2784" t="s">
        <v>14314</v>
      </c>
      <c r="F2784" t="s">
        <v>21425</v>
      </c>
      <c r="H2784">
        <v>93524211</v>
      </c>
      <c r="I2784" t="s">
        <v>14292</v>
      </c>
      <c r="L2784" t="s">
        <v>21426</v>
      </c>
      <c r="M2784">
        <v>146</v>
      </c>
      <c r="N2784" t="s">
        <v>21427</v>
      </c>
    </row>
    <row r="2785" spans="1:14">
      <c r="A2785" t="s">
        <v>9256</v>
      </c>
      <c r="B2785">
        <v>3337032</v>
      </c>
      <c r="C2785">
        <v>3337823</v>
      </c>
      <c r="E2785" t="s">
        <v>14290</v>
      </c>
      <c r="F2785" t="s">
        <v>17585</v>
      </c>
      <c r="H2785">
        <v>93524212</v>
      </c>
      <c r="I2785" t="s">
        <v>14292</v>
      </c>
      <c r="L2785" t="s">
        <v>21428</v>
      </c>
      <c r="M2785">
        <v>263</v>
      </c>
      <c r="N2785" t="s">
        <v>21429</v>
      </c>
    </row>
    <row r="2786" spans="1:14">
      <c r="A2786" t="s">
        <v>9256</v>
      </c>
      <c r="B2786">
        <v>3337869</v>
      </c>
      <c r="C2786">
        <v>3339677</v>
      </c>
      <c r="E2786" t="s">
        <v>14314</v>
      </c>
      <c r="F2786" t="s">
        <v>21430</v>
      </c>
      <c r="H2786">
        <v>93524213</v>
      </c>
      <c r="I2786" t="s">
        <v>14292</v>
      </c>
      <c r="L2786" t="s">
        <v>21431</v>
      </c>
      <c r="M2786">
        <v>602</v>
      </c>
      <c r="N2786" t="s">
        <v>21432</v>
      </c>
    </row>
    <row r="2787" spans="1:14">
      <c r="A2787" t="s">
        <v>9256</v>
      </c>
      <c r="B2787">
        <v>3339832</v>
      </c>
      <c r="C2787">
        <v>3340665</v>
      </c>
      <c r="E2787" t="s">
        <v>14290</v>
      </c>
      <c r="F2787" t="s">
        <v>21433</v>
      </c>
      <c r="H2787">
        <v>93524214</v>
      </c>
      <c r="I2787" t="s">
        <v>14292</v>
      </c>
      <c r="L2787" t="s">
        <v>21434</v>
      </c>
      <c r="M2787">
        <v>277</v>
      </c>
      <c r="N2787" t="s">
        <v>21435</v>
      </c>
    </row>
    <row r="2788" spans="1:14">
      <c r="A2788" t="s">
        <v>9256</v>
      </c>
      <c r="B2788">
        <v>3340807</v>
      </c>
      <c r="C2788">
        <v>3342351</v>
      </c>
      <c r="E2788" t="s">
        <v>14290</v>
      </c>
      <c r="F2788" t="s">
        <v>14811</v>
      </c>
      <c r="H2788">
        <v>93524215</v>
      </c>
      <c r="I2788" t="s">
        <v>14292</v>
      </c>
      <c r="L2788" t="s">
        <v>21436</v>
      </c>
      <c r="M2788">
        <v>514</v>
      </c>
      <c r="N2788" t="s">
        <v>21437</v>
      </c>
    </row>
    <row r="2789" spans="1:14">
      <c r="A2789" t="s">
        <v>9256</v>
      </c>
      <c r="B2789">
        <v>3342364</v>
      </c>
      <c r="C2789">
        <v>3343875</v>
      </c>
      <c r="E2789" t="s">
        <v>14290</v>
      </c>
      <c r="F2789" t="s">
        <v>19628</v>
      </c>
      <c r="G2789" t="s">
        <v>19629</v>
      </c>
      <c r="H2789">
        <v>93524216</v>
      </c>
      <c r="I2789" t="s">
        <v>14292</v>
      </c>
      <c r="L2789" t="s">
        <v>21438</v>
      </c>
      <c r="M2789">
        <v>503</v>
      </c>
      <c r="N2789" t="s">
        <v>21439</v>
      </c>
    </row>
    <row r="2790" spans="1:14">
      <c r="A2790" t="s">
        <v>9256</v>
      </c>
      <c r="B2790">
        <v>3343893</v>
      </c>
      <c r="C2790">
        <v>3344417</v>
      </c>
      <c r="E2790" t="s">
        <v>14290</v>
      </c>
      <c r="F2790" t="s">
        <v>17681</v>
      </c>
      <c r="H2790">
        <v>93524217</v>
      </c>
      <c r="I2790" t="s">
        <v>14292</v>
      </c>
      <c r="L2790" t="s">
        <v>21440</v>
      </c>
      <c r="M2790">
        <v>174</v>
      </c>
      <c r="N2790" t="s">
        <v>21441</v>
      </c>
    </row>
    <row r="2791" spans="1:14">
      <c r="A2791" t="s">
        <v>9256</v>
      </c>
      <c r="B2791">
        <v>3344586</v>
      </c>
      <c r="C2791">
        <v>3346013</v>
      </c>
      <c r="E2791" t="s">
        <v>14290</v>
      </c>
      <c r="F2791" t="s">
        <v>21442</v>
      </c>
      <c r="G2791" t="s">
        <v>21443</v>
      </c>
      <c r="H2791">
        <v>93524218</v>
      </c>
      <c r="I2791" t="s">
        <v>14292</v>
      </c>
      <c r="L2791" t="s">
        <v>21444</v>
      </c>
      <c r="M2791">
        <v>475</v>
      </c>
      <c r="N2791" t="s">
        <v>21445</v>
      </c>
    </row>
    <row r="2792" spans="1:14">
      <c r="A2792" t="s">
        <v>9256</v>
      </c>
      <c r="B2792">
        <v>3346022</v>
      </c>
      <c r="C2792">
        <v>3346876</v>
      </c>
      <c r="E2792" t="s">
        <v>14290</v>
      </c>
      <c r="F2792" t="s">
        <v>21446</v>
      </c>
      <c r="H2792">
        <v>93524219</v>
      </c>
      <c r="I2792" t="s">
        <v>14292</v>
      </c>
      <c r="L2792" t="s">
        <v>21447</v>
      </c>
      <c r="M2792">
        <v>284</v>
      </c>
      <c r="N2792" t="s">
        <v>21448</v>
      </c>
    </row>
    <row r="2793" spans="1:14">
      <c r="A2793" t="s">
        <v>9256</v>
      </c>
      <c r="B2793">
        <v>3346880</v>
      </c>
      <c r="C2793">
        <v>3347710</v>
      </c>
      <c r="E2793" t="s">
        <v>14290</v>
      </c>
      <c r="F2793" t="s">
        <v>21449</v>
      </c>
      <c r="G2793" t="s">
        <v>21450</v>
      </c>
      <c r="H2793">
        <v>93524220</v>
      </c>
      <c r="I2793" t="s">
        <v>14292</v>
      </c>
      <c r="L2793" t="s">
        <v>21451</v>
      </c>
      <c r="M2793">
        <v>276</v>
      </c>
      <c r="N2793" t="s">
        <v>21452</v>
      </c>
    </row>
    <row r="2794" spans="1:14">
      <c r="A2794" t="s">
        <v>9256</v>
      </c>
      <c r="B2794">
        <v>3347754</v>
      </c>
      <c r="C2794">
        <v>3348416</v>
      </c>
      <c r="E2794" t="s">
        <v>14290</v>
      </c>
      <c r="F2794" t="s">
        <v>21453</v>
      </c>
      <c r="H2794">
        <v>93524221</v>
      </c>
      <c r="I2794" t="s">
        <v>14292</v>
      </c>
      <c r="L2794" t="s">
        <v>21454</v>
      </c>
      <c r="M2794">
        <v>220</v>
      </c>
      <c r="N2794" t="s">
        <v>21455</v>
      </c>
    </row>
    <row r="2795" spans="1:14">
      <c r="A2795" t="s">
        <v>9256</v>
      </c>
      <c r="B2795">
        <v>3348480</v>
      </c>
      <c r="C2795">
        <v>3349121</v>
      </c>
      <c r="E2795" t="s">
        <v>14290</v>
      </c>
      <c r="F2795" t="s">
        <v>14291</v>
      </c>
      <c r="H2795">
        <v>93524222</v>
      </c>
      <c r="I2795" t="s">
        <v>14292</v>
      </c>
      <c r="L2795" t="s">
        <v>21456</v>
      </c>
      <c r="M2795">
        <v>213</v>
      </c>
      <c r="N2795" t="s">
        <v>21457</v>
      </c>
    </row>
    <row r="2796" spans="1:14">
      <c r="A2796" t="s">
        <v>9256</v>
      </c>
      <c r="B2796">
        <v>3349118</v>
      </c>
      <c r="C2796">
        <v>3349693</v>
      </c>
      <c r="E2796" t="s">
        <v>14290</v>
      </c>
      <c r="F2796" t="s">
        <v>21458</v>
      </c>
      <c r="H2796">
        <v>93524223</v>
      </c>
      <c r="I2796" t="s">
        <v>14292</v>
      </c>
      <c r="L2796" t="s">
        <v>21459</v>
      </c>
      <c r="M2796">
        <v>191</v>
      </c>
      <c r="N2796" t="s">
        <v>21460</v>
      </c>
    </row>
    <row r="2797" spans="1:14">
      <c r="A2797" t="s">
        <v>9256</v>
      </c>
      <c r="B2797">
        <v>3350734</v>
      </c>
      <c r="C2797">
        <v>3351105</v>
      </c>
      <c r="E2797" t="s">
        <v>14314</v>
      </c>
      <c r="F2797" t="s">
        <v>14291</v>
      </c>
      <c r="H2797">
        <v>93524224</v>
      </c>
      <c r="I2797" t="s">
        <v>14292</v>
      </c>
      <c r="L2797" t="s">
        <v>21461</v>
      </c>
      <c r="M2797">
        <v>123</v>
      </c>
      <c r="N2797" t="s">
        <v>21462</v>
      </c>
    </row>
    <row r="2798" spans="1:14">
      <c r="A2798" t="s">
        <v>9256</v>
      </c>
      <c r="B2798">
        <v>3351118</v>
      </c>
      <c r="C2798">
        <v>3351966</v>
      </c>
      <c r="E2798" t="s">
        <v>14314</v>
      </c>
      <c r="F2798" t="s">
        <v>14291</v>
      </c>
      <c r="H2798">
        <v>93524225</v>
      </c>
      <c r="I2798" t="s">
        <v>14292</v>
      </c>
      <c r="L2798" t="s">
        <v>21463</v>
      </c>
      <c r="M2798">
        <v>282</v>
      </c>
      <c r="N2798" t="s">
        <v>21464</v>
      </c>
    </row>
    <row r="2799" spans="1:14">
      <c r="A2799" t="s">
        <v>9256</v>
      </c>
      <c r="B2799">
        <v>3351994</v>
      </c>
      <c r="C2799">
        <v>3353772</v>
      </c>
      <c r="E2799" t="s">
        <v>14314</v>
      </c>
      <c r="F2799" t="s">
        <v>15179</v>
      </c>
      <c r="H2799">
        <v>93524226</v>
      </c>
      <c r="I2799" t="s">
        <v>14292</v>
      </c>
      <c r="L2799" t="s">
        <v>21465</v>
      </c>
      <c r="M2799">
        <v>592</v>
      </c>
      <c r="N2799" t="s">
        <v>21466</v>
      </c>
    </row>
    <row r="2800" spans="1:14">
      <c r="A2800" t="s">
        <v>9256</v>
      </c>
      <c r="B2800">
        <v>3353785</v>
      </c>
      <c r="C2800">
        <v>3357018</v>
      </c>
      <c r="E2800" t="s">
        <v>14314</v>
      </c>
      <c r="F2800" t="s">
        <v>14965</v>
      </c>
      <c r="H2800">
        <v>93524227</v>
      </c>
      <c r="I2800" t="s">
        <v>14292</v>
      </c>
      <c r="L2800" t="s">
        <v>21467</v>
      </c>
      <c r="M2800">
        <v>1077</v>
      </c>
      <c r="N2800" t="s">
        <v>21468</v>
      </c>
    </row>
    <row r="2801" spans="1:14">
      <c r="A2801" t="s">
        <v>9256</v>
      </c>
      <c r="B2801">
        <v>3357383</v>
      </c>
      <c r="C2801">
        <v>3358261</v>
      </c>
      <c r="E2801" t="s">
        <v>14314</v>
      </c>
      <c r="F2801" t="s">
        <v>15711</v>
      </c>
      <c r="H2801">
        <v>93524228</v>
      </c>
      <c r="I2801" t="s">
        <v>14292</v>
      </c>
      <c r="L2801" t="s">
        <v>21469</v>
      </c>
      <c r="M2801">
        <v>292</v>
      </c>
      <c r="N2801" t="s">
        <v>21470</v>
      </c>
    </row>
    <row r="2802" spans="1:14">
      <c r="A2802" t="s">
        <v>9256</v>
      </c>
      <c r="B2802">
        <v>3358296</v>
      </c>
      <c r="C2802">
        <v>3360494</v>
      </c>
      <c r="E2802" t="s">
        <v>14314</v>
      </c>
      <c r="F2802" t="s">
        <v>21471</v>
      </c>
      <c r="H2802">
        <v>93524229</v>
      </c>
      <c r="I2802" t="s">
        <v>14292</v>
      </c>
      <c r="L2802" t="s">
        <v>21472</v>
      </c>
      <c r="M2802">
        <v>732</v>
      </c>
      <c r="N2802" t="s">
        <v>21473</v>
      </c>
    </row>
    <row r="2803" spans="1:14">
      <c r="A2803" t="s">
        <v>9256</v>
      </c>
      <c r="B2803">
        <v>3360565</v>
      </c>
      <c r="C2803">
        <v>3362058</v>
      </c>
      <c r="E2803" t="s">
        <v>14314</v>
      </c>
      <c r="F2803" t="s">
        <v>16830</v>
      </c>
      <c r="H2803">
        <v>93524230</v>
      </c>
      <c r="I2803" t="s">
        <v>14292</v>
      </c>
      <c r="L2803" t="s">
        <v>21474</v>
      </c>
      <c r="M2803">
        <v>497</v>
      </c>
      <c r="N2803" t="s">
        <v>21475</v>
      </c>
    </row>
    <row r="2804" spans="1:14">
      <c r="A2804" t="s">
        <v>9256</v>
      </c>
      <c r="B2804">
        <v>3362219</v>
      </c>
      <c r="C2804">
        <v>3362932</v>
      </c>
      <c r="E2804" t="s">
        <v>14290</v>
      </c>
      <c r="F2804" t="s">
        <v>21476</v>
      </c>
      <c r="H2804">
        <v>93524231</v>
      </c>
      <c r="I2804" t="s">
        <v>14292</v>
      </c>
      <c r="L2804" t="s">
        <v>21477</v>
      </c>
      <c r="M2804">
        <v>237</v>
      </c>
      <c r="N2804" t="s">
        <v>21478</v>
      </c>
    </row>
    <row r="2805" spans="1:14">
      <c r="A2805" t="s">
        <v>9256</v>
      </c>
      <c r="B2805">
        <v>3363008</v>
      </c>
      <c r="C2805">
        <v>3364300</v>
      </c>
      <c r="E2805" t="s">
        <v>14314</v>
      </c>
      <c r="F2805" t="s">
        <v>21479</v>
      </c>
      <c r="H2805">
        <v>93524232</v>
      </c>
      <c r="I2805" t="s">
        <v>14292</v>
      </c>
      <c r="L2805" t="s">
        <v>21480</v>
      </c>
      <c r="M2805">
        <v>430</v>
      </c>
      <c r="N2805" t="s">
        <v>21481</v>
      </c>
    </row>
    <row r="2806" spans="1:14">
      <c r="A2806" t="s">
        <v>9256</v>
      </c>
      <c r="B2806">
        <v>3364410</v>
      </c>
      <c r="C2806">
        <v>3364892</v>
      </c>
      <c r="E2806" t="s">
        <v>14290</v>
      </c>
      <c r="F2806" t="s">
        <v>15822</v>
      </c>
      <c r="H2806">
        <v>93524233</v>
      </c>
      <c r="I2806" t="s">
        <v>14292</v>
      </c>
      <c r="L2806" t="s">
        <v>21482</v>
      </c>
      <c r="M2806">
        <v>160</v>
      </c>
      <c r="N2806" t="s">
        <v>21483</v>
      </c>
    </row>
    <row r="2807" spans="1:14">
      <c r="A2807" t="s">
        <v>9256</v>
      </c>
      <c r="B2807">
        <v>3364927</v>
      </c>
      <c r="C2807">
        <v>3365559</v>
      </c>
      <c r="E2807" t="s">
        <v>14314</v>
      </c>
      <c r="F2807" t="s">
        <v>21484</v>
      </c>
      <c r="H2807">
        <v>93524234</v>
      </c>
      <c r="I2807" t="s">
        <v>14292</v>
      </c>
      <c r="L2807" t="s">
        <v>21485</v>
      </c>
      <c r="M2807">
        <v>210</v>
      </c>
      <c r="N2807" t="s">
        <v>21486</v>
      </c>
    </row>
    <row r="2808" spans="1:14">
      <c r="A2808" t="s">
        <v>9256</v>
      </c>
      <c r="B2808">
        <v>3365732</v>
      </c>
      <c r="C2808">
        <v>3367600</v>
      </c>
      <c r="E2808" t="s">
        <v>14290</v>
      </c>
      <c r="F2808" t="s">
        <v>21487</v>
      </c>
      <c r="H2808">
        <v>93524235</v>
      </c>
      <c r="I2808" t="s">
        <v>14292</v>
      </c>
      <c r="L2808" t="s">
        <v>21488</v>
      </c>
      <c r="M2808">
        <v>622</v>
      </c>
      <c r="N2808" t="s">
        <v>21489</v>
      </c>
    </row>
    <row r="2809" spans="1:14">
      <c r="A2809" t="s">
        <v>9256</v>
      </c>
      <c r="B2809">
        <v>3367771</v>
      </c>
      <c r="C2809">
        <v>3368997</v>
      </c>
      <c r="E2809" t="s">
        <v>14290</v>
      </c>
      <c r="F2809" t="s">
        <v>21490</v>
      </c>
      <c r="H2809">
        <v>93524236</v>
      </c>
      <c r="I2809" t="s">
        <v>14292</v>
      </c>
      <c r="L2809" t="s">
        <v>21491</v>
      </c>
      <c r="M2809">
        <v>408</v>
      </c>
      <c r="N2809" t="s">
        <v>21492</v>
      </c>
    </row>
    <row r="2810" spans="1:14">
      <c r="A2810" t="s">
        <v>9256</v>
      </c>
      <c r="B2810">
        <v>3368994</v>
      </c>
      <c r="C2810">
        <v>3369827</v>
      </c>
      <c r="E2810" t="s">
        <v>14290</v>
      </c>
      <c r="F2810" t="s">
        <v>14562</v>
      </c>
      <c r="H2810">
        <v>93524237</v>
      </c>
      <c r="I2810" t="s">
        <v>14292</v>
      </c>
      <c r="L2810" t="s">
        <v>21493</v>
      </c>
      <c r="M2810">
        <v>277</v>
      </c>
      <c r="N2810" t="s">
        <v>21494</v>
      </c>
    </row>
    <row r="2811" spans="1:14">
      <c r="A2811" t="s">
        <v>9256</v>
      </c>
      <c r="B2811">
        <v>3369856</v>
      </c>
      <c r="C2811">
        <v>3370749</v>
      </c>
      <c r="E2811" t="s">
        <v>14290</v>
      </c>
      <c r="F2811" t="s">
        <v>21495</v>
      </c>
      <c r="H2811">
        <v>93524238</v>
      </c>
      <c r="I2811" t="s">
        <v>14292</v>
      </c>
      <c r="L2811" t="s">
        <v>21496</v>
      </c>
      <c r="M2811">
        <v>297</v>
      </c>
      <c r="N2811" t="s">
        <v>21497</v>
      </c>
    </row>
    <row r="2812" spans="1:14">
      <c r="A2812" t="s">
        <v>9256</v>
      </c>
      <c r="B2812">
        <v>3370736</v>
      </c>
      <c r="C2812">
        <v>3371515</v>
      </c>
      <c r="E2812" t="s">
        <v>14290</v>
      </c>
      <c r="F2812" t="s">
        <v>21498</v>
      </c>
      <c r="H2812">
        <v>93524239</v>
      </c>
      <c r="I2812" t="s">
        <v>14292</v>
      </c>
      <c r="L2812" t="s">
        <v>21499</v>
      </c>
      <c r="M2812">
        <v>259</v>
      </c>
      <c r="N2812" t="s">
        <v>21500</v>
      </c>
    </row>
    <row r="2813" spans="1:14">
      <c r="A2813" t="s">
        <v>9256</v>
      </c>
      <c r="B2813">
        <v>3371598</v>
      </c>
      <c r="C2813">
        <v>3372080</v>
      </c>
      <c r="E2813" t="s">
        <v>14314</v>
      </c>
      <c r="F2813" t="s">
        <v>19879</v>
      </c>
      <c r="H2813">
        <v>93524240</v>
      </c>
      <c r="I2813" t="s">
        <v>14292</v>
      </c>
      <c r="L2813" t="s">
        <v>21501</v>
      </c>
      <c r="M2813">
        <v>160</v>
      </c>
      <c r="N2813" t="s">
        <v>21502</v>
      </c>
    </row>
    <row r="2814" spans="1:14">
      <c r="A2814" t="s">
        <v>9256</v>
      </c>
      <c r="B2814">
        <v>3372168</v>
      </c>
      <c r="C2814">
        <v>3372596</v>
      </c>
      <c r="E2814" t="s">
        <v>14314</v>
      </c>
      <c r="F2814" t="s">
        <v>19871</v>
      </c>
      <c r="H2814">
        <v>93524241</v>
      </c>
      <c r="I2814" t="s">
        <v>14292</v>
      </c>
      <c r="L2814" t="s">
        <v>21503</v>
      </c>
      <c r="M2814">
        <v>142</v>
      </c>
      <c r="N2814" t="s">
        <v>21504</v>
      </c>
    </row>
    <row r="2815" spans="1:14">
      <c r="A2815" t="s">
        <v>9256</v>
      </c>
      <c r="B2815">
        <v>3372945</v>
      </c>
      <c r="C2815">
        <v>3374408</v>
      </c>
      <c r="E2815" t="s">
        <v>14290</v>
      </c>
      <c r="F2815" t="s">
        <v>21505</v>
      </c>
      <c r="H2815">
        <v>93524242</v>
      </c>
      <c r="I2815" t="s">
        <v>14292</v>
      </c>
      <c r="L2815" t="s">
        <v>21506</v>
      </c>
      <c r="M2815">
        <v>487</v>
      </c>
      <c r="N2815" t="s">
        <v>21507</v>
      </c>
    </row>
    <row r="2816" spans="1:14">
      <c r="A2816" t="s">
        <v>9256</v>
      </c>
      <c r="B2816">
        <v>3374415</v>
      </c>
      <c r="C2816">
        <v>3375041</v>
      </c>
      <c r="E2816" t="s">
        <v>14290</v>
      </c>
      <c r="F2816" t="s">
        <v>14576</v>
      </c>
      <c r="H2816">
        <v>93524243</v>
      </c>
      <c r="I2816" t="s">
        <v>14292</v>
      </c>
      <c r="L2816" t="s">
        <v>21508</v>
      </c>
      <c r="M2816">
        <v>208</v>
      </c>
      <c r="N2816" t="s">
        <v>21509</v>
      </c>
    </row>
    <row r="2817" spans="1:14">
      <c r="A2817" t="s">
        <v>9256</v>
      </c>
      <c r="B2817">
        <v>3375085</v>
      </c>
      <c r="C2817">
        <v>3375435</v>
      </c>
      <c r="E2817" t="s">
        <v>14290</v>
      </c>
      <c r="F2817" t="s">
        <v>21510</v>
      </c>
      <c r="H2817">
        <v>93524244</v>
      </c>
      <c r="I2817" t="s">
        <v>14292</v>
      </c>
      <c r="L2817" t="s">
        <v>21511</v>
      </c>
      <c r="M2817">
        <v>116</v>
      </c>
      <c r="N2817" t="s">
        <v>21512</v>
      </c>
    </row>
    <row r="2818" spans="1:14">
      <c r="A2818" t="s">
        <v>9256</v>
      </c>
      <c r="B2818">
        <v>3375444</v>
      </c>
      <c r="C2818">
        <v>3376667</v>
      </c>
      <c r="E2818" t="s">
        <v>14290</v>
      </c>
      <c r="F2818" t="s">
        <v>21513</v>
      </c>
      <c r="H2818">
        <v>93524245</v>
      </c>
      <c r="I2818" t="s">
        <v>14292</v>
      </c>
      <c r="L2818" t="s">
        <v>21514</v>
      </c>
      <c r="M2818">
        <v>407</v>
      </c>
      <c r="N2818" t="s">
        <v>21515</v>
      </c>
    </row>
    <row r="2819" spans="1:14">
      <c r="A2819" t="s">
        <v>9256</v>
      </c>
      <c r="B2819">
        <v>3376821</v>
      </c>
      <c r="C2819">
        <v>3377369</v>
      </c>
      <c r="E2819" t="s">
        <v>14290</v>
      </c>
      <c r="F2819" t="s">
        <v>14291</v>
      </c>
      <c r="H2819">
        <v>93524246</v>
      </c>
      <c r="I2819" t="s">
        <v>14292</v>
      </c>
      <c r="L2819" t="s">
        <v>21516</v>
      </c>
      <c r="M2819">
        <v>182</v>
      </c>
      <c r="N2819" t="s">
        <v>21517</v>
      </c>
    </row>
    <row r="2820" spans="1:14">
      <c r="A2820" t="s">
        <v>9256</v>
      </c>
      <c r="B2820">
        <v>3377371</v>
      </c>
      <c r="C2820">
        <v>3377922</v>
      </c>
      <c r="E2820" t="s">
        <v>14290</v>
      </c>
      <c r="F2820" t="s">
        <v>21518</v>
      </c>
      <c r="H2820">
        <v>93524247</v>
      </c>
      <c r="I2820" t="s">
        <v>14292</v>
      </c>
      <c r="L2820" t="s">
        <v>21519</v>
      </c>
      <c r="M2820">
        <v>183</v>
      </c>
      <c r="N2820" t="s">
        <v>21520</v>
      </c>
    </row>
    <row r="2821" spans="1:14">
      <c r="A2821" t="s">
        <v>9256</v>
      </c>
      <c r="B2821">
        <v>3377984</v>
      </c>
      <c r="C2821">
        <v>3378817</v>
      </c>
      <c r="E2821" t="s">
        <v>14314</v>
      </c>
      <c r="F2821" t="s">
        <v>14397</v>
      </c>
      <c r="H2821">
        <v>93524248</v>
      </c>
      <c r="I2821" t="s">
        <v>14292</v>
      </c>
      <c r="L2821" t="s">
        <v>21521</v>
      </c>
      <c r="M2821">
        <v>277</v>
      </c>
      <c r="N2821" t="s">
        <v>21522</v>
      </c>
    </row>
    <row r="2822" spans="1:14">
      <c r="A2822" t="s">
        <v>9256</v>
      </c>
      <c r="B2822">
        <v>3378919</v>
      </c>
      <c r="C2822">
        <v>3379509</v>
      </c>
      <c r="E2822" t="s">
        <v>14290</v>
      </c>
      <c r="F2822" t="s">
        <v>21523</v>
      </c>
      <c r="G2822" t="s">
        <v>21524</v>
      </c>
      <c r="H2822">
        <v>93524249</v>
      </c>
      <c r="I2822" t="s">
        <v>14292</v>
      </c>
      <c r="L2822" t="s">
        <v>21525</v>
      </c>
      <c r="M2822">
        <v>196</v>
      </c>
      <c r="N2822" t="s">
        <v>21526</v>
      </c>
    </row>
    <row r="2823" spans="1:14">
      <c r="A2823" t="s">
        <v>9256</v>
      </c>
      <c r="B2823">
        <v>3379622</v>
      </c>
      <c r="C2823">
        <v>3381067</v>
      </c>
      <c r="E2823" t="s">
        <v>14290</v>
      </c>
      <c r="F2823" t="s">
        <v>18530</v>
      </c>
      <c r="H2823">
        <v>93524250</v>
      </c>
      <c r="I2823" t="s">
        <v>14292</v>
      </c>
      <c r="L2823" t="s">
        <v>18531</v>
      </c>
      <c r="M2823">
        <v>481</v>
      </c>
      <c r="N2823" t="s">
        <v>21527</v>
      </c>
    </row>
    <row r="2824" spans="1:14">
      <c r="A2824" t="s">
        <v>9256</v>
      </c>
      <c r="B2824">
        <v>3381198</v>
      </c>
      <c r="C2824">
        <v>3382682</v>
      </c>
      <c r="E2824" t="s">
        <v>14290</v>
      </c>
      <c r="F2824" t="s">
        <v>14755</v>
      </c>
      <c r="G2824" t="s">
        <v>14756</v>
      </c>
      <c r="H2824">
        <v>93524251</v>
      </c>
      <c r="I2824" t="s">
        <v>14292</v>
      </c>
      <c r="L2824" t="s">
        <v>21528</v>
      </c>
      <c r="M2824">
        <v>494</v>
      </c>
      <c r="N2824" t="s">
        <v>21529</v>
      </c>
    </row>
    <row r="2825" spans="1:14">
      <c r="A2825" t="s">
        <v>9256</v>
      </c>
      <c r="B2825">
        <v>3382685</v>
      </c>
      <c r="C2825">
        <v>3383875</v>
      </c>
      <c r="E2825" t="s">
        <v>14290</v>
      </c>
      <c r="F2825" t="s">
        <v>21530</v>
      </c>
      <c r="H2825">
        <v>93524252</v>
      </c>
      <c r="I2825" t="s">
        <v>14292</v>
      </c>
      <c r="L2825" t="s">
        <v>21531</v>
      </c>
      <c r="M2825">
        <v>396</v>
      </c>
      <c r="N2825" t="s">
        <v>21532</v>
      </c>
    </row>
    <row r="2826" spans="1:14">
      <c r="A2826" t="s">
        <v>9256</v>
      </c>
      <c r="B2826">
        <v>3383877</v>
      </c>
      <c r="C2826">
        <v>3384671</v>
      </c>
      <c r="E2826" t="s">
        <v>14290</v>
      </c>
      <c r="F2826" t="s">
        <v>14898</v>
      </c>
      <c r="G2826" t="s">
        <v>14899</v>
      </c>
      <c r="H2826">
        <v>93524253</v>
      </c>
      <c r="I2826" t="s">
        <v>14292</v>
      </c>
      <c r="L2826" t="s">
        <v>21533</v>
      </c>
      <c r="M2826">
        <v>264</v>
      </c>
      <c r="N2826" t="s">
        <v>21534</v>
      </c>
    </row>
    <row r="2827" spans="1:14">
      <c r="A2827" t="s">
        <v>9256</v>
      </c>
      <c r="B2827">
        <v>3384688</v>
      </c>
      <c r="C2827">
        <v>3385980</v>
      </c>
      <c r="E2827" t="s">
        <v>14290</v>
      </c>
      <c r="F2827" t="s">
        <v>21535</v>
      </c>
      <c r="H2827">
        <v>93524254</v>
      </c>
      <c r="I2827" t="s">
        <v>14292</v>
      </c>
      <c r="L2827" t="s">
        <v>21536</v>
      </c>
      <c r="M2827">
        <v>430</v>
      </c>
      <c r="N2827" t="s">
        <v>21537</v>
      </c>
    </row>
    <row r="2828" spans="1:14">
      <c r="A2828" t="s">
        <v>9256</v>
      </c>
      <c r="B2828">
        <v>3386040</v>
      </c>
      <c r="C2828">
        <v>3386705</v>
      </c>
      <c r="E2828" t="s">
        <v>14290</v>
      </c>
      <c r="F2828" t="s">
        <v>15027</v>
      </c>
      <c r="H2828">
        <v>93524255</v>
      </c>
      <c r="I2828" t="s">
        <v>14292</v>
      </c>
      <c r="L2828" t="s">
        <v>21538</v>
      </c>
      <c r="M2828">
        <v>221</v>
      </c>
      <c r="N2828" t="s">
        <v>21539</v>
      </c>
    </row>
    <row r="2829" spans="1:14">
      <c r="A2829" t="s">
        <v>9256</v>
      </c>
      <c r="B2829">
        <v>3386764</v>
      </c>
      <c r="C2829">
        <v>3388104</v>
      </c>
      <c r="E2829" t="s">
        <v>14290</v>
      </c>
      <c r="F2829" t="s">
        <v>14864</v>
      </c>
      <c r="H2829">
        <v>93524256</v>
      </c>
      <c r="I2829" t="s">
        <v>14292</v>
      </c>
      <c r="L2829" t="s">
        <v>21540</v>
      </c>
      <c r="M2829">
        <v>446</v>
      </c>
      <c r="N2829" t="s">
        <v>21541</v>
      </c>
    </row>
    <row r="2830" spans="1:14">
      <c r="A2830" t="s">
        <v>9256</v>
      </c>
      <c r="B2830">
        <v>3388233</v>
      </c>
      <c r="C2830">
        <v>3389948</v>
      </c>
      <c r="E2830" t="s">
        <v>14290</v>
      </c>
      <c r="F2830" t="s">
        <v>14493</v>
      </c>
      <c r="H2830">
        <v>93524257</v>
      </c>
      <c r="I2830" t="s">
        <v>14292</v>
      </c>
      <c r="L2830" t="s">
        <v>21542</v>
      </c>
      <c r="M2830">
        <v>571</v>
      </c>
      <c r="N2830" t="s">
        <v>21543</v>
      </c>
    </row>
    <row r="2831" spans="1:14">
      <c r="A2831" t="s">
        <v>9256</v>
      </c>
      <c r="B2831">
        <v>3389969</v>
      </c>
      <c r="C2831">
        <v>3390805</v>
      </c>
      <c r="E2831" t="s">
        <v>14314</v>
      </c>
      <c r="F2831" t="s">
        <v>18783</v>
      </c>
      <c r="H2831">
        <v>93524258</v>
      </c>
      <c r="I2831" t="s">
        <v>14292</v>
      </c>
      <c r="L2831" t="s">
        <v>21544</v>
      </c>
      <c r="M2831">
        <v>278</v>
      </c>
      <c r="N2831" t="s">
        <v>21545</v>
      </c>
    </row>
    <row r="2832" spans="1:14">
      <c r="A2832" t="s">
        <v>9256</v>
      </c>
      <c r="B2832">
        <v>3390948</v>
      </c>
      <c r="C2832">
        <v>3391169</v>
      </c>
      <c r="E2832" t="s">
        <v>14314</v>
      </c>
      <c r="F2832" t="s">
        <v>14291</v>
      </c>
      <c r="H2832">
        <v>93524259</v>
      </c>
      <c r="I2832" t="s">
        <v>14292</v>
      </c>
      <c r="L2832" t="s">
        <v>21546</v>
      </c>
      <c r="M2832">
        <v>73</v>
      </c>
      <c r="N2832" t="s">
        <v>21547</v>
      </c>
    </row>
    <row r="2833" spans="1:14">
      <c r="A2833" t="s">
        <v>9256</v>
      </c>
      <c r="B2833">
        <v>3391245</v>
      </c>
      <c r="C2833">
        <v>3391667</v>
      </c>
      <c r="E2833" t="s">
        <v>14314</v>
      </c>
      <c r="F2833" t="s">
        <v>21548</v>
      </c>
      <c r="G2833" t="s">
        <v>21549</v>
      </c>
      <c r="H2833">
        <v>93524260</v>
      </c>
      <c r="I2833" t="s">
        <v>14292</v>
      </c>
      <c r="L2833" t="s">
        <v>21550</v>
      </c>
      <c r="M2833">
        <v>140</v>
      </c>
      <c r="N2833" t="s">
        <v>21551</v>
      </c>
    </row>
    <row r="2834" spans="1:14">
      <c r="A2834" t="s">
        <v>9256</v>
      </c>
      <c r="B2834">
        <v>3391749</v>
      </c>
      <c r="C2834">
        <v>3392291</v>
      </c>
      <c r="E2834" t="s">
        <v>14314</v>
      </c>
      <c r="F2834" t="s">
        <v>21552</v>
      </c>
      <c r="H2834">
        <v>93524261</v>
      </c>
      <c r="I2834" t="s">
        <v>14292</v>
      </c>
      <c r="L2834" t="s">
        <v>21553</v>
      </c>
      <c r="M2834">
        <v>180</v>
      </c>
      <c r="N2834" t="s">
        <v>21554</v>
      </c>
    </row>
    <row r="2835" spans="1:14">
      <c r="A2835" t="s">
        <v>9256</v>
      </c>
      <c r="B2835">
        <v>3392669</v>
      </c>
      <c r="C2835">
        <v>3393601</v>
      </c>
      <c r="E2835" t="s">
        <v>14290</v>
      </c>
      <c r="F2835" t="s">
        <v>15126</v>
      </c>
      <c r="H2835">
        <v>93524262</v>
      </c>
      <c r="I2835" t="s">
        <v>14292</v>
      </c>
      <c r="L2835" t="s">
        <v>21555</v>
      </c>
      <c r="M2835">
        <v>310</v>
      </c>
      <c r="N2835" t="s">
        <v>21556</v>
      </c>
    </row>
    <row r="2836" spans="1:14">
      <c r="A2836" t="s">
        <v>9256</v>
      </c>
      <c r="B2836">
        <v>3394109</v>
      </c>
      <c r="C2836">
        <v>3395227</v>
      </c>
      <c r="E2836" t="s">
        <v>14290</v>
      </c>
      <c r="F2836" t="s">
        <v>15122</v>
      </c>
      <c r="G2836" t="s">
        <v>15123</v>
      </c>
      <c r="H2836">
        <v>93524263</v>
      </c>
      <c r="I2836" t="s">
        <v>14292</v>
      </c>
      <c r="L2836" t="s">
        <v>21557</v>
      </c>
      <c r="M2836">
        <v>372</v>
      </c>
      <c r="N2836" t="s">
        <v>21558</v>
      </c>
    </row>
    <row r="2837" spans="1:14">
      <c r="A2837" t="s">
        <v>9256</v>
      </c>
      <c r="B2837">
        <v>3395279</v>
      </c>
      <c r="C2837">
        <v>3395659</v>
      </c>
      <c r="E2837" t="s">
        <v>14290</v>
      </c>
      <c r="F2837" t="s">
        <v>14291</v>
      </c>
      <c r="H2837">
        <v>93524264</v>
      </c>
      <c r="I2837" t="s">
        <v>14292</v>
      </c>
      <c r="L2837" t="s">
        <v>21559</v>
      </c>
      <c r="M2837">
        <v>126</v>
      </c>
      <c r="N2837" t="s">
        <v>21560</v>
      </c>
    </row>
    <row r="2838" spans="1:14">
      <c r="A2838" t="s">
        <v>9256</v>
      </c>
      <c r="B2838">
        <v>3396047</v>
      </c>
      <c r="C2838">
        <v>3397864</v>
      </c>
      <c r="E2838" t="s">
        <v>14290</v>
      </c>
      <c r="F2838" t="s">
        <v>14329</v>
      </c>
      <c r="H2838">
        <v>93524265</v>
      </c>
      <c r="I2838" t="s">
        <v>14292</v>
      </c>
      <c r="L2838" t="s">
        <v>21561</v>
      </c>
      <c r="M2838">
        <v>605</v>
      </c>
      <c r="N2838" t="s">
        <v>21562</v>
      </c>
    </row>
    <row r="2839" spans="1:14">
      <c r="A2839" t="s">
        <v>9256</v>
      </c>
      <c r="B2839">
        <v>3397883</v>
      </c>
      <c r="C2839">
        <v>3398116</v>
      </c>
      <c r="E2839" t="s">
        <v>14290</v>
      </c>
      <c r="F2839" t="s">
        <v>18046</v>
      </c>
      <c r="H2839">
        <v>93524266</v>
      </c>
      <c r="I2839" t="s">
        <v>14292</v>
      </c>
      <c r="L2839" t="s">
        <v>21563</v>
      </c>
      <c r="M2839">
        <v>77</v>
      </c>
      <c r="N2839" t="s">
        <v>21564</v>
      </c>
    </row>
    <row r="2840" spans="1:14">
      <c r="A2840" t="s">
        <v>9256</v>
      </c>
      <c r="B2840">
        <v>3398113</v>
      </c>
      <c r="C2840">
        <v>3399090</v>
      </c>
      <c r="E2840" t="s">
        <v>14290</v>
      </c>
      <c r="F2840" t="s">
        <v>20206</v>
      </c>
      <c r="H2840">
        <v>93524267</v>
      </c>
      <c r="I2840" t="s">
        <v>14292</v>
      </c>
      <c r="L2840" t="s">
        <v>21565</v>
      </c>
      <c r="M2840">
        <v>325</v>
      </c>
      <c r="N2840" t="s">
        <v>21566</v>
      </c>
    </row>
    <row r="2841" spans="1:14">
      <c r="A2841" t="s">
        <v>9256</v>
      </c>
      <c r="B2841">
        <v>3399136</v>
      </c>
      <c r="C2841">
        <v>3400656</v>
      </c>
      <c r="E2841" t="s">
        <v>14290</v>
      </c>
      <c r="F2841" t="s">
        <v>21567</v>
      </c>
      <c r="H2841">
        <v>93524268</v>
      </c>
      <c r="I2841" t="s">
        <v>14292</v>
      </c>
      <c r="L2841" t="s">
        <v>21568</v>
      </c>
      <c r="M2841">
        <v>506</v>
      </c>
      <c r="N2841" t="s">
        <v>21569</v>
      </c>
    </row>
    <row r="2842" spans="1:14">
      <c r="A2842" t="s">
        <v>9256</v>
      </c>
      <c r="B2842">
        <v>3400649</v>
      </c>
      <c r="C2842">
        <v>3401455</v>
      </c>
      <c r="E2842" t="s">
        <v>14290</v>
      </c>
      <c r="F2842" t="s">
        <v>14439</v>
      </c>
      <c r="H2842">
        <v>93524269</v>
      </c>
      <c r="I2842" t="s">
        <v>14292</v>
      </c>
      <c r="L2842" t="s">
        <v>21570</v>
      </c>
      <c r="M2842">
        <v>268</v>
      </c>
      <c r="N2842" t="s">
        <v>21571</v>
      </c>
    </row>
    <row r="2843" spans="1:14">
      <c r="A2843" t="s">
        <v>9256</v>
      </c>
      <c r="B2843">
        <v>3401493</v>
      </c>
      <c r="C2843">
        <v>3401726</v>
      </c>
      <c r="E2843" t="s">
        <v>14290</v>
      </c>
      <c r="F2843" t="s">
        <v>14291</v>
      </c>
      <c r="H2843">
        <v>93524270</v>
      </c>
      <c r="I2843" t="s">
        <v>14292</v>
      </c>
      <c r="L2843" t="s">
        <v>21572</v>
      </c>
      <c r="M2843">
        <v>77</v>
      </c>
      <c r="N2843" t="s">
        <v>21573</v>
      </c>
    </row>
    <row r="2844" spans="1:14">
      <c r="A2844" t="s">
        <v>9256</v>
      </c>
      <c r="B2844">
        <v>3401768</v>
      </c>
      <c r="C2844">
        <v>3403309</v>
      </c>
      <c r="E2844" t="s">
        <v>14290</v>
      </c>
      <c r="F2844" t="s">
        <v>14291</v>
      </c>
      <c r="H2844">
        <v>93524271</v>
      </c>
      <c r="I2844" t="s">
        <v>14292</v>
      </c>
      <c r="L2844" t="s">
        <v>21574</v>
      </c>
      <c r="M2844">
        <v>513</v>
      </c>
      <c r="N2844" t="s">
        <v>21575</v>
      </c>
    </row>
    <row r="2845" spans="1:14">
      <c r="A2845" t="s">
        <v>9256</v>
      </c>
      <c r="B2845">
        <v>3403339</v>
      </c>
      <c r="C2845">
        <v>3404244</v>
      </c>
      <c r="E2845" t="s">
        <v>14290</v>
      </c>
      <c r="F2845" t="s">
        <v>14291</v>
      </c>
      <c r="H2845">
        <v>93524272</v>
      </c>
      <c r="I2845" t="s">
        <v>14292</v>
      </c>
      <c r="L2845" t="s">
        <v>21576</v>
      </c>
      <c r="M2845">
        <v>301</v>
      </c>
      <c r="N2845" t="s">
        <v>21577</v>
      </c>
    </row>
    <row r="2846" spans="1:14">
      <c r="A2846" t="s">
        <v>9256</v>
      </c>
      <c r="B2846">
        <v>3404247</v>
      </c>
      <c r="C2846">
        <v>3405080</v>
      </c>
      <c r="E2846" t="s">
        <v>14290</v>
      </c>
      <c r="F2846" t="s">
        <v>16178</v>
      </c>
      <c r="H2846">
        <v>93524273</v>
      </c>
      <c r="I2846" t="s">
        <v>14292</v>
      </c>
      <c r="L2846" t="s">
        <v>21578</v>
      </c>
      <c r="M2846">
        <v>277</v>
      </c>
      <c r="N2846" t="s">
        <v>21579</v>
      </c>
    </row>
    <row r="2847" spans="1:14">
      <c r="A2847" t="s">
        <v>9256</v>
      </c>
      <c r="B2847">
        <v>3405235</v>
      </c>
      <c r="C2847">
        <v>3406092</v>
      </c>
      <c r="E2847" t="s">
        <v>14290</v>
      </c>
      <c r="F2847" t="s">
        <v>14338</v>
      </c>
      <c r="H2847">
        <v>93524274</v>
      </c>
      <c r="I2847" t="s">
        <v>14292</v>
      </c>
      <c r="L2847" t="s">
        <v>21580</v>
      </c>
      <c r="M2847">
        <v>285</v>
      </c>
      <c r="N2847" t="s">
        <v>21581</v>
      </c>
    </row>
    <row r="2848" spans="1:14">
      <c r="A2848" t="s">
        <v>9256</v>
      </c>
      <c r="B2848">
        <v>3406164</v>
      </c>
      <c r="C2848">
        <v>3407315</v>
      </c>
      <c r="E2848" t="s">
        <v>14290</v>
      </c>
      <c r="F2848" t="s">
        <v>14332</v>
      </c>
      <c r="H2848">
        <v>93524275</v>
      </c>
      <c r="I2848" t="s">
        <v>14292</v>
      </c>
      <c r="L2848" t="s">
        <v>21582</v>
      </c>
      <c r="M2848">
        <v>383</v>
      </c>
      <c r="N2848" t="s">
        <v>21583</v>
      </c>
    </row>
    <row r="2849" spans="1:14">
      <c r="A2849" t="s">
        <v>9256</v>
      </c>
      <c r="B2849">
        <v>3407683</v>
      </c>
      <c r="C2849">
        <v>3408711</v>
      </c>
      <c r="E2849" t="s">
        <v>14290</v>
      </c>
      <c r="F2849" t="s">
        <v>21332</v>
      </c>
      <c r="H2849">
        <v>93524276</v>
      </c>
      <c r="I2849" t="s">
        <v>14292</v>
      </c>
      <c r="L2849" t="s">
        <v>21584</v>
      </c>
      <c r="M2849">
        <v>342</v>
      </c>
      <c r="N2849" t="s">
        <v>21585</v>
      </c>
    </row>
    <row r="2850" spans="1:14">
      <c r="A2850" t="s">
        <v>9256</v>
      </c>
      <c r="B2850">
        <v>3408720</v>
      </c>
      <c r="C2850">
        <v>3409835</v>
      </c>
      <c r="E2850" t="s">
        <v>14290</v>
      </c>
      <c r="F2850" t="s">
        <v>14364</v>
      </c>
      <c r="H2850">
        <v>93524277</v>
      </c>
      <c r="I2850" t="s">
        <v>14292</v>
      </c>
      <c r="L2850" t="s">
        <v>21586</v>
      </c>
      <c r="M2850">
        <v>371</v>
      </c>
      <c r="N2850" t="s">
        <v>21587</v>
      </c>
    </row>
    <row r="2851" spans="1:14">
      <c r="A2851" t="s">
        <v>9256</v>
      </c>
      <c r="B2851">
        <v>3409832</v>
      </c>
      <c r="C2851">
        <v>3410017</v>
      </c>
      <c r="E2851" t="s">
        <v>14290</v>
      </c>
      <c r="F2851" t="s">
        <v>14291</v>
      </c>
      <c r="H2851">
        <v>93524278</v>
      </c>
      <c r="I2851" t="s">
        <v>14292</v>
      </c>
      <c r="L2851" t="s">
        <v>21588</v>
      </c>
      <c r="M2851">
        <v>61</v>
      </c>
      <c r="N2851" t="s">
        <v>21589</v>
      </c>
    </row>
    <row r="2852" spans="1:14">
      <c r="A2852" t="s">
        <v>9256</v>
      </c>
      <c r="B2852">
        <v>3410119</v>
      </c>
      <c r="C2852">
        <v>3411564</v>
      </c>
      <c r="E2852" t="s">
        <v>14314</v>
      </c>
      <c r="F2852" t="s">
        <v>18530</v>
      </c>
      <c r="H2852">
        <v>93524279</v>
      </c>
      <c r="I2852" t="s">
        <v>14292</v>
      </c>
      <c r="L2852" t="s">
        <v>18531</v>
      </c>
      <c r="M2852">
        <v>481</v>
      </c>
      <c r="N2852" t="s">
        <v>21590</v>
      </c>
    </row>
    <row r="2853" spans="1:14">
      <c r="A2853" t="s">
        <v>9256</v>
      </c>
      <c r="B2853">
        <v>3412082</v>
      </c>
      <c r="C2853">
        <v>3413482</v>
      </c>
      <c r="E2853" t="s">
        <v>14290</v>
      </c>
      <c r="F2853" t="s">
        <v>14291</v>
      </c>
      <c r="H2853">
        <v>93524280</v>
      </c>
      <c r="I2853" t="s">
        <v>14292</v>
      </c>
      <c r="L2853" t="s">
        <v>21591</v>
      </c>
      <c r="M2853">
        <v>466</v>
      </c>
      <c r="N2853" t="s">
        <v>21592</v>
      </c>
    </row>
    <row r="2854" spans="1:14">
      <c r="A2854" t="s">
        <v>9256</v>
      </c>
      <c r="B2854">
        <v>3413473</v>
      </c>
      <c r="C2854">
        <v>3413703</v>
      </c>
      <c r="E2854" t="s">
        <v>14290</v>
      </c>
      <c r="F2854" t="s">
        <v>18046</v>
      </c>
      <c r="H2854">
        <v>93524281</v>
      </c>
      <c r="I2854" t="s">
        <v>14292</v>
      </c>
      <c r="L2854" t="s">
        <v>21593</v>
      </c>
      <c r="M2854">
        <v>76</v>
      </c>
      <c r="N2854" t="s">
        <v>21594</v>
      </c>
    </row>
    <row r="2855" spans="1:14">
      <c r="A2855" t="s">
        <v>9256</v>
      </c>
      <c r="B2855">
        <v>3413703</v>
      </c>
      <c r="C2855">
        <v>3414755</v>
      </c>
      <c r="E2855" t="s">
        <v>14290</v>
      </c>
      <c r="F2855" t="s">
        <v>20206</v>
      </c>
      <c r="H2855">
        <v>93524282</v>
      </c>
      <c r="I2855" t="s">
        <v>14292</v>
      </c>
      <c r="L2855" t="s">
        <v>21595</v>
      </c>
      <c r="M2855">
        <v>350</v>
      </c>
      <c r="N2855" t="s">
        <v>21596</v>
      </c>
    </row>
    <row r="2856" spans="1:14">
      <c r="A2856" t="s">
        <v>9256</v>
      </c>
      <c r="B2856">
        <v>3414762</v>
      </c>
      <c r="C2856">
        <v>3415511</v>
      </c>
      <c r="E2856" t="s">
        <v>14290</v>
      </c>
      <c r="F2856" t="s">
        <v>16178</v>
      </c>
      <c r="H2856">
        <v>93524283</v>
      </c>
      <c r="I2856" t="s">
        <v>14292</v>
      </c>
      <c r="L2856" t="s">
        <v>21597</v>
      </c>
      <c r="M2856">
        <v>249</v>
      </c>
      <c r="N2856" t="s">
        <v>21598</v>
      </c>
    </row>
    <row r="2857" spans="1:14">
      <c r="A2857" t="s">
        <v>9256</v>
      </c>
      <c r="B2857">
        <v>3415515</v>
      </c>
      <c r="C2857">
        <v>3416573</v>
      </c>
      <c r="E2857" t="s">
        <v>14290</v>
      </c>
      <c r="F2857" t="s">
        <v>20206</v>
      </c>
      <c r="H2857">
        <v>93524284</v>
      </c>
      <c r="I2857" t="s">
        <v>14292</v>
      </c>
      <c r="L2857" t="s">
        <v>21599</v>
      </c>
      <c r="M2857">
        <v>352</v>
      </c>
      <c r="N2857" t="s">
        <v>21600</v>
      </c>
    </row>
    <row r="2858" spans="1:14">
      <c r="A2858" t="s">
        <v>9256</v>
      </c>
      <c r="B2858">
        <v>3416575</v>
      </c>
      <c r="C2858">
        <v>3418161</v>
      </c>
      <c r="E2858" t="s">
        <v>14290</v>
      </c>
      <c r="F2858" t="s">
        <v>21601</v>
      </c>
      <c r="H2858">
        <v>93524285</v>
      </c>
      <c r="I2858" t="s">
        <v>14292</v>
      </c>
      <c r="L2858" t="s">
        <v>21602</v>
      </c>
      <c r="M2858">
        <v>528</v>
      </c>
      <c r="N2858" t="s">
        <v>21603</v>
      </c>
    </row>
    <row r="2859" spans="1:14">
      <c r="A2859" t="s">
        <v>9256</v>
      </c>
      <c r="B2859">
        <v>3418166</v>
      </c>
      <c r="C2859">
        <v>3418384</v>
      </c>
      <c r="E2859" t="s">
        <v>14290</v>
      </c>
      <c r="F2859" t="s">
        <v>18046</v>
      </c>
      <c r="H2859">
        <v>93524286</v>
      </c>
      <c r="I2859" t="s">
        <v>14292</v>
      </c>
      <c r="L2859" t="s">
        <v>21604</v>
      </c>
      <c r="M2859">
        <v>72</v>
      </c>
      <c r="N2859" t="s">
        <v>21605</v>
      </c>
    </row>
    <row r="2860" spans="1:14">
      <c r="A2860" t="s">
        <v>9256</v>
      </c>
      <c r="B2860">
        <v>3418386</v>
      </c>
      <c r="C2860">
        <v>3419360</v>
      </c>
      <c r="E2860" t="s">
        <v>14290</v>
      </c>
      <c r="F2860" t="s">
        <v>14291</v>
      </c>
      <c r="H2860">
        <v>93524287</v>
      </c>
      <c r="I2860" t="s">
        <v>14292</v>
      </c>
      <c r="L2860" t="s">
        <v>21606</v>
      </c>
      <c r="M2860">
        <v>324</v>
      </c>
      <c r="N2860" t="s">
        <v>21607</v>
      </c>
    </row>
    <row r="2861" spans="1:14">
      <c r="A2861" t="s">
        <v>9256</v>
      </c>
      <c r="B2861">
        <v>3419367</v>
      </c>
      <c r="C2861">
        <v>3420221</v>
      </c>
      <c r="E2861" t="s">
        <v>14290</v>
      </c>
      <c r="F2861" t="s">
        <v>18007</v>
      </c>
      <c r="H2861">
        <v>93524288</v>
      </c>
      <c r="I2861" t="s">
        <v>14292</v>
      </c>
      <c r="L2861" t="s">
        <v>21608</v>
      </c>
      <c r="M2861">
        <v>284</v>
      </c>
      <c r="N2861" t="s">
        <v>21609</v>
      </c>
    </row>
    <row r="2862" spans="1:14">
      <c r="A2862" t="s">
        <v>9256</v>
      </c>
      <c r="B2862">
        <v>3420243</v>
      </c>
      <c r="C2862">
        <v>3421226</v>
      </c>
      <c r="E2862" t="s">
        <v>14290</v>
      </c>
      <c r="F2862" t="s">
        <v>15066</v>
      </c>
      <c r="H2862">
        <v>93524289</v>
      </c>
      <c r="I2862" t="s">
        <v>14292</v>
      </c>
      <c r="L2862" t="s">
        <v>21610</v>
      </c>
      <c r="M2862">
        <v>327</v>
      </c>
      <c r="N2862" t="s">
        <v>21611</v>
      </c>
    </row>
    <row r="2863" spans="1:14">
      <c r="A2863" t="s">
        <v>9256</v>
      </c>
      <c r="B2863">
        <v>3421233</v>
      </c>
      <c r="C2863">
        <v>3422234</v>
      </c>
      <c r="E2863" t="s">
        <v>14290</v>
      </c>
      <c r="F2863" t="s">
        <v>15111</v>
      </c>
      <c r="H2863">
        <v>93524290</v>
      </c>
      <c r="I2863" t="s">
        <v>14292</v>
      </c>
      <c r="L2863" t="s">
        <v>21612</v>
      </c>
      <c r="M2863">
        <v>333</v>
      </c>
      <c r="N2863" t="s">
        <v>21613</v>
      </c>
    </row>
    <row r="2864" spans="1:14">
      <c r="A2864" t="s">
        <v>9256</v>
      </c>
      <c r="B2864">
        <v>3422352</v>
      </c>
      <c r="C2864">
        <v>3424262</v>
      </c>
      <c r="E2864" t="s">
        <v>14290</v>
      </c>
      <c r="F2864" t="s">
        <v>20173</v>
      </c>
      <c r="H2864">
        <v>93524291</v>
      </c>
      <c r="I2864" t="s">
        <v>14292</v>
      </c>
      <c r="L2864" t="s">
        <v>21614</v>
      </c>
      <c r="M2864">
        <v>636</v>
      </c>
      <c r="N2864" t="s">
        <v>21615</v>
      </c>
    </row>
    <row r="2865" spans="1:14">
      <c r="A2865" t="s">
        <v>9256</v>
      </c>
      <c r="B2865">
        <v>3424585</v>
      </c>
      <c r="C2865">
        <v>3425067</v>
      </c>
      <c r="E2865" t="s">
        <v>14290</v>
      </c>
      <c r="F2865" t="s">
        <v>14291</v>
      </c>
      <c r="H2865">
        <v>93524292</v>
      </c>
      <c r="I2865" t="s">
        <v>14292</v>
      </c>
      <c r="L2865" t="s">
        <v>21616</v>
      </c>
      <c r="M2865">
        <v>160</v>
      </c>
      <c r="N2865" t="s">
        <v>21617</v>
      </c>
    </row>
    <row r="2866" spans="1:14">
      <c r="A2866" t="s">
        <v>9256</v>
      </c>
      <c r="B2866">
        <v>3425268</v>
      </c>
      <c r="C2866">
        <v>3425711</v>
      </c>
      <c r="E2866" t="s">
        <v>14290</v>
      </c>
      <c r="F2866" t="s">
        <v>15103</v>
      </c>
      <c r="H2866">
        <v>93524293</v>
      </c>
      <c r="I2866" t="s">
        <v>14292</v>
      </c>
      <c r="L2866" t="s">
        <v>21618</v>
      </c>
      <c r="M2866">
        <v>147</v>
      </c>
      <c r="N2866" t="s">
        <v>21619</v>
      </c>
    </row>
    <row r="2867" spans="1:14">
      <c r="A2867" t="s">
        <v>9256</v>
      </c>
      <c r="B2867">
        <v>3425701</v>
      </c>
      <c r="C2867">
        <v>3425895</v>
      </c>
      <c r="E2867" t="s">
        <v>14290</v>
      </c>
      <c r="F2867" t="s">
        <v>14291</v>
      </c>
      <c r="H2867">
        <v>93524294</v>
      </c>
      <c r="I2867" t="s">
        <v>14292</v>
      </c>
      <c r="L2867" t="s">
        <v>21620</v>
      </c>
      <c r="M2867">
        <v>64</v>
      </c>
      <c r="N2867" t="s">
        <v>21621</v>
      </c>
    </row>
    <row r="2868" spans="1:14">
      <c r="A2868" t="s">
        <v>9256</v>
      </c>
      <c r="B2868">
        <v>3425910</v>
      </c>
      <c r="C2868">
        <v>3426326</v>
      </c>
      <c r="E2868" t="s">
        <v>14290</v>
      </c>
      <c r="F2868" t="s">
        <v>20661</v>
      </c>
      <c r="H2868">
        <v>93524295</v>
      </c>
      <c r="I2868" t="s">
        <v>14292</v>
      </c>
      <c r="L2868" t="s">
        <v>21622</v>
      </c>
      <c r="M2868">
        <v>138</v>
      </c>
      <c r="N2868" t="s">
        <v>21623</v>
      </c>
    </row>
    <row r="2869" spans="1:14">
      <c r="A2869" t="s">
        <v>9256</v>
      </c>
      <c r="B2869">
        <v>3426821</v>
      </c>
      <c r="C2869">
        <v>3428346</v>
      </c>
      <c r="E2869" t="s">
        <v>14290</v>
      </c>
      <c r="F2869" t="s">
        <v>16999</v>
      </c>
      <c r="H2869">
        <v>93524296</v>
      </c>
      <c r="I2869" t="s">
        <v>16991</v>
      </c>
      <c r="N2869" t="s">
        <v>21624</v>
      </c>
    </row>
    <row r="2870" spans="1:14">
      <c r="A2870" t="s">
        <v>9256</v>
      </c>
      <c r="B2870">
        <v>3428388</v>
      </c>
      <c r="C2870">
        <v>3428461</v>
      </c>
      <c r="E2870" t="s">
        <v>14290</v>
      </c>
      <c r="F2870" t="s">
        <v>16997</v>
      </c>
      <c r="H2870">
        <v>93524297</v>
      </c>
      <c r="I2870" t="s">
        <v>13638</v>
      </c>
      <c r="N2870" t="s">
        <v>21625</v>
      </c>
    </row>
    <row r="2871" spans="1:14">
      <c r="A2871" t="s">
        <v>9256</v>
      </c>
      <c r="B2871">
        <v>3428472</v>
      </c>
      <c r="C2871">
        <v>3428545</v>
      </c>
      <c r="E2871" t="s">
        <v>14290</v>
      </c>
      <c r="F2871" t="s">
        <v>16995</v>
      </c>
      <c r="H2871">
        <v>93524298</v>
      </c>
      <c r="I2871" t="s">
        <v>13638</v>
      </c>
      <c r="N2871" t="s">
        <v>21626</v>
      </c>
    </row>
    <row r="2872" spans="1:14">
      <c r="A2872" t="s">
        <v>9256</v>
      </c>
      <c r="B2872">
        <v>3428651</v>
      </c>
      <c r="C2872">
        <v>3431382</v>
      </c>
      <c r="E2872" t="s">
        <v>14290</v>
      </c>
      <c r="F2872" t="s">
        <v>16993</v>
      </c>
      <c r="H2872">
        <v>93524299</v>
      </c>
      <c r="I2872" t="s">
        <v>16991</v>
      </c>
      <c r="N2872" t="s">
        <v>21627</v>
      </c>
    </row>
    <row r="2873" spans="1:14">
      <c r="A2873" t="s">
        <v>9256</v>
      </c>
      <c r="B2873">
        <v>3431466</v>
      </c>
      <c r="C2873">
        <v>3431576</v>
      </c>
      <c r="E2873" t="s">
        <v>14290</v>
      </c>
      <c r="F2873" t="s">
        <v>16989</v>
      </c>
      <c r="G2873" t="s">
        <v>16990</v>
      </c>
      <c r="H2873">
        <v>93524300</v>
      </c>
      <c r="I2873" t="s">
        <v>16991</v>
      </c>
      <c r="N2873" t="s">
        <v>21628</v>
      </c>
    </row>
    <row r="2874" spans="1:14">
      <c r="A2874" t="s">
        <v>9256</v>
      </c>
      <c r="B2874">
        <v>3431718</v>
      </c>
      <c r="C2874">
        <v>3432623</v>
      </c>
      <c r="E2874" t="s">
        <v>14290</v>
      </c>
      <c r="F2874" t="s">
        <v>14291</v>
      </c>
      <c r="H2874">
        <v>93524301</v>
      </c>
      <c r="I2874" t="s">
        <v>14292</v>
      </c>
      <c r="L2874" t="s">
        <v>21629</v>
      </c>
      <c r="M2874">
        <v>301</v>
      </c>
      <c r="N2874" t="s">
        <v>21630</v>
      </c>
    </row>
    <row r="2875" spans="1:14">
      <c r="A2875" t="s">
        <v>9256</v>
      </c>
      <c r="B2875">
        <v>3432626</v>
      </c>
      <c r="C2875">
        <v>3433219</v>
      </c>
      <c r="E2875" t="s">
        <v>14290</v>
      </c>
      <c r="F2875" t="s">
        <v>15027</v>
      </c>
      <c r="H2875">
        <v>93524302</v>
      </c>
      <c r="I2875" t="s">
        <v>14292</v>
      </c>
      <c r="L2875" t="s">
        <v>21631</v>
      </c>
      <c r="M2875">
        <v>197</v>
      </c>
      <c r="N2875" t="s">
        <v>21632</v>
      </c>
    </row>
    <row r="2876" spans="1:14">
      <c r="A2876" t="s">
        <v>9256</v>
      </c>
      <c r="B2876">
        <v>3433331</v>
      </c>
      <c r="C2876">
        <v>3434716</v>
      </c>
      <c r="E2876" t="s">
        <v>14290</v>
      </c>
      <c r="F2876" t="s">
        <v>14545</v>
      </c>
      <c r="H2876">
        <v>93524303</v>
      </c>
      <c r="I2876" t="s">
        <v>14292</v>
      </c>
      <c r="L2876" t="s">
        <v>21633</v>
      </c>
      <c r="M2876">
        <v>461</v>
      </c>
      <c r="N2876" t="s">
        <v>21634</v>
      </c>
    </row>
    <row r="2877" spans="1:14">
      <c r="A2877" t="s">
        <v>9256</v>
      </c>
      <c r="B2877">
        <v>3434747</v>
      </c>
      <c r="C2877">
        <v>3435760</v>
      </c>
      <c r="E2877" t="s">
        <v>14290</v>
      </c>
      <c r="F2877" t="s">
        <v>14736</v>
      </c>
      <c r="H2877">
        <v>93524304</v>
      </c>
      <c r="I2877" t="s">
        <v>14292</v>
      </c>
      <c r="L2877" t="s">
        <v>21635</v>
      </c>
      <c r="M2877">
        <v>337</v>
      </c>
      <c r="N2877" t="s">
        <v>21636</v>
      </c>
    </row>
    <row r="2878" spans="1:14">
      <c r="A2878" t="s">
        <v>9256</v>
      </c>
      <c r="B2878">
        <v>3435757</v>
      </c>
      <c r="C2878">
        <v>3436935</v>
      </c>
      <c r="E2878" t="s">
        <v>14290</v>
      </c>
      <c r="F2878" t="s">
        <v>14562</v>
      </c>
      <c r="H2878">
        <v>93524305</v>
      </c>
      <c r="I2878" t="s">
        <v>14292</v>
      </c>
      <c r="L2878" t="s">
        <v>21637</v>
      </c>
      <c r="M2878">
        <v>392</v>
      </c>
      <c r="N2878" t="s">
        <v>21638</v>
      </c>
    </row>
    <row r="2879" spans="1:14">
      <c r="A2879" t="s">
        <v>9256</v>
      </c>
      <c r="B2879">
        <v>3436948</v>
      </c>
      <c r="C2879">
        <v>3438204</v>
      </c>
      <c r="E2879" t="s">
        <v>14290</v>
      </c>
      <c r="F2879" t="s">
        <v>14562</v>
      </c>
      <c r="H2879">
        <v>93524306</v>
      </c>
      <c r="I2879" t="s">
        <v>14292</v>
      </c>
      <c r="L2879" t="s">
        <v>21639</v>
      </c>
      <c r="M2879">
        <v>418</v>
      </c>
      <c r="N2879" t="s">
        <v>21640</v>
      </c>
    </row>
    <row r="2880" spans="1:14">
      <c r="A2880" t="s">
        <v>9256</v>
      </c>
      <c r="B2880">
        <v>3438282</v>
      </c>
      <c r="C2880">
        <v>3439670</v>
      </c>
      <c r="E2880" t="s">
        <v>14314</v>
      </c>
      <c r="F2880" t="s">
        <v>21641</v>
      </c>
      <c r="H2880">
        <v>93524307</v>
      </c>
      <c r="I2880" t="s">
        <v>14292</v>
      </c>
      <c r="L2880" t="s">
        <v>21642</v>
      </c>
      <c r="M2880">
        <v>462</v>
      </c>
      <c r="N2880" t="s">
        <v>21643</v>
      </c>
    </row>
    <row r="2881" spans="1:14">
      <c r="A2881" t="s">
        <v>9256</v>
      </c>
      <c r="B2881">
        <v>3439826</v>
      </c>
      <c r="C2881">
        <v>3440728</v>
      </c>
      <c r="E2881" t="s">
        <v>14290</v>
      </c>
      <c r="F2881" t="s">
        <v>14985</v>
      </c>
      <c r="H2881">
        <v>93524308</v>
      </c>
      <c r="I2881" t="s">
        <v>14292</v>
      </c>
      <c r="L2881" t="s">
        <v>21644</v>
      </c>
      <c r="M2881">
        <v>300</v>
      </c>
      <c r="N2881" t="s">
        <v>21645</v>
      </c>
    </row>
    <row r="2882" spans="1:14">
      <c r="A2882" t="s">
        <v>9256</v>
      </c>
      <c r="B2882">
        <v>3440793</v>
      </c>
      <c r="C2882">
        <v>3441548</v>
      </c>
      <c r="E2882" t="s">
        <v>14314</v>
      </c>
      <c r="F2882" t="s">
        <v>17493</v>
      </c>
      <c r="H2882">
        <v>93524309</v>
      </c>
      <c r="I2882" t="s">
        <v>14292</v>
      </c>
      <c r="L2882" t="s">
        <v>21646</v>
      </c>
      <c r="M2882">
        <v>251</v>
      </c>
      <c r="N2882" t="s">
        <v>21647</v>
      </c>
    </row>
    <row r="2883" spans="1:14">
      <c r="A2883" t="s">
        <v>9256</v>
      </c>
      <c r="B2883">
        <v>3442135</v>
      </c>
      <c r="C2883">
        <v>3442410</v>
      </c>
      <c r="E2883" t="s">
        <v>14290</v>
      </c>
      <c r="F2883" t="s">
        <v>15103</v>
      </c>
      <c r="H2883">
        <v>93524310</v>
      </c>
      <c r="I2883" t="s">
        <v>14292</v>
      </c>
      <c r="L2883" t="s">
        <v>21648</v>
      </c>
      <c r="M2883">
        <v>91</v>
      </c>
      <c r="N2883" t="s">
        <v>21649</v>
      </c>
    </row>
    <row r="2884" spans="1:14">
      <c r="A2884" t="s">
        <v>9256</v>
      </c>
      <c r="B2884">
        <v>3442482</v>
      </c>
      <c r="C2884">
        <v>3443825</v>
      </c>
      <c r="E2884" t="s">
        <v>14314</v>
      </c>
      <c r="F2884" t="s">
        <v>19182</v>
      </c>
      <c r="H2884">
        <v>93524311</v>
      </c>
      <c r="I2884" t="s">
        <v>14292</v>
      </c>
      <c r="L2884" t="s">
        <v>21650</v>
      </c>
      <c r="M2884">
        <v>447</v>
      </c>
      <c r="N2884" t="s">
        <v>21651</v>
      </c>
    </row>
    <row r="2885" spans="1:14">
      <c r="A2885" t="s">
        <v>9256</v>
      </c>
      <c r="B2885">
        <v>3443834</v>
      </c>
      <c r="C2885">
        <v>3444829</v>
      </c>
      <c r="E2885" t="s">
        <v>14314</v>
      </c>
      <c r="F2885" t="s">
        <v>21652</v>
      </c>
      <c r="H2885">
        <v>93524312</v>
      </c>
      <c r="I2885" t="s">
        <v>14292</v>
      </c>
      <c r="L2885" t="s">
        <v>21653</v>
      </c>
      <c r="M2885">
        <v>331</v>
      </c>
      <c r="N2885" t="s">
        <v>21654</v>
      </c>
    </row>
    <row r="2886" spans="1:14">
      <c r="A2886" t="s">
        <v>9256</v>
      </c>
      <c r="B2886">
        <v>3444842</v>
      </c>
      <c r="C2886">
        <v>3446572</v>
      </c>
      <c r="E2886" t="s">
        <v>14314</v>
      </c>
      <c r="F2886" t="s">
        <v>21655</v>
      </c>
      <c r="G2886" t="s">
        <v>21656</v>
      </c>
      <c r="H2886">
        <v>93524313</v>
      </c>
      <c r="I2886" t="s">
        <v>14292</v>
      </c>
      <c r="L2886" t="s">
        <v>21657</v>
      </c>
      <c r="M2886">
        <v>576</v>
      </c>
      <c r="N2886" t="s">
        <v>21658</v>
      </c>
    </row>
    <row r="2887" spans="1:14">
      <c r="A2887" t="s">
        <v>9256</v>
      </c>
      <c r="B2887">
        <v>3446760</v>
      </c>
      <c r="C2887">
        <v>3447566</v>
      </c>
      <c r="E2887" t="s">
        <v>14314</v>
      </c>
      <c r="F2887" t="s">
        <v>21659</v>
      </c>
      <c r="H2887">
        <v>93524314</v>
      </c>
      <c r="I2887" t="s">
        <v>14292</v>
      </c>
      <c r="L2887" t="s">
        <v>21660</v>
      </c>
      <c r="M2887">
        <v>268</v>
      </c>
      <c r="N2887" t="s">
        <v>21661</v>
      </c>
    </row>
    <row r="2888" spans="1:14">
      <c r="A2888" t="s">
        <v>9256</v>
      </c>
      <c r="B2888">
        <v>3447557</v>
      </c>
      <c r="C2888">
        <v>3448600</v>
      </c>
      <c r="E2888" t="s">
        <v>14314</v>
      </c>
      <c r="F2888" t="s">
        <v>14291</v>
      </c>
      <c r="H2888">
        <v>93524315</v>
      </c>
      <c r="I2888" t="s">
        <v>14292</v>
      </c>
      <c r="L2888" t="s">
        <v>21662</v>
      </c>
      <c r="M2888">
        <v>347</v>
      </c>
      <c r="N2888" t="s">
        <v>21663</v>
      </c>
    </row>
    <row r="2889" spans="1:14">
      <c r="A2889" t="s">
        <v>9256</v>
      </c>
      <c r="B2889">
        <v>3448606</v>
      </c>
      <c r="C2889">
        <v>3450153</v>
      </c>
      <c r="E2889" t="s">
        <v>14314</v>
      </c>
      <c r="F2889" t="s">
        <v>21664</v>
      </c>
      <c r="H2889">
        <v>93524316</v>
      </c>
      <c r="I2889" t="s">
        <v>14292</v>
      </c>
      <c r="L2889" t="s">
        <v>21665</v>
      </c>
      <c r="M2889">
        <v>515</v>
      </c>
      <c r="N2889" t="s">
        <v>21666</v>
      </c>
    </row>
    <row r="2890" spans="1:14">
      <c r="A2890" t="s">
        <v>9256</v>
      </c>
      <c r="B2890">
        <v>3450173</v>
      </c>
      <c r="C2890">
        <v>3451165</v>
      </c>
      <c r="E2890" t="s">
        <v>14314</v>
      </c>
      <c r="F2890" t="s">
        <v>18341</v>
      </c>
      <c r="H2890">
        <v>93524317</v>
      </c>
      <c r="I2890" t="s">
        <v>14292</v>
      </c>
      <c r="L2890" t="s">
        <v>21667</v>
      </c>
      <c r="M2890">
        <v>330</v>
      </c>
      <c r="N2890" t="s">
        <v>21668</v>
      </c>
    </row>
    <row r="2891" spans="1:14">
      <c r="A2891" t="s">
        <v>9256</v>
      </c>
      <c r="B2891">
        <v>3451369</v>
      </c>
      <c r="C2891">
        <v>3451581</v>
      </c>
      <c r="E2891" t="s">
        <v>14314</v>
      </c>
      <c r="F2891" t="s">
        <v>14291</v>
      </c>
      <c r="H2891">
        <v>93524318</v>
      </c>
      <c r="I2891" t="s">
        <v>14292</v>
      </c>
      <c r="L2891" t="s">
        <v>21669</v>
      </c>
      <c r="M2891">
        <v>70</v>
      </c>
      <c r="N2891" t="s">
        <v>21670</v>
      </c>
    </row>
    <row r="2892" spans="1:14">
      <c r="A2892" t="s">
        <v>9256</v>
      </c>
      <c r="B2892">
        <v>3452152</v>
      </c>
      <c r="C2892">
        <v>3452559</v>
      </c>
      <c r="E2892" t="s">
        <v>14290</v>
      </c>
      <c r="F2892" t="s">
        <v>15759</v>
      </c>
      <c r="H2892">
        <v>93524319</v>
      </c>
      <c r="I2892" t="s">
        <v>14292</v>
      </c>
      <c r="L2892" t="s">
        <v>15760</v>
      </c>
      <c r="M2892">
        <v>135</v>
      </c>
      <c r="N2892" t="s">
        <v>21671</v>
      </c>
    </row>
    <row r="2893" spans="1:14">
      <c r="A2893" t="s">
        <v>9256</v>
      </c>
      <c r="B2893">
        <v>3452592</v>
      </c>
      <c r="C2893">
        <v>3453419</v>
      </c>
      <c r="E2893" t="s">
        <v>14290</v>
      </c>
      <c r="F2893" t="s">
        <v>15762</v>
      </c>
      <c r="H2893">
        <v>93524320</v>
      </c>
      <c r="I2893" t="s">
        <v>14292</v>
      </c>
      <c r="L2893" t="s">
        <v>15763</v>
      </c>
      <c r="M2893">
        <v>275</v>
      </c>
      <c r="N2893" t="s">
        <v>21672</v>
      </c>
    </row>
    <row r="2894" spans="1:14">
      <c r="A2894" t="s">
        <v>9256</v>
      </c>
      <c r="B2894">
        <v>3453760</v>
      </c>
      <c r="C2894">
        <v>3454335</v>
      </c>
      <c r="E2894" t="s">
        <v>14314</v>
      </c>
      <c r="F2894" t="s">
        <v>21673</v>
      </c>
      <c r="G2894" t="s">
        <v>21674</v>
      </c>
      <c r="H2894">
        <v>93524321</v>
      </c>
      <c r="I2894" t="s">
        <v>14292</v>
      </c>
      <c r="L2894" t="s">
        <v>21675</v>
      </c>
      <c r="M2894">
        <v>191</v>
      </c>
      <c r="N2894" t="s">
        <v>21676</v>
      </c>
    </row>
    <row r="2895" spans="1:14">
      <c r="A2895" t="s">
        <v>9256</v>
      </c>
      <c r="B2895">
        <v>3454347</v>
      </c>
      <c r="C2895">
        <v>3454526</v>
      </c>
      <c r="E2895" t="s">
        <v>14314</v>
      </c>
      <c r="F2895" t="s">
        <v>14291</v>
      </c>
      <c r="H2895">
        <v>93524322</v>
      </c>
      <c r="I2895" t="s">
        <v>14292</v>
      </c>
      <c r="L2895" t="s">
        <v>21677</v>
      </c>
      <c r="M2895">
        <v>59</v>
      </c>
      <c r="N2895" t="s">
        <v>21678</v>
      </c>
    </row>
    <row r="2896" spans="1:14">
      <c r="A2896" t="s">
        <v>9256</v>
      </c>
      <c r="B2896">
        <v>3454530</v>
      </c>
      <c r="C2896">
        <v>3455096</v>
      </c>
      <c r="E2896" t="s">
        <v>14314</v>
      </c>
      <c r="F2896" t="s">
        <v>21679</v>
      </c>
      <c r="G2896" t="s">
        <v>21680</v>
      </c>
      <c r="H2896">
        <v>93524323</v>
      </c>
      <c r="I2896" t="s">
        <v>14292</v>
      </c>
      <c r="L2896" t="s">
        <v>21681</v>
      </c>
      <c r="M2896">
        <v>188</v>
      </c>
      <c r="N2896" t="s">
        <v>21682</v>
      </c>
    </row>
    <row r="2897" spans="1:14">
      <c r="A2897" t="s">
        <v>9256</v>
      </c>
      <c r="B2897">
        <v>3455111</v>
      </c>
      <c r="C2897">
        <v>3455983</v>
      </c>
      <c r="E2897" t="s">
        <v>14314</v>
      </c>
      <c r="F2897" t="s">
        <v>21683</v>
      </c>
      <c r="H2897">
        <v>93524324</v>
      </c>
      <c r="I2897" t="s">
        <v>14292</v>
      </c>
      <c r="L2897" t="s">
        <v>21684</v>
      </c>
      <c r="M2897">
        <v>290</v>
      </c>
      <c r="N2897" t="s">
        <v>21685</v>
      </c>
    </row>
    <row r="2898" spans="1:14">
      <c r="A2898" t="s">
        <v>9256</v>
      </c>
      <c r="B2898">
        <v>3456173</v>
      </c>
      <c r="C2898">
        <v>3456889</v>
      </c>
      <c r="E2898" t="s">
        <v>14290</v>
      </c>
      <c r="F2898" t="s">
        <v>21686</v>
      </c>
      <c r="G2898" t="s">
        <v>21687</v>
      </c>
      <c r="H2898">
        <v>93524325</v>
      </c>
      <c r="I2898" t="s">
        <v>14292</v>
      </c>
      <c r="L2898" t="s">
        <v>21688</v>
      </c>
      <c r="M2898">
        <v>238</v>
      </c>
      <c r="N2898" t="s">
        <v>21689</v>
      </c>
    </row>
    <row r="2899" spans="1:14">
      <c r="A2899" t="s">
        <v>9256</v>
      </c>
      <c r="B2899">
        <v>3456958</v>
      </c>
      <c r="C2899">
        <v>3457104</v>
      </c>
      <c r="E2899" t="s">
        <v>14290</v>
      </c>
      <c r="F2899" t="s">
        <v>14291</v>
      </c>
      <c r="H2899">
        <v>93524326</v>
      </c>
      <c r="I2899" t="s">
        <v>14292</v>
      </c>
      <c r="L2899" t="s">
        <v>21690</v>
      </c>
      <c r="M2899">
        <v>48</v>
      </c>
      <c r="N2899" t="s">
        <v>21691</v>
      </c>
    </row>
    <row r="2900" spans="1:14">
      <c r="A2900" t="s">
        <v>9256</v>
      </c>
      <c r="B2900">
        <v>3457172</v>
      </c>
      <c r="C2900">
        <v>3458332</v>
      </c>
      <c r="E2900" t="s">
        <v>14314</v>
      </c>
      <c r="F2900" t="s">
        <v>17684</v>
      </c>
      <c r="H2900">
        <v>93524327</v>
      </c>
      <c r="I2900" t="s">
        <v>14292</v>
      </c>
      <c r="L2900" t="s">
        <v>21692</v>
      </c>
      <c r="M2900">
        <v>386</v>
      </c>
      <c r="N2900" t="s">
        <v>21693</v>
      </c>
    </row>
    <row r="2901" spans="1:14">
      <c r="A2901" t="s">
        <v>9256</v>
      </c>
      <c r="B2901">
        <v>3458337</v>
      </c>
      <c r="C2901">
        <v>3458768</v>
      </c>
      <c r="E2901" t="s">
        <v>14314</v>
      </c>
      <c r="F2901" t="s">
        <v>17681</v>
      </c>
      <c r="H2901">
        <v>93524328</v>
      </c>
      <c r="I2901" t="s">
        <v>14292</v>
      </c>
      <c r="L2901" t="s">
        <v>21694</v>
      </c>
      <c r="M2901">
        <v>143</v>
      </c>
      <c r="N2901" t="s">
        <v>21695</v>
      </c>
    </row>
    <row r="2902" spans="1:14">
      <c r="A2902" t="s">
        <v>9256</v>
      </c>
      <c r="B2902">
        <v>3458790</v>
      </c>
      <c r="C2902">
        <v>3459677</v>
      </c>
      <c r="E2902" t="s">
        <v>14314</v>
      </c>
      <c r="F2902" t="s">
        <v>21696</v>
      </c>
      <c r="H2902">
        <v>93524329</v>
      </c>
      <c r="I2902" t="s">
        <v>14292</v>
      </c>
      <c r="L2902" t="s">
        <v>21697</v>
      </c>
      <c r="M2902">
        <v>295</v>
      </c>
      <c r="N2902" t="s">
        <v>21698</v>
      </c>
    </row>
    <row r="2903" spans="1:14">
      <c r="A2903" t="s">
        <v>9256</v>
      </c>
      <c r="B2903">
        <v>3459699</v>
      </c>
      <c r="C2903">
        <v>3461252</v>
      </c>
      <c r="E2903" t="s">
        <v>14314</v>
      </c>
      <c r="F2903" t="s">
        <v>14811</v>
      </c>
      <c r="H2903">
        <v>93524330</v>
      </c>
      <c r="I2903" t="s">
        <v>14292</v>
      </c>
      <c r="L2903" t="s">
        <v>21699</v>
      </c>
      <c r="M2903">
        <v>517</v>
      </c>
      <c r="N2903" t="s">
        <v>21700</v>
      </c>
    </row>
    <row r="2904" spans="1:14">
      <c r="A2904" t="s">
        <v>9256</v>
      </c>
      <c r="B2904">
        <v>3461289</v>
      </c>
      <c r="C2904">
        <v>3461699</v>
      </c>
      <c r="E2904" t="s">
        <v>14314</v>
      </c>
      <c r="F2904" t="s">
        <v>21701</v>
      </c>
      <c r="G2904" t="s">
        <v>21702</v>
      </c>
      <c r="H2904">
        <v>93524331</v>
      </c>
      <c r="I2904" t="s">
        <v>14292</v>
      </c>
      <c r="L2904" t="s">
        <v>21703</v>
      </c>
      <c r="M2904">
        <v>136</v>
      </c>
      <c r="N2904" t="s">
        <v>21704</v>
      </c>
    </row>
    <row r="2905" spans="1:14">
      <c r="A2905" t="s">
        <v>9256</v>
      </c>
      <c r="B2905">
        <v>3461828</v>
      </c>
      <c r="C2905">
        <v>3464239</v>
      </c>
      <c r="E2905" t="s">
        <v>14314</v>
      </c>
      <c r="F2905" t="s">
        <v>15450</v>
      </c>
      <c r="H2905">
        <v>93524332</v>
      </c>
      <c r="I2905" t="s">
        <v>14292</v>
      </c>
      <c r="L2905" t="s">
        <v>21705</v>
      </c>
      <c r="M2905">
        <v>803</v>
      </c>
      <c r="N2905" t="s">
        <v>21706</v>
      </c>
    </row>
    <row r="2906" spans="1:14">
      <c r="A2906" t="s">
        <v>9256</v>
      </c>
      <c r="B2906">
        <v>3464361</v>
      </c>
      <c r="C2906">
        <v>3464921</v>
      </c>
      <c r="E2906" t="s">
        <v>14290</v>
      </c>
      <c r="F2906" t="s">
        <v>14712</v>
      </c>
      <c r="H2906">
        <v>93524333</v>
      </c>
      <c r="I2906" t="s">
        <v>14292</v>
      </c>
      <c r="L2906" t="s">
        <v>21707</v>
      </c>
      <c r="M2906">
        <v>186</v>
      </c>
      <c r="N2906" t="s">
        <v>21708</v>
      </c>
    </row>
    <row r="2907" spans="1:14">
      <c r="A2907" t="s">
        <v>9256</v>
      </c>
      <c r="B2907">
        <v>3464918</v>
      </c>
      <c r="C2907">
        <v>3465685</v>
      </c>
      <c r="E2907" t="s">
        <v>14290</v>
      </c>
      <c r="F2907" t="s">
        <v>21709</v>
      </c>
      <c r="H2907">
        <v>93524334</v>
      </c>
      <c r="I2907" t="s">
        <v>14292</v>
      </c>
      <c r="L2907" t="s">
        <v>21710</v>
      </c>
      <c r="M2907">
        <v>255</v>
      </c>
      <c r="N2907" t="s">
        <v>21711</v>
      </c>
    </row>
    <row r="2908" spans="1:14">
      <c r="A2908" t="s">
        <v>9256</v>
      </c>
      <c r="B2908">
        <v>3465678</v>
      </c>
      <c r="C2908">
        <v>3466199</v>
      </c>
      <c r="E2908" t="s">
        <v>14290</v>
      </c>
      <c r="F2908" t="s">
        <v>21712</v>
      </c>
      <c r="H2908">
        <v>93524335</v>
      </c>
      <c r="I2908" t="s">
        <v>14292</v>
      </c>
      <c r="L2908" t="s">
        <v>21713</v>
      </c>
      <c r="M2908">
        <v>173</v>
      </c>
      <c r="N2908" t="s">
        <v>21714</v>
      </c>
    </row>
    <row r="2909" spans="1:14">
      <c r="A2909" t="s">
        <v>9256</v>
      </c>
      <c r="B2909">
        <v>3466237</v>
      </c>
      <c r="C2909">
        <v>3466818</v>
      </c>
      <c r="E2909" t="s">
        <v>14290</v>
      </c>
      <c r="F2909" t="s">
        <v>21715</v>
      </c>
      <c r="H2909">
        <v>93524336</v>
      </c>
      <c r="I2909" t="s">
        <v>14292</v>
      </c>
      <c r="L2909" t="s">
        <v>21716</v>
      </c>
      <c r="M2909">
        <v>193</v>
      </c>
      <c r="N2909" t="s">
        <v>21717</v>
      </c>
    </row>
    <row r="2910" spans="1:14">
      <c r="A2910" t="s">
        <v>9256</v>
      </c>
      <c r="B2910">
        <v>3466821</v>
      </c>
      <c r="C2910">
        <v>3467198</v>
      </c>
      <c r="E2910" t="s">
        <v>14314</v>
      </c>
      <c r="F2910" t="s">
        <v>14291</v>
      </c>
      <c r="H2910">
        <v>93524337</v>
      </c>
      <c r="I2910" t="s">
        <v>14292</v>
      </c>
      <c r="L2910" t="s">
        <v>21718</v>
      </c>
      <c r="M2910">
        <v>125</v>
      </c>
      <c r="N2910" t="s">
        <v>21719</v>
      </c>
    </row>
    <row r="2911" spans="1:14">
      <c r="A2911" t="s">
        <v>9256</v>
      </c>
      <c r="B2911">
        <v>3467207</v>
      </c>
      <c r="C2911">
        <v>3468238</v>
      </c>
      <c r="E2911" t="s">
        <v>14314</v>
      </c>
      <c r="F2911" t="s">
        <v>17168</v>
      </c>
      <c r="H2911">
        <v>93524338</v>
      </c>
      <c r="I2911" t="s">
        <v>14292</v>
      </c>
      <c r="L2911" t="s">
        <v>21720</v>
      </c>
      <c r="M2911">
        <v>343</v>
      </c>
      <c r="N2911" t="s">
        <v>21721</v>
      </c>
    </row>
    <row r="2912" spans="1:14">
      <c r="A2912" t="s">
        <v>9256</v>
      </c>
      <c r="B2912">
        <v>3468261</v>
      </c>
      <c r="C2912">
        <v>3469985</v>
      </c>
      <c r="E2912" t="s">
        <v>14314</v>
      </c>
      <c r="F2912" t="s">
        <v>15923</v>
      </c>
      <c r="G2912" t="s">
        <v>15924</v>
      </c>
      <c r="H2912">
        <v>93524339</v>
      </c>
      <c r="I2912" t="s">
        <v>14292</v>
      </c>
      <c r="L2912" t="s">
        <v>21722</v>
      </c>
      <c r="M2912">
        <v>574</v>
      </c>
      <c r="N2912" t="s">
        <v>21723</v>
      </c>
    </row>
    <row r="2913" spans="1:14">
      <c r="A2913" t="s">
        <v>9256</v>
      </c>
      <c r="B2913">
        <v>3470030</v>
      </c>
      <c r="C2913">
        <v>3470596</v>
      </c>
      <c r="E2913" t="s">
        <v>14314</v>
      </c>
      <c r="F2913" t="s">
        <v>21724</v>
      </c>
      <c r="H2913">
        <v>93524340</v>
      </c>
      <c r="I2913" t="s">
        <v>14292</v>
      </c>
      <c r="L2913" t="s">
        <v>21725</v>
      </c>
      <c r="M2913">
        <v>188</v>
      </c>
      <c r="N2913" t="s">
        <v>21726</v>
      </c>
    </row>
    <row r="2914" spans="1:14">
      <c r="A2914" t="s">
        <v>9256</v>
      </c>
      <c r="B2914">
        <v>3470598</v>
      </c>
      <c r="C2914">
        <v>3471119</v>
      </c>
      <c r="E2914" t="s">
        <v>14314</v>
      </c>
      <c r="F2914" t="s">
        <v>14712</v>
      </c>
      <c r="H2914">
        <v>93524341</v>
      </c>
      <c r="I2914" t="s">
        <v>14292</v>
      </c>
      <c r="L2914" t="s">
        <v>21727</v>
      </c>
      <c r="M2914">
        <v>173</v>
      </c>
      <c r="N2914" t="s">
        <v>21728</v>
      </c>
    </row>
    <row r="2915" spans="1:14">
      <c r="A2915" t="s">
        <v>9256</v>
      </c>
      <c r="B2915">
        <v>3471116</v>
      </c>
      <c r="C2915">
        <v>3472066</v>
      </c>
      <c r="E2915" t="s">
        <v>14314</v>
      </c>
      <c r="F2915" t="s">
        <v>14335</v>
      </c>
      <c r="H2915">
        <v>93524342</v>
      </c>
      <c r="I2915" t="s">
        <v>14292</v>
      </c>
      <c r="L2915" t="s">
        <v>21729</v>
      </c>
      <c r="M2915">
        <v>316</v>
      </c>
      <c r="N2915" t="s">
        <v>21730</v>
      </c>
    </row>
    <row r="2916" spans="1:14">
      <c r="A2916" t="s">
        <v>9256</v>
      </c>
      <c r="B2916">
        <v>3472088</v>
      </c>
      <c r="C2916">
        <v>3472618</v>
      </c>
      <c r="E2916" t="s">
        <v>14314</v>
      </c>
      <c r="F2916" t="s">
        <v>21731</v>
      </c>
      <c r="H2916">
        <v>93524343</v>
      </c>
      <c r="I2916" t="s">
        <v>14292</v>
      </c>
      <c r="L2916" t="s">
        <v>21732</v>
      </c>
      <c r="M2916">
        <v>176</v>
      </c>
      <c r="N2916" t="s">
        <v>21733</v>
      </c>
    </row>
    <row r="2917" spans="1:14">
      <c r="A2917" t="s">
        <v>9256</v>
      </c>
      <c r="B2917">
        <v>3472745</v>
      </c>
      <c r="C2917">
        <v>3472818</v>
      </c>
      <c r="E2917" t="s">
        <v>14314</v>
      </c>
      <c r="F2917" t="s">
        <v>16482</v>
      </c>
      <c r="H2917">
        <v>93524344</v>
      </c>
      <c r="I2917" t="s">
        <v>13638</v>
      </c>
      <c r="N2917" t="s">
        <v>21734</v>
      </c>
    </row>
    <row r="2918" spans="1:14">
      <c r="A2918" t="s">
        <v>9256</v>
      </c>
      <c r="B2918">
        <v>3473162</v>
      </c>
      <c r="C2918">
        <v>3474208</v>
      </c>
      <c r="E2918" t="s">
        <v>14314</v>
      </c>
      <c r="F2918" t="s">
        <v>21735</v>
      </c>
      <c r="H2918">
        <v>93524345</v>
      </c>
      <c r="I2918" t="s">
        <v>14292</v>
      </c>
      <c r="L2918" t="s">
        <v>21736</v>
      </c>
      <c r="M2918">
        <v>348</v>
      </c>
      <c r="N2918" t="s">
        <v>21737</v>
      </c>
    </row>
    <row r="2919" spans="1:14">
      <c r="A2919" t="s">
        <v>9256</v>
      </c>
      <c r="B2919">
        <v>3474245</v>
      </c>
      <c r="C2919">
        <v>3475072</v>
      </c>
      <c r="E2919" t="s">
        <v>14290</v>
      </c>
      <c r="F2919" t="s">
        <v>21738</v>
      </c>
      <c r="H2919">
        <v>93524346</v>
      </c>
      <c r="I2919" t="s">
        <v>14292</v>
      </c>
      <c r="L2919" t="s">
        <v>21739</v>
      </c>
      <c r="M2919">
        <v>275</v>
      </c>
      <c r="N2919" t="s">
        <v>21740</v>
      </c>
    </row>
    <row r="2920" spans="1:14">
      <c r="A2920" t="s">
        <v>9256</v>
      </c>
      <c r="B2920">
        <v>3475059</v>
      </c>
      <c r="C2920">
        <v>3476339</v>
      </c>
      <c r="E2920" t="s">
        <v>14290</v>
      </c>
      <c r="F2920" t="s">
        <v>21741</v>
      </c>
      <c r="H2920">
        <v>93524347</v>
      </c>
      <c r="I2920" t="s">
        <v>14292</v>
      </c>
      <c r="L2920" t="s">
        <v>21742</v>
      </c>
      <c r="M2920">
        <v>426</v>
      </c>
      <c r="N2920" t="s">
        <v>21743</v>
      </c>
    </row>
    <row r="2921" spans="1:14">
      <c r="A2921" t="s">
        <v>9256</v>
      </c>
      <c r="B2921">
        <v>3476425</v>
      </c>
      <c r="C2921">
        <v>3477789</v>
      </c>
      <c r="E2921" t="s">
        <v>14290</v>
      </c>
      <c r="F2921" t="s">
        <v>14805</v>
      </c>
      <c r="H2921">
        <v>93524348</v>
      </c>
      <c r="I2921" t="s">
        <v>14292</v>
      </c>
      <c r="L2921" t="s">
        <v>21744</v>
      </c>
      <c r="M2921">
        <v>454</v>
      </c>
      <c r="N2921" t="s">
        <v>21745</v>
      </c>
    </row>
    <row r="2922" spans="1:14">
      <c r="A2922" t="s">
        <v>9256</v>
      </c>
      <c r="B2922">
        <v>3477792</v>
      </c>
      <c r="C2922">
        <v>3478457</v>
      </c>
      <c r="E2922" t="s">
        <v>14290</v>
      </c>
      <c r="F2922" t="s">
        <v>21746</v>
      </c>
      <c r="G2922" t="s">
        <v>21747</v>
      </c>
      <c r="H2922">
        <v>93524349</v>
      </c>
      <c r="I2922" t="s">
        <v>14292</v>
      </c>
      <c r="L2922" t="s">
        <v>21748</v>
      </c>
      <c r="M2922">
        <v>221</v>
      </c>
      <c r="N2922" t="s">
        <v>21749</v>
      </c>
    </row>
    <row r="2923" spans="1:14">
      <c r="A2923" t="s">
        <v>9256</v>
      </c>
      <c r="B2923">
        <v>3478459</v>
      </c>
      <c r="C2923">
        <v>3479712</v>
      </c>
      <c r="E2923" t="s">
        <v>14290</v>
      </c>
      <c r="F2923" t="s">
        <v>21750</v>
      </c>
      <c r="H2923">
        <v>93524350</v>
      </c>
      <c r="I2923" t="s">
        <v>14292</v>
      </c>
      <c r="L2923" t="s">
        <v>21751</v>
      </c>
      <c r="M2923">
        <v>417</v>
      </c>
      <c r="N2923" t="s">
        <v>21752</v>
      </c>
    </row>
    <row r="2924" spans="1:14">
      <c r="A2924" t="s">
        <v>9256</v>
      </c>
      <c r="B2924">
        <v>3479809</v>
      </c>
      <c r="C2924">
        <v>3481944</v>
      </c>
      <c r="E2924" t="s">
        <v>14290</v>
      </c>
      <c r="F2924" t="s">
        <v>21753</v>
      </c>
      <c r="H2924">
        <v>93524351</v>
      </c>
      <c r="I2924" t="s">
        <v>14292</v>
      </c>
      <c r="L2924" t="s">
        <v>21754</v>
      </c>
      <c r="M2924">
        <v>711</v>
      </c>
      <c r="N2924" t="s">
        <v>21755</v>
      </c>
    </row>
    <row r="2925" spans="1:14">
      <c r="A2925" t="s">
        <v>9256</v>
      </c>
      <c r="B2925">
        <v>3482081</v>
      </c>
      <c r="C2925">
        <v>3483112</v>
      </c>
      <c r="E2925" t="s">
        <v>14290</v>
      </c>
      <c r="F2925" t="s">
        <v>21756</v>
      </c>
      <c r="G2925" t="s">
        <v>21757</v>
      </c>
      <c r="H2925">
        <v>93524352</v>
      </c>
      <c r="I2925" t="s">
        <v>14292</v>
      </c>
      <c r="L2925" t="s">
        <v>21758</v>
      </c>
      <c r="M2925">
        <v>343</v>
      </c>
      <c r="N2925" t="s">
        <v>21759</v>
      </c>
    </row>
    <row r="2926" spans="1:14">
      <c r="A2926" t="s">
        <v>9256</v>
      </c>
      <c r="B2926">
        <v>3483129</v>
      </c>
      <c r="C2926">
        <v>3484166</v>
      </c>
      <c r="E2926" t="s">
        <v>14290</v>
      </c>
      <c r="F2926" t="s">
        <v>16224</v>
      </c>
      <c r="H2926">
        <v>93524353</v>
      </c>
      <c r="I2926" t="s">
        <v>14292</v>
      </c>
      <c r="L2926" t="s">
        <v>21760</v>
      </c>
      <c r="M2926">
        <v>345</v>
      </c>
      <c r="N2926" t="s">
        <v>21761</v>
      </c>
    </row>
    <row r="2927" spans="1:14">
      <c r="A2927" t="s">
        <v>9256</v>
      </c>
      <c r="B2927">
        <v>3484183</v>
      </c>
      <c r="C2927">
        <v>3485292</v>
      </c>
      <c r="E2927" t="s">
        <v>14290</v>
      </c>
      <c r="F2927" t="s">
        <v>21762</v>
      </c>
      <c r="G2927" t="s">
        <v>21763</v>
      </c>
      <c r="H2927">
        <v>93524354</v>
      </c>
      <c r="I2927" t="s">
        <v>14292</v>
      </c>
      <c r="L2927" t="s">
        <v>21764</v>
      </c>
      <c r="M2927">
        <v>369</v>
      </c>
      <c r="N2927" t="s">
        <v>21765</v>
      </c>
    </row>
    <row r="2928" spans="1:14">
      <c r="A2928" t="s">
        <v>9256</v>
      </c>
      <c r="B2928">
        <v>3485461</v>
      </c>
      <c r="C2928">
        <v>3485928</v>
      </c>
      <c r="E2928" t="s">
        <v>14290</v>
      </c>
      <c r="F2928" t="s">
        <v>21766</v>
      </c>
      <c r="H2928">
        <v>93524355</v>
      </c>
      <c r="I2928" t="s">
        <v>14292</v>
      </c>
      <c r="L2928" t="s">
        <v>21767</v>
      </c>
      <c r="M2928">
        <v>155</v>
      </c>
      <c r="N2928" t="s">
        <v>21768</v>
      </c>
    </row>
    <row r="2929" spans="1:14">
      <c r="A2929" t="s">
        <v>9256</v>
      </c>
      <c r="B2929">
        <v>3485940</v>
      </c>
      <c r="C2929">
        <v>3486668</v>
      </c>
      <c r="E2929" t="s">
        <v>14290</v>
      </c>
      <c r="F2929" t="s">
        <v>16178</v>
      </c>
      <c r="H2929">
        <v>93524356</v>
      </c>
      <c r="I2929" t="s">
        <v>14292</v>
      </c>
      <c r="L2929" t="s">
        <v>21769</v>
      </c>
      <c r="M2929">
        <v>242</v>
      </c>
      <c r="N2929" t="s">
        <v>21770</v>
      </c>
    </row>
    <row r="2930" spans="1:14">
      <c r="A2930" t="s">
        <v>9256</v>
      </c>
      <c r="B2930">
        <v>3486676</v>
      </c>
      <c r="C2930">
        <v>3487563</v>
      </c>
      <c r="E2930" t="s">
        <v>14290</v>
      </c>
      <c r="F2930" t="s">
        <v>17343</v>
      </c>
      <c r="H2930">
        <v>93524357</v>
      </c>
      <c r="I2930" t="s">
        <v>14292</v>
      </c>
      <c r="L2930" t="s">
        <v>21771</v>
      </c>
      <c r="M2930">
        <v>295</v>
      </c>
      <c r="N2930" t="s">
        <v>21772</v>
      </c>
    </row>
    <row r="2931" spans="1:14">
      <c r="A2931" t="s">
        <v>9256</v>
      </c>
      <c r="B2931">
        <v>3487567</v>
      </c>
      <c r="C2931">
        <v>3488394</v>
      </c>
      <c r="E2931" t="s">
        <v>14290</v>
      </c>
      <c r="F2931" t="s">
        <v>16616</v>
      </c>
      <c r="H2931">
        <v>93524358</v>
      </c>
      <c r="I2931" t="s">
        <v>14292</v>
      </c>
      <c r="L2931" t="s">
        <v>21773</v>
      </c>
      <c r="M2931">
        <v>275</v>
      </c>
      <c r="N2931" t="s">
        <v>21774</v>
      </c>
    </row>
    <row r="2932" spans="1:14">
      <c r="A2932" t="s">
        <v>9256</v>
      </c>
      <c r="B2932">
        <v>3488499</v>
      </c>
      <c r="C2932">
        <v>3489689</v>
      </c>
      <c r="E2932" t="s">
        <v>14290</v>
      </c>
      <c r="F2932" t="s">
        <v>21775</v>
      </c>
      <c r="H2932">
        <v>93524359</v>
      </c>
      <c r="I2932" t="s">
        <v>14292</v>
      </c>
      <c r="L2932" t="s">
        <v>21776</v>
      </c>
      <c r="M2932">
        <v>396</v>
      </c>
      <c r="N2932" t="s">
        <v>21777</v>
      </c>
    </row>
    <row r="2933" spans="1:14">
      <c r="A2933" t="s">
        <v>9256</v>
      </c>
      <c r="B2933">
        <v>3489694</v>
      </c>
      <c r="C2933">
        <v>3490230</v>
      </c>
      <c r="E2933" t="s">
        <v>14290</v>
      </c>
      <c r="F2933" t="s">
        <v>21778</v>
      </c>
      <c r="H2933">
        <v>93524360</v>
      </c>
      <c r="I2933" t="s">
        <v>14292</v>
      </c>
      <c r="L2933" t="s">
        <v>21779</v>
      </c>
      <c r="M2933">
        <v>178</v>
      </c>
      <c r="N2933" t="s">
        <v>21780</v>
      </c>
    </row>
    <row r="2934" spans="1:14">
      <c r="A2934" t="s">
        <v>9256</v>
      </c>
      <c r="B2934">
        <v>3490232</v>
      </c>
      <c r="C2934">
        <v>3490999</v>
      </c>
      <c r="E2934" t="s">
        <v>14290</v>
      </c>
      <c r="F2934" t="s">
        <v>14291</v>
      </c>
      <c r="H2934">
        <v>93524361</v>
      </c>
      <c r="I2934" t="s">
        <v>14292</v>
      </c>
      <c r="L2934" t="s">
        <v>21781</v>
      </c>
      <c r="M2934">
        <v>255</v>
      </c>
      <c r="N2934" t="s">
        <v>21782</v>
      </c>
    </row>
    <row r="2935" spans="1:14">
      <c r="A2935" t="s">
        <v>9256</v>
      </c>
      <c r="B2935">
        <v>3491007</v>
      </c>
      <c r="C2935">
        <v>3491387</v>
      </c>
      <c r="E2935" t="s">
        <v>14290</v>
      </c>
      <c r="F2935" t="s">
        <v>21783</v>
      </c>
      <c r="G2935" t="s">
        <v>21784</v>
      </c>
      <c r="H2935">
        <v>93524362</v>
      </c>
      <c r="I2935" t="s">
        <v>14292</v>
      </c>
      <c r="L2935" t="s">
        <v>21785</v>
      </c>
      <c r="M2935">
        <v>126</v>
      </c>
      <c r="N2935" t="s">
        <v>21786</v>
      </c>
    </row>
    <row r="2936" spans="1:14">
      <c r="A2936" t="s">
        <v>9256</v>
      </c>
      <c r="B2936">
        <v>3491681</v>
      </c>
      <c r="C2936">
        <v>3492001</v>
      </c>
      <c r="E2936" t="s">
        <v>14290</v>
      </c>
      <c r="F2936" t="s">
        <v>21787</v>
      </c>
      <c r="H2936">
        <v>93524363</v>
      </c>
      <c r="I2936" t="s">
        <v>14292</v>
      </c>
      <c r="L2936" t="s">
        <v>21788</v>
      </c>
      <c r="M2936">
        <v>106</v>
      </c>
      <c r="N2936" t="s">
        <v>21789</v>
      </c>
    </row>
    <row r="2937" spans="1:14">
      <c r="A2937" t="s">
        <v>9256</v>
      </c>
      <c r="B2937">
        <v>3492053</v>
      </c>
      <c r="C2937">
        <v>3492253</v>
      </c>
      <c r="E2937" t="s">
        <v>14290</v>
      </c>
      <c r="F2937" t="s">
        <v>14291</v>
      </c>
      <c r="H2937">
        <v>93524364</v>
      </c>
      <c r="I2937" t="s">
        <v>14292</v>
      </c>
      <c r="L2937" t="s">
        <v>21790</v>
      </c>
      <c r="M2937">
        <v>66</v>
      </c>
      <c r="N2937" t="s">
        <v>21791</v>
      </c>
    </row>
    <row r="2938" spans="1:14">
      <c r="A2938" t="s">
        <v>9256</v>
      </c>
      <c r="B2938">
        <v>3492263</v>
      </c>
      <c r="C2938">
        <v>3492595</v>
      </c>
      <c r="E2938" t="s">
        <v>14314</v>
      </c>
      <c r="F2938" t="s">
        <v>14291</v>
      </c>
      <c r="H2938">
        <v>93524365</v>
      </c>
      <c r="I2938" t="s">
        <v>14292</v>
      </c>
      <c r="L2938" t="s">
        <v>21792</v>
      </c>
      <c r="M2938">
        <v>110</v>
      </c>
      <c r="N2938" t="s">
        <v>21793</v>
      </c>
    </row>
    <row r="2939" spans="1:14">
      <c r="A2939" t="s">
        <v>9256</v>
      </c>
      <c r="B2939">
        <v>3492709</v>
      </c>
      <c r="C2939">
        <v>3492781</v>
      </c>
      <c r="E2939" t="s">
        <v>14314</v>
      </c>
      <c r="F2939" t="s">
        <v>16484</v>
      </c>
      <c r="H2939">
        <v>93524366</v>
      </c>
      <c r="I2939" t="s">
        <v>13638</v>
      </c>
      <c r="N2939" t="s">
        <v>21794</v>
      </c>
    </row>
    <row r="2940" spans="1:14">
      <c r="A2940" t="s">
        <v>9256</v>
      </c>
      <c r="B2940">
        <v>3492842</v>
      </c>
      <c r="C2940">
        <v>3492924</v>
      </c>
      <c r="E2940" t="s">
        <v>14314</v>
      </c>
      <c r="F2940" t="s">
        <v>16486</v>
      </c>
      <c r="H2940">
        <v>93524367</v>
      </c>
      <c r="I2940" t="s">
        <v>13638</v>
      </c>
      <c r="N2940" t="s">
        <v>21795</v>
      </c>
    </row>
    <row r="2941" spans="1:14">
      <c r="A2941" t="s">
        <v>9256</v>
      </c>
      <c r="B2941">
        <v>3492979</v>
      </c>
      <c r="C2941">
        <v>3493461</v>
      </c>
      <c r="E2941" t="s">
        <v>14314</v>
      </c>
      <c r="F2941" t="s">
        <v>21796</v>
      </c>
      <c r="G2941" t="s">
        <v>21797</v>
      </c>
      <c r="H2941">
        <v>93524368</v>
      </c>
      <c r="I2941" t="s">
        <v>14292</v>
      </c>
      <c r="L2941" t="s">
        <v>21798</v>
      </c>
      <c r="M2941">
        <v>160</v>
      </c>
      <c r="N2941" t="s">
        <v>21799</v>
      </c>
    </row>
    <row r="2942" spans="1:14">
      <c r="A2942" t="s">
        <v>9256</v>
      </c>
      <c r="B2942">
        <v>3493538</v>
      </c>
      <c r="C2942">
        <v>3494221</v>
      </c>
      <c r="E2942" t="s">
        <v>14314</v>
      </c>
      <c r="F2942" t="s">
        <v>14805</v>
      </c>
      <c r="H2942">
        <v>93524369</v>
      </c>
      <c r="I2942" t="s">
        <v>14292</v>
      </c>
      <c r="L2942" t="s">
        <v>21800</v>
      </c>
      <c r="M2942">
        <v>227</v>
      </c>
      <c r="N2942" t="s">
        <v>21801</v>
      </c>
    </row>
    <row r="2943" spans="1:14">
      <c r="A2943" t="s">
        <v>9256</v>
      </c>
      <c r="B2943">
        <v>3494370</v>
      </c>
      <c r="C2943">
        <v>3495467</v>
      </c>
      <c r="E2943" t="s">
        <v>14290</v>
      </c>
      <c r="F2943" t="s">
        <v>21802</v>
      </c>
      <c r="G2943" t="s">
        <v>21803</v>
      </c>
      <c r="H2943">
        <v>93524370</v>
      </c>
      <c r="I2943" t="s">
        <v>14292</v>
      </c>
      <c r="L2943" t="s">
        <v>21804</v>
      </c>
      <c r="M2943">
        <v>365</v>
      </c>
      <c r="N2943" t="s">
        <v>21805</v>
      </c>
    </row>
    <row r="2944" spans="1:14">
      <c r="A2944" t="s">
        <v>9256</v>
      </c>
      <c r="B2944">
        <v>3495470</v>
      </c>
      <c r="C2944">
        <v>3495763</v>
      </c>
      <c r="E2944" t="s">
        <v>14290</v>
      </c>
      <c r="F2944" t="s">
        <v>21806</v>
      </c>
      <c r="H2944">
        <v>93524371</v>
      </c>
      <c r="I2944" t="s">
        <v>14292</v>
      </c>
      <c r="L2944" t="s">
        <v>21807</v>
      </c>
      <c r="M2944">
        <v>97</v>
      </c>
      <c r="N2944" t="s">
        <v>21808</v>
      </c>
    </row>
    <row r="2945" spans="1:14">
      <c r="A2945" t="s">
        <v>9256</v>
      </c>
      <c r="B2945">
        <v>3495873</v>
      </c>
      <c r="C2945">
        <v>3496388</v>
      </c>
      <c r="E2945" t="s">
        <v>14314</v>
      </c>
      <c r="F2945" t="s">
        <v>21809</v>
      </c>
      <c r="H2945">
        <v>93524372</v>
      </c>
      <c r="I2945" t="s">
        <v>14292</v>
      </c>
      <c r="L2945" t="s">
        <v>21810</v>
      </c>
      <c r="M2945">
        <v>171</v>
      </c>
      <c r="N2945" t="s">
        <v>21811</v>
      </c>
    </row>
    <row r="2946" spans="1:14">
      <c r="A2946" t="s">
        <v>9256</v>
      </c>
      <c r="B2946">
        <v>3496333</v>
      </c>
      <c r="C2946">
        <v>3498066</v>
      </c>
      <c r="E2946" t="s">
        <v>14314</v>
      </c>
      <c r="F2946" t="s">
        <v>17779</v>
      </c>
      <c r="H2946">
        <v>93524373</v>
      </c>
      <c r="I2946" t="s">
        <v>14292</v>
      </c>
      <c r="L2946" t="s">
        <v>21812</v>
      </c>
      <c r="M2946">
        <v>577</v>
      </c>
      <c r="N2946" t="s">
        <v>21813</v>
      </c>
    </row>
    <row r="2947" spans="1:14">
      <c r="A2947" t="s">
        <v>9256</v>
      </c>
      <c r="B2947">
        <v>3498080</v>
      </c>
      <c r="C2947">
        <v>3498514</v>
      </c>
      <c r="E2947" t="s">
        <v>14314</v>
      </c>
      <c r="F2947" t="s">
        <v>21814</v>
      </c>
      <c r="H2947">
        <v>93524374</v>
      </c>
      <c r="I2947" t="s">
        <v>14292</v>
      </c>
      <c r="L2947" t="s">
        <v>21815</v>
      </c>
      <c r="M2947">
        <v>144</v>
      </c>
      <c r="N2947" t="s">
        <v>21816</v>
      </c>
    </row>
    <row r="2948" spans="1:14">
      <c r="A2948" t="s">
        <v>9256</v>
      </c>
      <c r="B2948">
        <v>3498595</v>
      </c>
      <c r="C2948">
        <v>3500694</v>
      </c>
      <c r="E2948" t="s">
        <v>14314</v>
      </c>
      <c r="F2948" t="s">
        <v>15129</v>
      </c>
      <c r="H2948">
        <v>93524375</v>
      </c>
      <c r="I2948" t="s">
        <v>14292</v>
      </c>
      <c r="L2948" t="s">
        <v>21817</v>
      </c>
      <c r="M2948">
        <v>699</v>
      </c>
      <c r="N2948" t="s">
        <v>21818</v>
      </c>
    </row>
    <row r="2949" spans="1:14">
      <c r="A2949" t="s">
        <v>9256</v>
      </c>
      <c r="B2949">
        <v>3501101</v>
      </c>
      <c r="C2949">
        <v>3503035</v>
      </c>
      <c r="E2949" t="s">
        <v>14290</v>
      </c>
      <c r="F2949" t="s">
        <v>21819</v>
      </c>
      <c r="H2949">
        <v>93524376</v>
      </c>
      <c r="I2949" t="s">
        <v>14292</v>
      </c>
      <c r="L2949" t="s">
        <v>21820</v>
      </c>
      <c r="M2949">
        <v>644</v>
      </c>
      <c r="N2949" t="s">
        <v>21821</v>
      </c>
    </row>
    <row r="2950" spans="1:14">
      <c r="A2950" t="s">
        <v>9256</v>
      </c>
      <c r="B2950">
        <v>3503050</v>
      </c>
      <c r="C2950">
        <v>3504318</v>
      </c>
      <c r="E2950" t="s">
        <v>14290</v>
      </c>
      <c r="F2950" t="s">
        <v>14364</v>
      </c>
      <c r="H2950">
        <v>93524377</v>
      </c>
      <c r="I2950" t="s">
        <v>14292</v>
      </c>
      <c r="L2950" t="s">
        <v>21822</v>
      </c>
      <c r="M2950">
        <v>422</v>
      </c>
      <c r="N2950" t="s">
        <v>21823</v>
      </c>
    </row>
    <row r="2951" spans="1:14">
      <c r="A2951" t="s">
        <v>9256</v>
      </c>
      <c r="B2951">
        <v>3504354</v>
      </c>
      <c r="C2951">
        <v>3505646</v>
      </c>
      <c r="E2951" t="s">
        <v>14290</v>
      </c>
      <c r="F2951" t="s">
        <v>21824</v>
      </c>
      <c r="H2951">
        <v>93524378</v>
      </c>
      <c r="I2951" t="s">
        <v>14292</v>
      </c>
      <c r="L2951" t="s">
        <v>21825</v>
      </c>
      <c r="M2951">
        <v>430</v>
      </c>
      <c r="N2951" t="s">
        <v>21826</v>
      </c>
    </row>
    <row r="2952" spans="1:14">
      <c r="A2952" t="s">
        <v>9256</v>
      </c>
      <c r="B2952">
        <v>3505786</v>
      </c>
      <c r="C2952">
        <v>3507162</v>
      </c>
      <c r="E2952" t="s">
        <v>14314</v>
      </c>
      <c r="F2952" t="s">
        <v>21827</v>
      </c>
      <c r="H2952">
        <v>93524379</v>
      </c>
      <c r="I2952" t="s">
        <v>14292</v>
      </c>
      <c r="L2952" t="s">
        <v>21828</v>
      </c>
      <c r="M2952">
        <v>458</v>
      </c>
      <c r="N2952" t="s">
        <v>21829</v>
      </c>
    </row>
    <row r="2953" spans="1:14">
      <c r="A2953" t="s">
        <v>9256</v>
      </c>
      <c r="B2953">
        <v>3507174</v>
      </c>
      <c r="C2953">
        <v>3507998</v>
      </c>
      <c r="E2953" t="s">
        <v>14314</v>
      </c>
      <c r="F2953" t="s">
        <v>21830</v>
      </c>
      <c r="H2953">
        <v>93524380</v>
      </c>
      <c r="I2953" t="s">
        <v>14292</v>
      </c>
      <c r="L2953" t="s">
        <v>21831</v>
      </c>
      <c r="M2953">
        <v>274</v>
      </c>
      <c r="N2953" t="s">
        <v>21832</v>
      </c>
    </row>
    <row r="2954" spans="1:14">
      <c r="A2954" t="s">
        <v>9256</v>
      </c>
      <c r="B2954">
        <v>3508099</v>
      </c>
      <c r="C2954">
        <v>3508938</v>
      </c>
      <c r="E2954" t="s">
        <v>14290</v>
      </c>
      <c r="F2954" t="s">
        <v>21833</v>
      </c>
      <c r="G2954" t="s">
        <v>21834</v>
      </c>
      <c r="H2954">
        <v>93524381</v>
      </c>
      <c r="I2954" t="s">
        <v>14292</v>
      </c>
      <c r="L2954" t="s">
        <v>21835</v>
      </c>
      <c r="M2954">
        <v>279</v>
      </c>
      <c r="N2954" t="s">
        <v>21836</v>
      </c>
    </row>
    <row r="2955" spans="1:14">
      <c r="A2955" t="s">
        <v>9256</v>
      </c>
      <c r="B2955">
        <v>3508952</v>
      </c>
      <c r="C2955">
        <v>3509302</v>
      </c>
      <c r="E2955" t="s">
        <v>14290</v>
      </c>
      <c r="F2955" t="s">
        <v>21837</v>
      </c>
      <c r="G2955" t="s">
        <v>21838</v>
      </c>
      <c r="H2955">
        <v>93524382</v>
      </c>
      <c r="I2955" t="s">
        <v>14292</v>
      </c>
      <c r="L2955" t="s">
        <v>21839</v>
      </c>
      <c r="M2955">
        <v>116</v>
      </c>
      <c r="N2955" t="s">
        <v>21840</v>
      </c>
    </row>
    <row r="2956" spans="1:14">
      <c r="A2956" t="s">
        <v>9256</v>
      </c>
      <c r="B2956">
        <v>3509401</v>
      </c>
      <c r="C2956">
        <v>3510723</v>
      </c>
      <c r="E2956" t="s">
        <v>14290</v>
      </c>
      <c r="F2956" t="s">
        <v>16210</v>
      </c>
      <c r="H2956">
        <v>93524383</v>
      </c>
      <c r="I2956" t="s">
        <v>14292</v>
      </c>
      <c r="L2956" t="s">
        <v>21841</v>
      </c>
      <c r="M2956">
        <v>440</v>
      </c>
      <c r="N2956" t="s">
        <v>21842</v>
      </c>
    </row>
    <row r="2957" spans="1:14">
      <c r="A2957" t="s">
        <v>9256</v>
      </c>
      <c r="B2957">
        <v>3510867</v>
      </c>
      <c r="C2957">
        <v>3511304</v>
      </c>
      <c r="E2957" t="s">
        <v>14290</v>
      </c>
      <c r="F2957" t="s">
        <v>20544</v>
      </c>
      <c r="H2957">
        <v>93524384</v>
      </c>
      <c r="I2957" t="s">
        <v>14292</v>
      </c>
      <c r="L2957" t="s">
        <v>21843</v>
      </c>
      <c r="M2957">
        <v>145</v>
      </c>
      <c r="N2957" t="s">
        <v>21844</v>
      </c>
    </row>
    <row r="2958" spans="1:14">
      <c r="A2958" t="s">
        <v>9256</v>
      </c>
      <c r="B2958">
        <v>3511385</v>
      </c>
      <c r="C2958">
        <v>3513295</v>
      </c>
      <c r="E2958" t="s">
        <v>14290</v>
      </c>
      <c r="F2958" t="s">
        <v>21845</v>
      </c>
      <c r="H2958">
        <v>93524385</v>
      </c>
      <c r="I2958" t="s">
        <v>14292</v>
      </c>
      <c r="L2958" t="s">
        <v>21846</v>
      </c>
      <c r="M2958">
        <v>636</v>
      </c>
      <c r="N2958" t="s">
        <v>21847</v>
      </c>
    </row>
    <row r="2959" spans="1:14">
      <c r="A2959" t="s">
        <v>9256</v>
      </c>
      <c r="B2959">
        <v>3513397</v>
      </c>
      <c r="C2959">
        <v>3514734</v>
      </c>
      <c r="E2959" t="s">
        <v>14290</v>
      </c>
      <c r="F2959" t="s">
        <v>21848</v>
      </c>
      <c r="G2959" t="s">
        <v>21849</v>
      </c>
      <c r="H2959">
        <v>93524386</v>
      </c>
      <c r="I2959" t="s">
        <v>14292</v>
      </c>
      <c r="L2959" t="s">
        <v>21850</v>
      </c>
      <c r="M2959">
        <v>445</v>
      </c>
      <c r="N2959" t="s">
        <v>21851</v>
      </c>
    </row>
    <row r="2960" spans="1:14">
      <c r="A2960" t="s">
        <v>9256</v>
      </c>
      <c r="B2960">
        <v>3514757</v>
      </c>
      <c r="C2960">
        <v>3515653</v>
      </c>
      <c r="E2960" t="s">
        <v>14290</v>
      </c>
      <c r="F2960" t="s">
        <v>21852</v>
      </c>
      <c r="G2960" t="s">
        <v>21853</v>
      </c>
      <c r="H2960">
        <v>93524387</v>
      </c>
      <c r="I2960" t="s">
        <v>14292</v>
      </c>
      <c r="L2960" t="s">
        <v>21854</v>
      </c>
      <c r="M2960">
        <v>298</v>
      </c>
      <c r="N2960" t="s">
        <v>21855</v>
      </c>
    </row>
    <row r="2961" spans="1:14">
      <c r="A2961" t="s">
        <v>9256</v>
      </c>
      <c r="B2961">
        <v>3515752</v>
      </c>
      <c r="C2961">
        <v>3515825</v>
      </c>
      <c r="E2961" t="s">
        <v>14290</v>
      </c>
      <c r="F2961" t="s">
        <v>21856</v>
      </c>
      <c r="H2961">
        <v>93524388</v>
      </c>
      <c r="I2961" t="s">
        <v>13638</v>
      </c>
      <c r="N2961" t="s">
        <v>21857</v>
      </c>
    </row>
    <row r="2962" spans="1:14">
      <c r="A2962" t="s">
        <v>9256</v>
      </c>
      <c r="B2962">
        <v>3515918</v>
      </c>
      <c r="C2962">
        <v>3515991</v>
      </c>
      <c r="E2962" t="s">
        <v>14290</v>
      </c>
      <c r="F2962" t="s">
        <v>21856</v>
      </c>
      <c r="H2962">
        <v>93524389</v>
      </c>
      <c r="I2962" t="s">
        <v>13638</v>
      </c>
      <c r="N2962" t="s">
        <v>21858</v>
      </c>
    </row>
    <row r="2963" spans="1:14">
      <c r="A2963" t="s">
        <v>9256</v>
      </c>
      <c r="B2963">
        <v>3516134</v>
      </c>
      <c r="C2963">
        <v>3517681</v>
      </c>
      <c r="E2963" t="s">
        <v>14314</v>
      </c>
      <c r="F2963" t="s">
        <v>21859</v>
      </c>
      <c r="H2963">
        <v>93524390</v>
      </c>
      <c r="I2963" t="s">
        <v>14292</v>
      </c>
      <c r="L2963" t="s">
        <v>21860</v>
      </c>
      <c r="M2963">
        <v>515</v>
      </c>
      <c r="N2963" t="s">
        <v>21861</v>
      </c>
    </row>
    <row r="2964" spans="1:14">
      <c r="A2964" t="s">
        <v>9256</v>
      </c>
      <c r="B2964">
        <v>3517812</v>
      </c>
      <c r="C2964">
        <v>3518171</v>
      </c>
      <c r="E2964" t="s">
        <v>14290</v>
      </c>
      <c r="F2964" t="s">
        <v>14291</v>
      </c>
      <c r="H2964">
        <v>93524391</v>
      </c>
      <c r="I2964" t="s">
        <v>14292</v>
      </c>
      <c r="L2964" t="s">
        <v>21862</v>
      </c>
      <c r="M2964">
        <v>119</v>
      </c>
      <c r="N2964" t="s">
        <v>21863</v>
      </c>
    </row>
    <row r="2965" spans="1:14">
      <c r="A2965" t="s">
        <v>9256</v>
      </c>
      <c r="B2965">
        <v>3518220</v>
      </c>
      <c r="C2965">
        <v>3519329</v>
      </c>
      <c r="E2965" t="s">
        <v>14290</v>
      </c>
      <c r="F2965" t="s">
        <v>14503</v>
      </c>
      <c r="H2965">
        <v>93524392</v>
      </c>
      <c r="I2965" t="s">
        <v>14292</v>
      </c>
      <c r="L2965" t="s">
        <v>21864</v>
      </c>
      <c r="M2965">
        <v>369</v>
      </c>
      <c r="N2965" t="s">
        <v>21865</v>
      </c>
    </row>
    <row r="2966" spans="1:14">
      <c r="A2966" t="s">
        <v>9256</v>
      </c>
      <c r="B2966">
        <v>3519336</v>
      </c>
      <c r="C2966">
        <v>3522449</v>
      </c>
      <c r="E2966" t="s">
        <v>14290</v>
      </c>
      <c r="F2966" t="s">
        <v>14548</v>
      </c>
      <c r="H2966">
        <v>93524393</v>
      </c>
      <c r="I2966" t="s">
        <v>14292</v>
      </c>
      <c r="L2966" t="s">
        <v>21866</v>
      </c>
      <c r="M2966">
        <v>1037</v>
      </c>
      <c r="N2966" t="s">
        <v>21867</v>
      </c>
    </row>
    <row r="2967" spans="1:14">
      <c r="A2967" t="s">
        <v>9256</v>
      </c>
      <c r="B2967">
        <v>3522478</v>
      </c>
      <c r="C2967">
        <v>3523752</v>
      </c>
      <c r="E2967" t="s">
        <v>14290</v>
      </c>
      <c r="F2967" t="s">
        <v>14545</v>
      </c>
      <c r="H2967">
        <v>93524394</v>
      </c>
      <c r="I2967" t="s">
        <v>14292</v>
      </c>
      <c r="L2967" t="s">
        <v>21868</v>
      </c>
      <c r="M2967">
        <v>424</v>
      </c>
      <c r="N2967" t="s">
        <v>21869</v>
      </c>
    </row>
    <row r="2968" spans="1:14">
      <c r="A2968" t="s">
        <v>9256</v>
      </c>
      <c r="B2968">
        <v>3523927</v>
      </c>
      <c r="C2968">
        <v>3524190</v>
      </c>
      <c r="E2968" t="s">
        <v>14314</v>
      </c>
      <c r="F2968" t="s">
        <v>14291</v>
      </c>
      <c r="H2968">
        <v>93524395</v>
      </c>
      <c r="I2968" t="s">
        <v>14292</v>
      </c>
      <c r="L2968" t="s">
        <v>21870</v>
      </c>
      <c r="M2968">
        <v>87</v>
      </c>
      <c r="N2968" t="s">
        <v>21871</v>
      </c>
    </row>
    <row r="2969" spans="1:14">
      <c r="A2969" t="s">
        <v>9256</v>
      </c>
      <c r="B2969">
        <v>3524279</v>
      </c>
      <c r="C2969">
        <v>3525055</v>
      </c>
      <c r="E2969" t="s">
        <v>14290</v>
      </c>
      <c r="F2969" t="s">
        <v>21872</v>
      </c>
      <c r="H2969">
        <v>93524396</v>
      </c>
      <c r="I2969" t="s">
        <v>14292</v>
      </c>
      <c r="L2969" t="s">
        <v>21873</v>
      </c>
      <c r="M2969">
        <v>258</v>
      </c>
      <c r="N2969" t="s">
        <v>21874</v>
      </c>
    </row>
    <row r="2970" spans="1:14">
      <c r="A2970" t="s">
        <v>9256</v>
      </c>
      <c r="B2970">
        <v>3525076</v>
      </c>
      <c r="C2970">
        <v>3526059</v>
      </c>
      <c r="E2970" t="s">
        <v>14290</v>
      </c>
      <c r="F2970" t="s">
        <v>17866</v>
      </c>
      <c r="H2970">
        <v>93524397</v>
      </c>
      <c r="I2970" t="s">
        <v>14292</v>
      </c>
      <c r="L2970" t="s">
        <v>21875</v>
      </c>
      <c r="M2970">
        <v>327</v>
      </c>
      <c r="N2970" t="s">
        <v>21876</v>
      </c>
    </row>
    <row r="2971" spans="1:14">
      <c r="A2971" t="s">
        <v>9256</v>
      </c>
      <c r="B2971">
        <v>3526161</v>
      </c>
      <c r="C2971">
        <v>3529499</v>
      </c>
      <c r="E2971" t="s">
        <v>14314</v>
      </c>
      <c r="F2971" t="s">
        <v>21877</v>
      </c>
      <c r="H2971">
        <v>93524398</v>
      </c>
      <c r="I2971" t="s">
        <v>14292</v>
      </c>
      <c r="L2971" t="s">
        <v>21878</v>
      </c>
      <c r="M2971">
        <v>1112</v>
      </c>
      <c r="N2971" t="s">
        <v>21879</v>
      </c>
    </row>
    <row r="2972" spans="1:14">
      <c r="A2972" t="s">
        <v>9256</v>
      </c>
      <c r="B2972">
        <v>3529618</v>
      </c>
      <c r="C2972">
        <v>3530172</v>
      </c>
      <c r="E2972" t="s">
        <v>14314</v>
      </c>
      <c r="F2972" t="s">
        <v>21880</v>
      </c>
      <c r="H2972">
        <v>93524399</v>
      </c>
      <c r="I2972" t="s">
        <v>14292</v>
      </c>
      <c r="L2972" t="s">
        <v>21881</v>
      </c>
      <c r="M2972">
        <v>184</v>
      </c>
      <c r="N2972" t="s">
        <v>21882</v>
      </c>
    </row>
    <row r="2973" spans="1:14">
      <c r="A2973" t="s">
        <v>9256</v>
      </c>
      <c r="B2973">
        <v>3530693</v>
      </c>
      <c r="C2973">
        <v>3533782</v>
      </c>
      <c r="E2973" t="s">
        <v>14290</v>
      </c>
      <c r="F2973" t="s">
        <v>14965</v>
      </c>
      <c r="H2973">
        <v>93524400</v>
      </c>
      <c r="I2973" t="s">
        <v>14292</v>
      </c>
      <c r="L2973" t="s">
        <v>21883</v>
      </c>
      <c r="M2973">
        <v>1029</v>
      </c>
      <c r="N2973" t="s">
        <v>21884</v>
      </c>
    </row>
    <row r="2974" spans="1:14">
      <c r="A2974" t="s">
        <v>9256</v>
      </c>
      <c r="B2974">
        <v>3533813</v>
      </c>
      <c r="C2974">
        <v>3535420</v>
      </c>
      <c r="E2974" t="s">
        <v>14290</v>
      </c>
      <c r="F2974" t="s">
        <v>15179</v>
      </c>
      <c r="H2974">
        <v>93524401</v>
      </c>
      <c r="I2974" t="s">
        <v>14292</v>
      </c>
      <c r="L2974" t="s">
        <v>21885</v>
      </c>
      <c r="M2974">
        <v>535</v>
      </c>
      <c r="N2974" t="s">
        <v>21886</v>
      </c>
    </row>
    <row r="2975" spans="1:14">
      <c r="A2975" t="s">
        <v>9256</v>
      </c>
      <c r="B2975">
        <v>3535544</v>
      </c>
      <c r="C2975">
        <v>3536509</v>
      </c>
      <c r="E2975" t="s">
        <v>14290</v>
      </c>
      <c r="F2975" t="s">
        <v>15800</v>
      </c>
      <c r="H2975">
        <v>93524402</v>
      </c>
      <c r="I2975" t="s">
        <v>14292</v>
      </c>
      <c r="L2975" t="s">
        <v>21887</v>
      </c>
      <c r="M2975">
        <v>321</v>
      </c>
      <c r="N2975" t="s">
        <v>21888</v>
      </c>
    </row>
    <row r="2976" spans="1:14">
      <c r="A2976" t="s">
        <v>9256</v>
      </c>
      <c r="B2976">
        <v>3536548</v>
      </c>
      <c r="C2976">
        <v>3538497</v>
      </c>
      <c r="E2976" t="s">
        <v>14290</v>
      </c>
      <c r="F2976" t="s">
        <v>15396</v>
      </c>
      <c r="H2976">
        <v>93524403</v>
      </c>
      <c r="I2976" t="s">
        <v>14292</v>
      </c>
      <c r="L2976" t="s">
        <v>21889</v>
      </c>
      <c r="M2976">
        <v>649</v>
      </c>
      <c r="N2976" t="s">
        <v>21890</v>
      </c>
    </row>
    <row r="2977" spans="1:14">
      <c r="A2977" t="s">
        <v>9256</v>
      </c>
      <c r="B2977">
        <v>3539082</v>
      </c>
      <c r="C2977">
        <v>3540248</v>
      </c>
      <c r="E2977" t="s">
        <v>14290</v>
      </c>
      <c r="F2977" t="s">
        <v>18929</v>
      </c>
      <c r="G2977" t="s">
        <v>18930</v>
      </c>
      <c r="H2977">
        <v>93524404</v>
      </c>
      <c r="I2977" t="s">
        <v>14292</v>
      </c>
      <c r="L2977" t="s">
        <v>21891</v>
      </c>
      <c r="M2977">
        <v>388</v>
      </c>
      <c r="N2977" t="s">
        <v>21892</v>
      </c>
    </row>
    <row r="2978" spans="1:14">
      <c r="A2978" t="s">
        <v>9256</v>
      </c>
      <c r="B2978">
        <v>3540261</v>
      </c>
      <c r="C2978">
        <v>3541427</v>
      </c>
      <c r="E2978" t="s">
        <v>14290</v>
      </c>
      <c r="F2978" t="s">
        <v>18929</v>
      </c>
      <c r="G2978" t="s">
        <v>18930</v>
      </c>
      <c r="H2978">
        <v>93524405</v>
      </c>
      <c r="I2978" t="s">
        <v>14292</v>
      </c>
      <c r="L2978" t="s">
        <v>21893</v>
      </c>
      <c r="M2978">
        <v>388</v>
      </c>
      <c r="N2978" t="s">
        <v>21894</v>
      </c>
    </row>
    <row r="2979" spans="1:14">
      <c r="A2979" t="s">
        <v>9256</v>
      </c>
      <c r="B2979">
        <v>3541611</v>
      </c>
      <c r="C2979">
        <v>3543596</v>
      </c>
      <c r="E2979" t="s">
        <v>14290</v>
      </c>
      <c r="F2979" t="s">
        <v>20065</v>
      </c>
      <c r="H2979">
        <v>93524406</v>
      </c>
      <c r="I2979" t="s">
        <v>14292</v>
      </c>
      <c r="L2979" t="s">
        <v>21895</v>
      </c>
      <c r="M2979">
        <v>661</v>
      </c>
      <c r="N2979" t="s">
        <v>21896</v>
      </c>
    </row>
    <row r="2980" spans="1:14">
      <c r="A2980" t="s">
        <v>9256</v>
      </c>
      <c r="B2980">
        <v>3543754</v>
      </c>
      <c r="C2980">
        <v>3544320</v>
      </c>
      <c r="E2980" t="s">
        <v>14290</v>
      </c>
      <c r="F2980" t="s">
        <v>14982</v>
      </c>
      <c r="H2980">
        <v>93524407</v>
      </c>
      <c r="I2980" t="s">
        <v>14292</v>
      </c>
      <c r="L2980" t="s">
        <v>21897</v>
      </c>
      <c r="M2980">
        <v>188</v>
      </c>
      <c r="N2980" t="s">
        <v>21898</v>
      </c>
    </row>
    <row r="2981" spans="1:14">
      <c r="A2981" t="s">
        <v>9256</v>
      </c>
      <c r="B2981">
        <v>3544386</v>
      </c>
      <c r="C2981">
        <v>3545426</v>
      </c>
      <c r="E2981" t="s">
        <v>14290</v>
      </c>
      <c r="F2981" t="s">
        <v>14972</v>
      </c>
      <c r="H2981">
        <v>93524408</v>
      </c>
      <c r="I2981" t="s">
        <v>14292</v>
      </c>
      <c r="L2981" t="s">
        <v>21899</v>
      </c>
      <c r="M2981">
        <v>346</v>
      </c>
      <c r="N2981" t="s">
        <v>21900</v>
      </c>
    </row>
    <row r="2982" spans="1:14">
      <c r="A2982" t="s">
        <v>9256</v>
      </c>
      <c r="B2982">
        <v>3545673</v>
      </c>
      <c r="C2982">
        <v>3547820</v>
      </c>
      <c r="E2982" t="s">
        <v>14290</v>
      </c>
      <c r="F2982" t="s">
        <v>14965</v>
      </c>
      <c r="H2982">
        <v>93525971</v>
      </c>
      <c r="I2982" t="s">
        <v>14292</v>
      </c>
      <c r="L2982" t="s">
        <v>21901</v>
      </c>
      <c r="M2982">
        <v>715</v>
      </c>
      <c r="N2982" t="s">
        <v>21902</v>
      </c>
    </row>
    <row r="2983" spans="1:14">
      <c r="A2983" t="s">
        <v>9256</v>
      </c>
      <c r="B2983">
        <v>3547813</v>
      </c>
      <c r="C2983">
        <v>3548928</v>
      </c>
      <c r="E2983" t="s">
        <v>14290</v>
      </c>
      <c r="F2983" t="s">
        <v>16626</v>
      </c>
      <c r="H2983">
        <v>93525972</v>
      </c>
      <c r="I2983" t="s">
        <v>14292</v>
      </c>
      <c r="L2983" t="s">
        <v>21903</v>
      </c>
      <c r="M2983">
        <v>371</v>
      </c>
      <c r="N2983" t="s">
        <v>21904</v>
      </c>
    </row>
    <row r="2984" spans="1:14">
      <c r="A2984" t="s">
        <v>9256</v>
      </c>
      <c r="B2984">
        <v>3548962</v>
      </c>
      <c r="C2984">
        <v>3550476</v>
      </c>
      <c r="E2984" t="s">
        <v>14290</v>
      </c>
      <c r="F2984" t="s">
        <v>15179</v>
      </c>
      <c r="H2984">
        <v>93524409</v>
      </c>
      <c r="I2984" t="s">
        <v>14292</v>
      </c>
      <c r="L2984" t="s">
        <v>21905</v>
      </c>
      <c r="M2984">
        <v>504</v>
      </c>
      <c r="N2984" t="s">
        <v>21906</v>
      </c>
    </row>
    <row r="2985" spans="1:14">
      <c r="A2985" t="s">
        <v>9256</v>
      </c>
      <c r="B2985">
        <v>3550640</v>
      </c>
      <c r="C2985">
        <v>3552025</v>
      </c>
      <c r="E2985" t="s">
        <v>14290</v>
      </c>
      <c r="F2985" t="s">
        <v>21498</v>
      </c>
      <c r="H2985">
        <v>93524410</v>
      </c>
      <c r="I2985" t="s">
        <v>14292</v>
      </c>
      <c r="L2985" t="s">
        <v>21907</v>
      </c>
      <c r="M2985">
        <v>461</v>
      </c>
      <c r="N2985" t="s">
        <v>21908</v>
      </c>
    </row>
    <row r="2986" spans="1:14">
      <c r="A2986" t="s">
        <v>9256</v>
      </c>
      <c r="B2986">
        <v>3552093</v>
      </c>
      <c r="C2986">
        <v>3554663</v>
      </c>
      <c r="E2986" t="s">
        <v>14290</v>
      </c>
      <c r="F2986" t="s">
        <v>21909</v>
      </c>
      <c r="H2986">
        <v>93524411</v>
      </c>
      <c r="I2986" t="s">
        <v>14292</v>
      </c>
      <c r="L2986" t="s">
        <v>21910</v>
      </c>
      <c r="M2986">
        <v>856</v>
      </c>
      <c r="N2986" t="s">
        <v>21911</v>
      </c>
    </row>
    <row r="2987" spans="1:14">
      <c r="A2987" t="s">
        <v>9256</v>
      </c>
      <c r="B2987">
        <v>3554776</v>
      </c>
      <c r="C2987">
        <v>3555726</v>
      </c>
      <c r="E2987" t="s">
        <v>14290</v>
      </c>
      <c r="F2987" t="s">
        <v>21912</v>
      </c>
      <c r="H2987">
        <v>93524412</v>
      </c>
      <c r="I2987" t="s">
        <v>14292</v>
      </c>
      <c r="L2987" t="s">
        <v>21913</v>
      </c>
      <c r="M2987">
        <v>316</v>
      </c>
      <c r="N2987" t="s">
        <v>21914</v>
      </c>
    </row>
    <row r="2988" spans="1:14">
      <c r="A2988" t="s">
        <v>9256</v>
      </c>
      <c r="B2988">
        <v>3555817</v>
      </c>
      <c r="C2988">
        <v>3557097</v>
      </c>
      <c r="E2988" t="s">
        <v>14290</v>
      </c>
      <c r="F2988" t="s">
        <v>21915</v>
      </c>
      <c r="H2988">
        <v>93524413</v>
      </c>
      <c r="I2988" t="s">
        <v>14292</v>
      </c>
      <c r="L2988" t="s">
        <v>21916</v>
      </c>
      <c r="M2988">
        <v>426</v>
      </c>
      <c r="N2988" t="s">
        <v>21917</v>
      </c>
    </row>
    <row r="2989" spans="1:14">
      <c r="A2989" t="s">
        <v>9256</v>
      </c>
      <c r="B2989">
        <v>3557143</v>
      </c>
      <c r="C2989">
        <v>3557646</v>
      </c>
      <c r="E2989" t="s">
        <v>14314</v>
      </c>
      <c r="F2989" t="s">
        <v>21918</v>
      </c>
      <c r="H2989">
        <v>93524414</v>
      </c>
      <c r="I2989" t="s">
        <v>14292</v>
      </c>
      <c r="L2989" t="s">
        <v>21919</v>
      </c>
      <c r="M2989">
        <v>167</v>
      </c>
      <c r="N2989" t="s">
        <v>21920</v>
      </c>
    </row>
    <row r="2990" spans="1:14">
      <c r="A2990" t="s">
        <v>9256</v>
      </c>
      <c r="B2990">
        <v>3557804</v>
      </c>
      <c r="C2990">
        <v>3558286</v>
      </c>
      <c r="E2990" t="s">
        <v>14290</v>
      </c>
      <c r="F2990" t="s">
        <v>19879</v>
      </c>
      <c r="H2990">
        <v>93524415</v>
      </c>
      <c r="I2990" t="s">
        <v>14292</v>
      </c>
      <c r="L2990" t="s">
        <v>21921</v>
      </c>
      <c r="M2990">
        <v>160</v>
      </c>
      <c r="N2990" t="s">
        <v>21922</v>
      </c>
    </row>
    <row r="2991" spans="1:14">
      <c r="A2991" t="s">
        <v>9256</v>
      </c>
      <c r="B2991">
        <v>3558448</v>
      </c>
      <c r="C2991">
        <v>3558888</v>
      </c>
      <c r="E2991" t="s">
        <v>14290</v>
      </c>
      <c r="F2991" t="s">
        <v>21923</v>
      </c>
      <c r="H2991">
        <v>93524416</v>
      </c>
      <c r="I2991" t="s">
        <v>14292</v>
      </c>
      <c r="L2991" t="s">
        <v>21924</v>
      </c>
      <c r="M2991">
        <v>146</v>
      </c>
      <c r="N2991" t="s">
        <v>21925</v>
      </c>
    </row>
    <row r="2992" spans="1:14">
      <c r="A2992" t="s">
        <v>9256</v>
      </c>
      <c r="B2992">
        <v>3558986</v>
      </c>
      <c r="C2992">
        <v>3559591</v>
      </c>
      <c r="E2992" t="s">
        <v>14314</v>
      </c>
      <c r="F2992" t="s">
        <v>14291</v>
      </c>
      <c r="H2992">
        <v>93524417</v>
      </c>
      <c r="I2992" t="s">
        <v>14292</v>
      </c>
      <c r="L2992" t="s">
        <v>21926</v>
      </c>
      <c r="M2992">
        <v>201</v>
      </c>
      <c r="N2992" t="s">
        <v>21927</v>
      </c>
    </row>
    <row r="2993" spans="1:14">
      <c r="A2993" t="s">
        <v>9256</v>
      </c>
      <c r="B2993">
        <v>3559581</v>
      </c>
      <c r="C2993">
        <v>3560720</v>
      </c>
      <c r="E2993" t="s">
        <v>14314</v>
      </c>
      <c r="F2993" t="s">
        <v>18341</v>
      </c>
      <c r="H2993">
        <v>93524418</v>
      </c>
      <c r="I2993" t="s">
        <v>14292</v>
      </c>
      <c r="L2993" t="s">
        <v>21928</v>
      </c>
      <c r="M2993">
        <v>379</v>
      </c>
      <c r="N2993" t="s">
        <v>21929</v>
      </c>
    </row>
    <row r="2994" spans="1:14">
      <c r="A2994" t="s">
        <v>9256</v>
      </c>
      <c r="B2994">
        <v>3560725</v>
      </c>
      <c r="C2994">
        <v>3560973</v>
      </c>
      <c r="E2994" t="s">
        <v>14314</v>
      </c>
      <c r="F2994" t="s">
        <v>14291</v>
      </c>
      <c r="H2994">
        <v>93524419</v>
      </c>
      <c r="I2994" t="s">
        <v>14292</v>
      </c>
      <c r="L2994" t="s">
        <v>21930</v>
      </c>
      <c r="M2994">
        <v>82</v>
      </c>
      <c r="N2994" t="s">
        <v>21931</v>
      </c>
    </row>
    <row r="2995" spans="1:14">
      <c r="A2995" t="s">
        <v>9256</v>
      </c>
      <c r="B2995">
        <v>3561089</v>
      </c>
      <c r="C2995">
        <v>3562405</v>
      </c>
      <c r="E2995" t="s">
        <v>14314</v>
      </c>
      <c r="F2995" t="s">
        <v>21932</v>
      </c>
      <c r="G2995" t="s">
        <v>21933</v>
      </c>
      <c r="H2995">
        <v>93524420</v>
      </c>
      <c r="I2995" t="s">
        <v>14292</v>
      </c>
      <c r="L2995" t="s">
        <v>21934</v>
      </c>
      <c r="M2995">
        <v>438</v>
      </c>
      <c r="N2995" t="s">
        <v>21935</v>
      </c>
    </row>
    <row r="2996" spans="1:14">
      <c r="A2996" t="s">
        <v>9256</v>
      </c>
      <c r="B2996">
        <v>3562409</v>
      </c>
      <c r="C2996">
        <v>3563617</v>
      </c>
      <c r="E2996" t="s">
        <v>14314</v>
      </c>
      <c r="F2996" t="s">
        <v>21936</v>
      </c>
      <c r="H2996">
        <v>93524421</v>
      </c>
      <c r="I2996" t="s">
        <v>14292</v>
      </c>
      <c r="L2996" t="s">
        <v>21937</v>
      </c>
      <c r="M2996">
        <v>402</v>
      </c>
      <c r="N2996" t="s">
        <v>21938</v>
      </c>
    </row>
    <row r="2997" spans="1:14">
      <c r="A2997" t="s">
        <v>9256</v>
      </c>
      <c r="B2997">
        <v>3563620</v>
      </c>
      <c r="C2997">
        <v>3566061</v>
      </c>
      <c r="E2997" t="s">
        <v>14314</v>
      </c>
      <c r="F2997" t="s">
        <v>21939</v>
      </c>
      <c r="G2997" t="s">
        <v>21940</v>
      </c>
      <c r="H2997">
        <v>93524422</v>
      </c>
      <c r="I2997" t="s">
        <v>14292</v>
      </c>
      <c r="L2997" t="s">
        <v>21941</v>
      </c>
      <c r="M2997">
        <v>813</v>
      </c>
      <c r="N2997" t="s">
        <v>21942</v>
      </c>
    </row>
    <row r="2998" spans="1:14">
      <c r="A2998" t="s">
        <v>9256</v>
      </c>
      <c r="B2998">
        <v>3566344</v>
      </c>
      <c r="C2998">
        <v>3567309</v>
      </c>
      <c r="E2998" t="s">
        <v>14314</v>
      </c>
      <c r="F2998" t="s">
        <v>15525</v>
      </c>
      <c r="H2998">
        <v>93524423</v>
      </c>
      <c r="I2998" t="s">
        <v>14292</v>
      </c>
      <c r="L2998" t="s">
        <v>21943</v>
      </c>
      <c r="M2998">
        <v>321</v>
      </c>
      <c r="N2998" t="s">
        <v>21944</v>
      </c>
    </row>
    <row r="2999" spans="1:14">
      <c r="A2999" t="s">
        <v>9256</v>
      </c>
      <c r="B2999">
        <v>3567466</v>
      </c>
      <c r="C2999">
        <v>3568329</v>
      </c>
      <c r="E2999" t="s">
        <v>14314</v>
      </c>
      <c r="F2999" t="s">
        <v>21945</v>
      </c>
      <c r="H2999">
        <v>93524424</v>
      </c>
      <c r="I2999" t="s">
        <v>14292</v>
      </c>
      <c r="L2999" t="s">
        <v>21946</v>
      </c>
      <c r="M2999">
        <v>287</v>
      </c>
      <c r="N2999" t="s">
        <v>21947</v>
      </c>
    </row>
    <row r="3000" spans="1:14">
      <c r="A3000" t="s">
        <v>9256</v>
      </c>
      <c r="B3000">
        <v>3568317</v>
      </c>
      <c r="C3000">
        <v>3569894</v>
      </c>
      <c r="E3000" t="s">
        <v>14314</v>
      </c>
      <c r="F3000" t="s">
        <v>21948</v>
      </c>
      <c r="G3000" t="s">
        <v>21949</v>
      </c>
      <c r="H3000">
        <v>93524425</v>
      </c>
      <c r="I3000" t="s">
        <v>14292</v>
      </c>
      <c r="L3000" t="s">
        <v>21950</v>
      </c>
      <c r="M3000">
        <v>525</v>
      </c>
      <c r="N3000" t="s">
        <v>21951</v>
      </c>
    </row>
    <row r="3001" spans="1:14">
      <c r="A3001" t="s">
        <v>9256</v>
      </c>
      <c r="B3001">
        <v>3569907</v>
      </c>
      <c r="C3001">
        <v>3570449</v>
      </c>
      <c r="E3001" t="s">
        <v>14314</v>
      </c>
      <c r="F3001" t="s">
        <v>21952</v>
      </c>
      <c r="H3001">
        <v>93524426</v>
      </c>
      <c r="I3001" t="s">
        <v>14292</v>
      </c>
      <c r="L3001" t="s">
        <v>21953</v>
      </c>
      <c r="M3001">
        <v>180</v>
      </c>
      <c r="N3001" t="s">
        <v>21954</v>
      </c>
    </row>
    <row r="3002" spans="1:14">
      <c r="A3002" t="s">
        <v>9256</v>
      </c>
      <c r="B3002">
        <v>3570453</v>
      </c>
      <c r="C3002">
        <v>3570953</v>
      </c>
      <c r="E3002" t="s">
        <v>14314</v>
      </c>
      <c r="F3002" t="s">
        <v>21955</v>
      </c>
      <c r="G3002" t="s">
        <v>21956</v>
      </c>
      <c r="H3002">
        <v>93524427</v>
      </c>
      <c r="I3002" t="s">
        <v>14292</v>
      </c>
      <c r="L3002" t="s">
        <v>21957</v>
      </c>
      <c r="M3002">
        <v>166</v>
      </c>
      <c r="N3002" t="s">
        <v>21958</v>
      </c>
    </row>
    <row r="3003" spans="1:14">
      <c r="A3003" t="s">
        <v>9256</v>
      </c>
      <c r="B3003">
        <v>3570968</v>
      </c>
      <c r="C3003">
        <v>3571222</v>
      </c>
      <c r="E3003" t="s">
        <v>14314</v>
      </c>
      <c r="F3003" t="s">
        <v>21959</v>
      </c>
      <c r="G3003" t="s">
        <v>21960</v>
      </c>
      <c r="H3003">
        <v>93524428</v>
      </c>
      <c r="I3003" t="s">
        <v>14292</v>
      </c>
      <c r="L3003" t="s">
        <v>21961</v>
      </c>
      <c r="M3003">
        <v>84</v>
      </c>
      <c r="N3003" t="s">
        <v>21962</v>
      </c>
    </row>
    <row r="3004" spans="1:14">
      <c r="A3004" t="s">
        <v>9256</v>
      </c>
      <c r="B3004">
        <v>3571285</v>
      </c>
      <c r="C3004">
        <v>3572334</v>
      </c>
      <c r="E3004" t="s">
        <v>14314</v>
      </c>
      <c r="F3004" t="s">
        <v>21963</v>
      </c>
      <c r="G3004" t="s">
        <v>21964</v>
      </c>
      <c r="H3004">
        <v>93524429</v>
      </c>
      <c r="I3004" t="s">
        <v>14292</v>
      </c>
      <c r="L3004" t="s">
        <v>21965</v>
      </c>
      <c r="M3004">
        <v>349</v>
      </c>
      <c r="N3004" t="s">
        <v>21966</v>
      </c>
    </row>
    <row r="3005" spans="1:14">
      <c r="A3005" t="s">
        <v>9256</v>
      </c>
      <c r="B3005">
        <v>3572312</v>
      </c>
      <c r="C3005">
        <v>3572743</v>
      </c>
      <c r="E3005" t="s">
        <v>14314</v>
      </c>
      <c r="F3005" t="s">
        <v>14291</v>
      </c>
      <c r="H3005">
        <v>93524430</v>
      </c>
      <c r="I3005" t="s">
        <v>14292</v>
      </c>
      <c r="L3005" t="s">
        <v>21967</v>
      </c>
      <c r="M3005">
        <v>143</v>
      </c>
      <c r="N3005" t="s">
        <v>21968</v>
      </c>
    </row>
    <row r="3006" spans="1:14">
      <c r="A3006" t="s">
        <v>9256</v>
      </c>
      <c r="B3006">
        <v>3572756</v>
      </c>
      <c r="C3006">
        <v>3572989</v>
      </c>
      <c r="E3006" t="s">
        <v>14314</v>
      </c>
      <c r="F3006" t="s">
        <v>21969</v>
      </c>
      <c r="G3006" t="s">
        <v>21970</v>
      </c>
      <c r="H3006">
        <v>93524431</v>
      </c>
      <c r="I3006" t="s">
        <v>14292</v>
      </c>
      <c r="L3006" t="s">
        <v>21971</v>
      </c>
      <c r="M3006">
        <v>77</v>
      </c>
      <c r="N3006" t="s">
        <v>21972</v>
      </c>
    </row>
    <row r="3007" spans="1:14">
      <c r="A3007" t="s">
        <v>9256</v>
      </c>
      <c r="B3007">
        <v>3572995</v>
      </c>
      <c r="C3007">
        <v>3574512</v>
      </c>
      <c r="E3007" t="s">
        <v>14314</v>
      </c>
      <c r="F3007" t="s">
        <v>21973</v>
      </c>
      <c r="G3007" t="s">
        <v>21974</v>
      </c>
      <c r="H3007">
        <v>93524432</v>
      </c>
      <c r="I3007" t="s">
        <v>14292</v>
      </c>
      <c r="L3007" t="s">
        <v>21975</v>
      </c>
      <c r="M3007">
        <v>505</v>
      </c>
      <c r="N3007" t="s">
        <v>21976</v>
      </c>
    </row>
    <row r="3008" spans="1:14">
      <c r="A3008" t="s">
        <v>9256</v>
      </c>
      <c r="B3008">
        <v>3574890</v>
      </c>
      <c r="C3008">
        <v>3575621</v>
      </c>
      <c r="E3008" t="s">
        <v>14290</v>
      </c>
      <c r="F3008" t="s">
        <v>21977</v>
      </c>
      <c r="H3008">
        <v>93524433</v>
      </c>
      <c r="I3008" t="s">
        <v>14292</v>
      </c>
      <c r="L3008" t="s">
        <v>21978</v>
      </c>
      <c r="M3008">
        <v>243</v>
      </c>
      <c r="N3008" t="s">
        <v>21979</v>
      </c>
    </row>
    <row r="3009" spans="1:14">
      <c r="A3009" t="s">
        <v>9256</v>
      </c>
      <c r="B3009">
        <v>3575789</v>
      </c>
      <c r="C3009">
        <v>3576169</v>
      </c>
      <c r="E3009" t="s">
        <v>14290</v>
      </c>
      <c r="F3009" t="s">
        <v>14291</v>
      </c>
      <c r="H3009">
        <v>93524434</v>
      </c>
      <c r="I3009" t="s">
        <v>14292</v>
      </c>
      <c r="L3009" t="s">
        <v>21980</v>
      </c>
      <c r="M3009">
        <v>126</v>
      </c>
      <c r="N3009" t="s">
        <v>21981</v>
      </c>
    </row>
    <row r="3010" spans="1:14">
      <c r="A3010" t="s">
        <v>9256</v>
      </c>
      <c r="B3010">
        <v>3576259</v>
      </c>
      <c r="C3010">
        <v>3577422</v>
      </c>
      <c r="E3010" t="s">
        <v>14290</v>
      </c>
      <c r="F3010" t="s">
        <v>14503</v>
      </c>
      <c r="H3010">
        <v>93524435</v>
      </c>
      <c r="I3010" t="s">
        <v>14292</v>
      </c>
      <c r="L3010" t="s">
        <v>21982</v>
      </c>
      <c r="M3010">
        <v>387</v>
      </c>
      <c r="N3010" t="s">
        <v>21983</v>
      </c>
    </row>
    <row r="3011" spans="1:14">
      <c r="A3011" t="s">
        <v>9256</v>
      </c>
      <c r="B3011">
        <v>3577428</v>
      </c>
      <c r="C3011">
        <v>3580586</v>
      </c>
      <c r="E3011" t="s">
        <v>14290</v>
      </c>
      <c r="F3011" t="s">
        <v>14548</v>
      </c>
      <c r="H3011">
        <v>93524436</v>
      </c>
      <c r="I3011" t="s">
        <v>14292</v>
      </c>
      <c r="L3011" t="s">
        <v>21984</v>
      </c>
      <c r="M3011">
        <v>1052</v>
      </c>
      <c r="N3011" t="s">
        <v>21985</v>
      </c>
    </row>
    <row r="3012" spans="1:14">
      <c r="A3012" t="s">
        <v>9256</v>
      </c>
      <c r="B3012">
        <v>3580576</v>
      </c>
      <c r="C3012">
        <v>3582018</v>
      </c>
      <c r="E3012" t="s">
        <v>14290</v>
      </c>
      <c r="F3012" t="s">
        <v>21986</v>
      </c>
      <c r="H3012">
        <v>93524437</v>
      </c>
      <c r="I3012" t="s">
        <v>14292</v>
      </c>
      <c r="L3012" t="s">
        <v>21987</v>
      </c>
      <c r="M3012">
        <v>480</v>
      </c>
      <c r="N3012" t="s">
        <v>21988</v>
      </c>
    </row>
    <row r="3013" spans="1:14">
      <c r="A3013" t="s">
        <v>9256</v>
      </c>
      <c r="B3013">
        <v>3582427</v>
      </c>
      <c r="C3013">
        <v>3585069</v>
      </c>
      <c r="E3013" t="s">
        <v>14290</v>
      </c>
      <c r="F3013" t="s">
        <v>21989</v>
      </c>
      <c r="H3013">
        <v>93524438</v>
      </c>
      <c r="I3013" t="s">
        <v>14292</v>
      </c>
      <c r="L3013" t="s">
        <v>21990</v>
      </c>
      <c r="M3013">
        <v>880</v>
      </c>
      <c r="N3013" t="s">
        <v>21991</v>
      </c>
    </row>
    <row r="3014" spans="1:14">
      <c r="A3014" t="s">
        <v>9256</v>
      </c>
      <c r="B3014">
        <v>3585944</v>
      </c>
      <c r="C3014">
        <v>3589045</v>
      </c>
      <c r="E3014" t="s">
        <v>14290</v>
      </c>
      <c r="F3014" t="s">
        <v>14965</v>
      </c>
      <c r="H3014">
        <v>93524439</v>
      </c>
      <c r="I3014" t="s">
        <v>14292</v>
      </c>
      <c r="L3014" t="s">
        <v>21992</v>
      </c>
      <c r="M3014">
        <v>1033</v>
      </c>
      <c r="N3014" t="s">
        <v>21993</v>
      </c>
    </row>
    <row r="3015" spans="1:14">
      <c r="A3015" t="s">
        <v>9256</v>
      </c>
      <c r="B3015">
        <v>3589063</v>
      </c>
      <c r="C3015">
        <v>3590862</v>
      </c>
      <c r="E3015" t="s">
        <v>14290</v>
      </c>
      <c r="F3015" t="s">
        <v>15179</v>
      </c>
      <c r="H3015">
        <v>93524440</v>
      </c>
      <c r="I3015" t="s">
        <v>14292</v>
      </c>
      <c r="L3015" t="s">
        <v>21994</v>
      </c>
      <c r="M3015">
        <v>599</v>
      </c>
      <c r="N3015" t="s">
        <v>21995</v>
      </c>
    </row>
    <row r="3016" spans="1:14">
      <c r="A3016" t="s">
        <v>9256</v>
      </c>
      <c r="B3016">
        <v>3590895</v>
      </c>
      <c r="C3016">
        <v>3591791</v>
      </c>
      <c r="E3016" t="s">
        <v>14290</v>
      </c>
      <c r="F3016" t="s">
        <v>14985</v>
      </c>
      <c r="H3016">
        <v>93524441</v>
      </c>
      <c r="I3016" t="s">
        <v>14292</v>
      </c>
      <c r="L3016" t="s">
        <v>21996</v>
      </c>
      <c r="M3016">
        <v>298</v>
      </c>
      <c r="N3016" t="s">
        <v>21997</v>
      </c>
    </row>
    <row r="3017" spans="1:14">
      <c r="A3017" t="s">
        <v>9256</v>
      </c>
      <c r="B3017">
        <v>3591975</v>
      </c>
      <c r="C3017">
        <v>3592169</v>
      </c>
      <c r="E3017" t="s">
        <v>14290</v>
      </c>
      <c r="F3017" t="s">
        <v>17856</v>
      </c>
      <c r="H3017">
        <v>93524442</v>
      </c>
      <c r="I3017" t="s">
        <v>14292</v>
      </c>
      <c r="L3017" t="s">
        <v>21998</v>
      </c>
      <c r="M3017">
        <v>64</v>
      </c>
      <c r="N3017" t="s">
        <v>21999</v>
      </c>
    </row>
    <row r="3018" spans="1:14">
      <c r="A3018" t="s">
        <v>9256</v>
      </c>
      <c r="B3018">
        <v>3592173</v>
      </c>
      <c r="C3018">
        <v>3594194</v>
      </c>
      <c r="E3018" t="s">
        <v>14290</v>
      </c>
      <c r="F3018" t="s">
        <v>22000</v>
      </c>
      <c r="G3018" t="s">
        <v>22001</v>
      </c>
      <c r="H3018">
        <v>93524443</v>
      </c>
      <c r="I3018" t="s">
        <v>14292</v>
      </c>
      <c r="L3018" t="s">
        <v>22002</v>
      </c>
      <c r="M3018">
        <v>673</v>
      </c>
      <c r="N3018" t="s">
        <v>22003</v>
      </c>
    </row>
    <row r="3019" spans="1:14">
      <c r="A3019" t="s">
        <v>9256</v>
      </c>
      <c r="B3019">
        <v>3594198</v>
      </c>
      <c r="C3019">
        <v>3595070</v>
      </c>
      <c r="E3019" t="s">
        <v>14290</v>
      </c>
      <c r="F3019" t="s">
        <v>22004</v>
      </c>
      <c r="H3019">
        <v>93524444</v>
      </c>
      <c r="I3019" t="s">
        <v>14292</v>
      </c>
      <c r="L3019" t="s">
        <v>22005</v>
      </c>
      <c r="M3019">
        <v>290</v>
      </c>
      <c r="N3019" t="s">
        <v>22006</v>
      </c>
    </row>
    <row r="3020" spans="1:14">
      <c r="A3020" t="s">
        <v>9256</v>
      </c>
      <c r="B3020">
        <v>3595064</v>
      </c>
      <c r="C3020">
        <v>3597268</v>
      </c>
      <c r="E3020" t="s">
        <v>14314</v>
      </c>
      <c r="F3020" t="s">
        <v>22007</v>
      </c>
      <c r="H3020">
        <v>93524445</v>
      </c>
      <c r="I3020" t="s">
        <v>14292</v>
      </c>
      <c r="L3020" t="s">
        <v>22008</v>
      </c>
      <c r="M3020">
        <v>734</v>
      </c>
      <c r="N3020" t="s">
        <v>22009</v>
      </c>
    </row>
    <row r="3021" spans="1:14">
      <c r="A3021" t="s">
        <v>9256</v>
      </c>
      <c r="B3021">
        <v>3597482</v>
      </c>
      <c r="C3021">
        <v>3598132</v>
      </c>
      <c r="E3021" t="s">
        <v>14290</v>
      </c>
      <c r="F3021" t="s">
        <v>15027</v>
      </c>
      <c r="H3021">
        <v>93524446</v>
      </c>
      <c r="I3021" t="s">
        <v>14292</v>
      </c>
      <c r="L3021" t="s">
        <v>22010</v>
      </c>
      <c r="M3021">
        <v>216</v>
      </c>
      <c r="N3021" t="s">
        <v>22011</v>
      </c>
    </row>
    <row r="3022" spans="1:14">
      <c r="A3022" t="s">
        <v>9256</v>
      </c>
      <c r="B3022">
        <v>3598195</v>
      </c>
      <c r="C3022">
        <v>3598998</v>
      </c>
      <c r="E3022" t="s">
        <v>14314</v>
      </c>
      <c r="F3022" t="s">
        <v>22012</v>
      </c>
      <c r="G3022" t="s">
        <v>22013</v>
      </c>
      <c r="H3022">
        <v>93524447</v>
      </c>
      <c r="I3022" t="s">
        <v>14292</v>
      </c>
      <c r="L3022" t="s">
        <v>22014</v>
      </c>
      <c r="M3022">
        <v>267</v>
      </c>
      <c r="N3022" t="s">
        <v>22015</v>
      </c>
    </row>
    <row r="3023" spans="1:14">
      <c r="A3023" t="s">
        <v>9256</v>
      </c>
      <c r="B3023">
        <v>3598995</v>
      </c>
      <c r="C3023">
        <v>3599918</v>
      </c>
      <c r="E3023" t="s">
        <v>14314</v>
      </c>
      <c r="F3023" t="s">
        <v>16017</v>
      </c>
      <c r="G3023" t="s">
        <v>16018</v>
      </c>
      <c r="H3023">
        <v>93524448</v>
      </c>
      <c r="I3023" t="s">
        <v>14292</v>
      </c>
      <c r="L3023" t="s">
        <v>22016</v>
      </c>
      <c r="M3023">
        <v>307</v>
      </c>
      <c r="N3023" t="s">
        <v>22017</v>
      </c>
    </row>
    <row r="3024" spans="1:14">
      <c r="A3024" t="s">
        <v>9256</v>
      </c>
      <c r="B3024">
        <v>3599988</v>
      </c>
      <c r="C3024">
        <v>3600989</v>
      </c>
      <c r="E3024" t="s">
        <v>14314</v>
      </c>
      <c r="F3024" t="s">
        <v>22018</v>
      </c>
      <c r="G3024" t="s">
        <v>22019</v>
      </c>
      <c r="H3024">
        <v>93524449</v>
      </c>
      <c r="I3024" t="s">
        <v>14292</v>
      </c>
      <c r="L3024" t="s">
        <v>22020</v>
      </c>
      <c r="M3024">
        <v>333</v>
      </c>
      <c r="N3024" t="s">
        <v>22021</v>
      </c>
    </row>
    <row r="3025" spans="1:14">
      <c r="A3025" t="s">
        <v>9256</v>
      </c>
      <c r="B3025">
        <v>3601176</v>
      </c>
      <c r="C3025">
        <v>3601550</v>
      </c>
      <c r="E3025" t="s">
        <v>14314</v>
      </c>
      <c r="F3025" t="s">
        <v>14291</v>
      </c>
      <c r="H3025">
        <v>93524450</v>
      </c>
      <c r="I3025" t="s">
        <v>14292</v>
      </c>
      <c r="L3025" t="s">
        <v>22022</v>
      </c>
      <c r="M3025">
        <v>124</v>
      </c>
      <c r="N3025" t="s">
        <v>22023</v>
      </c>
    </row>
    <row r="3026" spans="1:14">
      <c r="A3026" t="s">
        <v>9256</v>
      </c>
      <c r="B3026">
        <v>3601510</v>
      </c>
      <c r="C3026">
        <v>3601917</v>
      </c>
      <c r="E3026" t="s">
        <v>14314</v>
      </c>
      <c r="F3026" t="s">
        <v>22024</v>
      </c>
      <c r="H3026">
        <v>93524451</v>
      </c>
      <c r="I3026" t="s">
        <v>14292</v>
      </c>
      <c r="L3026" t="s">
        <v>22025</v>
      </c>
      <c r="M3026">
        <v>135</v>
      </c>
      <c r="N3026" t="s">
        <v>22026</v>
      </c>
    </row>
    <row r="3027" spans="1:14">
      <c r="A3027" t="s">
        <v>9256</v>
      </c>
      <c r="B3027">
        <v>3601925</v>
      </c>
      <c r="C3027">
        <v>3602146</v>
      </c>
      <c r="E3027" t="s">
        <v>14314</v>
      </c>
      <c r="F3027" t="s">
        <v>22027</v>
      </c>
      <c r="H3027">
        <v>93524452</v>
      </c>
      <c r="I3027" t="s">
        <v>14292</v>
      </c>
      <c r="L3027" t="s">
        <v>22028</v>
      </c>
      <c r="M3027">
        <v>73</v>
      </c>
      <c r="N3027" t="s">
        <v>22029</v>
      </c>
    </row>
    <row r="3028" spans="1:14">
      <c r="A3028" t="s">
        <v>9256</v>
      </c>
      <c r="B3028">
        <v>3602236</v>
      </c>
      <c r="C3028">
        <v>3603087</v>
      </c>
      <c r="E3028" t="s">
        <v>14314</v>
      </c>
      <c r="F3028" t="s">
        <v>22030</v>
      </c>
      <c r="G3028" t="s">
        <v>22031</v>
      </c>
      <c r="H3028">
        <v>93524453</v>
      </c>
      <c r="I3028" t="s">
        <v>14292</v>
      </c>
      <c r="L3028" t="s">
        <v>22032</v>
      </c>
      <c r="M3028">
        <v>283</v>
      </c>
      <c r="N3028" t="s">
        <v>22033</v>
      </c>
    </row>
    <row r="3029" spans="1:14">
      <c r="A3029" t="s">
        <v>9256</v>
      </c>
      <c r="B3029">
        <v>3603166</v>
      </c>
      <c r="C3029">
        <v>3603612</v>
      </c>
      <c r="E3029" t="s">
        <v>14314</v>
      </c>
      <c r="F3029" t="s">
        <v>14487</v>
      </c>
      <c r="H3029">
        <v>93524454</v>
      </c>
      <c r="I3029" t="s">
        <v>14292</v>
      </c>
      <c r="L3029" t="s">
        <v>22034</v>
      </c>
      <c r="M3029">
        <v>148</v>
      </c>
      <c r="N3029" t="s">
        <v>22035</v>
      </c>
    </row>
    <row r="3030" spans="1:14">
      <c r="A3030" t="s">
        <v>9256</v>
      </c>
      <c r="B3030">
        <v>3603930</v>
      </c>
      <c r="C3030">
        <v>3604028</v>
      </c>
      <c r="E3030" t="s">
        <v>14314</v>
      </c>
      <c r="F3030" t="s">
        <v>15106</v>
      </c>
      <c r="H3030">
        <v>93524455</v>
      </c>
      <c r="I3030" t="s">
        <v>14292</v>
      </c>
      <c r="L3030" t="s">
        <v>22036</v>
      </c>
      <c r="M3030">
        <v>32</v>
      </c>
      <c r="N3030" t="s">
        <v>22037</v>
      </c>
    </row>
    <row r="3031" spans="1:14">
      <c r="A3031" t="s">
        <v>9256</v>
      </c>
      <c r="B3031">
        <v>3604304</v>
      </c>
      <c r="C3031">
        <v>3604801</v>
      </c>
      <c r="E3031" t="s">
        <v>14314</v>
      </c>
      <c r="F3031" t="s">
        <v>15103</v>
      </c>
      <c r="H3031">
        <v>93524456</v>
      </c>
      <c r="I3031" t="s">
        <v>14292</v>
      </c>
      <c r="L3031" t="s">
        <v>22038</v>
      </c>
      <c r="M3031">
        <v>165</v>
      </c>
      <c r="N3031" t="s">
        <v>22039</v>
      </c>
    </row>
    <row r="3032" spans="1:14">
      <c r="A3032" t="s">
        <v>9256</v>
      </c>
      <c r="B3032">
        <v>3605029</v>
      </c>
      <c r="C3032">
        <v>3605268</v>
      </c>
      <c r="E3032" t="s">
        <v>14290</v>
      </c>
      <c r="F3032" t="s">
        <v>15100</v>
      </c>
      <c r="H3032">
        <v>93524457</v>
      </c>
      <c r="I3032" t="s">
        <v>14292</v>
      </c>
      <c r="L3032" t="s">
        <v>22040</v>
      </c>
      <c r="M3032">
        <v>79</v>
      </c>
      <c r="N3032" t="s">
        <v>22041</v>
      </c>
    </row>
    <row r="3033" spans="1:14">
      <c r="A3033" t="s">
        <v>9256</v>
      </c>
      <c r="B3033">
        <v>3605502</v>
      </c>
      <c r="C3033">
        <v>3607307</v>
      </c>
      <c r="E3033" t="s">
        <v>14314</v>
      </c>
      <c r="F3033" t="s">
        <v>15097</v>
      </c>
      <c r="H3033">
        <v>93524458</v>
      </c>
      <c r="I3033" t="s">
        <v>14292</v>
      </c>
      <c r="L3033" t="s">
        <v>22042</v>
      </c>
      <c r="M3033">
        <v>601</v>
      </c>
      <c r="N3033" t="s">
        <v>22043</v>
      </c>
    </row>
    <row r="3034" spans="1:14">
      <c r="A3034" t="s">
        <v>9256</v>
      </c>
      <c r="B3034">
        <v>3607335</v>
      </c>
      <c r="C3034">
        <v>3607967</v>
      </c>
      <c r="E3034" t="s">
        <v>14314</v>
      </c>
      <c r="F3034" t="s">
        <v>15094</v>
      </c>
      <c r="H3034">
        <v>93524459</v>
      </c>
      <c r="I3034" t="s">
        <v>14292</v>
      </c>
      <c r="L3034" t="s">
        <v>22044</v>
      </c>
      <c r="M3034">
        <v>210</v>
      </c>
      <c r="N3034" t="s">
        <v>22045</v>
      </c>
    </row>
    <row r="3035" spans="1:14">
      <c r="A3035" t="s">
        <v>9256</v>
      </c>
      <c r="B3035">
        <v>3608110</v>
      </c>
      <c r="C3035">
        <v>3609042</v>
      </c>
      <c r="E3035" t="s">
        <v>14290</v>
      </c>
      <c r="F3035" t="s">
        <v>15126</v>
      </c>
      <c r="H3035">
        <v>93524460</v>
      </c>
      <c r="I3035" t="s">
        <v>14292</v>
      </c>
      <c r="L3035" t="s">
        <v>22046</v>
      </c>
      <c r="M3035">
        <v>310</v>
      </c>
      <c r="N3035" t="s">
        <v>22047</v>
      </c>
    </row>
    <row r="3036" spans="1:14">
      <c r="A3036" t="s">
        <v>9256</v>
      </c>
      <c r="B3036">
        <v>3609559</v>
      </c>
      <c r="C3036">
        <v>3610680</v>
      </c>
      <c r="E3036" t="s">
        <v>14290</v>
      </c>
      <c r="F3036" t="s">
        <v>17457</v>
      </c>
      <c r="H3036">
        <v>93524461</v>
      </c>
      <c r="I3036" t="s">
        <v>14292</v>
      </c>
      <c r="L3036" t="s">
        <v>22048</v>
      </c>
      <c r="M3036">
        <v>373</v>
      </c>
      <c r="N3036" t="s">
        <v>22049</v>
      </c>
    </row>
    <row r="3037" spans="1:14">
      <c r="A3037" t="s">
        <v>9256</v>
      </c>
      <c r="B3037">
        <v>3610734</v>
      </c>
      <c r="C3037">
        <v>3611135</v>
      </c>
      <c r="E3037" t="s">
        <v>14290</v>
      </c>
      <c r="F3037" t="s">
        <v>14291</v>
      </c>
      <c r="H3037">
        <v>93524462</v>
      </c>
      <c r="I3037" t="s">
        <v>14292</v>
      </c>
      <c r="L3037" t="s">
        <v>22050</v>
      </c>
      <c r="M3037">
        <v>133</v>
      </c>
      <c r="N3037" t="s">
        <v>22051</v>
      </c>
    </row>
    <row r="3038" spans="1:14">
      <c r="A3038" t="s">
        <v>9256</v>
      </c>
      <c r="B3038">
        <v>3611150</v>
      </c>
      <c r="C3038">
        <v>3611287</v>
      </c>
      <c r="E3038" t="s">
        <v>14290</v>
      </c>
      <c r="F3038" t="s">
        <v>14291</v>
      </c>
      <c r="H3038">
        <v>93524463</v>
      </c>
      <c r="I3038" t="s">
        <v>14292</v>
      </c>
      <c r="L3038" t="s">
        <v>22052</v>
      </c>
      <c r="M3038">
        <v>45</v>
      </c>
      <c r="N3038" t="s">
        <v>22053</v>
      </c>
    </row>
    <row r="3039" spans="1:14">
      <c r="A3039" t="s">
        <v>9256</v>
      </c>
      <c r="B3039">
        <v>3611290</v>
      </c>
      <c r="C3039">
        <v>3611433</v>
      </c>
      <c r="E3039" t="s">
        <v>14290</v>
      </c>
      <c r="F3039" t="s">
        <v>14291</v>
      </c>
      <c r="H3039">
        <v>93524464</v>
      </c>
      <c r="I3039" t="s">
        <v>14292</v>
      </c>
      <c r="L3039" t="s">
        <v>22054</v>
      </c>
      <c r="M3039">
        <v>47</v>
      </c>
      <c r="N3039" t="s">
        <v>22055</v>
      </c>
    </row>
    <row r="3040" spans="1:14">
      <c r="A3040" t="s">
        <v>9256</v>
      </c>
      <c r="B3040">
        <v>3611451</v>
      </c>
      <c r="C3040">
        <v>3612599</v>
      </c>
      <c r="E3040" t="s">
        <v>14290</v>
      </c>
      <c r="F3040" t="s">
        <v>15111</v>
      </c>
      <c r="H3040">
        <v>93524465</v>
      </c>
      <c r="I3040" t="s">
        <v>14292</v>
      </c>
      <c r="L3040" t="s">
        <v>22056</v>
      </c>
      <c r="M3040">
        <v>382</v>
      </c>
      <c r="N3040" t="s">
        <v>22057</v>
      </c>
    </row>
    <row r="3041" spans="1:14">
      <c r="A3041" t="s">
        <v>9256</v>
      </c>
      <c r="B3041">
        <v>3612878</v>
      </c>
      <c r="C3041">
        <v>3614323</v>
      </c>
      <c r="E3041" t="s">
        <v>14290</v>
      </c>
      <c r="F3041" t="s">
        <v>22058</v>
      </c>
      <c r="H3041">
        <v>93524466</v>
      </c>
      <c r="I3041" t="s">
        <v>14292</v>
      </c>
      <c r="L3041" t="s">
        <v>22059</v>
      </c>
      <c r="M3041">
        <v>481</v>
      </c>
      <c r="N3041" t="s">
        <v>22060</v>
      </c>
    </row>
    <row r="3042" spans="1:14">
      <c r="A3042" t="s">
        <v>9256</v>
      </c>
      <c r="B3042">
        <v>3614324</v>
      </c>
      <c r="C3042">
        <v>3615457</v>
      </c>
      <c r="E3042" t="s">
        <v>14290</v>
      </c>
      <c r="F3042" t="s">
        <v>14343</v>
      </c>
      <c r="G3042" t="s">
        <v>14344</v>
      </c>
      <c r="H3042">
        <v>93524467</v>
      </c>
      <c r="I3042" t="s">
        <v>14292</v>
      </c>
      <c r="L3042" t="s">
        <v>22061</v>
      </c>
      <c r="M3042">
        <v>377</v>
      </c>
      <c r="N3042" t="s">
        <v>22062</v>
      </c>
    </row>
    <row r="3043" spans="1:14">
      <c r="A3043" t="s">
        <v>9256</v>
      </c>
      <c r="B3043">
        <v>3615464</v>
      </c>
      <c r="C3043">
        <v>3616411</v>
      </c>
      <c r="E3043" t="s">
        <v>14290</v>
      </c>
      <c r="F3043" t="s">
        <v>14364</v>
      </c>
      <c r="H3043">
        <v>93524468</v>
      </c>
      <c r="I3043" t="s">
        <v>14292</v>
      </c>
      <c r="L3043" t="s">
        <v>22063</v>
      </c>
      <c r="M3043">
        <v>315</v>
      </c>
      <c r="N3043" t="s">
        <v>22064</v>
      </c>
    </row>
    <row r="3044" spans="1:14">
      <c r="A3044" t="s">
        <v>9256</v>
      </c>
      <c r="B3044">
        <v>3616520</v>
      </c>
      <c r="C3044">
        <v>3617707</v>
      </c>
      <c r="E3044" t="s">
        <v>14290</v>
      </c>
      <c r="F3044" t="s">
        <v>14329</v>
      </c>
      <c r="H3044">
        <v>93524469</v>
      </c>
      <c r="I3044" t="s">
        <v>14292</v>
      </c>
      <c r="L3044" t="s">
        <v>22065</v>
      </c>
      <c r="M3044">
        <v>395</v>
      </c>
      <c r="N3044" t="s">
        <v>22066</v>
      </c>
    </row>
    <row r="3045" spans="1:14">
      <c r="A3045" t="s">
        <v>9256</v>
      </c>
      <c r="B3045">
        <v>3617695</v>
      </c>
      <c r="C3045">
        <v>3618813</v>
      </c>
      <c r="E3045" t="s">
        <v>14290</v>
      </c>
      <c r="F3045" t="s">
        <v>14332</v>
      </c>
      <c r="H3045">
        <v>93524470</v>
      </c>
      <c r="I3045" t="s">
        <v>14292</v>
      </c>
      <c r="L3045" t="s">
        <v>22067</v>
      </c>
      <c r="M3045">
        <v>372</v>
      </c>
      <c r="N3045" t="s">
        <v>22068</v>
      </c>
    </row>
    <row r="3046" spans="1:14">
      <c r="A3046" t="s">
        <v>9256</v>
      </c>
      <c r="B3046">
        <v>3618817</v>
      </c>
      <c r="C3046">
        <v>3619974</v>
      </c>
      <c r="E3046" t="s">
        <v>14290</v>
      </c>
      <c r="F3046" t="s">
        <v>21332</v>
      </c>
      <c r="H3046">
        <v>93524471</v>
      </c>
      <c r="I3046" t="s">
        <v>14292</v>
      </c>
      <c r="L3046" t="s">
        <v>22069</v>
      </c>
      <c r="M3046">
        <v>385</v>
      </c>
      <c r="N3046" t="s">
        <v>22070</v>
      </c>
    </row>
    <row r="3047" spans="1:14">
      <c r="A3047" t="s">
        <v>9256</v>
      </c>
      <c r="B3047">
        <v>3619985</v>
      </c>
      <c r="C3047">
        <v>3621115</v>
      </c>
      <c r="E3047" t="s">
        <v>14290</v>
      </c>
      <c r="F3047" t="s">
        <v>14361</v>
      </c>
      <c r="H3047">
        <v>93524472</v>
      </c>
      <c r="I3047" t="s">
        <v>14292</v>
      </c>
      <c r="L3047" t="s">
        <v>22071</v>
      </c>
      <c r="M3047">
        <v>376</v>
      </c>
      <c r="N3047" t="s">
        <v>22072</v>
      </c>
    </row>
    <row r="3048" spans="1:14">
      <c r="A3048" t="s">
        <v>9256</v>
      </c>
      <c r="B3048">
        <v>3621118</v>
      </c>
      <c r="C3048">
        <v>3622227</v>
      </c>
      <c r="E3048" t="s">
        <v>14290</v>
      </c>
      <c r="F3048" t="s">
        <v>14361</v>
      </c>
      <c r="H3048">
        <v>93524473</v>
      </c>
      <c r="I3048" t="s">
        <v>14292</v>
      </c>
      <c r="L3048" t="s">
        <v>22073</v>
      </c>
      <c r="M3048">
        <v>369</v>
      </c>
      <c r="N3048" t="s">
        <v>22074</v>
      </c>
    </row>
    <row r="3049" spans="1:14">
      <c r="A3049" t="s">
        <v>9256</v>
      </c>
      <c r="B3049">
        <v>3622248</v>
      </c>
      <c r="C3049">
        <v>3623339</v>
      </c>
      <c r="E3049" t="s">
        <v>14290</v>
      </c>
      <c r="F3049" t="s">
        <v>14361</v>
      </c>
      <c r="H3049">
        <v>93524474</v>
      </c>
      <c r="I3049" t="s">
        <v>14292</v>
      </c>
      <c r="L3049" t="s">
        <v>22075</v>
      </c>
      <c r="M3049">
        <v>363</v>
      </c>
      <c r="N3049" t="s">
        <v>22076</v>
      </c>
    </row>
    <row r="3050" spans="1:14">
      <c r="A3050" t="s">
        <v>9256</v>
      </c>
      <c r="B3050">
        <v>3623400</v>
      </c>
      <c r="C3050">
        <v>3624521</v>
      </c>
      <c r="E3050" t="s">
        <v>14290</v>
      </c>
      <c r="F3050" t="s">
        <v>22077</v>
      </c>
      <c r="H3050">
        <v>93524475</v>
      </c>
      <c r="I3050" t="s">
        <v>14292</v>
      </c>
      <c r="L3050" t="s">
        <v>22078</v>
      </c>
      <c r="M3050">
        <v>373</v>
      </c>
      <c r="N3050" t="s">
        <v>22079</v>
      </c>
    </row>
    <row r="3051" spans="1:14">
      <c r="A3051" t="s">
        <v>9256</v>
      </c>
      <c r="B3051">
        <v>3624584</v>
      </c>
      <c r="C3051">
        <v>3625711</v>
      </c>
      <c r="E3051" t="s">
        <v>14314</v>
      </c>
      <c r="F3051" t="s">
        <v>22080</v>
      </c>
      <c r="H3051">
        <v>93524476</v>
      </c>
      <c r="I3051" t="s">
        <v>14292</v>
      </c>
      <c r="L3051" t="s">
        <v>22081</v>
      </c>
      <c r="M3051">
        <v>375</v>
      </c>
      <c r="N3051" t="s">
        <v>22082</v>
      </c>
    </row>
    <row r="3052" spans="1:14">
      <c r="A3052" t="s">
        <v>9256</v>
      </c>
      <c r="B3052">
        <v>3625711</v>
      </c>
      <c r="C3052">
        <v>3626046</v>
      </c>
      <c r="E3052" t="s">
        <v>14314</v>
      </c>
      <c r="F3052" t="s">
        <v>14406</v>
      </c>
      <c r="H3052">
        <v>93524477</v>
      </c>
      <c r="I3052" t="s">
        <v>14292</v>
      </c>
      <c r="L3052" t="s">
        <v>22083</v>
      </c>
      <c r="M3052">
        <v>111</v>
      </c>
      <c r="N3052" t="s">
        <v>22084</v>
      </c>
    </row>
    <row r="3053" spans="1:14">
      <c r="A3053" t="s">
        <v>9256</v>
      </c>
      <c r="B3053">
        <v>3626228</v>
      </c>
      <c r="C3053">
        <v>3626518</v>
      </c>
      <c r="E3053" t="s">
        <v>14290</v>
      </c>
      <c r="F3053" t="s">
        <v>14375</v>
      </c>
      <c r="H3053">
        <v>93524478</v>
      </c>
      <c r="I3053" t="s">
        <v>14292</v>
      </c>
      <c r="L3053" t="s">
        <v>22085</v>
      </c>
      <c r="M3053">
        <v>96</v>
      </c>
      <c r="N3053" t="s">
        <v>22086</v>
      </c>
    </row>
    <row r="3054" spans="1:14">
      <c r="A3054" t="s">
        <v>9256</v>
      </c>
      <c r="B3054">
        <v>3626515</v>
      </c>
      <c r="C3054">
        <v>3626988</v>
      </c>
      <c r="E3054" t="s">
        <v>14290</v>
      </c>
      <c r="F3054" t="s">
        <v>14291</v>
      </c>
      <c r="H3054">
        <v>93524479</v>
      </c>
      <c r="I3054" t="s">
        <v>14292</v>
      </c>
      <c r="L3054" t="s">
        <v>22087</v>
      </c>
      <c r="M3054">
        <v>157</v>
      </c>
      <c r="N3054" t="s">
        <v>22088</v>
      </c>
    </row>
    <row r="3055" spans="1:14">
      <c r="A3055" t="s">
        <v>9256</v>
      </c>
      <c r="B3055">
        <v>3627129</v>
      </c>
      <c r="C3055">
        <v>3627446</v>
      </c>
      <c r="E3055" t="s">
        <v>14290</v>
      </c>
      <c r="F3055" t="s">
        <v>22089</v>
      </c>
      <c r="G3055" t="s">
        <v>22090</v>
      </c>
      <c r="H3055">
        <v>93524480</v>
      </c>
      <c r="I3055" t="s">
        <v>14292</v>
      </c>
      <c r="L3055" t="s">
        <v>22091</v>
      </c>
      <c r="M3055">
        <v>105</v>
      </c>
      <c r="N3055" t="s">
        <v>22092</v>
      </c>
    </row>
    <row r="3056" spans="1:14">
      <c r="A3056" t="s">
        <v>9256</v>
      </c>
      <c r="B3056">
        <v>3627469</v>
      </c>
      <c r="C3056">
        <v>3627735</v>
      </c>
      <c r="E3056" t="s">
        <v>14290</v>
      </c>
      <c r="F3056" t="s">
        <v>22093</v>
      </c>
      <c r="G3056" t="s">
        <v>22094</v>
      </c>
      <c r="H3056">
        <v>93524481</v>
      </c>
      <c r="I3056" t="s">
        <v>14292</v>
      </c>
      <c r="L3056" t="s">
        <v>22095</v>
      </c>
      <c r="M3056">
        <v>88</v>
      </c>
      <c r="N3056" t="s">
        <v>22096</v>
      </c>
    </row>
    <row r="3057" spans="1:14">
      <c r="A3057" t="s">
        <v>9256</v>
      </c>
      <c r="B3057">
        <v>3627892</v>
      </c>
      <c r="C3057">
        <v>3629298</v>
      </c>
      <c r="E3057" t="s">
        <v>14290</v>
      </c>
      <c r="F3057" t="s">
        <v>15038</v>
      </c>
      <c r="H3057">
        <v>93524482</v>
      </c>
      <c r="I3057" t="s">
        <v>14292</v>
      </c>
      <c r="L3057" t="s">
        <v>22097</v>
      </c>
      <c r="M3057">
        <v>468</v>
      </c>
      <c r="N3057" t="s">
        <v>22098</v>
      </c>
    </row>
    <row r="3058" spans="1:14">
      <c r="A3058" t="s">
        <v>9256</v>
      </c>
      <c r="B3058">
        <v>3629418</v>
      </c>
      <c r="C3058">
        <v>3630638</v>
      </c>
      <c r="E3058" t="s">
        <v>14290</v>
      </c>
      <c r="F3058" t="s">
        <v>22099</v>
      </c>
      <c r="G3058" t="s">
        <v>22100</v>
      </c>
      <c r="H3058">
        <v>93524483</v>
      </c>
      <c r="I3058" t="s">
        <v>14292</v>
      </c>
      <c r="L3058" t="s">
        <v>22101</v>
      </c>
      <c r="M3058">
        <v>406</v>
      </c>
      <c r="N3058" t="s">
        <v>22102</v>
      </c>
    </row>
    <row r="3059" spans="1:14">
      <c r="A3059" t="s">
        <v>9256</v>
      </c>
      <c r="B3059">
        <v>3630652</v>
      </c>
      <c r="C3059">
        <v>3631737</v>
      </c>
      <c r="E3059" t="s">
        <v>14290</v>
      </c>
      <c r="F3059" t="s">
        <v>22103</v>
      </c>
      <c r="G3059" t="s">
        <v>22104</v>
      </c>
      <c r="H3059">
        <v>93524484</v>
      </c>
      <c r="I3059" t="s">
        <v>14292</v>
      </c>
      <c r="L3059" t="s">
        <v>22105</v>
      </c>
      <c r="M3059">
        <v>361</v>
      </c>
      <c r="N3059" t="s">
        <v>22106</v>
      </c>
    </row>
    <row r="3060" spans="1:14">
      <c r="A3060" t="s">
        <v>9256</v>
      </c>
      <c r="B3060">
        <v>3631821</v>
      </c>
      <c r="C3060">
        <v>3632408</v>
      </c>
      <c r="E3060" t="s">
        <v>14314</v>
      </c>
      <c r="F3060" t="s">
        <v>16246</v>
      </c>
      <c r="H3060">
        <v>93524485</v>
      </c>
      <c r="I3060" t="s">
        <v>14292</v>
      </c>
      <c r="L3060" t="s">
        <v>22107</v>
      </c>
      <c r="M3060">
        <v>195</v>
      </c>
      <c r="N3060" t="s">
        <v>22108</v>
      </c>
    </row>
    <row r="3061" spans="1:14">
      <c r="A3061" t="s">
        <v>9256</v>
      </c>
      <c r="B3061">
        <v>3632575</v>
      </c>
      <c r="C3061">
        <v>3633588</v>
      </c>
      <c r="E3061" t="s">
        <v>14290</v>
      </c>
      <c r="F3061" t="s">
        <v>15836</v>
      </c>
      <c r="H3061">
        <v>93524486</v>
      </c>
      <c r="I3061" t="s">
        <v>14292</v>
      </c>
      <c r="L3061" t="s">
        <v>22109</v>
      </c>
      <c r="M3061">
        <v>337</v>
      </c>
      <c r="N3061" t="s">
        <v>22110</v>
      </c>
    </row>
    <row r="3062" spans="1:14">
      <c r="A3062" t="s">
        <v>9256</v>
      </c>
      <c r="B3062">
        <v>3633743</v>
      </c>
      <c r="C3062">
        <v>3634930</v>
      </c>
      <c r="E3062" t="s">
        <v>14290</v>
      </c>
      <c r="F3062" t="s">
        <v>14291</v>
      </c>
      <c r="H3062">
        <v>93524487</v>
      </c>
      <c r="I3062" t="s">
        <v>14292</v>
      </c>
      <c r="L3062" t="s">
        <v>22111</v>
      </c>
      <c r="M3062">
        <v>395</v>
      </c>
      <c r="N3062" t="s">
        <v>22112</v>
      </c>
    </row>
    <row r="3063" spans="1:14">
      <c r="A3063" t="s">
        <v>9256</v>
      </c>
      <c r="B3063">
        <v>3635016</v>
      </c>
      <c r="C3063">
        <v>3635585</v>
      </c>
      <c r="E3063" t="s">
        <v>14290</v>
      </c>
      <c r="F3063" t="s">
        <v>22113</v>
      </c>
      <c r="H3063">
        <v>93524488</v>
      </c>
      <c r="I3063" t="s">
        <v>14292</v>
      </c>
      <c r="L3063" t="s">
        <v>22114</v>
      </c>
      <c r="M3063">
        <v>189</v>
      </c>
      <c r="N3063" t="s">
        <v>22115</v>
      </c>
    </row>
    <row r="3064" spans="1:14">
      <c r="A3064" t="s">
        <v>9256</v>
      </c>
      <c r="B3064">
        <v>3635569</v>
      </c>
      <c r="C3064">
        <v>3639198</v>
      </c>
      <c r="E3064" t="s">
        <v>14290</v>
      </c>
      <c r="F3064" t="s">
        <v>14870</v>
      </c>
      <c r="H3064">
        <v>93524489</v>
      </c>
      <c r="I3064" t="s">
        <v>14292</v>
      </c>
      <c r="L3064" t="s">
        <v>22116</v>
      </c>
      <c r="M3064">
        <v>1209</v>
      </c>
      <c r="N3064" t="s">
        <v>22117</v>
      </c>
    </row>
    <row r="3065" spans="1:14">
      <c r="A3065" t="s">
        <v>9256</v>
      </c>
      <c r="B3065">
        <v>3639344</v>
      </c>
      <c r="C3065">
        <v>3641266</v>
      </c>
      <c r="E3065" t="s">
        <v>14314</v>
      </c>
      <c r="F3065" t="s">
        <v>22118</v>
      </c>
      <c r="H3065">
        <v>93524490</v>
      </c>
      <c r="I3065" t="s">
        <v>14292</v>
      </c>
      <c r="L3065" t="s">
        <v>22119</v>
      </c>
      <c r="M3065">
        <v>640</v>
      </c>
      <c r="N3065" t="s">
        <v>22120</v>
      </c>
    </row>
    <row r="3066" spans="1:14">
      <c r="A3066" t="s">
        <v>9256</v>
      </c>
      <c r="B3066">
        <v>3641279</v>
      </c>
      <c r="C3066">
        <v>3641602</v>
      </c>
      <c r="E3066" t="s">
        <v>14314</v>
      </c>
      <c r="F3066" t="s">
        <v>15901</v>
      </c>
      <c r="H3066">
        <v>93524491</v>
      </c>
      <c r="I3066" t="s">
        <v>14292</v>
      </c>
      <c r="L3066" t="s">
        <v>22121</v>
      </c>
      <c r="M3066">
        <v>107</v>
      </c>
      <c r="N3066" t="s">
        <v>22122</v>
      </c>
    </row>
    <row r="3067" spans="1:14">
      <c r="A3067" t="s">
        <v>9256</v>
      </c>
      <c r="B3067">
        <v>3641581</v>
      </c>
      <c r="C3067">
        <v>3641847</v>
      </c>
      <c r="E3067" t="s">
        <v>14314</v>
      </c>
      <c r="F3067" t="s">
        <v>14291</v>
      </c>
      <c r="H3067">
        <v>93524492</v>
      </c>
      <c r="I3067" t="s">
        <v>14292</v>
      </c>
      <c r="L3067" t="s">
        <v>22123</v>
      </c>
      <c r="M3067">
        <v>88</v>
      </c>
      <c r="N3067" t="s">
        <v>22124</v>
      </c>
    </row>
    <row r="3068" spans="1:14">
      <c r="A3068" t="s">
        <v>9256</v>
      </c>
      <c r="B3068">
        <v>3641985</v>
      </c>
      <c r="C3068">
        <v>3644171</v>
      </c>
      <c r="E3068" t="s">
        <v>14314</v>
      </c>
      <c r="F3068" t="s">
        <v>20517</v>
      </c>
      <c r="H3068">
        <v>93524493</v>
      </c>
      <c r="I3068" t="s">
        <v>14292</v>
      </c>
      <c r="L3068" t="s">
        <v>22125</v>
      </c>
      <c r="M3068">
        <v>728</v>
      </c>
      <c r="N3068" t="s">
        <v>22126</v>
      </c>
    </row>
    <row r="3069" spans="1:14">
      <c r="A3069" t="s">
        <v>9256</v>
      </c>
      <c r="B3069">
        <v>3644208</v>
      </c>
      <c r="C3069">
        <v>3645437</v>
      </c>
      <c r="E3069" t="s">
        <v>14314</v>
      </c>
      <c r="F3069" t="s">
        <v>22127</v>
      </c>
      <c r="H3069">
        <v>93524494</v>
      </c>
      <c r="I3069" t="s">
        <v>14292</v>
      </c>
      <c r="L3069" t="s">
        <v>22128</v>
      </c>
      <c r="M3069">
        <v>409</v>
      </c>
      <c r="N3069" t="s">
        <v>22129</v>
      </c>
    </row>
    <row r="3070" spans="1:14">
      <c r="A3070" t="s">
        <v>9256</v>
      </c>
      <c r="B3070">
        <v>3645494</v>
      </c>
      <c r="C3070">
        <v>3646303</v>
      </c>
      <c r="E3070" t="s">
        <v>14314</v>
      </c>
      <c r="F3070" t="s">
        <v>22130</v>
      </c>
      <c r="G3070" t="s">
        <v>22131</v>
      </c>
      <c r="H3070">
        <v>93524495</v>
      </c>
      <c r="I3070" t="s">
        <v>14292</v>
      </c>
      <c r="L3070" t="s">
        <v>22132</v>
      </c>
      <c r="M3070">
        <v>269</v>
      </c>
      <c r="N3070" t="s">
        <v>22133</v>
      </c>
    </row>
    <row r="3071" spans="1:14">
      <c r="A3071" t="s">
        <v>9256</v>
      </c>
      <c r="B3071">
        <v>3647058</v>
      </c>
      <c r="C3071">
        <v>3648791</v>
      </c>
      <c r="E3071" t="s">
        <v>14314</v>
      </c>
      <c r="F3071" t="s">
        <v>15863</v>
      </c>
      <c r="H3071">
        <v>93524496</v>
      </c>
      <c r="I3071" t="s">
        <v>14292</v>
      </c>
      <c r="L3071" t="s">
        <v>22134</v>
      </c>
      <c r="M3071">
        <v>577</v>
      </c>
      <c r="N3071" t="s">
        <v>22135</v>
      </c>
    </row>
    <row r="3072" spans="1:14">
      <c r="A3072" t="s">
        <v>9256</v>
      </c>
      <c r="B3072">
        <v>3648914</v>
      </c>
      <c r="C3072">
        <v>3650578</v>
      </c>
      <c r="E3072" t="s">
        <v>14314</v>
      </c>
      <c r="F3072" t="s">
        <v>22136</v>
      </c>
      <c r="G3072" t="s">
        <v>22137</v>
      </c>
      <c r="H3072">
        <v>93524497</v>
      </c>
      <c r="I3072" t="s">
        <v>14292</v>
      </c>
      <c r="L3072" t="s">
        <v>22138</v>
      </c>
      <c r="M3072">
        <v>554</v>
      </c>
      <c r="N3072" t="s">
        <v>22139</v>
      </c>
    </row>
    <row r="3073" spans="1:14">
      <c r="A3073" t="s">
        <v>9256</v>
      </c>
      <c r="B3073">
        <v>3650605</v>
      </c>
      <c r="C3073">
        <v>3652029</v>
      </c>
      <c r="E3073" t="s">
        <v>14314</v>
      </c>
      <c r="F3073" t="s">
        <v>22140</v>
      </c>
      <c r="H3073">
        <v>93524498</v>
      </c>
      <c r="I3073" t="s">
        <v>14292</v>
      </c>
      <c r="L3073" t="s">
        <v>22141</v>
      </c>
      <c r="M3073">
        <v>474</v>
      </c>
      <c r="N3073" t="s">
        <v>22142</v>
      </c>
    </row>
    <row r="3074" spans="1:14">
      <c r="A3074" t="s">
        <v>9256</v>
      </c>
      <c r="B3074">
        <v>3652055</v>
      </c>
      <c r="C3074">
        <v>3656572</v>
      </c>
      <c r="E3074" t="s">
        <v>14314</v>
      </c>
      <c r="F3074" t="s">
        <v>22143</v>
      </c>
      <c r="G3074" t="s">
        <v>22144</v>
      </c>
      <c r="H3074">
        <v>93524499</v>
      </c>
      <c r="I3074" t="s">
        <v>14292</v>
      </c>
      <c r="L3074" t="s">
        <v>22145</v>
      </c>
      <c r="M3074">
        <v>1505</v>
      </c>
      <c r="N3074" t="s">
        <v>22146</v>
      </c>
    </row>
    <row r="3075" spans="1:14">
      <c r="A3075" t="s">
        <v>9256</v>
      </c>
      <c r="B3075">
        <v>3656876</v>
      </c>
      <c r="C3075">
        <v>3658147</v>
      </c>
      <c r="E3075" t="s">
        <v>14314</v>
      </c>
      <c r="F3075" t="s">
        <v>22147</v>
      </c>
      <c r="H3075">
        <v>93524500</v>
      </c>
      <c r="I3075" t="s">
        <v>14292</v>
      </c>
      <c r="L3075" t="s">
        <v>22148</v>
      </c>
      <c r="M3075">
        <v>423</v>
      </c>
      <c r="N3075" t="s">
        <v>22149</v>
      </c>
    </row>
    <row r="3076" spans="1:14">
      <c r="A3076" t="s">
        <v>9256</v>
      </c>
      <c r="B3076">
        <v>3658344</v>
      </c>
      <c r="C3076">
        <v>3661139</v>
      </c>
      <c r="E3076" t="s">
        <v>14290</v>
      </c>
      <c r="F3076" t="s">
        <v>15450</v>
      </c>
      <c r="H3076">
        <v>93524501</v>
      </c>
      <c r="I3076" t="s">
        <v>14292</v>
      </c>
      <c r="L3076" t="s">
        <v>22150</v>
      </c>
      <c r="M3076">
        <v>931</v>
      </c>
      <c r="N3076" t="s">
        <v>22151</v>
      </c>
    </row>
    <row r="3077" spans="1:14">
      <c r="A3077" t="s">
        <v>9256</v>
      </c>
      <c r="B3077">
        <v>3661176</v>
      </c>
      <c r="C3077">
        <v>3662537</v>
      </c>
      <c r="E3077" t="s">
        <v>14290</v>
      </c>
      <c r="F3077" t="s">
        <v>14291</v>
      </c>
      <c r="H3077">
        <v>93524502</v>
      </c>
      <c r="I3077" t="s">
        <v>14292</v>
      </c>
      <c r="L3077" t="s">
        <v>22152</v>
      </c>
      <c r="M3077">
        <v>453</v>
      </c>
      <c r="N3077" t="s">
        <v>22153</v>
      </c>
    </row>
    <row r="3078" spans="1:14">
      <c r="A3078" t="s">
        <v>9256</v>
      </c>
      <c r="B3078">
        <v>3662640</v>
      </c>
      <c r="C3078">
        <v>3663110</v>
      </c>
      <c r="E3078" t="s">
        <v>14290</v>
      </c>
      <c r="F3078" t="s">
        <v>22154</v>
      </c>
      <c r="H3078">
        <v>93524503</v>
      </c>
      <c r="I3078" t="s">
        <v>14292</v>
      </c>
      <c r="L3078" t="s">
        <v>22155</v>
      </c>
      <c r="M3078">
        <v>156</v>
      </c>
      <c r="N3078" t="s">
        <v>22156</v>
      </c>
    </row>
    <row r="3079" spans="1:14">
      <c r="A3079" t="s">
        <v>9256</v>
      </c>
      <c r="B3079">
        <v>3663289</v>
      </c>
      <c r="C3079">
        <v>3663717</v>
      </c>
      <c r="E3079" t="s">
        <v>14314</v>
      </c>
      <c r="F3079" t="s">
        <v>22157</v>
      </c>
      <c r="H3079">
        <v>93524504</v>
      </c>
      <c r="I3079" t="s">
        <v>14292</v>
      </c>
      <c r="L3079" t="s">
        <v>22158</v>
      </c>
      <c r="M3079">
        <v>142</v>
      </c>
      <c r="N3079" t="s">
        <v>22159</v>
      </c>
    </row>
    <row r="3080" spans="1:14">
      <c r="A3080" t="s">
        <v>9256</v>
      </c>
      <c r="B3080">
        <v>3663739</v>
      </c>
      <c r="C3080">
        <v>3664302</v>
      </c>
      <c r="E3080" t="s">
        <v>14314</v>
      </c>
      <c r="F3080" t="s">
        <v>22160</v>
      </c>
      <c r="G3080" t="s">
        <v>22161</v>
      </c>
      <c r="H3080">
        <v>93524505</v>
      </c>
      <c r="I3080" t="s">
        <v>14292</v>
      </c>
      <c r="L3080" t="s">
        <v>22162</v>
      </c>
      <c r="M3080">
        <v>187</v>
      </c>
      <c r="N3080" t="s">
        <v>22163</v>
      </c>
    </row>
    <row r="3081" spans="1:14">
      <c r="A3081" t="s">
        <v>9256</v>
      </c>
      <c r="B3081">
        <v>3664388</v>
      </c>
      <c r="C3081">
        <v>3664972</v>
      </c>
      <c r="E3081" t="s">
        <v>14314</v>
      </c>
      <c r="F3081" t="s">
        <v>22164</v>
      </c>
      <c r="H3081">
        <v>93524506</v>
      </c>
      <c r="I3081" t="s">
        <v>14292</v>
      </c>
      <c r="L3081" t="s">
        <v>22165</v>
      </c>
      <c r="M3081">
        <v>194</v>
      </c>
      <c r="N3081" t="s">
        <v>22166</v>
      </c>
    </row>
    <row r="3082" spans="1:14">
      <c r="A3082" t="s">
        <v>9256</v>
      </c>
      <c r="B3082">
        <v>3665109</v>
      </c>
      <c r="C3082">
        <v>3665900</v>
      </c>
      <c r="E3082" t="s">
        <v>14314</v>
      </c>
      <c r="F3082" t="s">
        <v>16178</v>
      </c>
      <c r="H3082">
        <v>93524507</v>
      </c>
      <c r="I3082" t="s">
        <v>14292</v>
      </c>
      <c r="L3082" t="s">
        <v>22167</v>
      </c>
      <c r="M3082">
        <v>263</v>
      </c>
      <c r="N3082" t="s">
        <v>22168</v>
      </c>
    </row>
    <row r="3083" spans="1:14">
      <c r="A3083" t="s">
        <v>9256</v>
      </c>
      <c r="B3083">
        <v>3665900</v>
      </c>
      <c r="C3083">
        <v>3667123</v>
      </c>
      <c r="E3083" t="s">
        <v>14314</v>
      </c>
      <c r="F3083" t="s">
        <v>22169</v>
      </c>
      <c r="H3083">
        <v>93524508</v>
      </c>
      <c r="I3083" t="s">
        <v>14292</v>
      </c>
      <c r="L3083" t="s">
        <v>22170</v>
      </c>
      <c r="M3083">
        <v>407</v>
      </c>
      <c r="N3083" t="s">
        <v>22171</v>
      </c>
    </row>
    <row r="3084" spans="1:14">
      <c r="A3084" t="s">
        <v>9256</v>
      </c>
      <c r="B3084">
        <v>3667160</v>
      </c>
      <c r="C3084">
        <v>3667453</v>
      </c>
      <c r="E3084" t="s">
        <v>14314</v>
      </c>
      <c r="F3084" t="s">
        <v>22172</v>
      </c>
      <c r="H3084">
        <v>93524509</v>
      </c>
      <c r="I3084" t="s">
        <v>14292</v>
      </c>
      <c r="L3084" t="s">
        <v>22173</v>
      </c>
      <c r="M3084">
        <v>97</v>
      </c>
      <c r="N3084" t="s">
        <v>22174</v>
      </c>
    </row>
    <row r="3085" spans="1:14">
      <c r="A3085" t="s">
        <v>9256</v>
      </c>
      <c r="B3085">
        <v>3667624</v>
      </c>
      <c r="C3085">
        <v>3670743</v>
      </c>
      <c r="E3085" t="s">
        <v>14314</v>
      </c>
      <c r="F3085" t="s">
        <v>14548</v>
      </c>
      <c r="H3085">
        <v>93524510</v>
      </c>
      <c r="I3085" t="s">
        <v>14292</v>
      </c>
      <c r="L3085" t="s">
        <v>22175</v>
      </c>
      <c r="M3085">
        <v>1039</v>
      </c>
      <c r="N3085" t="s">
        <v>22176</v>
      </c>
    </row>
    <row r="3086" spans="1:14">
      <c r="A3086" t="s">
        <v>9256</v>
      </c>
      <c r="B3086">
        <v>3670750</v>
      </c>
      <c r="C3086">
        <v>3671775</v>
      </c>
      <c r="E3086" t="s">
        <v>14314</v>
      </c>
      <c r="F3086" t="s">
        <v>14503</v>
      </c>
      <c r="H3086">
        <v>93524511</v>
      </c>
      <c r="I3086" t="s">
        <v>14292</v>
      </c>
      <c r="L3086" t="s">
        <v>22177</v>
      </c>
      <c r="M3086">
        <v>341</v>
      </c>
      <c r="N3086" t="s">
        <v>22178</v>
      </c>
    </row>
    <row r="3087" spans="1:14">
      <c r="A3087" t="s">
        <v>9256</v>
      </c>
      <c r="B3087">
        <v>3671822</v>
      </c>
      <c r="C3087">
        <v>3673213</v>
      </c>
      <c r="E3087" t="s">
        <v>14314</v>
      </c>
      <c r="F3087" t="s">
        <v>14545</v>
      </c>
      <c r="H3087">
        <v>93524512</v>
      </c>
      <c r="I3087" t="s">
        <v>14292</v>
      </c>
      <c r="L3087" t="s">
        <v>22179</v>
      </c>
      <c r="M3087">
        <v>463</v>
      </c>
      <c r="N3087" t="s">
        <v>22180</v>
      </c>
    </row>
    <row r="3088" spans="1:14">
      <c r="A3088" t="s">
        <v>9256</v>
      </c>
      <c r="B3088">
        <v>3673361</v>
      </c>
      <c r="C3088">
        <v>3674806</v>
      </c>
      <c r="E3088" t="s">
        <v>14290</v>
      </c>
      <c r="F3088" t="s">
        <v>18530</v>
      </c>
      <c r="H3088">
        <v>93524513</v>
      </c>
      <c r="I3088" t="s">
        <v>14292</v>
      </c>
      <c r="L3088" t="s">
        <v>18531</v>
      </c>
      <c r="M3088">
        <v>481</v>
      </c>
      <c r="N3088" t="s">
        <v>22181</v>
      </c>
    </row>
    <row r="3089" spans="1:14">
      <c r="A3089" t="s">
        <v>9256</v>
      </c>
      <c r="B3089">
        <v>3674926</v>
      </c>
      <c r="C3089">
        <v>3675528</v>
      </c>
      <c r="E3089" t="s">
        <v>14314</v>
      </c>
      <c r="F3089" t="s">
        <v>19399</v>
      </c>
      <c r="H3089">
        <v>93524514</v>
      </c>
      <c r="I3089" t="s">
        <v>14292</v>
      </c>
      <c r="L3089" t="s">
        <v>22182</v>
      </c>
      <c r="M3089">
        <v>200</v>
      </c>
      <c r="N3089" t="s">
        <v>22183</v>
      </c>
    </row>
    <row r="3090" spans="1:14">
      <c r="A3090" t="s">
        <v>9256</v>
      </c>
      <c r="B3090">
        <v>3675840</v>
      </c>
      <c r="C3090">
        <v>3676745</v>
      </c>
      <c r="E3090" t="s">
        <v>14290</v>
      </c>
      <c r="F3090" t="s">
        <v>14406</v>
      </c>
      <c r="H3090">
        <v>93524515</v>
      </c>
      <c r="I3090" t="s">
        <v>14292</v>
      </c>
      <c r="L3090" t="s">
        <v>22184</v>
      </c>
      <c r="M3090">
        <v>301</v>
      </c>
      <c r="N3090" t="s">
        <v>22185</v>
      </c>
    </row>
    <row r="3091" spans="1:14">
      <c r="A3091" t="s">
        <v>9256</v>
      </c>
      <c r="B3091">
        <v>3676740</v>
      </c>
      <c r="C3091">
        <v>3677276</v>
      </c>
      <c r="E3091" t="s">
        <v>14314</v>
      </c>
      <c r="F3091" t="s">
        <v>22186</v>
      </c>
      <c r="H3091">
        <v>93524516</v>
      </c>
      <c r="I3091" t="s">
        <v>14292</v>
      </c>
      <c r="L3091" t="s">
        <v>22187</v>
      </c>
      <c r="M3091">
        <v>178</v>
      </c>
      <c r="N3091" t="s">
        <v>22188</v>
      </c>
    </row>
    <row r="3092" spans="1:14">
      <c r="A3092" t="s">
        <v>9256</v>
      </c>
      <c r="B3092">
        <v>3677460</v>
      </c>
      <c r="C3092">
        <v>3678548</v>
      </c>
      <c r="E3092" t="s">
        <v>14290</v>
      </c>
      <c r="F3092" t="s">
        <v>16215</v>
      </c>
      <c r="H3092">
        <v>93524517</v>
      </c>
      <c r="I3092" t="s">
        <v>14292</v>
      </c>
      <c r="L3092" t="s">
        <v>22189</v>
      </c>
      <c r="M3092">
        <v>362</v>
      </c>
      <c r="N3092" t="s">
        <v>22190</v>
      </c>
    </row>
    <row r="3093" spans="1:14">
      <c r="A3093" t="s">
        <v>9256</v>
      </c>
      <c r="B3093">
        <v>3678662</v>
      </c>
      <c r="C3093">
        <v>3679681</v>
      </c>
      <c r="E3093" t="s">
        <v>14290</v>
      </c>
      <c r="F3093" t="s">
        <v>22191</v>
      </c>
      <c r="H3093">
        <v>93524518</v>
      </c>
      <c r="I3093" t="s">
        <v>14292</v>
      </c>
      <c r="L3093" t="s">
        <v>22192</v>
      </c>
      <c r="M3093">
        <v>339</v>
      </c>
      <c r="N3093" t="s">
        <v>22193</v>
      </c>
    </row>
    <row r="3094" spans="1:14">
      <c r="A3094" t="s">
        <v>9256</v>
      </c>
      <c r="B3094">
        <v>3679716</v>
      </c>
      <c r="C3094">
        <v>3680456</v>
      </c>
      <c r="E3094" t="s">
        <v>14290</v>
      </c>
      <c r="F3094" t="s">
        <v>22194</v>
      </c>
      <c r="H3094">
        <v>93524519</v>
      </c>
      <c r="I3094" t="s">
        <v>14292</v>
      </c>
      <c r="L3094" t="s">
        <v>22195</v>
      </c>
      <c r="M3094">
        <v>246</v>
      </c>
      <c r="N3094" t="s">
        <v>22196</v>
      </c>
    </row>
    <row r="3095" spans="1:14">
      <c r="A3095" t="s">
        <v>9256</v>
      </c>
      <c r="B3095">
        <v>3680516</v>
      </c>
      <c r="C3095">
        <v>3680590</v>
      </c>
      <c r="E3095" t="s">
        <v>14290</v>
      </c>
      <c r="F3095" t="s">
        <v>17222</v>
      </c>
      <c r="H3095">
        <v>93524520</v>
      </c>
      <c r="I3095" t="s">
        <v>13638</v>
      </c>
      <c r="N3095" t="s">
        <v>22197</v>
      </c>
    </row>
    <row r="3096" spans="1:14">
      <c r="A3096" t="s">
        <v>9256</v>
      </c>
      <c r="B3096">
        <v>3681097</v>
      </c>
      <c r="C3096">
        <v>3682431</v>
      </c>
      <c r="E3096" t="s">
        <v>14290</v>
      </c>
      <c r="F3096" t="s">
        <v>14545</v>
      </c>
      <c r="H3096">
        <v>93524521</v>
      </c>
      <c r="I3096" t="s">
        <v>14292</v>
      </c>
      <c r="L3096" t="s">
        <v>22198</v>
      </c>
      <c r="M3096">
        <v>444</v>
      </c>
      <c r="N3096" t="s">
        <v>22199</v>
      </c>
    </row>
    <row r="3097" spans="1:14">
      <c r="A3097" t="s">
        <v>9256</v>
      </c>
      <c r="B3097">
        <v>3682479</v>
      </c>
      <c r="C3097">
        <v>3683729</v>
      </c>
      <c r="E3097" t="s">
        <v>14290</v>
      </c>
      <c r="F3097" t="s">
        <v>14503</v>
      </c>
      <c r="H3097">
        <v>93524522</v>
      </c>
      <c r="I3097" t="s">
        <v>14292</v>
      </c>
      <c r="L3097" t="s">
        <v>22200</v>
      </c>
      <c r="M3097">
        <v>416</v>
      </c>
      <c r="N3097" t="s">
        <v>22201</v>
      </c>
    </row>
    <row r="3098" spans="1:14">
      <c r="A3098" t="s">
        <v>9256</v>
      </c>
      <c r="B3098">
        <v>3683742</v>
      </c>
      <c r="C3098">
        <v>3686117</v>
      </c>
      <c r="E3098" t="s">
        <v>14290</v>
      </c>
      <c r="F3098" t="s">
        <v>14562</v>
      </c>
      <c r="H3098">
        <v>93524523</v>
      </c>
      <c r="I3098" t="s">
        <v>14292</v>
      </c>
      <c r="L3098" t="s">
        <v>22202</v>
      </c>
      <c r="M3098">
        <v>791</v>
      </c>
      <c r="N3098" t="s">
        <v>22203</v>
      </c>
    </row>
    <row r="3099" spans="1:14">
      <c r="A3099" t="s">
        <v>9256</v>
      </c>
      <c r="B3099">
        <v>3686156</v>
      </c>
      <c r="C3099">
        <v>3688483</v>
      </c>
      <c r="E3099" t="s">
        <v>14290</v>
      </c>
      <c r="F3099" t="s">
        <v>14562</v>
      </c>
      <c r="H3099">
        <v>93524524</v>
      </c>
      <c r="I3099" t="s">
        <v>14292</v>
      </c>
      <c r="L3099" t="s">
        <v>22204</v>
      </c>
      <c r="M3099">
        <v>775</v>
      </c>
      <c r="N3099" t="s">
        <v>22205</v>
      </c>
    </row>
    <row r="3100" spans="1:14">
      <c r="A3100" t="s">
        <v>9256</v>
      </c>
      <c r="B3100">
        <v>3688505</v>
      </c>
      <c r="C3100">
        <v>3690862</v>
      </c>
      <c r="E3100" t="s">
        <v>14290</v>
      </c>
      <c r="F3100" t="s">
        <v>14562</v>
      </c>
      <c r="H3100">
        <v>93524525</v>
      </c>
      <c r="I3100" t="s">
        <v>14292</v>
      </c>
      <c r="L3100" t="s">
        <v>22206</v>
      </c>
      <c r="M3100">
        <v>785</v>
      </c>
      <c r="N3100" t="s">
        <v>22207</v>
      </c>
    </row>
    <row r="3101" spans="1:14">
      <c r="A3101" t="s">
        <v>9256</v>
      </c>
      <c r="B3101">
        <v>3690873</v>
      </c>
      <c r="C3101">
        <v>3691874</v>
      </c>
      <c r="E3101" t="s">
        <v>14314</v>
      </c>
      <c r="F3101" t="s">
        <v>22208</v>
      </c>
      <c r="H3101">
        <v>93524526</v>
      </c>
      <c r="I3101" t="s">
        <v>14292</v>
      </c>
      <c r="L3101" t="s">
        <v>22209</v>
      </c>
      <c r="M3101">
        <v>333</v>
      </c>
      <c r="N3101" t="s">
        <v>22210</v>
      </c>
    </row>
    <row r="3102" spans="1:14">
      <c r="A3102" t="s">
        <v>9256</v>
      </c>
      <c r="B3102">
        <v>3692251</v>
      </c>
      <c r="C3102">
        <v>3692853</v>
      </c>
      <c r="E3102" t="s">
        <v>14290</v>
      </c>
      <c r="F3102" t="s">
        <v>22211</v>
      </c>
      <c r="H3102">
        <v>93524527</v>
      </c>
      <c r="I3102" t="s">
        <v>14292</v>
      </c>
      <c r="L3102" t="s">
        <v>22212</v>
      </c>
      <c r="M3102">
        <v>200</v>
      </c>
      <c r="N3102" t="s">
        <v>22213</v>
      </c>
    </row>
    <row r="3103" spans="1:14">
      <c r="A3103" t="s">
        <v>9256</v>
      </c>
      <c r="B3103">
        <v>3693055</v>
      </c>
      <c r="C3103">
        <v>3693969</v>
      </c>
      <c r="E3103" t="s">
        <v>14290</v>
      </c>
      <c r="F3103" t="s">
        <v>22214</v>
      </c>
      <c r="H3103">
        <v>93524528</v>
      </c>
      <c r="I3103" t="s">
        <v>14292</v>
      </c>
      <c r="L3103" t="s">
        <v>22215</v>
      </c>
      <c r="M3103">
        <v>304</v>
      </c>
      <c r="N3103" t="s">
        <v>22216</v>
      </c>
    </row>
    <row r="3104" spans="1:14">
      <c r="A3104" t="s">
        <v>9256</v>
      </c>
      <c r="B3104">
        <v>3693983</v>
      </c>
      <c r="C3104">
        <v>3694300</v>
      </c>
      <c r="E3104" t="s">
        <v>14290</v>
      </c>
      <c r="F3104" t="s">
        <v>22217</v>
      </c>
      <c r="H3104">
        <v>93524529</v>
      </c>
      <c r="I3104" t="s">
        <v>14292</v>
      </c>
      <c r="L3104" t="s">
        <v>22218</v>
      </c>
      <c r="M3104">
        <v>105</v>
      </c>
      <c r="N3104" t="s">
        <v>22219</v>
      </c>
    </row>
    <row r="3105" spans="1:14">
      <c r="A3105" t="s">
        <v>9256</v>
      </c>
      <c r="B3105">
        <v>3694447</v>
      </c>
      <c r="C3105">
        <v>3694518</v>
      </c>
      <c r="E3105" t="s">
        <v>14290</v>
      </c>
      <c r="F3105" t="s">
        <v>19831</v>
      </c>
      <c r="H3105">
        <v>93524530</v>
      </c>
      <c r="I3105" t="s">
        <v>13638</v>
      </c>
      <c r="N3105" t="s">
        <v>22220</v>
      </c>
    </row>
    <row r="3106" spans="1:14">
      <c r="A3106" t="s">
        <v>9256</v>
      </c>
      <c r="B3106">
        <v>3694616</v>
      </c>
      <c r="C3106">
        <v>3695971</v>
      </c>
      <c r="E3106" t="s">
        <v>14314</v>
      </c>
      <c r="F3106" t="s">
        <v>16210</v>
      </c>
      <c r="H3106">
        <v>93524531</v>
      </c>
      <c r="I3106" t="s">
        <v>14292</v>
      </c>
      <c r="L3106" t="s">
        <v>22221</v>
      </c>
      <c r="M3106">
        <v>451</v>
      </c>
      <c r="N3106" t="s">
        <v>22222</v>
      </c>
    </row>
    <row r="3107" spans="1:14">
      <c r="A3107" t="s">
        <v>9256</v>
      </c>
      <c r="B3107">
        <v>3695997</v>
      </c>
      <c r="C3107">
        <v>3697367</v>
      </c>
      <c r="E3107" t="s">
        <v>14314</v>
      </c>
      <c r="F3107" t="s">
        <v>22223</v>
      </c>
      <c r="H3107">
        <v>93524532</v>
      </c>
      <c r="I3107" t="s">
        <v>14292</v>
      </c>
      <c r="L3107" t="s">
        <v>22224</v>
      </c>
      <c r="M3107">
        <v>456</v>
      </c>
      <c r="N3107" t="s">
        <v>22225</v>
      </c>
    </row>
    <row r="3108" spans="1:14">
      <c r="A3108" t="s">
        <v>9256</v>
      </c>
      <c r="B3108">
        <v>3697397</v>
      </c>
      <c r="C3108">
        <v>3697751</v>
      </c>
      <c r="E3108" t="s">
        <v>14314</v>
      </c>
      <c r="F3108" t="s">
        <v>22226</v>
      </c>
      <c r="G3108" t="s">
        <v>22227</v>
      </c>
      <c r="H3108">
        <v>93524533</v>
      </c>
      <c r="I3108" t="s">
        <v>22228</v>
      </c>
      <c r="N3108" t="s">
        <v>22229</v>
      </c>
    </row>
    <row r="3109" spans="1:14">
      <c r="A3109" t="s">
        <v>9256</v>
      </c>
      <c r="B3109">
        <v>3698158</v>
      </c>
      <c r="C3109">
        <v>3699681</v>
      </c>
      <c r="E3109" t="s">
        <v>14290</v>
      </c>
      <c r="F3109" t="s">
        <v>22230</v>
      </c>
      <c r="H3109">
        <v>93524534</v>
      </c>
      <c r="I3109" t="s">
        <v>14292</v>
      </c>
      <c r="L3109" t="s">
        <v>22231</v>
      </c>
      <c r="M3109">
        <v>507</v>
      </c>
      <c r="N3109" t="s">
        <v>22232</v>
      </c>
    </row>
    <row r="3110" spans="1:14">
      <c r="A3110" t="s">
        <v>9256</v>
      </c>
      <c r="B3110">
        <v>3699821</v>
      </c>
      <c r="C3110">
        <v>3700681</v>
      </c>
      <c r="E3110" t="s">
        <v>14290</v>
      </c>
      <c r="F3110" t="s">
        <v>15447</v>
      </c>
      <c r="H3110">
        <v>93524535</v>
      </c>
      <c r="I3110" t="s">
        <v>14292</v>
      </c>
      <c r="L3110" t="s">
        <v>22233</v>
      </c>
      <c r="M3110">
        <v>286</v>
      </c>
      <c r="N3110" t="s">
        <v>22234</v>
      </c>
    </row>
    <row r="3111" spans="1:14">
      <c r="A3111" t="s">
        <v>9256</v>
      </c>
      <c r="B3111">
        <v>3700790</v>
      </c>
      <c r="C3111">
        <v>3702262</v>
      </c>
      <c r="E3111" t="s">
        <v>14290</v>
      </c>
      <c r="F3111" t="s">
        <v>22235</v>
      </c>
      <c r="H3111">
        <v>93524536</v>
      </c>
      <c r="I3111" t="s">
        <v>14292</v>
      </c>
      <c r="L3111" t="s">
        <v>22236</v>
      </c>
      <c r="M3111">
        <v>490</v>
      </c>
      <c r="N3111" t="s">
        <v>22237</v>
      </c>
    </row>
    <row r="3112" spans="1:14">
      <c r="A3112" t="s">
        <v>9256</v>
      </c>
      <c r="B3112">
        <v>3702380</v>
      </c>
      <c r="C3112">
        <v>3703957</v>
      </c>
      <c r="E3112" t="s">
        <v>14290</v>
      </c>
      <c r="F3112" t="s">
        <v>16589</v>
      </c>
      <c r="H3112">
        <v>93524537</v>
      </c>
      <c r="I3112" t="s">
        <v>14292</v>
      </c>
      <c r="L3112" t="s">
        <v>22238</v>
      </c>
      <c r="M3112">
        <v>525</v>
      </c>
      <c r="N3112" t="s">
        <v>22239</v>
      </c>
    </row>
    <row r="3113" spans="1:14">
      <c r="A3113" t="s">
        <v>9256</v>
      </c>
      <c r="B3113">
        <v>3704853</v>
      </c>
      <c r="C3113">
        <v>3706377</v>
      </c>
      <c r="E3113" t="s">
        <v>14290</v>
      </c>
      <c r="F3113" t="s">
        <v>16999</v>
      </c>
      <c r="H3113">
        <v>93524538</v>
      </c>
      <c r="I3113" t="s">
        <v>16991</v>
      </c>
      <c r="N3113" t="s">
        <v>22240</v>
      </c>
    </row>
    <row r="3114" spans="1:14">
      <c r="A3114" t="s">
        <v>9256</v>
      </c>
      <c r="B3114">
        <v>3706549</v>
      </c>
      <c r="C3114">
        <v>3706622</v>
      </c>
      <c r="E3114" t="s">
        <v>14290</v>
      </c>
      <c r="F3114" t="s">
        <v>16997</v>
      </c>
      <c r="H3114">
        <v>93524539</v>
      </c>
      <c r="I3114" t="s">
        <v>13638</v>
      </c>
      <c r="N3114" t="s">
        <v>22241</v>
      </c>
    </row>
    <row r="3115" spans="1:14">
      <c r="A3115" t="s">
        <v>9256</v>
      </c>
      <c r="B3115">
        <v>3706633</v>
      </c>
      <c r="C3115">
        <v>3706706</v>
      </c>
      <c r="E3115" t="s">
        <v>14290</v>
      </c>
      <c r="F3115" t="s">
        <v>16995</v>
      </c>
      <c r="H3115">
        <v>93524540</v>
      </c>
      <c r="I3115" t="s">
        <v>13638</v>
      </c>
      <c r="N3115" t="s">
        <v>22242</v>
      </c>
    </row>
    <row r="3116" spans="1:14">
      <c r="A3116" t="s">
        <v>9256</v>
      </c>
      <c r="B3116">
        <v>3706812</v>
      </c>
      <c r="C3116">
        <v>3709689</v>
      </c>
      <c r="E3116" t="s">
        <v>14290</v>
      </c>
      <c r="F3116" t="s">
        <v>16993</v>
      </c>
      <c r="H3116">
        <v>93524541</v>
      </c>
      <c r="I3116" t="s">
        <v>16991</v>
      </c>
      <c r="N3116" t="s">
        <v>22243</v>
      </c>
    </row>
    <row r="3117" spans="1:14">
      <c r="A3117" t="s">
        <v>9256</v>
      </c>
      <c r="B3117">
        <v>3709773</v>
      </c>
      <c r="C3117">
        <v>3709883</v>
      </c>
      <c r="E3117" t="s">
        <v>14290</v>
      </c>
      <c r="F3117" t="s">
        <v>16989</v>
      </c>
      <c r="G3117" t="s">
        <v>16990</v>
      </c>
      <c r="H3117">
        <v>93524542</v>
      </c>
      <c r="I3117" t="s">
        <v>16991</v>
      </c>
      <c r="N3117" t="s">
        <v>22244</v>
      </c>
    </row>
    <row r="3118" spans="1:14">
      <c r="A3118" t="s">
        <v>9256</v>
      </c>
      <c r="B3118">
        <v>3709981</v>
      </c>
      <c r="C3118">
        <v>3710799</v>
      </c>
      <c r="E3118" t="s">
        <v>14290</v>
      </c>
      <c r="F3118" t="s">
        <v>15800</v>
      </c>
      <c r="H3118">
        <v>93524543</v>
      </c>
      <c r="I3118" t="s">
        <v>14292</v>
      </c>
      <c r="L3118" t="s">
        <v>22245</v>
      </c>
      <c r="M3118">
        <v>272</v>
      </c>
      <c r="N3118" t="s">
        <v>22246</v>
      </c>
    </row>
    <row r="3119" spans="1:14">
      <c r="A3119" t="s">
        <v>9256</v>
      </c>
      <c r="B3119">
        <v>3710827</v>
      </c>
      <c r="C3119">
        <v>3712272</v>
      </c>
      <c r="E3119" t="s">
        <v>14290</v>
      </c>
      <c r="F3119" t="s">
        <v>20557</v>
      </c>
      <c r="H3119">
        <v>93524544</v>
      </c>
      <c r="I3119" t="s">
        <v>14292</v>
      </c>
      <c r="L3119" t="s">
        <v>22247</v>
      </c>
      <c r="M3119">
        <v>481</v>
      </c>
      <c r="N3119" t="s">
        <v>22248</v>
      </c>
    </row>
    <row r="3120" spans="1:14">
      <c r="A3120" t="s">
        <v>9256</v>
      </c>
      <c r="B3120">
        <v>3712435</v>
      </c>
      <c r="C3120">
        <v>3714060</v>
      </c>
      <c r="E3120" t="s">
        <v>14314</v>
      </c>
      <c r="F3120" t="s">
        <v>14503</v>
      </c>
      <c r="H3120">
        <v>93524545</v>
      </c>
      <c r="I3120" t="s">
        <v>14292</v>
      </c>
      <c r="L3120" t="s">
        <v>22249</v>
      </c>
      <c r="M3120">
        <v>541</v>
      </c>
      <c r="N3120" t="s">
        <v>22250</v>
      </c>
    </row>
    <row r="3121" spans="1:14">
      <c r="A3121" t="s">
        <v>9256</v>
      </c>
      <c r="B3121">
        <v>3714065</v>
      </c>
      <c r="C3121">
        <v>3715531</v>
      </c>
      <c r="E3121" t="s">
        <v>14314</v>
      </c>
      <c r="F3121" t="s">
        <v>14545</v>
      </c>
      <c r="H3121">
        <v>93524546</v>
      </c>
      <c r="I3121" t="s">
        <v>14292</v>
      </c>
      <c r="L3121" t="s">
        <v>22251</v>
      </c>
      <c r="M3121">
        <v>488</v>
      </c>
      <c r="N3121" t="s">
        <v>22252</v>
      </c>
    </row>
    <row r="3122" spans="1:14">
      <c r="A3122" t="s">
        <v>9256</v>
      </c>
      <c r="B3122">
        <v>3715551</v>
      </c>
      <c r="C3122">
        <v>3719297</v>
      </c>
      <c r="E3122" t="s">
        <v>14314</v>
      </c>
      <c r="F3122" t="s">
        <v>14548</v>
      </c>
      <c r="H3122">
        <v>93524547</v>
      </c>
      <c r="I3122" t="s">
        <v>14292</v>
      </c>
      <c r="L3122" t="s">
        <v>22253</v>
      </c>
      <c r="M3122">
        <v>1248</v>
      </c>
      <c r="N3122" t="s">
        <v>22254</v>
      </c>
    </row>
    <row r="3123" spans="1:14">
      <c r="A3123" t="s">
        <v>9256</v>
      </c>
      <c r="B3123">
        <v>3719536</v>
      </c>
      <c r="C3123">
        <v>3719922</v>
      </c>
      <c r="E3123" t="s">
        <v>14314</v>
      </c>
      <c r="F3123" t="s">
        <v>22255</v>
      </c>
      <c r="H3123">
        <v>93524548</v>
      </c>
      <c r="I3123" t="s">
        <v>14292</v>
      </c>
      <c r="L3123" t="s">
        <v>22256</v>
      </c>
      <c r="M3123">
        <v>128</v>
      </c>
      <c r="N3123" t="s">
        <v>22257</v>
      </c>
    </row>
    <row r="3124" spans="1:14">
      <c r="A3124" t="s">
        <v>9256</v>
      </c>
      <c r="B3124">
        <v>3720066</v>
      </c>
      <c r="C3124">
        <v>3721349</v>
      </c>
      <c r="E3124" t="s">
        <v>14290</v>
      </c>
      <c r="F3124" t="s">
        <v>19120</v>
      </c>
      <c r="H3124">
        <v>93524549</v>
      </c>
      <c r="I3124" t="s">
        <v>14292</v>
      </c>
      <c r="L3124" t="s">
        <v>22258</v>
      </c>
      <c r="M3124">
        <v>427</v>
      </c>
      <c r="N3124" t="s">
        <v>22259</v>
      </c>
    </row>
    <row r="3125" spans="1:14">
      <c r="A3125" t="s">
        <v>9256</v>
      </c>
      <c r="B3125">
        <v>3721431</v>
      </c>
      <c r="C3125">
        <v>3723002</v>
      </c>
      <c r="E3125" t="s">
        <v>14314</v>
      </c>
      <c r="F3125" t="s">
        <v>22260</v>
      </c>
      <c r="H3125">
        <v>93524550</v>
      </c>
      <c r="I3125" t="s">
        <v>14292</v>
      </c>
      <c r="L3125" t="s">
        <v>22261</v>
      </c>
      <c r="M3125">
        <v>523</v>
      </c>
      <c r="N3125" t="s">
        <v>22262</v>
      </c>
    </row>
    <row r="3126" spans="1:14">
      <c r="A3126" t="s">
        <v>9256</v>
      </c>
      <c r="B3126">
        <v>3723184</v>
      </c>
      <c r="C3126">
        <v>3724182</v>
      </c>
      <c r="E3126" t="s">
        <v>14314</v>
      </c>
      <c r="F3126" t="s">
        <v>14291</v>
      </c>
      <c r="H3126">
        <v>93524551</v>
      </c>
      <c r="I3126" t="s">
        <v>14292</v>
      </c>
      <c r="L3126" t="s">
        <v>22263</v>
      </c>
      <c r="M3126">
        <v>332</v>
      </c>
      <c r="N3126" t="s">
        <v>22264</v>
      </c>
    </row>
    <row r="3127" spans="1:14">
      <c r="A3127" t="s">
        <v>9256</v>
      </c>
      <c r="B3127">
        <v>3724291</v>
      </c>
      <c r="C3127">
        <v>3725613</v>
      </c>
      <c r="E3127" t="s">
        <v>14290</v>
      </c>
      <c r="F3127" t="s">
        <v>16210</v>
      </c>
      <c r="H3127">
        <v>93524552</v>
      </c>
      <c r="I3127" t="s">
        <v>14292</v>
      </c>
      <c r="L3127" t="s">
        <v>22265</v>
      </c>
      <c r="M3127">
        <v>440</v>
      </c>
      <c r="N3127" t="s">
        <v>22266</v>
      </c>
    </row>
    <row r="3128" spans="1:14">
      <c r="A3128" t="s">
        <v>9256</v>
      </c>
      <c r="B3128">
        <v>3725618</v>
      </c>
      <c r="C3128">
        <v>3726742</v>
      </c>
      <c r="E3128" t="s">
        <v>14314</v>
      </c>
      <c r="F3128" t="s">
        <v>14870</v>
      </c>
      <c r="H3128">
        <v>93524553</v>
      </c>
      <c r="I3128" t="s">
        <v>14292</v>
      </c>
      <c r="L3128" t="s">
        <v>22267</v>
      </c>
      <c r="M3128">
        <v>374</v>
      </c>
      <c r="N3128" t="s">
        <v>22268</v>
      </c>
    </row>
    <row r="3129" spans="1:14">
      <c r="A3129" t="s">
        <v>9256</v>
      </c>
      <c r="B3129">
        <v>3726997</v>
      </c>
      <c r="C3129">
        <v>3727950</v>
      </c>
      <c r="E3129" t="s">
        <v>14314</v>
      </c>
      <c r="F3129" t="s">
        <v>22269</v>
      </c>
      <c r="G3129" t="s">
        <v>22270</v>
      </c>
      <c r="H3129">
        <v>93524554</v>
      </c>
      <c r="I3129" t="s">
        <v>14292</v>
      </c>
      <c r="L3129" t="s">
        <v>22271</v>
      </c>
      <c r="M3129">
        <v>317</v>
      </c>
      <c r="N3129" t="s">
        <v>22272</v>
      </c>
    </row>
    <row r="3130" spans="1:14">
      <c r="A3130" t="s">
        <v>9256</v>
      </c>
      <c r="B3130">
        <v>3728491</v>
      </c>
      <c r="C3130">
        <v>3729510</v>
      </c>
      <c r="E3130" t="s">
        <v>14290</v>
      </c>
      <c r="F3130" t="s">
        <v>22273</v>
      </c>
      <c r="H3130">
        <v>93524555</v>
      </c>
      <c r="I3130" t="s">
        <v>14292</v>
      </c>
      <c r="L3130" t="s">
        <v>22274</v>
      </c>
      <c r="M3130">
        <v>339</v>
      </c>
      <c r="N3130" t="s">
        <v>22275</v>
      </c>
    </row>
    <row r="3131" spans="1:14">
      <c r="A3131" t="s">
        <v>9256</v>
      </c>
      <c r="B3131">
        <v>3729691</v>
      </c>
      <c r="C3131">
        <v>3730869</v>
      </c>
      <c r="E3131" t="s">
        <v>14290</v>
      </c>
      <c r="F3131" t="s">
        <v>14870</v>
      </c>
      <c r="H3131">
        <v>93524556</v>
      </c>
      <c r="I3131" t="s">
        <v>14292</v>
      </c>
      <c r="L3131" t="s">
        <v>22276</v>
      </c>
      <c r="M3131">
        <v>392</v>
      </c>
      <c r="N3131" t="s">
        <v>22277</v>
      </c>
    </row>
    <row r="3132" spans="1:14">
      <c r="A3132" t="s">
        <v>9256</v>
      </c>
      <c r="B3132">
        <v>3730908</v>
      </c>
      <c r="C3132">
        <v>3734459</v>
      </c>
      <c r="E3132" t="s">
        <v>14290</v>
      </c>
      <c r="F3132" t="s">
        <v>22278</v>
      </c>
      <c r="G3132" t="s">
        <v>22279</v>
      </c>
      <c r="H3132">
        <v>93524557</v>
      </c>
      <c r="I3132" t="s">
        <v>14292</v>
      </c>
      <c r="L3132" t="s">
        <v>22280</v>
      </c>
      <c r="M3132">
        <v>1183</v>
      </c>
      <c r="N3132" t="s">
        <v>22281</v>
      </c>
    </row>
    <row r="3133" spans="1:14">
      <c r="A3133" t="s">
        <v>9256</v>
      </c>
      <c r="B3133">
        <v>3734766</v>
      </c>
      <c r="C3133">
        <v>3735935</v>
      </c>
      <c r="E3133" t="s">
        <v>14314</v>
      </c>
      <c r="F3133" t="s">
        <v>17440</v>
      </c>
      <c r="H3133">
        <v>93524558</v>
      </c>
      <c r="I3133" t="s">
        <v>14292</v>
      </c>
      <c r="L3133" t="s">
        <v>22282</v>
      </c>
      <c r="M3133">
        <v>389</v>
      </c>
      <c r="N3133" t="s">
        <v>22283</v>
      </c>
    </row>
    <row r="3134" spans="1:14">
      <c r="A3134" t="s">
        <v>9256</v>
      </c>
      <c r="B3134">
        <v>3736083</v>
      </c>
      <c r="C3134">
        <v>3737117</v>
      </c>
      <c r="E3134" t="s">
        <v>14314</v>
      </c>
      <c r="F3134" t="s">
        <v>15812</v>
      </c>
      <c r="H3134">
        <v>93524559</v>
      </c>
      <c r="I3134" t="s">
        <v>14292</v>
      </c>
      <c r="L3134" t="s">
        <v>22284</v>
      </c>
      <c r="M3134">
        <v>344</v>
      </c>
      <c r="N3134" t="s">
        <v>22285</v>
      </c>
    </row>
    <row r="3135" spans="1:14">
      <c r="A3135" t="s">
        <v>9256</v>
      </c>
      <c r="B3135">
        <v>3737214</v>
      </c>
      <c r="C3135">
        <v>3737990</v>
      </c>
      <c r="E3135" t="s">
        <v>14290</v>
      </c>
      <c r="F3135" t="s">
        <v>22286</v>
      </c>
      <c r="H3135">
        <v>93524560</v>
      </c>
      <c r="I3135" t="s">
        <v>14292</v>
      </c>
      <c r="L3135" t="s">
        <v>22287</v>
      </c>
      <c r="M3135">
        <v>258</v>
      </c>
      <c r="N3135" t="s">
        <v>22288</v>
      </c>
    </row>
    <row r="3136" spans="1:14">
      <c r="A3136" t="s">
        <v>9256</v>
      </c>
      <c r="B3136">
        <v>3738025</v>
      </c>
      <c r="C3136">
        <v>3738567</v>
      </c>
      <c r="E3136" t="s">
        <v>14290</v>
      </c>
      <c r="F3136" t="s">
        <v>22289</v>
      </c>
      <c r="H3136">
        <v>93524561</v>
      </c>
      <c r="I3136" t="s">
        <v>14292</v>
      </c>
      <c r="L3136" t="s">
        <v>22290</v>
      </c>
      <c r="M3136">
        <v>180</v>
      </c>
      <c r="N3136" t="s">
        <v>22291</v>
      </c>
    </row>
    <row r="3137" spans="1:14">
      <c r="A3137" t="s">
        <v>9256</v>
      </c>
      <c r="B3137">
        <v>3738753</v>
      </c>
      <c r="C3137">
        <v>3738914</v>
      </c>
      <c r="E3137" t="s">
        <v>14290</v>
      </c>
      <c r="F3137" t="s">
        <v>14291</v>
      </c>
      <c r="H3137">
        <v>93524562</v>
      </c>
      <c r="I3137" t="s">
        <v>14292</v>
      </c>
      <c r="L3137" t="s">
        <v>22292</v>
      </c>
      <c r="M3137">
        <v>53</v>
      </c>
      <c r="N3137" t="s">
        <v>22293</v>
      </c>
    </row>
    <row r="3138" spans="1:14">
      <c r="A3138" t="s">
        <v>9256</v>
      </c>
      <c r="B3138">
        <v>3739149</v>
      </c>
      <c r="C3138">
        <v>3740153</v>
      </c>
      <c r="E3138" t="s">
        <v>14290</v>
      </c>
      <c r="F3138" t="s">
        <v>21859</v>
      </c>
      <c r="H3138">
        <v>93524563</v>
      </c>
      <c r="I3138" t="s">
        <v>14292</v>
      </c>
      <c r="L3138" t="s">
        <v>22294</v>
      </c>
      <c r="M3138">
        <v>334</v>
      </c>
      <c r="N3138" t="s">
        <v>22295</v>
      </c>
    </row>
    <row r="3139" spans="1:14">
      <c r="A3139" t="s">
        <v>9256</v>
      </c>
      <c r="B3139">
        <v>3740680</v>
      </c>
      <c r="C3139">
        <v>3743850</v>
      </c>
      <c r="E3139" t="s">
        <v>14290</v>
      </c>
      <c r="F3139" t="s">
        <v>14965</v>
      </c>
      <c r="H3139">
        <v>93524564</v>
      </c>
      <c r="I3139" t="s">
        <v>14292</v>
      </c>
      <c r="L3139" t="s">
        <v>22296</v>
      </c>
      <c r="M3139">
        <v>1056</v>
      </c>
      <c r="N3139" t="s">
        <v>22297</v>
      </c>
    </row>
    <row r="3140" spans="1:14">
      <c r="A3140" t="s">
        <v>9256</v>
      </c>
      <c r="B3140">
        <v>3743871</v>
      </c>
      <c r="C3140">
        <v>3745802</v>
      </c>
      <c r="E3140" t="s">
        <v>14290</v>
      </c>
      <c r="F3140" t="s">
        <v>14962</v>
      </c>
      <c r="H3140">
        <v>93524565</v>
      </c>
      <c r="I3140" t="s">
        <v>14292</v>
      </c>
      <c r="L3140" t="s">
        <v>22298</v>
      </c>
      <c r="M3140">
        <v>643</v>
      </c>
      <c r="N3140" t="s">
        <v>22299</v>
      </c>
    </row>
    <row r="3141" spans="1:14">
      <c r="A3141" t="s">
        <v>9256</v>
      </c>
      <c r="B3141">
        <v>3746208</v>
      </c>
      <c r="C3141">
        <v>3749375</v>
      </c>
      <c r="E3141" t="s">
        <v>14290</v>
      </c>
      <c r="F3141" t="s">
        <v>14965</v>
      </c>
      <c r="H3141">
        <v>93524566</v>
      </c>
      <c r="I3141" t="s">
        <v>14292</v>
      </c>
      <c r="L3141" t="s">
        <v>22300</v>
      </c>
      <c r="M3141">
        <v>1055</v>
      </c>
      <c r="N3141" t="s">
        <v>22301</v>
      </c>
    </row>
    <row r="3142" spans="1:14">
      <c r="A3142" t="s">
        <v>9256</v>
      </c>
      <c r="B3142">
        <v>3749417</v>
      </c>
      <c r="C3142">
        <v>3751336</v>
      </c>
      <c r="E3142" t="s">
        <v>14290</v>
      </c>
      <c r="F3142" t="s">
        <v>14962</v>
      </c>
      <c r="H3142">
        <v>93524567</v>
      </c>
      <c r="I3142" t="s">
        <v>14292</v>
      </c>
      <c r="L3142" t="s">
        <v>22302</v>
      </c>
      <c r="M3142">
        <v>639</v>
      </c>
      <c r="N3142" t="s">
        <v>22303</v>
      </c>
    </row>
    <row r="3143" spans="1:14">
      <c r="A3143" t="s">
        <v>9256</v>
      </c>
      <c r="B3143">
        <v>3751459</v>
      </c>
      <c r="C3143">
        <v>3752607</v>
      </c>
      <c r="E3143" t="s">
        <v>14290</v>
      </c>
      <c r="F3143" t="s">
        <v>14590</v>
      </c>
      <c r="H3143">
        <v>93524568</v>
      </c>
      <c r="I3143" t="s">
        <v>14292</v>
      </c>
      <c r="L3143" t="s">
        <v>22304</v>
      </c>
      <c r="M3143">
        <v>382</v>
      </c>
      <c r="N3143" t="s">
        <v>22305</v>
      </c>
    </row>
    <row r="3144" spans="1:14">
      <c r="A3144" t="s">
        <v>9256</v>
      </c>
      <c r="B3144">
        <v>3752604</v>
      </c>
      <c r="C3144">
        <v>3753368</v>
      </c>
      <c r="E3144" t="s">
        <v>14290</v>
      </c>
      <c r="F3144" t="s">
        <v>22306</v>
      </c>
      <c r="H3144">
        <v>93524569</v>
      </c>
      <c r="I3144" t="s">
        <v>14292</v>
      </c>
      <c r="L3144" t="s">
        <v>22307</v>
      </c>
      <c r="M3144">
        <v>254</v>
      </c>
      <c r="N3144" t="s">
        <v>22308</v>
      </c>
    </row>
    <row r="3145" spans="1:14">
      <c r="A3145" t="s">
        <v>9256</v>
      </c>
      <c r="B3145">
        <v>3753379</v>
      </c>
      <c r="C3145">
        <v>3754185</v>
      </c>
      <c r="E3145" t="s">
        <v>14314</v>
      </c>
      <c r="F3145" t="s">
        <v>15800</v>
      </c>
      <c r="H3145">
        <v>93524570</v>
      </c>
      <c r="I3145" t="s">
        <v>14292</v>
      </c>
      <c r="L3145" t="s">
        <v>22309</v>
      </c>
      <c r="M3145">
        <v>268</v>
      </c>
      <c r="N3145" t="s">
        <v>22310</v>
      </c>
    </row>
    <row r="3146" spans="1:14">
      <c r="A3146" t="s">
        <v>9256</v>
      </c>
      <c r="B3146">
        <v>3754354</v>
      </c>
      <c r="C3146">
        <v>3755235</v>
      </c>
      <c r="E3146" t="s">
        <v>14314</v>
      </c>
      <c r="F3146" t="s">
        <v>22311</v>
      </c>
      <c r="G3146" t="s">
        <v>22312</v>
      </c>
      <c r="H3146">
        <v>93524571</v>
      </c>
      <c r="I3146" t="s">
        <v>14292</v>
      </c>
      <c r="L3146" t="s">
        <v>22313</v>
      </c>
      <c r="M3146">
        <v>293</v>
      </c>
      <c r="N3146" t="s">
        <v>22314</v>
      </c>
    </row>
    <row r="3147" spans="1:14">
      <c r="A3147" t="s">
        <v>9256</v>
      </c>
      <c r="B3147">
        <v>3755375</v>
      </c>
      <c r="C3147">
        <v>3755569</v>
      </c>
      <c r="E3147" t="s">
        <v>14290</v>
      </c>
      <c r="F3147" t="s">
        <v>22315</v>
      </c>
      <c r="H3147">
        <v>93524572</v>
      </c>
      <c r="I3147" t="s">
        <v>14292</v>
      </c>
      <c r="L3147" t="s">
        <v>22316</v>
      </c>
      <c r="M3147">
        <v>64</v>
      </c>
      <c r="N3147" t="s">
        <v>22317</v>
      </c>
    </row>
    <row r="3148" spans="1:14">
      <c r="A3148" t="s">
        <v>9256</v>
      </c>
      <c r="B3148">
        <v>3755576</v>
      </c>
      <c r="C3148">
        <v>3756403</v>
      </c>
      <c r="E3148" t="s">
        <v>14290</v>
      </c>
      <c r="F3148" t="s">
        <v>22318</v>
      </c>
      <c r="G3148" t="s">
        <v>22319</v>
      </c>
      <c r="H3148">
        <v>93524573</v>
      </c>
      <c r="I3148" t="s">
        <v>14292</v>
      </c>
      <c r="L3148" t="s">
        <v>22320</v>
      </c>
      <c r="M3148">
        <v>275</v>
      </c>
      <c r="N3148" t="s">
        <v>22321</v>
      </c>
    </row>
    <row r="3149" spans="1:14">
      <c r="A3149" t="s">
        <v>9256</v>
      </c>
      <c r="B3149">
        <v>3756482</v>
      </c>
      <c r="C3149">
        <v>3757333</v>
      </c>
      <c r="E3149" t="s">
        <v>14314</v>
      </c>
      <c r="F3149" t="s">
        <v>15812</v>
      </c>
      <c r="H3149">
        <v>93524574</v>
      </c>
      <c r="I3149" t="s">
        <v>14292</v>
      </c>
      <c r="L3149" t="s">
        <v>22322</v>
      </c>
      <c r="M3149">
        <v>283</v>
      </c>
      <c r="N3149" t="s">
        <v>22323</v>
      </c>
    </row>
    <row r="3150" spans="1:14">
      <c r="A3150" t="s">
        <v>9256</v>
      </c>
      <c r="B3150">
        <v>3757497</v>
      </c>
      <c r="C3150">
        <v>3758312</v>
      </c>
      <c r="E3150" t="s">
        <v>14290</v>
      </c>
      <c r="F3150" t="s">
        <v>14406</v>
      </c>
      <c r="H3150">
        <v>93524575</v>
      </c>
      <c r="I3150" t="s">
        <v>14292</v>
      </c>
      <c r="L3150" t="s">
        <v>22324</v>
      </c>
      <c r="M3150">
        <v>271</v>
      </c>
      <c r="N3150" t="s">
        <v>22325</v>
      </c>
    </row>
    <row r="3151" spans="1:14">
      <c r="A3151" t="s">
        <v>9256</v>
      </c>
      <c r="B3151">
        <v>3758309</v>
      </c>
      <c r="C3151">
        <v>3759184</v>
      </c>
      <c r="E3151" t="s">
        <v>14314</v>
      </c>
      <c r="F3151" t="s">
        <v>19857</v>
      </c>
      <c r="H3151">
        <v>93524576</v>
      </c>
      <c r="I3151" t="s">
        <v>14292</v>
      </c>
      <c r="L3151" t="s">
        <v>22326</v>
      </c>
      <c r="M3151">
        <v>291</v>
      </c>
      <c r="N3151" t="s">
        <v>22327</v>
      </c>
    </row>
    <row r="3152" spans="1:14">
      <c r="A3152" t="s">
        <v>9256</v>
      </c>
      <c r="B3152">
        <v>3759303</v>
      </c>
      <c r="C3152">
        <v>3761609</v>
      </c>
      <c r="E3152" t="s">
        <v>14290</v>
      </c>
      <c r="F3152" t="s">
        <v>14780</v>
      </c>
      <c r="H3152">
        <v>93524577</v>
      </c>
      <c r="I3152" t="s">
        <v>14292</v>
      </c>
      <c r="L3152" t="s">
        <v>22328</v>
      </c>
      <c r="M3152">
        <v>768</v>
      </c>
      <c r="N3152" t="s">
        <v>22329</v>
      </c>
    </row>
    <row r="3153" spans="1:14">
      <c r="A3153" t="s">
        <v>9256</v>
      </c>
      <c r="B3153">
        <v>3761670</v>
      </c>
      <c r="C3153">
        <v>3761804</v>
      </c>
      <c r="E3153" t="s">
        <v>14314</v>
      </c>
      <c r="F3153" t="s">
        <v>14291</v>
      </c>
      <c r="H3153">
        <v>93525973</v>
      </c>
      <c r="I3153" t="s">
        <v>14292</v>
      </c>
      <c r="L3153" t="s">
        <v>22330</v>
      </c>
      <c r="M3153">
        <v>44</v>
      </c>
      <c r="N3153" t="s">
        <v>22331</v>
      </c>
    </row>
    <row r="3154" spans="1:14">
      <c r="A3154" t="s">
        <v>9256</v>
      </c>
      <c r="B3154">
        <v>3761938</v>
      </c>
      <c r="C3154">
        <v>3762936</v>
      </c>
      <c r="E3154" t="s">
        <v>14290</v>
      </c>
      <c r="F3154" t="s">
        <v>22332</v>
      </c>
      <c r="H3154">
        <v>93524578</v>
      </c>
      <c r="I3154" t="s">
        <v>14292</v>
      </c>
      <c r="L3154" t="s">
        <v>22333</v>
      </c>
      <c r="M3154">
        <v>332</v>
      </c>
      <c r="N3154" t="s">
        <v>22334</v>
      </c>
    </row>
    <row r="3155" spans="1:14">
      <c r="A3155" t="s">
        <v>9256</v>
      </c>
      <c r="B3155">
        <v>3762970</v>
      </c>
      <c r="C3155">
        <v>3764340</v>
      </c>
      <c r="E3155" t="s">
        <v>14290</v>
      </c>
      <c r="F3155" t="s">
        <v>22335</v>
      </c>
      <c r="G3155" t="s">
        <v>22336</v>
      </c>
      <c r="H3155">
        <v>93524579</v>
      </c>
      <c r="I3155" t="s">
        <v>14292</v>
      </c>
      <c r="L3155" t="s">
        <v>22337</v>
      </c>
      <c r="M3155">
        <v>456</v>
      </c>
      <c r="N3155" t="s">
        <v>22338</v>
      </c>
    </row>
    <row r="3156" spans="1:14">
      <c r="A3156" t="s">
        <v>9256</v>
      </c>
      <c r="B3156">
        <v>3764354</v>
      </c>
      <c r="C3156">
        <v>3765958</v>
      </c>
      <c r="E3156" t="s">
        <v>14290</v>
      </c>
      <c r="F3156" t="s">
        <v>19649</v>
      </c>
      <c r="H3156">
        <v>93524580</v>
      </c>
      <c r="I3156" t="s">
        <v>14292</v>
      </c>
      <c r="L3156" t="s">
        <v>22339</v>
      </c>
      <c r="M3156">
        <v>534</v>
      </c>
      <c r="N3156" t="s">
        <v>22340</v>
      </c>
    </row>
    <row r="3157" spans="1:14">
      <c r="A3157" t="s">
        <v>9256</v>
      </c>
      <c r="B3157">
        <v>3765976</v>
      </c>
      <c r="C3157">
        <v>3767097</v>
      </c>
      <c r="E3157" t="s">
        <v>14290</v>
      </c>
      <c r="F3157" t="s">
        <v>16857</v>
      </c>
      <c r="H3157">
        <v>93524581</v>
      </c>
      <c r="I3157" t="s">
        <v>14292</v>
      </c>
      <c r="L3157" t="s">
        <v>22341</v>
      </c>
      <c r="M3157">
        <v>373</v>
      </c>
      <c r="N3157" t="s">
        <v>22342</v>
      </c>
    </row>
    <row r="3158" spans="1:14">
      <c r="A3158" t="s">
        <v>9256</v>
      </c>
      <c r="B3158">
        <v>3767091</v>
      </c>
      <c r="C3158">
        <v>3767480</v>
      </c>
      <c r="E3158" t="s">
        <v>14314</v>
      </c>
      <c r="F3158" t="s">
        <v>14291</v>
      </c>
      <c r="H3158">
        <v>93524582</v>
      </c>
      <c r="I3158" t="s">
        <v>14292</v>
      </c>
      <c r="L3158" t="s">
        <v>22343</v>
      </c>
      <c r="M3158">
        <v>129</v>
      </c>
      <c r="N3158" t="s">
        <v>22344</v>
      </c>
    </row>
    <row r="3159" spans="1:14">
      <c r="A3159" t="s">
        <v>9256</v>
      </c>
      <c r="B3159">
        <v>3767493</v>
      </c>
      <c r="C3159">
        <v>3768302</v>
      </c>
      <c r="E3159" t="s">
        <v>14314</v>
      </c>
      <c r="F3159" t="s">
        <v>16823</v>
      </c>
      <c r="H3159">
        <v>93524583</v>
      </c>
      <c r="I3159" t="s">
        <v>14292</v>
      </c>
      <c r="L3159" t="s">
        <v>22345</v>
      </c>
      <c r="M3159">
        <v>269</v>
      </c>
      <c r="N3159" t="s">
        <v>22346</v>
      </c>
    </row>
    <row r="3160" spans="1:14">
      <c r="A3160" t="s">
        <v>9256</v>
      </c>
      <c r="B3160">
        <v>3768411</v>
      </c>
      <c r="C3160">
        <v>3770087</v>
      </c>
      <c r="E3160" t="s">
        <v>14290</v>
      </c>
      <c r="F3160" t="s">
        <v>19636</v>
      </c>
      <c r="H3160">
        <v>93524584</v>
      </c>
      <c r="I3160" t="s">
        <v>14292</v>
      </c>
      <c r="L3160" t="s">
        <v>22347</v>
      </c>
      <c r="M3160">
        <v>558</v>
      </c>
      <c r="N3160" t="s">
        <v>22348</v>
      </c>
    </row>
    <row r="3161" spans="1:14">
      <c r="A3161" t="s">
        <v>9256</v>
      </c>
      <c r="B3161">
        <v>3770332</v>
      </c>
      <c r="C3161">
        <v>3771189</v>
      </c>
      <c r="E3161" t="s">
        <v>14290</v>
      </c>
      <c r="F3161" t="s">
        <v>18256</v>
      </c>
      <c r="H3161">
        <v>93524585</v>
      </c>
      <c r="I3161" t="s">
        <v>14292</v>
      </c>
      <c r="L3161" t="s">
        <v>22349</v>
      </c>
      <c r="M3161">
        <v>285</v>
      </c>
      <c r="N3161" t="s">
        <v>22350</v>
      </c>
    </row>
    <row r="3162" spans="1:14">
      <c r="A3162" t="s">
        <v>9256</v>
      </c>
      <c r="B3162">
        <v>3771230</v>
      </c>
      <c r="C3162">
        <v>3772141</v>
      </c>
      <c r="E3162" t="s">
        <v>14290</v>
      </c>
      <c r="F3162" t="s">
        <v>22351</v>
      </c>
      <c r="H3162">
        <v>93524586</v>
      </c>
      <c r="I3162" t="s">
        <v>14292</v>
      </c>
      <c r="L3162" t="s">
        <v>22352</v>
      </c>
      <c r="M3162">
        <v>303</v>
      </c>
      <c r="N3162" t="s">
        <v>22353</v>
      </c>
    </row>
    <row r="3163" spans="1:14">
      <c r="A3163" t="s">
        <v>9256</v>
      </c>
      <c r="B3163">
        <v>3772239</v>
      </c>
      <c r="C3163">
        <v>3774155</v>
      </c>
      <c r="E3163" t="s">
        <v>14314</v>
      </c>
      <c r="F3163" t="s">
        <v>22354</v>
      </c>
      <c r="H3163">
        <v>93524587</v>
      </c>
      <c r="I3163" t="s">
        <v>14292</v>
      </c>
      <c r="L3163" t="s">
        <v>22355</v>
      </c>
      <c r="M3163">
        <v>638</v>
      </c>
      <c r="N3163" t="s">
        <v>22356</v>
      </c>
    </row>
    <row r="3164" spans="1:14">
      <c r="A3164" t="s">
        <v>9256</v>
      </c>
      <c r="B3164">
        <v>3774165</v>
      </c>
      <c r="C3164">
        <v>3775889</v>
      </c>
      <c r="E3164" t="s">
        <v>14314</v>
      </c>
      <c r="F3164" t="s">
        <v>22357</v>
      </c>
      <c r="G3164" t="s">
        <v>22358</v>
      </c>
      <c r="H3164">
        <v>93524588</v>
      </c>
      <c r="I3164" t="s">
        <v>14292</v>
      </c>
      <c r="L3164" t="s">
        <v>22359</v>
      </c>
      <c r="M3164">
        <v>574</v>
      </c>
      <c r="N3164" t="s">
        <v>22360</v>
      </c>
    </row>
    <row r="3165" spans="1:14">
      <c r="A3165" t="s">
        <v>9256</v>
      </c>
      <c r="B3165">
        <v>3776113</v>
      </c>
      <c r="C3165">
        <v>3776673</v>
      </c>
      <c r="E3165" t="s">
        <v>14290</v>
      </c>
      <c r="F3165" t="s">
        <v>19504</v>
      </c>
      <c r="H3165">
        <v>93524589</v>
      </c>
      <c r="I3165" t="s">
        <v>14292</v>
      </c>
      <c r="L3165" t="s">
        <v>22361</v>
      </c>
      <c r="M3165">
        <v>186</v>
      </c>
      <c r="N3165" t="s">
        <v>22362</v>
      </c>
    </row>
    <row r="3166" spans="1:14">
      <c r="A3166" t="s">
        <v>9256</v>
      </c>
      <c r="B3166">
        <v>3776676</v>
      </c>
      <c r="C3166">
        <v>3778076</v>
      </c>
      <c r="E3166" t="s">
        <v>14290</v>
      </c>
      <c r="F3166" t="s">
        <v>14369</v>
      </c>
      <c r="H3166">
        <v>93524590</v>
      </c>
      <c r="I3166" t="s">
        <v>14292</v>
      </c>
      <c r="L3166" t="s">
        <v>22363</v>
      </c>
      <c r="M3166">
        <v>466</v>
      </c>
      <c r="N3166" t="s">
        <v>22364</v>
      </c>
    </row>
    <row r="3167" spans="1:14">
      <c r="A3167" t="s">
        <v>9256</v>
      </c>
      <c r="B3167">
        <v>3778078</v>
      </c>
      <c r="C3167">
        <v>3779862</v>
      </c>
      <c r="E3167" t="s">
        <v>14290</v>
      </c>
      <c r="F3167" t="s">
        <v>22365</v>
      </c>
      <c r="H3167">
        <v>93524591</v>
      </c>
      <c r="I3167" t="s">
        <v>14292</v>
      </c>
      <c r="L3167" t="s">
        <v>22366</v>
      </c>
      <c r="M3167">
        <v>594</v>
      </c>
      <c r="N3167" t="s">
        <v>22367</v>
      </c>
    </row>
    <row r="3168" spans="1:14">
      <c r="A3168" t="s">
        <v>9256</v>
      </c>
      <c r="B3168">
        <v>3779893</v>
      </c>
      <c r="C3168">
        <v>3780867</v>
      </c>
      <c r="E3168" t="s">
        <v>14290</v>
      </c>
      <c r="F3168" t="s">
        <v>22368</v>
      </c>
      <c r="G3168" t="s">
        <v>22369</v>
      </c>
      <c r="H3168">
        <v>93524592</v>
      </c>
      <c r="I3168" t="s">
        <v>14292</v>
      </c>
      <c r="L3168" t="s">
        <v>22370</v>
      </c>
      <c r="M3168">
        <v>324</v>
      </c>
      <c r="N3168" t="s">
        <v>22371</v>
      </c>
    </row>
    <row r="3169" spans="1:14">
      <c r="A3169" t="s">
        <v>9256</v>
      </c>
      <c r="B3169">
        <v>3780867</v>
      </c>
      <c r="C3169">
        <v>3781241</v>
      </c>
      <c r="E3169" t="s">
        <v>14290</v>
      </c>
      <c r="F3169" t="s">
        <v>22372</v>
      </c>
      <c r="H3169">
        <v>93524593</v>
      </c>
      <c r="I3169" t="s">
        <v>14292</v>
      </c>
      <c r="L3169" t="s">
        <v>22373</v>
      </c>
      <c r="M3169">
        <v>124</v>
      </c>
      <c r="N3169" t="s">
        <v>22374</v>
      </c>
    </row>
    <row r="3170" spans="1:14">
      <c r="A3170" t="s">
        <v>9256</v>
      </c>
      <c r="B3170">
        <v>3781313</v>
      </c>
      <c r="C3170">
        <v>3782779</v>
      </c>
      <c r="E3170" t="s">
        <v>14314</v>
      </c>
      <c r="F3170" t="s">
        <v>22375</v>
      </c>
      <c r="H3170">
        <v>93524594</v>
      </c>
      <c r="I3170" t="s">
        <v>14292</v>
      </c>
      <c r="L3170" t="s">
        <v>22376</v>
      </c>
      <c r="M3170">
        <v>488</v>
      </c>
      <c r="N3170" t="s">
        <v>22377</v>
      </c>
    </row>
    <row r="3171" spans="1:14">
      <c r="A3171" t="s">
        <v>9256</v>
      </c>
      <c r="B3171">
        <v>3783767</v>
      </c>
      <c r="C3171">
        <v>3784168</v>
      </c>
      <c r="E3171" t="s">
        <v>14290</v>
      </c>
      <c r="F3171" t="s">
        <v>15930</v>
      </c>
      <c r="H3171">
        <v>93524595</v>
      </c>
      <c r="I3171" t="s">
        <v>14292</v>
      </c>
      <c r="L3171" t="s">
        <v>22378</v>
      </c>
      <c r="M3171">
        <v>133</v>
      </c>
      <c r="N3171" t="s">
        <v>22379</v>
      </c>
    </row>
    <row r="3172" spans="1:14">
      <c r="A3172" t="s">
        <v>9256</v>
      </c>
      <c r="B3172">
        <v>3784277</v>
      </c>
      <c r="C3172">
        <v>3787414</v>
      </c>
      <c r="E3172" t="s">
        <v>14314</v>
      </c>
      <c r="F3172" t="s">
        <v>14548</v>
      </c>
      <c r="H3172">
        <v>93524596</v>
      </c>
      <c r="I3172" t="s">
        <v>14292</v>
      </c>
      <c r="L3172" t="s">
        <v>22380</v>
      </c>
      <c r="M3172">
        <v>1045</v>
      </c>
      <c r="N3172" t="s">
        <v>22381</v>
      </c>
    </row>
    <row r="3173" spans="1:14">
      <c r="A3173" t="s">
        <v>9256</v>
      </c>
      <c r="B3173">
        <v>3787422</v>
      </c>
      <c r="C3173">
        <v>3788537</v>
      </c>
      <c r="E3173" t="s">
        <v>14314</v>
      </c>
      <c r="F3173" t="s">
        <v>14503</v>
      </c>
      <c r="H3173">
        <v>93524597</v>
      </c>
      <c r="I3173" t="s">
        <v>14292</v>
      </c>
      <c r="L3173" t="s">
        <v>22382</v>
      </c>
      <c r="M3173">
        <v>371</v>
      </c>
      <c r="N3173" t="s">
        <v>22383</v>
      </c>
    </row>
    <row r="3174" spans="1:14">
      <c r="A3174" t="s">
        <v>9256</v>
      </c>
      <c r="B3174">
        <v>3788607</v>
      </c>
      <c r="C3174">
        <v>3790013</v>
      </c>
      <c r="E3174" t="s">
        <v>14314</v>
      </c>
      <c r="F3174" t="s">
        <v>21986</v>
      </c>
      <c r="H3174">
        <v>93524598</v>
      </c>
      <c r="I3174" t="s">
        <v>14292</v>
      </c>
      <c r="L3174" t="s">
        <v>22384</v>
      </c>
      <c r="M3174">
        <v>468</v>
      </c>
      <c r="N3174" t="s">
        <v>22385</v>
      </c>
    </row>
    <row r="3175" spans="1:14">
      <c r="A3175" t="s">
        <v>9256</v>
      </c>
      <c r="B3175">
        <v>3790109</v>
      </c>
      <c r="C3175">
        <v>3790588</v>
      </c>
      <c r="E3175" t="s">
        <v>14290</v>
      </c>
      <c r="F3175" t="s">
        <v>22386</v>
      </c>
      <c r="H3175">
        <v>93524599</v>
      </c>
      <c r="I3175" t="s">
        <v>14292</v>
      </c>
      <c r="L3175" t="s">
        <v>22387</v>
      </c>
      <c r="M3175">
        <v>159</v>
      </c>
      <c r="N3175" t="s">
        <v>22388</v>
      </c>
    </row>
    <row r="3176" spans="1:14">
      <c r="A3176" t="s">
        <v>9256</v>
      </c>
      <c r="B3176">
        <v>3790613</v>
      </c>
      <c r="C3176">
        <v>3791506</v>
      </c>
      <c r="E3176" t="s">
        <v>14290</v>
      </c>
      <c r="F3176" t="s">
        <v>22389</v>
      </c>
      <c r="H3176">
        <v>93524600</v>
      </c>
      <c r="I3176" t="s">
        <v>14292</v>
      </c>
      <c r="L3176" t="s">
        <v>22390</v>
      </c>
      <c r="M3176">
        <v>297</v>
      </c>
      <c r="N3176" t="s">
        <v>22391</v>
      </c>
    </row>
    <row r="3177" spans="1:14">
      <c r="A3177" t="s">
        <v>9256</v>
      </c>
      <c r="B3177">
        <v>3791644</v>
      </c>
      <c r="C3177">
        <v>3793929</v>
      </c>
      <c r="E3177" t="s">
        <v>14314</v>
      </c>
      <c r="F3177" t="s">
        <v>22392</v>
      </c>
      <c r="H3177">
        <v>93524601</v>
      </c>
      <c r="I3177" t="s">
        <v>14292</v>
      </c>
      <c r="L3177" t="s">
        <v>22393</v>
      </c>
      <c r="M3177">
        <v>761</v>
      </c>
      <c r="N3177" t="s">
        <v>22394</v>
      </c>
    </row>
    <row r="3178" spans="1:14">
      <c r="A3178" t="s">
        <v>9256</v>
      </c>
      <c r="B3178">
        <v>3794142</v>
      </c>
      <c r="C3178">
        <v>3794588</v>
      </c>
      <c r="E3178" t="s">
        <v>14290</v>
      </c>
      <c r="F3178" t="s">
        <v>22395</v>
      </c>
      <c r="H3178">
        <v>93524602</v>
      </c>
      <c r="I3178" t="s">
        <v>14292</v>
      </c>
      <c r="L3178" t="s">
        <v>22396</v>
      </c>
      <c r="M3178">
        <v>148</v>
      </c>
      <c r="N3178" t="s">
        <v>22397</v>
      </c>
    </row>
    <row r="3179" spans="1:14">
      <c r="A3179" t="s">
        <v>9256</v>
      </c>
      <c r="B3179">
        <v>3794704</v>
      </c>
      <c r="C3179">
        <v>3794904</v>
      </c>
      <c r="E3179" t="s">
        <v>14314</v>
      </c>
      <c r="F3179" t="s">
        <v>14291</v>
      </c>
      <c r="H3179">
        <v>93524603</v>
      </c>
      <c r="I3179" t="s">
        <v>14292</v>
      </c>
      <c r="L3179" t="s">
        <v>22398</v>
      </c>
      <c r="M3179">
        <v>66</v>
      </c>
      <c r="N3179" t="s">
        <v>22399</v>
      </c>
    </row>
    <row r="3180" spans="1:14">
      <c r="A3180" t="s">
        <v>9256</v>
      </c>
      <c r="B3180">
        <v>3794983</v>
      </c>
      <c r="C3180">
        <v>3796233</v>
      </c>
      <c r="E3180" t="s">
        <v>14290</v>
      </c>
      <c r="F3180" t="s">
        <v>22400</v>
      </c>
      <c r="H3180">
        <v>93524604</v>
      </c>
      <c r="I3180" t="s">
        <v>14292</v>
      </c>
      <c r="L3180" t="s">
        <v>22401</v>
      </c>
      <c r="M3180">
        <v>416</v>
      </c>
      <c r="N3180" t="s">
        <v>22402</v>
      </c>
    </row>
    <row r="3181" spans="1:14">
      <c r="A3181" t="s">
        <v>9256</v>
      </c>
      <c r="B3181">
        <v>3796230</v>
      </c>
      <c r="C3181">
        <v>3799211</v>
      </c>
      <c r="E3181" t="s">
        <v>14290</v>
      </c>
      <c r="F3181" t="s">
        <v>15166</v>
      </c>
      <c r="H3181">
        <v>93524605</v>
      </c>
      <c r="I3181" t="s">
        <v>14292</v>
      </c>
      <c r="L3181" t="s">
        <v>22403</v>
      </c>
      <c r="M3181">
        <v>993</v>
      </c>
      <c r="N3181" t="s">
        <v>22404</v>
      </c>
    </row>
    <row r="3182" spans="1:14">
      <c r="A3182" t="s">
        <v>9256</v>
      </c>
      <c r="B3182">
        <v>3799214</v>
      </c>
      <c r="C3182">
        <v>3799798</v>
      </c>
      <c r="E3182" t="s">
        <v>14314</v>
      </c>
      <c r="F3182" t="s">
        <v>14712</v>
      </c>
      <c r="H3182">
        <v>93524606</v>
      </c>
      <c r="I3182" t="s">
        <v>14292</v>
      </c>
      <c r="L3182" t="s">
        <v>22405</v>
      </c>
      <c r="M3182">
        <v>194</v>
      </c>
      <c r="N3182" t="s">
        <v>22406</v>
      </c>
    </row>
    <row r="3183" spans="1:14">
      <c r="A3183" t="s">
        <v>9256</v>
      </c>
      <c r="B3183">
        <v>3799829</v>
      </c>
      <c r="C3183">
        <v>3802117</v>
      </c>
      <c r="E3183" t="s">
        <v>14314</v>
      </c>
      <c r="F3183" t="s">
        <v>19862</v>
      </c>
      <c r="H3183">
        <v>93524607</v>
      </c>
      <c r="I3183" t="s">
        <v>14292</v>
      </c>
      <c r="L3183" t="s">
        <v>22407</v>
      </c>
      <c r="M3183">
        <v>762</v>
      </c>
      <c r="N3183" t="s">
        <v>22408</v>
      </c>
    </row>
    <row r="3184" spans="1:14">
      <c r="A3184" t="s">
        <v>9256</v>
      </c>
      <c r="B3184">
        <v>3802216</v>
      </c>
      <c r="C3184">
        <v>3804234</v>
      </c>
      <c r="E3184" t="s">
        <v>14290</v>
      </c>
      <c r="F3184" t="s">
        <v>22409</v>
      </c>
      <c r="H3184">
        <v>93524608</v>
      </c>
      <c r="I3184" t="s">
        <v>14292</v>
      </c>
      <c r="L3184" t="s">
        <v>22410</v>
      </c>
      <c r="M3184">
        <v>672</v>
      </c>
      <c r="N3184" t="s">
        <v>22411</v>
      </c>
    </row>
    <row r="3185" spans="1:14">
      <c r="A3185" t="s">
        <v>9256</v>
      </c>
      <c r="B3185">
        <v>3804257</v>
      </c>
      <c r="C3185">
        <v>3805234</v>
      </c>
      <c r="E3185" t="s">
        <v>14290</v>
      </c>
      <c r="F3185" t="s">
        <v>22412</v>
      </c>
      <c r="H3185">
        <v>93524609</v>
      </c>
      <c r="I3185" t="s">
        <v>14292</v>
      </c>
      <c r="L3185" t="s">
        <v>22413</v>
      </c>
      <c r="M3185">
        <v>325</v>
      </c>
      <c r="N3185" t="s">
        <v>22414</v>
      </c>
    </row>
    <row r="3186" spans="1:14">
      <c r="A3186" t="s">
        <v>9256</v>
      </c>
      <c r="B3186">
        <v>3805290</v>
      </c>
      <c r="C3186">
        <v>3805862</v>
      </c>
      <c r="E3186" t="s">
        <v>14314</v>
      </c>
      <c r="F3186" t="s">
        <v>22415</v>
      </c>
      <c r="H3186">
        <v>93524610</v>
      </c>
      <c r="I3186" t="s">
        <v>14292</v>
      </c>
      <c r="L3186" t="s">
        <v>22416</v>
      </c>
      <c r="M3186">
        <v>190</v>
      </c>
      <c r="N3186" t="s">
        <v>22417</v>
      </c>
    </row>
    <row r="3187" spans="1:14">
      <c r="A3187" t="s">
        <v>9256</v>
      </c>
      <c r="B3187">
        <v>3805865</v>
      </c>
      <c r="C3187">
        <v>3806812</v>
      </c>
      <c r="E3187" t="s">
        <v>14314</v>
      </c>
      <c r="F3187" t="s">
        <v>21140</v>
      </c>
      <c r="H3187">
        <v>93524611</v>
      </c>
      <c r="I3187" t="s">
        <v>14292</v>
      </c>
      <c r="L3187" t="s">
        <v>22418</v>
      </c>
      <c r="M3187">
        <v>315</v>
      </c>
      <c r="N3187" t="s">
        <v>22419</v>
      </c>
    </row>
    <row r="3188" spans="1:14">
      <c r="A3188" t="s">
        <v>9256</v>
      </c>
      <c r="B3188">
        <v>3806862</v>
      </c>
      <c r="C3188">
        <v>3807719</v>
      </c>
      <c r="E3188" t="s">
        <v>14314</v>
      </c>
      <c r="F3188" t="s">
        <v>22420</v>
      </c>
      <c r="H3188">
        <v>93524612</v>
      </c>
      <c r="I3188" t="s">
        <v>14292</v>
      </c>
      <c r="L3188" t="s">
        <v>22421</v>
      </c>
      <c r="M3188">
        <v>285</v>
      </c>
      <c r="N3188" t="s">
        <v>22422</v>
      </c>
    </row>
    <row r="3189" spans="1:14">
      <c r="A3189" t="s">
        <v>9256</v>
      </c>
      <c r="B3189">
        <v>3807775</v>
      </c>
      <c r="C3189">
        <v>3809421</v>
      </c>
      <c r="E3189" t="s">
        <v>14314</v>
      </c>
      <c r="F3189" t="s">
        <v>22423</v>
      </c>
      <c r="G3189" t="s">
        <v>22424</v>
      </c>
      <c r="H3189">
        <v>93524613</v>
      </c>
      <c r="I3189" t="s">
        <v>14292</v>
      </c>
      <c r="L3189" t="s">
        <v>22425</v>
      </c>
      <c r="M3189">
        <v>548</v>
      </c>
      <c r="N3189" t="s">
        <v>22426</v>
      </c>
    </row>
    <row r="3190" spans="1:14">
      <c r="A3190" t="s">
        <v>9256</v>
      </c>
      <c r="B3190">
        <v>3809536</v>
      </c>
      <c r="C3190">
        <v>3810180</v>
      </c>
      <c r="E3190" t="s">
        <v>14290</v>
      </c>
      <c r="F3190" t="s">
        <v>15027</v>
      </c>
      <c r="H3190">
        <v>93524614</v>
      </c>
      <c r="I3190" t="s">
        <v>14292</v>
      </c>
      <c r="L3190" t="s">
        <v>22427</v>
      </c>
      <c r="M3190">
        <v>214</v>
      </c>
      <c r="N3190" t="s">
        <v>22428</v>
      </c>
    </row>
    <row r="3191" spans="1:14">
      <c r="A3191" t="s">
        <v>9256</v>
      </c>
      <c r="B3191">
        <v>3810268</v>
      </c>
      <c r="C3191">
        <v>3811227</v>
      </c>
      <c r="E3191" t="s">
        <v>14290</v>
      </c>
      <c r="F3191" t="s">
        <v>14291</v>
      </c>
      <c r="H3191">
        <v>93524615</v>
      </c>
      <c r="I3191" t="s">
        <v>14292</v>
      </c>
      <c r="L3191" t="s">
        <v>22429</v>
      </c>
      <c r="M3191">
        <v>319</v>
      </c>
      <c r="N3191" t="s">
        <v>22430</v>
      </c>
    </row>
    <row r="3192" spans="1:14">
      <c r="A3192" t="s">
        <v>9256</v>
      </c>
      <c r="B3192">
        <v>3811465</v>
      </c>
      <c r="C3192">
        <v>3812424</v>
      </c>
      <c r="E3192" t="s">
        <v>14290</v>
      </c>
      <c r="F3192" t="s">
        <v>14291</v>
      </c>
      <c r="H3192">
        <v>93524616</v>
      </c>
      <c r="I3192" t="s">
        <v>14292</v>
      </c>
      <c r="L3192" t="s">
        <v>22431</v>
      </c>
      <c r="M3192">
        <v>319</v>
      </c>
      <c r="N3192" t="s">
        <v>22432</v>
      </c>
    </row>
    <row r="3193" spans="1:14">
      <c r="A3193" t="s">
        <v>9256</v>
      </c>
      <c r="B3193">
        <v>3812763</v>
      </c>
      <c r="C3193">
        <v>3815549</v>
      </c>
      <c r="E3193" t="s">
        <v>14290</v>
      </c>
      <c r="F3193" t="s">
        <v>14291</v>
      </c>
      <c r="H3193">
        <v>93524617</v>
      </c>
      <c r="I3193" t="s">
        <v>14292</v>
      </c>
      <c r="L3193" t="s">
        <v>22433</v>
      </c>
      <c r="M3193">
        <v>928</v>
      </c>
      <c r="N3193" t="s">
        <v>22434</v>
      </c>
    </row>
    <row r="3194" spans="1:14">
      <c r="A3194" t="s">
        <v>9256</v>
      </c>
      <c r="B3194">
        <v>3815546</v>
      </c>
      <c r="C3194">
        <v>3817354</v>
      </c>
      <c r="E3194" t="s">
        <v>14290</v>
      </c>
      <c r="F3194" t="s">
        <v>14389</v>
      </c>
      <c r="H3194">
        <v>93524618</v>
      </c>
      <c r="I3194" t="s">
        <v>14292</v>
      </c>
      <c r="L3194" t="s">
        <v>22435</v>
      </c>
      <c r="M3194">
        <v>602</v>
      </c>
      <c r="N3194" t="s">
        <v>22436</v>
      </c>
    </row>
    <row r="3195" spans="1:14">
      <c r="A3195" t="s">
        <v>9256</v>
      </c>
      <c r="B3195">
        <v>3817416</v>
      </c>
      <c r="C3195">
        <v>3819092</v>
      </c>
      <c r="E3195" t="s">
        <v>14290</v>
      </c>
      <c r="F3195" t="s">
        <v>18275</v>
      </c>
      <c r="H3195">
        <v>93524619</v>
      </c>
      <c r="I3195" t="s">
        <v>14292</v>
      </c>
      <c r="L3195" t="s">
        <v>22437</v>
      </c>
      <c r="M3195">
        <v>558</v>
      </c>
      <c r="N3195" t="s">
        <v>22438</v>
      </c>
    </row>
    <row r="3196" spans="1:14">
      <c r="A3196" t="s">
        <v>9256</v>
      </c>
      <c r="B3196">
        <v>3819209</v>
      </c>
      <c r="C3196">
        <v>3820189</v>
      </c>
      <c r="E3196" t="s">
        <v>14290</v>
      </c>
      <c r="F3196" t="s">
        <v>18272</v>
      </c>
      <c r="H3196">
        <v>93524620</v>
      </c>
      <c r="I3196" t="s">
        <v>14292</v>
      </c>
      <c r="L3196" t="s">
        <v>22439</v>
      </c>
      <c r="M3196">
        <v>326</v>
      </c>
      <c r="N3196" t="s">
        <v>22440</v>
      </c>
    </row>
    <row r="3197" spans="1:14">
      <c r="A3197" t="s">
        <v>9256</v>
      </c>
      <c r="B3197">
        <v>3820197</v>
      </c>
      <c r="C3197">
        <v>3820787</v>
      </c>
      <c r="E3197" t="s">
        <v>14314</v>
      </c>
      <c r="F3197" t="s">
        <v>15027</v>
      </c>
      <c r="H3197">
        <v>93524621</v>
      </c>
      <c r="I3197" t="s">
        <v>14292</v>
      </c>
      <c r="L3197" t="s">
        <v>22441</v>
      </c>
      <c r="M3197">
        <v>196</v>
      </c>
      <c r="N3197" t="s">
        <v>22442</v>
      </c>
    </row>
    <row r="3198" spans="1:14">
      <c r="A3198" t="s">
        <v>9256</v>
      </c>
      <c r="B3198">
        <v>3820784</v>
      </c>
      <c r="C3198">
        <v>3822133</v>
      </c>
      <c r="E3198" t="s">
        <v>14314</v>
      </c>
      <c r="F3198" t="s">
        <v>16210</v>
      </c>
      <c r="H3198">
        <v>93524622</v>
      </c>
      <c r="I3198" t="s">
        <v>14292</v>
      </c>
      <c r="L3198" t="s">
        <v>22443</v>
      </c>
      <c r="M3198">
        <v>449</v>
      </c>
      <c r="N3198" t="s">
        <v>22444</v>
      </c>
    </row>
    <row r="3199" spans="1:14">
      <c r="A3199" t="s">
        <v>9256</v>
      </c>
      <c r="B3199">
        <v>3822292</v>
      </c>
      <c r="C3199">
        <v>3823167</v>
      </c>
      <c r="E3199" t="s">
        <v>14290</v>
      </c>
      <c r="F3199" t="s">
        <v>15525</v>
      </c>
      <c r="H3199">
        <v>93524623</v>
      </c>
      <c r="I3199" t="s">
        <v>14292</v>
      </c>
      <c r="L3199" t="s">
        <v>22445</v>
      </c>
      <c r="M3199">
        <v>291</v>
      </c>
      <c r="N3199" t="s">
        <v>22446</v>
      </c>
    </row>
    <row r="3200" spans="1:14">
      <c r="A3200" t="s">
        <v>9256</v>
      </c>
      <c r="B3200">
        <v>3823248</v>
      </c>
      <c r="C3200">
        <v>3823335</v>
      </c>
      <c r="E3200" t="s">
        <v>14314</v>
      </c>
      <c r="F3200" t="s">
        <v>20434</v>
      </c>
      <c r="H3200">
        <v>93524624</v>
      </c>
      <c r="I3200" t="s">
        <v>13638</v>
      </c>
      <c r="N3200" t="s">
        <v>22447</v>
      </c>
    </row>
    <row r="3201" spans="1:14">
      <c r="A3201" t="s">
        <v>9256</v>
      </c>
      <c r="B3201">
        <v>3824815</v>
      </c>
      <c r="C3201">
        <v>3825387</v>
      </c>
      <c r="E3201" t="s">
        <v>14290</v>
      </c>
      <c r="F3201" t="s">
        <v>15027</v>
      </c>
      <c r="H3201">
        <v>93524625</v>
      </c>
      <c r="I3201" t="s">
        <v>14292</v>
      </c>
      <c r="L3201" t="s">
        <v>22448</v>
      </c>
      <c r="M3201">
        <v>190</v>
      </c>
      <c r="N3201" t="s">
        <v>22449</v>
      </c>
    </row>
    <row r="3202" spans="1:14">
      <c r="A3202" t="s">
        <v>9256</v>
      </c>
      <c r="B3202">
        <v>3825487</v>
      </c>
      <c r="C3202">
        <v>3825927</v>
      </c>
      <c r="E3202" t="s">
        <v>14290</v>
      </c>
      <c r="F3202" t="s">
        <v>14439</v>
      </c>
      <c r="H3202">
        <v>93524626</v>
      </c>
      <c r="I3202" t="s">
        <v>14292</v>
      </c>
      <c r="L3202" t="s">
        <v>22450</v>
      </c>
      <c r="M3202">
        <v>146</v>
      </c>
      <c r="N3202" t="s">
        <v>22451</v>
      </c>
    </row>
    <row r="3203" spans="1:14">
      <c r="A3203" t="s">
        <v>9256</v>
      </c>
      <c r="B3203">
        <v>3826077</v>
      </c>
      <c r="C3203">
        <v>3827057</v>
      </c>
      <c r="E3203" t="s">
        <v>14290</v>
      </c>
      <c r="F3203" t="s">
        <v>15696</v>
      </c>
      <c r="H3203">
        <v>93524627</v>
      </c>
      <c r="I3203" t="s">
        <v>14292</v>
      </c>
      <c r="L3203" t="s">
        <v>15697</v>
      </c>
      <c r="M3203">
        <v>326</v>
      </c>
      <c r="N3203" t="s">
        <v>22452</v>
      </c>
    </row>
    <row r="3204" spans="1:14">
      <c r="A3204" t="s">
        <v>9256</v>
      </c>
      <c r="B3204">
        <v>3827099</v>
      </c>
      <c r="C3204">
        <v>3827512</v>
      </c>
      <c r="E3204" t="s">
        <v>14290</v>
      </c>
      <c r="F3204" t="s">
        <v>14291</v>
      </c>
      <c r="H3204">
        <v>93524628</v>
      </c>
      <c r="I3204" t="s">
        <v>14292</v>
      </c>
      <c r="L3204" t="s">
        <v>22453</v>
      </c>
      <c r="M3204">
        <v>137</v>
      </c>
      <c r="N3204" t="s">
        <v>22454</v>
      </c>
    </row>
    <row r="3205" spans="1:14">
      <c r="A3205" t="s">
        <v>9256</v>
      </c>
      <c r="B3205">
        <v>3827529</v>
      </c>
      <c r="C3205">
        <v>3827933</v>
      </c>
      <c r="E3205" t="s">
        <v>14290</v>
      </c>
      <c r="F3205" t="s">
        <v>22455</v>
      </c>
      <c r="H3205">
        <v>93524629</v>
      </c>
      <c r="I3205" t="s">
        <v>14292</v>
      </c>
      <c r="L3205" t="s">
        <v>22456</v>
      </c>
      <c r="M3205">
        <v>134</v>
      </c>
      <c r="N3205" t="s">
        <v>22457</v>
      </c>
    </row>
    <row r="3206" spans="1:14">
      <c r="A3206" t="s">
        <v>9256</v>
      </c>
      <c r="B3206">
        <v>3827953</v>
      </c>
      <c r="C3206">
        <v>3828795</v>
      </c>
      <c r="E3206" t="s">
        <v>14290</v>
      </c>
      <c r="F3206" t="s">
        <v>15286</v>
      </c>
      <c r="H3206">
        <v>93524630</v>
      </c>
      <c r="I3206" t="s">
        <v>14292</v>
      </c>
      <c r="L3206" t="s">
        <v>22458</v>
      </c>
      <c r="M3206">
        <v>280</v>
      </c>
      <c r="N3206" t="s">
        <v>22459</v>
      </c>
    </row>
    <row r="3207" spans="1:14">
      <c r="A3207" t="s">
        <v>9256</v>
      </c>
      <c r="B3207">
        <v>3829004</v>
      </c>
      <c r="C3207">
        <v>3829363</v>
      </c>
      <c r="E3207" t="s">
        <v>14290</v>
      </c>
      <c r="F3207" t="s">
        <v>14406</v>
      </c>
      <c r="H3207">
        <v>93524631</v>
      </c>
      <c r="I3207" t="s">
        <v>14292</v>
      </c>
      <c r="L3207" t="s">
        <v>22460</v>
      </c>
      <c r="M3207">
        <v>119</v>
      </c>
      <c r="N3207" t="s">
        <v>22461</v>
      </c>
    </row>
    <row r="3208" spans="1:14">
      <c r="A3208" t="s">
        <v>9256</v>
      </c>
      <c r="B3208">
        <v>3829326</v>
      </c>
      <c r="C3208">
        <v>3831398</v>
      </c>
      <c r="E3208" t="s">
        <v>14290</v>
      </c>
      <c r="F3208" t="s">
        <v>22462</v>
      </c>
      <c r="H3208">
        <v>93524632</v>
      </c>
      <c r="I3208" t="s">
        <v>14292</v>
      </c>
      <c r="L3208" t="s">
        <v>22463</v>
      </c>
      <c r="M3208">
        <v>690</v>
      </c>
      <c r="N3208" t="s">
        <v>22464</v>
      </c>
    </row>
    <row r="3209" spans="1:14">
      <c r="A3209" t="s">
        <v>9256</v>
      </c>
      <c r="B3209">
        <v>3831795</v>
      </c>
      <c r="C3209">
        <v>3832313</v>
      </c>
      <c r="E3209" t="s">
        <v>14290</v>
      </c>
      <c r="F3209" t="s">
        <v>15289</v>
      </c>
      <c r="H3209">
        <v>93524633</v>
      </c>
      <c r="I3209" t="s">
        <v>14292</v>
      </c>
      <c r="L3209" t="s">
        <v>22465</v>
      </c>
      <c r="M3209">
        <v>172</v>
      </c>
      <c r="N3209" t="s">
        <v>22466</v>
      </c>
    </row>
    <row r="3210" spans="1:14">
      <c r="A3210" t="s">
        <v>9256</v>
      </c>
      <c r="B3210">
        <v>3832410</v>
      </c>
      <c r="C3210">
        <v>3834497</v>
      </c>
      <c r="E3210" t="s">
        <v>14314</v>
      </c>
      <c r="F3210" t="s">
        <v>15317</v>
      </c>
      <c r="H3210">
        <v>93524634</v>
      </c>
      <c r="I3210" t="s">
        <v>14292</v>
      </c>
      <c r="L3210" t="s">
        <v>22467</v>
      </c>
      <c r="M3210">
        <v>695</v>
      </c>
      <c r="N3210" t="s">
        <v>22468</v>
      </c>
    </row>
    <row r="3211" spans="1:14">
      <c r="A3211" t="s">
        <v>9256</v>
      </c>
      <c r="B3211">
        <v>3834524</v>
      </c>
      <c r="C3211">
        <v>3835828</v>
      </c>
      <c r="E3211" t="s">
        <v>14314</v>
      </c>
      <c r="F3211" t="s">
        <v>15320</v>
      </c>
      <c r="H3211">
        <v>93524635</v>
      </c>
      <c r="I3211" t="s">
        <v>14292</v>
      </c>
      <c r="L3211" t="s">
        <v>22469</v>
      </c>
      <c r="M3211">
        <v>434</v>
      </c>
      <c r="N3211" t="s">
        <v>22470</v>
      </c>
    </row>
    <row r="3212" spans="1:14">
      <c r="A3212" t="s">
        <v>9256</v>
      </c>
      <c r="B3212">
        <v>3836046</v>
      </c>
      <c r="C3212">
        <v>3837083</v>
      </c>
      <c r="E3212" t="s">
        <v>14290</v>
      </c>
      <c r="F3212" t="s">
        <v>19136</v>
      </c>
      <c r="H3212">
        <v>93524636</v>
      </c>
      <c r="I3212" t="s">
        <v>14292</v>
      </c>
      <c r="L3212" t="s">
        <v>22471</v>
      </c>
      <c r="M3212">
        <v>345</v>
      </c>
      <c r="N3212" t="s">
        <v>22472</v>
      </c>
    </row>
    <row r="3213" spans="1:14">
      <c r="A3213" t="s">
        <v>9256</v>
      </c>
      <c r="B3213">
        <v>3837145</v>
      </c>
      <c r="C3213">
        <v>3839154</v>
      </c>
      <c r="E3213" t="s">
        <v>14314</v>
      </c>
      <c r="F3213" t="s">
        <v>15278</v>
      </c>
      <c r="G3213" t="s">
        <v>15279</v>
      </c>
      <c r="H3213">
        <v>93524637</v>
      </c>
      <c r="I3213" t="s">
        <v>14292</v>
      </c>
      <c r="L3213" t="s">
        <v>22473</v>
      </c>
      <c r="M3213">
        <v>669</v>
      </c>
      <c r="N3213" t="s">
        <v>22474</v>
      </c>
    </row>
    <row r="3214" spans="1:14">
      <c r="A3214" t="s">
        <v>9256</v>
      </c>
      <c r="B3214">
        <v>3839173</v>
      </c>
      <c r="C3214">
        <v>3840444</v>
      </c>
      <c r="E3214" t="s">
        <v>14314</v>
      </c>
      <c r="F3214" t="s">
        <v>15274</v>
      </c>
      <c r="G3214" t="s">
        <v>15275</v>
      </c>
      <c r="H3214">
        <v>93524638</v>
      </c>
      <c r="I3214" t="s">
        <v>14292</v>
      </c>
      <c r="L3214" t="s">
        <v>22475</v>
      </c>
      <c r="M3214">
        <v>423</v>
      </c>
      <c r="N3214" t="s">
        <v>22476</v>
      </c>
    </row>
    <row r="3215" spans="1:14">
      <c r="A3215" t="s">
        <v>9256</v>
      </c>
      <c r="B3215">
        <v>3840429</v>
      </c>
      <c r="C3215">
        <v>3840851</v>
      </c>
      <c r="E3215" t="s">
        <v>14314</v>
      </c>
      <c r="F3215" t="s">
        <v>15270</v>
      </c>
      <c r="G3215" t="s">
        <v>15271</v>
      </c>
      <c r="H3215">
        <v>93524639</v>
      </c>
      <c r="I3215" t="s">
        <v>14292</v>
      </c>
      <c r="L3215" t="s">
        <v>22477</v>
      </c>
      <c r="M3215">
        <v>140</v>
      </c>
      <c r="N3215" t="s">
        <v>22478</v>
      </c>
    </row>
    <row r="3216" spans="1:14">
      <c r="A3216" t="s">
        <v>9256</v>
      </c>
      <c r="B3216">
        <v>3841421</v>
      </c>
      <c r="C3216">
        <v>3842206</v>
      </c>
      <c r="E3216" t="s">
        <v>14290</v>
      </c>
      <c r="F3216" t="s">
        <v>15265</v>
      </c>
      <c r="H3216">
        <v>93524640</v>
      </c>
      <c r="I3216" t="s">
        <v>14292</v>
      </c>
      <c r="L3216" t="s">
        <v>22479</v>
      </c>
      <c r="M3216">
        <v>261</v>
      </c>
      <c r="N3216" t="s">
        <v>22480</v>
      </c>
    </row>
    <row r="3217" spans="1:14">
      <c r="A3217" t="s">
        <v>9256</v>
      </c>
      <c r="B3217">
        <v>3842208</v>
      </c>
      <c r="C3217">
        <v>3842609</v>
      </c>
      <c r="E3217" t="s">
        <v>14290</v>
      </c>
      <c r="F3217" t="s">
        <v>15260</v>
      </c>
      <c r="H3217">
        <v>93524641</v>
      </c>
      <c r="I3217" t="s">
        <v>14292</v>
      </c>
      <c r="L3217" t="s">
        <v>22481</v>
      </c>
      <c r="M3217">
        <v>133</v>
      </c>
      <c r="N3217" t="s">
        <v>22482</v>
      </c>
    </row>
    <row r="3218" spans="1:14">
      <c r="A3218" t="s">
        <v>9256</v>
      </c>
      <c r="B3218">
        <v>3842612</v>
      </c>
      <c r="C3218">
        <v>3843274</v>
      </c>
      <c r="E3218" t="s">
        <v>14290</v>
      </c>
      <c r="F3218" t="s">
        <v>14291</v>
      </c>
      <c r="H3218">
        <v>93524642</v>
      </c>
      <c r="I3218" t="s">
        <v>14292</v>
      </c>
      <c r="L3218" t="s">
        <v>22483</v>
      </c>
      <c r="M3218">
        <v>220</v>
      </c>
      <c r="N3218" t="s">
        <v>22484</v>
      </c>
    </row>
    <row r="3219" spans="1:14">
      <c r="A3219" t="s">
        <v>9256</v>
      </c>
      <c r="B3219">
        <v>3843445</v>
      </c>
      <c r="C3219">
        <v>3843741</v>
      </c>
      <c r="E3219" t="s">
        <v>14290</v>
      </c>
      <c r="F3219" t="s">
        <v>15255</v>
      </c>
      <c r="H3219">
        <v>93524643</v>
      </c>
      <c r="I3219" t="s">
        <v>14292</v>
      </c>
      <c r="L3219" t="s">
        <v>22485</v>
      </c>
      <c r="M3219">
        <v>98</v>
      </c>
      <c r="N3219" t="s">
        <v>22486</v>
      </c>
    </row>
    <row r="3220" spans="1:14">
      <c r="A3220" t="s">
        <v>9256</v>
      </c>
      <c r="B3220">
        <v>3843752</v>
      </c>
      <c r="C3220">
        <v>3844114</v>
      </c>
      <c r="E3220" t="s">
        <v>14290</v>
      </c>
      <c r="F3220" t="s">
        <v>15252</v>
      </c>
      <c r="H3220">
        <v>93524644</v>
      </c>
      <c r="I3220" t="s">
        <v>14292</v>
      </c>
      <c r="L3220" t="s">
        <v>22487</v>
      </c>
      <c r="M3220">
        <v>120</v>
      </c>
      <c r="N3220" t="s">
        <v>22488</v>
      </c>
    </row>
    <row r="3221" spans="1:14">
      <c r="A3221" t="s">
        <v>9256</v>
      </c>
      <c r="B3221">
        <v>3844111</v>
      </c>
      <c r="C3221">
        <v>3846624</v>
      </c>
      <c r="E3221" t="s">
        <v>14290</v>
      </c>
      <c r="F3221" t="s">
        <v>16339</v>
      </c>
      <c r="H3221">
        <v>93524645</v>
      </c>
      <c r="I3221" t="s">
        <v>14292</v>
      </c>
      <c r="L3221" t="s">
        <v>22489</v>
      </c>
      <c r="M3221">
        <v>837</v>
      </c>
      <c r="N3221" t="s">
        <v>22490</v>
      </c>
    </row>
    <row r="3222" spans="1:14">
      <c r="A3222" t="s">
        <v>9256</v>
      </c>
      <c r="B3222">
        <v>3846636</v>
      </c>
      <c r="C3222">
        <v>3846986</v>
      </c>
      <c r="E3222" t="s">
        <v>14290</v>
      </c>
      <c r="F3222" t="s">
        <v>15244</v>
      </c>
      <c r="H3222">
        <v>93524646</v>
      </c>
      <c r="I3222" t="s">
        <v>14292</v>
      </c>
      <c r="L3222" t="s">
        <v>22491</v>
      </c>
      <c r="M3222">
        <v>116</v>
      </c>
      <c r="N3222" t="s">
        <v>22492</v>
      </c>
    </row>
    <row r="3223" spans="1:14">
      <c r="A3223" t="s">
        <v>9256</v>
      </c>
      <c r="B3223">
        <v>3846986</v>
      </c>
      <c r="C3223">
        <v>3847612</v>
      </c>
      <c r="E3223" t="s">
        <v>14290</v>
      </c>
      <c r="F3223" t="s">
        <v>15241</v>
      </c>
      <c r="H3223">
        <v>93524647</v>
      </c>
      <c r="I3223" t="s">
        <v>14292</v>
      </c>
      <c r="L3223" t="s">
        <v>22493</v>
      </c>
      <c r="M3223">
        <v>208</v>
      </c>
      <c r="N3223" t="s">
        <v>22494</v>
      </c>
    </row>
    <row r="3224" spans="1:14">
      <c r="A3224" t="s">
        <v>9256</v>
      </c>
      <c r="B3224">
        <v>3847632</v>
      </c>
      <c r="C3224">
        <v>3848627</v>
      </c>
      <c r="E3224" t="s">
        <v>14290</v>
      </c>
      <c r="F3224" t="s">
        <v>15237</v>
      </c>
      <c r="G3224" t="s">
        <v>15238</v>
      </c>
      <c r="H3224">
        <v>93524648</v>
      </c>
      <c r="I3224" t="s">
        <v>14292</v>
      </c>
      <c r="L3224" t="s">
        <v>22495</v>
      </c>
      <c r="M3224">
        <v>331</v>
      </c>
      <c r="N3224" t="s">
        <v>22496</v>
      </c>
    </row>
    <row r="3225" spans="1:14">
      <c r="A3225" t="s">
        <v>9256</v>
      </c>
      <c r="B3225">
        <v>3848648</v>
      </c>
      <c r="C3225">
        <v>3849271</v>
      </c>
      <c r="E3225" t="s">
        <v>14290</v>
      </c>
      <c r="F3225" t="s">
        <v>15233</v>
      </c>
      <c r="G3225" t="s">
        <v>15234</v>
      </c>
      <c r="H3225">
        <v>93524649</v>
      </c>
      <c r="I3225" t="s">
        <v>14292</v>
      </c>
      <c r="L3225" t="s">
        <v>22497</v>
      </c>
      <c r="M3225">
        <v>207</v>
      </c>
      <c r="N3225" t="s">
        <v>22498</v>
      </c>
    </row>
    <row r="3226" spans="1:14">
      <c r="A3226" t="s">
        <v>9256</v>
      </c>
      <c r="B3226">
        <v>3849276</v>
      </c>
      <c r="C3226">
        <v>3849572</v>
      </c>
      <c r="E3226" t="s">
        <v>14290</v>
      </c>
      <c r="F3226" t="s">
        <v>15230</v>
      </c>
      <c r="H3226">
        <v>93524650</v>
      </c>
      <c r="I3226" t="s">
        <v>14292</v>
      </c>
      <c r="L3226" t="s">
        <v>22499</v>
      </c>
      <c r="M3226">
        <v>98</v>
      </c>
      <c r="N3226" t="s">
        <v>22500</v>
      </c>
    </row>
    <row r="3227" spans="1:14">
      <c r="A3227" t="s">
        <v>9256</v>
      </c>
      <c r="B3227">
        <v>3849550</v>
      </c>
      <c r="C3227">
        <v>3850866</v>
      </c>
      <c r="E3227" t="s">
        <v>14290</v>
      </c>
      <c r="F3227" t="s">
        <v>15226</v>
      </c>
      <c r="G3227" t="s">
        <v>15227</v>
      </c>
      <c r="H3227">
        <v>93524651</v>
      </c>
      <c r="I3227" t="s">
        <v>14292</v>
      </c>
      <c r="L3227" t="s">
        <v>22501</v>
      </c>
      <c r="M3227">
        <v>438</v>
      </c>
      <c r="N3227" t="s">
        <v>22502</v>
      </c>
    </row>
    <row r="3228" spans="1:14">
      <c r="A3228" t="s">
        <v>9256</v>
      </c>
      <c r="B3228">
        <v>3850907</v>
      </c>
      <c r="C3228">
        <v>3851842</v>
      </c>
      <c r="E3228" t="s">
        <v>14290</v>
      </c>
      <c r="F3228" t="s">
        <v>15222</v>
      </c>
      <c r="G3228" t="s">
        <v>15223</v>
      </c>
      <c r="H3228">
        <v>93524652</v>
      </c>
      <c r="I3228" t="s">
        <v>14292</v>
      </c>
      <c r="L3228" t="s">
        <v>22503</v>
      </c>
      <c r="M3228">
        <v>311</v>
      </c>
      <c r="N3228" t="s">
        <v>22504</v>
      </c>
    </row>
    <row r="3229" spans="1:14">
      <c r="A3229" t="s">
        <v>9256</v>
      </c>
      <c r="B3229">
        <v>3851845</v>
      </c>
      <c r="C3229">
        <v>3852426</v>
      </c>
      <c r="E3229" t="s">
        <v>14290</v>
      </c>
      <c r="F3229" t="s">
        <v>15219</v>
      </c>
      <c r="H3229">
        <v>93524653</v>
      </c>
      <c r="I3229" t="s">
        <v>14292</v>
      </c>
      <c r="L3229" t="s">
        <v>22505</v>
      </c>
      <c r="M3229">
        <v>193</v>
      </c>
      <c r="N3229" t="s">
        <v>22506</v>
      </c>
    </row>
    <row r="3230" spans="1:14">
      <c r="A3230" t="s">
        <v>9256</v>
      </c>
      <c r="B3230">
        <v>3852430</v>
      </c>
      <c r="C3230">
        <v>3853320</v>
      </c>
      <c r="E3230" t="s">
        <v>14290</v>
      </c>
      <c r="F3230" t="s">
        <v>18518</v>
      </c>
      <c r="H3230">
        <v>93524654</v>
      </c>
      <c r="I3230" t="s">
        <v>14292</v>
      </c>
      <c r="L3230" t="s">
        <v>22507</v>
      </c>
      <c r="M3230">
        <v>296</v>
      </c>
      <c r="N3230" t="s">
        <v>22508</v>
      </c>
    </row>
    <row r="3231" spans="1:14">
      <c r="A3231" t="s">
        <v>9256</v>
      </c>
      <c r="B3231">
        <v>3853336</v>
      </c>
      <c r="C3231">
        <v>3853794</v>
      </c>
      <c r="E3231" t="s">
        <v>14290</v>
      </c>
      <c r="F3231" t="s">
        <v>15213</v>
      </c>
      <c r="H3231">
        <v>93524655</v>
      </c>
      <c r="I3231" t="s">
        <v>14292</v>
      </c>
      <c r="L3231" t="s">
        <v>22509</v>
      </c>
      <c r="M3231">
        <v>152</v>
      </c>
      <c r="N3231" t="s">
        <v>22510</v>
      </c>
    </row>
    <row r="3232" spans="1:14">
      <c r="A3232" t="s">
        <v>9256</v>
      </c>
      <c r="B3232">
        <v>3853807</v>
      </c>
      <c r="C3232">
        <v>3854127</v>
      </c>
      <c r="E3232" t="s">
        <v>14290</v>
      </c>
      <c r="F3232" t="s">
        <v>14291</v>
      </c>
      <c r="H3232">
        <v>93524656</v>
      </c>
      <c r="I3232" t="s">
        <v>14292</v>
      </c>
      <c r="L3232" t="s">
        <v>22511</v>
      </c>
      <c r="M3232">
        <v>106</v>
      </c>
      <c r="N3232" t="s">
        <v>22512</v>
      </c>
    </row>
    <row r="3233" spans="1:14">
      <c r="A3233" t="s">
        <v>9256</v>
      </c>
      <c r="B3233">
        <v>3854331</v>
      </c>
      <c r="C3233">
        <v>3854813</v>
      </c>
      <c r="E3233" t="s">
        <v>14314</v>
      </c>
      <c r="F3233" t="s">
        <v>22513</v>
      </c>
      <c r="H3233">
        <v>93524657</v>
      </c>
      <c r="I3233" t="s">
        <v>14292</v>
      </c>
      <c r="L3233" t="s">
        <v>22514</v>
      </c>
      <c r="M3233">
        <v>160</v>
      </c>
      <c r="N3233" t="s">
        <v>22515</v>
      </c>
    </row>
    <row r="3234" spans="1:14">
      <c r="A3234" t="s">
        <v>9256</v>
      </c>
      <c r="B3234">
        <v>3854825</v>
      </c>
      <c r="C3234">
        <v>3855046</v>
      </c>
      <c r="E3234" t="s">
        <v>14314</v>
      </c>
      <c r="F3234" t="s">
        <v>15199</v>
      </c>
      <c r="H3234">
        <v>93524658</v>
      </c>
      <c r="I3234" t="s">
        <v>14292</v>
      </c>
      <c r="L3234" t="s">
        <v>22516</v>
      </c>
      <c r="M3234">
        <v>73</v>
      </c>
      <c r="N3234" t="s">
        <v>22517</v>
      </c>
    </row>
    <row r="3235" spans="1:14">
      <c r="A3235" t="s">
        <v>9256</v>
      </c>
      <c r="B3235">
        <v>3855124</v>
      </c>
      <c r="C3235">
        <v>3855657</v>
      </c>
      <c r="E3235" t="s">
        <v>14314</v>
      </c>
      <c r="F3235" t="s">
        <v>16376</v>
      </c>
      <c r="H3235">
        <v>93524659</v>
      </c>
      <c r="I3235" t="s">
        <v>14292</v>
      </c>
      <c r="L3235" t="s">
        <v>22518</v>
      </c>
      <c r="M3235">
        <v>177</v>
      </c>
      <c r="N3235" t="s">
        <v>22519</v>
      </c>
    </row>
    <row r="3236" spans="1:14">
      <c r="A3236" t="s">
        <v>9256</v>
      </c>
      <c r="B3236">
        <v>3856290</v>
      </c>
      <c r="C3236">
        <v>3856820</v>
      </c>
      <c r="E3236" t="s">
        <v>14314</v>
      </c>
      <c r="F3236" t="s">
        <v>18535</v>
      </c>
      <c r="H3236">
        <v>93524660</v>
      </c>
      <c r="I3236" t="s">
        <v>14292</v>
      </c>
      <c r="L3236" t="s">
        <v>22520</v>
      </c>
      <c r="M3236">
        <v>176</v>
      </c>
      <c r="N3236" t="s">
        <v>22521</v>
      </c>
    </row>
    <row r="3237" spans="1:14">
      <c r="A3237" t="s">
        <v>9256</v>
      </c>
      <c r="B3237">
        <v>3856905</v>
      </c>
      <c r="C3237">
        <v>3858134</v>
      </c>
      <c r="E3237" t="s">
        <v>14314</v>
      </c>
      <c r="F3237" t="s">
        <v>15333</v>
      </c>
      <c r="H3237">
        <v>93524661</v>
      </c>
      <c r="I3237" t="s">
        <v>14292</v>
      </c>
      <c r="L3237" t="s">
        <v>22522</v>
      </c>
      <c r="M3237">
        <v>409</v>
      </c>
      <c r="N3237" t="s">
        <v>22523</v>
      </c>
    </row>
    <row r="3238" spans="1:14">
      <c r="A3238" t="s">
        <v>9256</v>
      </c>
      <c r="B3238">
        <v>3858408</v>
      </c>
      <c r="C3238">
        <v>3858492</v>
      </c>
      <c r="E3238" t="s">
        <v>14314</v>
      </c>
      <c r="F3238" t="s">
        <v>20434</v>
      </c>
      <c r="H3238">
        <v>93524662</v>
      </c>
      <c r="I3238" t="s">
        <v>13638</v>
      </c>
      <c r="N3238" t="s">
        <v>22524</v>
      </c>
    </row>
    <row r="3239" spans="1:14">
      <c r="A3239" t="s">
        <v>9256</v>
      </c>
      <c r="B3239">
        <v>3858685</v>
      </c>
      <c r="C3239">
        <v>3859158</v>
      </c>
      <c r="E3239" t="s">
        <v>14290</v>
      </c>
      <c r="F3239" t="s">
        <v>15499</v>
      </c>
      <c r="G3239" t="s">
        <v>15500</v>
      </c>
      <c r="H3239">
        <v>93524663</v>
      </c>
      <c r="I3239" t="s">
        <v>14292</v>
      </c>
      <c r="L3239" t="s">
        <v>22525</v>
      </c>
      <c r="M3239">
        <v>157</v>
      </c>
      <c r="N3239" t="s">
        <v>22526</v>
      </c>
    </row>
    <row r="3240" spans="1:14">
      <c r="A3240" t="s">
        <v>9256</v>
      </c>
      <c r="B3240">
        <v>3859243</v>
      </c>
      <c r="C3240">
        <v>3859575</v>
      </c>
      <c r="E3240" t="s">
        <v>14290</v>
      </c>
      <c r="F3240" t="s">
        <v>22527</v>
      </c>
      <c r="H3240">
        <v>93524664</v>
      </c>
      <c r="I3240" t="s">
        <v>14292</v>
      </c>
      <c r="L3240" t="s">
        <v>22528</v>
      </c>
      <c r="M3240">
        <v>110</v>
      </c>
      <c r="N3240" t="s">
        <v>22529</v>
      </c>
    </row>
    <row r="3241" spans="1:14">
      <c r="A3241" t="s">
        <v>9256</v>
      </c>
      <c r="B3241">
        <v>3859658</v>
      </c>
      <c r="C3241">
        <v>3860206</v>
      </c>
      <c r="E3241" t="s">
        <v>14314</v>
      </c>
      <c r="F3241" t="s">
        <v>22530</v>
      </c>
      <c r="H3241">
        <v>93524665</v>
      </c>
      <c r="I3241" t="s">
        <v>14292</v>
      </c>
      <c r="L3241" t="s">
        <v>22531</v>
      </c>
      <c r="M3241">
        <v>182</v>
      </c>
      <c r="N3241" t="s">
        <v>22532</v>
      </c>
    </row>
    <row r="3242" spans="1:14">
      <c r="A3242" t="s">
        <v>9256</v>
      </c>
      <c r="B3242">
        <v>3860552</v>
      </c>
      <c r="C3242">
        <v>3862189</v>
      </c>
      <c r="E3242" t="s">
        <v>14290</v>
      </c>
      <c r="F3242" t="s">
        <v>15396</v>
      </c>
      <c r="H3242">
        <v>93524666</v>
      </c>
      <c r="I3242" t="s">
        <v>14292</v>
      </c>
      <c r="L3242" t="s">
        <v>22533</v>
      </c>
      <c r="M3242">
        <v>545</v>
      </c>
      <c r="N3242" t="s">
        <v>22534</v>
      </c>
    </row>
    <row r="3243" spans="1:14">
      <c r="A3243" t="s">
        <v>9256</v>
      </c>
      <c r="B3243">
        <v>3862186</v>
      </c>
      <c r="C3243">
        <v>3863667</v>
      </c>
      <c r="E3243" t="s">
        <v>14314</v>
      </c>
      <c r="F3243" t="s">
        <v>22535</v>
      </c>
      <c r="H3243">
        <v>93524667</v>
      </c>
      <c r="I3243" t="s">
        <v>14292</v>
      </c>
      <c r="L3243" t="s">
        <v>22536</v>
      </c>
      <c r="M3243">
        <v>493</v>
      </c>
      <c r="N3243" t="s">
        <v>22537</v>
      </c>
    </row>
    <row r="3244" spans="1:14">
      <c r="A3244" t="s">
        <v>9256</v>
      </c>
      <c r="B3244">
        <v>3863840</v>
      </c>
      <c r="C3244">
        <v>3864451</v>
      </c>
      <c r="E3244" t="s">
        <v>14290</v>
      </c>
      <c r="F3244" t="s">
        <v>22538</v>
      </c>
      <c r="H3244">
        <v>93524668</v>
      </c>
      <c r="I3244" t="s">
        <v>14292</v>
      </c>
      <c r="L3244" t="s">
        <v>22539</v>
      </c>
      <c r="M3244">
        <v>203</v>
      </c>
      <c r="N3244" t="s">
        <v>22540</v>
      </c>
    </row>
    <row r="3245" spans="1:14">
      <c r="A3245" t="s">
        <v>9256</v>
      </c>
      <c r="B3245">
        <v>3864474</v>
      </c>
      <c r="C3245">
        <v>3865538</v>
      </c>
      <c r="E3245" t="s">
        <v>14290</v>
      </c>
      <c r="F3245" t="s">
        <v>22541</v>
      </c>
      <c r="H3245">
        <v>93524669</v>
      </c>
      <c r="I3245" t="s">
        <v>14292</v>
      </c>
      <c r="L3245" t="s">
        <v>22542</v>
      </c>
      <c r="M3245">
        <v>354</v>
      </c>
      <c r="N3245" t="s">
        <v>22543</v>
      </c>
    </row>
    <row r="3246" spans="1:14">
      <c r="A3246" t="s">
        <v>9256</v>
      </c>
      <c r="B3246">
        <v>3865588</v>
      </c>
      <c r="C3246">
        <v>3866391</v>
      </c>
      <c r="E3246" t="s">
        <v>14290</v>
      </c>
      <c r="F3246" t="s">
        <v>17196</v>
      </c>
      <c r="H3246">
        <v>93524670</v>
      </c>
      <c r="I3246" t="s">
        <v>14292</v>
      </c>
      <c r="L3246" t="s">
        <v>22544</v>
      </c>
      <c r="M3246">
        <v>267</v>
      </c>
      <c r="N3246" t="s">
        <v>22545</v>
      </c>
    </row>
    <row r="3247" spans="1:14">
      <c r="A3247" t="s">
        <v>9256</v>
      </c>
      <c r="B3247">
        <v>3866508</v>
      </c>
      <c r="C3247">
        <v>3866580</v>
      </c>
      <c r="E3247" t="s">
        <v>14290</v>
      </c>
      <c r="F3247" t="s">
        <v>19380</v>
      </c>
      <c r="H3247">
        <v>93524671</v>
      </c>
      <c r="I3247" t="s">
        <v>13638</v>
      </c>
      <c r="N3247" t="s">
        <v>22546</v>
      </c>
    </row>
    <row r="3248" spans="1:14">
      <c r="A3248" t="s">
        <v>9256</v>
      </c>
      <c r="B3248">
        <v>3866600</v>
      </c>
      <c r="C3248">
        <v>3866672</v>
      </c>
      <c r="E3248" t="s">
        <v>14290</v>
      </c>
      <c r="F3248" t="s">
        <v>19380</v>
      </c>
      <c r="H3248">
        <v>93524672</v>
      </c>
      <c r="I3248" t="s">
        <v>13638</v>
      </c>
      <c r="N3248" t="s">
        <v>22547</v>
      </c>
    </row>
    <row r="3249" spans="1:14">
      <c r="A3249" t="s">
        <v>9256</v>
      </c>
      <c r="B3249">
        <v>3866688</v>
      </c>
      <c r="C3249">
        <v>3866772</v>
      </c>
      <c r="E3249" t="s">
        <v>14290</v>
      </c>
      <c r="F3249" t="s">
        <v>20434</v>
      </c>
      <c r="H3249">
        <v>93524673</v>
      </c>
      <c r="I3249" t="s">
        <v>13638</v>
      </c>
      <c r="N3249" t="s">
        <v>22548</v>
      </c>
    </row>
    <row r="3250" spans="1:14">
      <c r="A3250" t="s">
        <v>9256</v>
      </c>
      <c r="B3250">
        <v>3866887</v>
      </c>
      <c r="C3250">
        <v>3867882</v>
      </c>
      <c r="E3250" t="s">
        <v>14290</v>
      </c>
      <c r="F3250" t="s">
        <v>19402</v>
      </c>
      <c r="H3250">
        <v>93524674</v>
      </c>
      <c r="I3250" t="s">
        <v>14292</v>
      </c>
      <c r="L3250" t="s">
        <v>22549</v>
      </c>
      <c r="M3250">
        <v>331</v>
      </c>
      <c r="N3250" t="s">
        <v>22550</v>
      </c>
    </row>
    <row r="3251" spans="1:14">
      <c r="A3251" t="s">
        <v>9256</v>
      </c>
      <c r="B3251">
        <v>3867886</v>
      </c>
      <c r="C3251">
        <v>3869952</v>
      </c>
      <c r="E3251" t="s">
        <v>14314</v>
      </c>
      <c r="F3251" t="s">
        <v>19862</v>
      </c>
      <c r="H3251">
        <v>93524675</v>
      </c>
      <c r="I3251" t="s">
        <v>14292</v>
      </c>
      <c r="L3251" t="s">
        <v>22551</v>
      </c>
      <c r="M3251">
        <v>688</v>
      </c>
      <c r="N3251" t="s">
        <v>22552</v>
      </c>
    </row>
    <row r="3252" spans="1:14">
      <c r="A3252" t="s">
        <v>9256</v>
      </c>
      <c r="B3252">
        <v>3870240</v>
      </c>
      <c r="C3252">
        <v>3871529</v>
      </c>
      <c r="E3252" t="s">
        <v>14290</v>
      </c>
      <c r="F3252" t="s">
        <v>14291</v>
      </c>
      <c r="H3252">
        <v>93524676</v>
      </c>
      <c r="I3252" t="s">
        <v>14292</v>
      </c>
      <c r="L3252" t="s">
        <v>22553</v>
      </c>
      <c r="M3252">
        <v>429</v>
      </c>
      <c r="N3252" t="s">
        <v>22554</v>
      </c>
    </row>
    <row r="3253" spans="1:14">
      <c r="A3253" t="s">
        <v>9256</v>
      </c>
      <c r="B3253">
        <v>3871560</v>
      </c>
      <c r="C3253">
        <v>3873170</v>
      </c>
      <c r="E3253" t="s">
        <v>14290</v>
      </c>
      <c r="F3253" t="s">
        <v>15705</v>
      </c>
      <c r="H3253">
        <v>93524677</v>
      </c>
      <c r="I3253" t="s">
        <v>14292</v>
      </c>
      <c r="L3253" t="s">
        <v>22555</v>
      </c>
      <c r="M3253">
        <v>536</v>
      </c>
      <c r="N3253" t="s">
        <v>22556</v>
      </c>
    </row>
    <row r="3254" spans="1:14">
      <c r="A3254" t="s">
        <v>9256</v>
      </c>
      <c r="B3254">
        <v>3873376</v>
      </c>
      <c r="C3254">
        <v>3873969</v>
      </c>
      <c r="E3254" t="s">
        <v>14290</v>
      </c>
      <c r="F3254" t="s">
        <v>15442</v>
      </c>
      <c r="H3254">
        <v>93524678</v>
      </c>
      <c r="I3254" t="s">
        <v>14292</v>
      </c>
      <c r="L3254" t="s">
        <v>22557</v>
      </c>
      <c r="M3254">
        <v>197</v>
      </c>
      <c r="N3254" t="s">
        <v>22558</v>
      </c>
    </row>
    <row r="3255" spans="1:14">
      <c r="A3255" t="s">
        <v>9256</v>
      </c>
      <c r="B3255">
        <v>3874045</v>
      </c>
      <c r="C3255">
        <v>3874218</v>
      </c>
      <c r="E3255" t="s">
        <v>14290</v>
      </c>
      <c r="F3255" t="s">
        <v>14291</v>
      </c>
      <c r="H3255">
        <v>93524679</v>
      </c>
      <c r="I3255" t="s">
        <v>14292</v>
      </c>
      <c r="L3255" t="s">
        <v>22559</v>
      </c>
      <c r="M3255">
        <v>57</v>
      </c>
      <c r="N3255" t="s">
        <v>22560</v>
      </c>
    </row>
    <row r="3256" spans="1:14">
      <c r="A3256" t="s">
        <v>9256</v>
      </c>
      <c r="B3256">
        <v>3874297</v>
      </c>
      <c r="C3256">
        <v>3874947</v>
      </c>
      <c r="E3256" t="s">
        <v>14290</v>
      </c>
      <c r="F3256" t="s">
        <v>22561</v>
      </c>
      <c r="G3256" t="s">
        <v>22562</v>
      </c>
      <c r="H3256">
        <v>93524680</v>
      </c>
      <c r="I3256" t="s">
        <v>14292</v>
      </c>
      <c r="L3256" t="s">
        <v>22563</v>
      </c>
      <c r="M3256">
        <v>216</v>
      </c>
      <c r="N3256" t="s">
        <v>22564</v>
      </c>
    </row>
    <row r="3257" spans="1:14">
      <c r="A3257" t="s">
        <v>9256</v>
      </c>
      <c r="B3257">
        <v>3874981</v>
      </c>
      <c r="C3257">
        <v>3876267</v>
      </c>
      <c r="E3257" t="s">
        <v>14290</v>
      </c>
      <c r="F3257" t="s">
        <v>22565</v>
      </c>
      <c r="H3257">
        <v>93524681</v>
      </c>
      <c r="I3257" t="s">
        <v>14292</v>
      </c>
      <c r="L3257" t="s">
        <v>22566</v>
      </c>
      <c r="M3257">
        <v>428</v>
      </c>
      <c r="N3257" t="s">
        <v>22567</v>
      </c>
    </row>
    <row r="3258" spans="1:14">
      <c r="A3258" t="s">
        <v>9256</v>
      </c>
      <c r="B3258">
        <v>3876305</v>
      </c>
      <c r="C3258">
        <v>3877354</v>
      </c>
      <c r="E3258" t="s">
        <v>14290</v>
      </c>
      <c r="F3258" t="s">
        <v>22568</v>
      </c>
      <c r="H3258">
        <v>93524682</v>
      </c>
      <c r="I3258" t="s">
        <v>14292</v>
      </c>
      <c r="L3258" t="s">
        <v>22569</v>
      </c>
      <c r="M3258">
        <v>349</v>
      </c>
      <c r="N3258" t="s">
        <v>22570</v>
      </c>
    </row>
    <row r="3259" spans="1:14">
      <c r="A3259" t="s">
        <v>9256</v>
      </c>
      <c r="B3259">
        <v>3877407</v>
      </c>
      <c r="C3259">
        <v>3877979</v>
      </c>
      <c r="E3259" t="s">
        <v>14290</v>
      </c>
      <c r="F3259" t="s">
        <v>22571</v>
      </c>
      <c r="H3259">
        <v>93524683</v>
      </c>
      <c r="I3259" t="s">
        <v>14292</v>
      </c>
      <c r="L3259" t="s">
        <v>22572</v>
      </c>
      <c r="M3259">
        <v>190</v>
      </c>
      <c r="N3259" t="s">
        <v>22573</v>
      </c>
    </row>
    <row r="3260" spans="1:14">
      <c r="A3260" t="s">
        <v>9256</v>
      </c>
      <c r="B3260">
        <v>3877976</v>
      </c>
      <c r="C3260">
        <v>3879364</v>
      </c>
      <c r="E3260" t="s">
        <v>14290</v>
      </c>
      <c r="F3260" t="s">
        <v>22574</v>
      </c>
      <c r="G3260" t="s">
        <v>22575</v>
      </c>
      <c r="H3260">
        <v>93524684</v>
      </c>
      <c r="I3260" t="s">
        <v>14292</v>
      </c>
      <c r="L3260" t="s">
        <v>22576</v>
      </c>
      <c r="M3260">
        <v>462</v>
      </c>
      <c r="N3260" t="s">
        <v>22577</v>
      </c>
    </row>
    <row r="3261" spans="1:14">
      <c r="A3261" t="s">
        <v>9256</v>
      </c>
      <c r="B3261">
        <v>3879478</v>
      </c>
      <c r="C3261">
        <v>3881133</v>
      </c>
      <c r="E3261" t="s">
        <v>14290</v>
      </c>
      <c r="F3261" t="s">
        <v>22578</v>
      </c>
      <c r="H3261">
        <v>93524685</v>
      </c>
      <c r="I3261" t="s">
        <v>14292</v>
      </c>
      <c r="L3261" t="s">
        <v>22579</v>
      </c>
      <c r="M3261">
        <v>551</v>
      </c>
      <c r="N3261" t="s">
        <v>22580</v>
      </c>
    </row>
    <row r="3262" spans="1:14">
      <c r="A3262" t="s">
        <v>9256</v>
      </c>
      <c r="B3262">
        <v>3881283</v>
      </c>
      <c r="C3262">
        <v>3882641</v>
      </c>
      <c r="E3262" t="s">
        <v>14290</v>
      </c>
      <c r="F3262" t="s">
        <v>21641</v>
      </c>
      <c r="H3262">
        <v>93524686</v>
      </c>
      <c r="I3262" t="s">
        <v>14292</v>
      </c>
      <c r="L3262" t="s">
        <v>22581</v>
      </c>
      <c r="M3262">
        <v>452</v>
      </c>
      <c r="N3262" t="s">
        <v>22582</v>
      </c>
    </row>
    <row r="3263" spans="1:14">
      <c r="A3263" t="s">
        <v>9256</v>
      </c>
      <c r="B3263">
        <v>3882659</v>
      </c>
      <c r="C3263">
        <v>3883150</v>
      </c>
      <c r="E3263" t="s">
        <v>14314</v>
      </c>
      <c r="F3263" t="s">
        <v>14576</v>
      </c>
      <c r="H3263">
        <v>93524687</v>
      </c>
      <c r="I3263" t="s">
        <v>14292</v>
      </c>
      <c r="L3263" t="s">
        <v>22583</v>
      </c>
      <c r="M3263">
        <v>163</v>
      </c>
      <c r="N3263" t="s">
        <v>22584</v>
      </c>
    </row>
    <row r="3264" spans="1:14">
      <c r="A3264" t="s">
        <v>9256</v>
      </c>
      <c r="B3264">
        <v>3883154</v>
      </c>
      <c r="C3264">
        <v>3885253</v>
      </c>
      <c r="E3264" t="s">
        <v>14314</v>
      </c>
      <c r="F3264" t="s">
        <v>22585</v>
      </c>
      <c r="H3264">
        <v>93524688</v>
      </c>
      <c r="I3264" t="s">
        <v>14292</v>
      </c>
      <c r="L3264" t="s">
        <v>22586</v>
      </c>
      <c r="M3264">
        <v>699</v>
      </c>
      <c r="N3264" t="s">
        <v>22587</v>
      </c>
    </row>
    <row r="3265" spans="1:14">
      <c r="A3265" t="s">
        <v>9256</v>
      </c>
      <c r="B3265">
        <v>3885442</v>
      </c>
      <c r="C3265">
        <v>3886020</v>
      </c>
      <c r="E3265" t="s">
        <v>14290</v>
      </c>
      <c r="F3265" t="s">
        <v>14982</v>
      </c>
      <c r="H3265">
        <v>93524689</v>
      </c>
      <c r="I3265" t="s">
        <v>14292</v>
      </c>
      <c r="L3265" t="s">
        <v>22588</v>
      </c>
      <c r="M3265">
        <v>192</v>
      </c>
      <c r="N3265" t="s">
        <v>22589</v>
      </c>
    </row>
    <row r="3266" spans="1:14">
      <c r="A3266" t="s">
        <v>9256</v>
      </c>
      <c r="B3266">
        <v>3886035</v>
      </c>
      <c r="C3266">
        <v>3887837</v>
      </c>
      <c r="E3266" t="s">
        <v>14314</v>
      </c>
      <c r="F3266" t="s">
        <v>22590</v>
      </c>
      <c r="H3266">
        <v>93524690</v>
      </c>
      <c r="I3266" t="s">
        <v>14292</v>
      </c>
      <c r="L3266" t="s">
        <v>22591</v>
      </c>
      <c r="M3266">
        <v>600</v>
      </c>
      <c r="N3266" t="s">
        <v>22592</v>
      </c>
    </row>
    <row r="3267" spans="1:14">
      <c r="A3267" t="s">
        <v>9256</v>
      </c>
      <c r="B3267">
        <v>3887861</v>
      </c>
      <c r="C3267">
        <v>3889684</v>
      </c>
      <c r="E3267" t="s">
        <v>14314</v>
      </c>
      <c r="F3267" t="s">
        <v>16948</v>
      </c>
      <c r="H3267">
        <v>93524691</v>
      </c>
      <c r="I3267" t="s">
        <v>14292</v>
      </c>
      <c r="L3267" t="s">
        <v>22593</v>
      </c>
      <c r="M3267">
        <v>607</v>
      </c>
      <c r="N3267" t="s">
        <v>22594</v>
      </c>
    </row>
    <row r="3268" spans="1:14">
      <c r="A3268" t="s">
        <v>9256</v>
      </c>
      <c r="B3268">
        <v>3889808</v>
      </c>
      <c r="C3268">
        <v>3891454</v>
      </c>
      <c r="E3268" t="s">
        <v>14314</v>
      </c>
      <c r="F3268" t="s">
        <v>15179</v>
      </c>
      <c r="H3268">
        <v>93524692</v>
      </c>
      <c r="I3268" t="s">
        <v>14292</v>
      </c>
      <c r="L3268" t="s">
        <v>22595</v>
      </c>
      <c r="M3268">
        <v>548</v>
      </c>
      <c r="N3268" t="s">
        <v>22596</v>
      </c>
    </row>
    <row r="3269" spans="1:14">
      <c r="A3269" t="s">
        <v>9256</v>
      </c>
      <c r="B3269">
        <v>3891482</v>
      </c>
      <c r="C3269">
        <v>3894889</v>
      </c>
      <c r="E3269" t="s">
        <v>14314</v>
      </c>
      <c r="F3269" t="s">
        <v>15450</v>
      </c>
      <c r="H3269">
        <v>93524693</v>
      </c>
      <c r="I3269" t="s">
        <v>14292</v>
      </c>
      <c r="L3269" t="s">
        <v>22597</v>
      </c>
      <c r="M3269">
        <v>1135</v>
      </c>
      <c r="N3269" t="s">
        <v>22598</v>
      </c>
    </row>
    <row r="3270" spans="1:14">
      <c r="A3270" t="s">
        <v>9256</v>
      </c>
      <c r="B3270">
        <v>3895080</v>
      </c>
      <c r="C3270">
        <v>3896093</v>
      </c>
      <c r="E3270" t="s">
        <v>14314</v>
      </c>
      <c r="F3270" t="s">
        <v>14972</v>
      </c>
      <c r="H3270">
        <v>93524694</v>
      </c>
      <c r="I3270" t="s">
        <v>14292</v>
      </c>
      <c r="L3270" t="s">
        <v>22599</v>
      </c>
      <c r="M3270">
        <v>337</v>
      </c>
      <c r="N3270" t="s">
        <v>22600</v>
      </c>
    </row>
    <row r="3271" spans="1:14">
      <c r="A3271" t="s">
        <v>9256</v>
      </c>
      <c r="B3271">
        <v>3896204</v>
      </c>
      <c r="C3271">
        <v>3896746</v>
      </c>
      <c r="E3271" t="s">
        <v>14290</v>
      </c>
      <c r="F3271" t="s">
        <v>14982</v>
      </c>
      <c r="H3271">
        <v>93524695</v>
      </c>
      <c r="I3271" t="s">
        <v>14292</v>
      </c>
      <c r="L3271" t="s">
        <v>22601</v>
      </c>
      <c r="M3271">
        <v>180</v>
      </c>
      <c r="N3271" t="s">
        <v>22602</v>
      </c>
    </row>
    <row r="3272" spans="1:14">
      <c r="A3272" t="s">
        <v>9256</v>
      </c>
      <c r="B3272">
        <v>3896803</v>
      </c>
      <c r="C3272">
        <v>3897423</v>
      </c>
      <c r="E3272" t="s">
        <v>14314</v>
      </c>
      <c r="F3272" t="s">
        <v>15103</v>
      </c>
      <c r="H3272">
        <v>93524696</v>
      </c>
      <c r="I3272" t="s">
        <v>14292</v>
      </c>
      <c r="L3272" t="s">
        <v>22603</v>
      </c>
      <c r="M3272">
        <v>206</v>
      </c>
      <c r="N3272" t="s">
        <v>22604</v>
      </c>
    </row>
    <row r="3273" spans="1:14">
      <c r="A3273" t="s">
        <v>9256</v>
      </c>
      <c r="B3273">
        <v>3897858</v>
      </c>
      <c r="C3273">
        <v>3898829</v>
      </c>
      <c r="E3273" t="s">
        <v>14290</v>
      </c>
      <c r="F3273" t="s">
        <v>14972</v>
      </c>
      <c r="H3273">
        <v>93524697</v>
      </c>
      <c r="I3273" t="s">
        <v>14292</v>
      </c>
      <c r="L3273" t="s">
        <v>22605</v>
      </c>
      <c r="M3273">
        <v>323</v>
      </c>
      <c r="N3273" t="s">
        <v>22606</v>
      </c>
    </row>
    <row r="3274" spans="1:14">
      <c r="A3274" t="s">
        <v>9256</v>
      </c>
      <c r="B3274">
        <v>3899002</v>
      </c>
      <c r="C3274">
        <v>3902376</v>
      </c>
      <c r="E3274" t="s">
        <v>14290</v>
      </c>
      <c r="F3274" t="s">
        <v>15450</v>
      </c>
      <c r="H3274">
        <v>93524698</v>
      </c>
      <c r="I3274" t="s">
        <v>14292</v>
      </c>
      <c r="L3274" t="s">
        <v>22607</v>
      </c>
      <c r="M3274">
        <v>1124</v>
      </c>
      <c r="N3274" t="s">
        <v>22608</v>
      </c>
    </row>
    <row r="3275" spans="1:14">
      <c r="A3275" t="s">
        <v>9256</v>
      </c>
      <c r="B3275">
        <v>3902395</v>
      </c>
      <c r="C3275">
        <v>3903900</v>
      </c>
      <c r="E3275" t="s">
        <v>14290</v>
      </c>
      <c r="F3275" t="s">
        <v>15179</v>
      </c>
      <c r="H3275">
        <v>93524699</v>
      </c>
      <c r="I3275" t="s">
        <v>14292</v>
      </c>
      <c r="L3275" t="s">
        <v>22609</v>
      </c>
      <c r="M3275">
        <v>501</v>
      </c>
      <c r="N3275" t="s">
        <v>22610</v>
      </c>
    </row>
    <row r="3276" spans="1:14">
      <c r="A3276" t="s">
        <v>9256</v>
      </c>
      <c r="B3276">
        <v>3903929</v>
      </c>
      <c r="C3276">
        <v>3905248</v>
      </c>
      <c r="E3276" t="s">
        <v>14290</v>
      </c>
      <c r="F3276" t="s">
        <v>16589</v>
      </c>
      <c r="H3276">
        <v>93524700</v>
      </c>
      <c r="I3276" t="s">
        <v>14292</v>
      </c>
      <c r="L3276" t="s">
        <v>22611</v>
      </c>
      <c r="M3276">
        <v>439</v>
      </c>
      <c r="N3276" t="s">
        <v>22612</v>
      </c>
    </row>
    <row r="3277" spans="1:14">
      <c r="A3277" t="s">
        <v>9256</v>
      </c>
      <c r="B3277">
        <v>3905355</v>
      </c>
      <c r="C3277">
        <v>3906785</v>
      </c>
      <c r="E3277" t="s">
        <v>14290</v>
      </c>
      <c r="F3277" t="s">
        <v>16589</v>
      </c>
      <c r="H3277">
        <v>93524701</v>
      </c>
      <c r="I3277" t="s">
        <v>14292</v>
      </c>
      <c r="L3277" t="s">
        <v>22613</v>
      </c>
      <c r="M3277">
        <v>476</v>
      </c>
      <c r="N3277" t="s">
        <v>22614</v>
      </c>
    </row>
    <row r="3278" spans="1:14">
      <c r="A3278" t="s">
        <v>9256</v>
      </c>
      <c r="B3278">
        <v>3906782</v>
      </c>
      <c r="C3278">
        <v>3908356</v>
      </c>
      <c r="E3278" t="s">
        <v>14290</v>
      </c>
      <c r="F3278" t="s">
        <v>16589</v>
      </c>
      <c r="H3278">
        <v>93524702</v>
      </c>
      <c r="I3278" t="s">
        <v>14292</v>
      </c>
      <c r="L3278" t="s">
        <v>22615</v>
      </c>
      <c r="M3278">
        <v>524</v>
      </c>
      <c r="N3278" t="s">
        <v>22616</v>
      </c>
    </row>
    <row r="3279" spans="1:14">
      <c r="A3279" t="s">
        <v>9256</v>
      </c>
      <c r="B3279">
        <v>3908573</v>
      </c>
      <c r="C3279">
        <v>3908728</v>
      </c>
      <c r="E3279" t="s">
        <v>14290</v>
      </c>
      <c r="F3279" t="s">
        <v>14291</v>
      </c>
      <c r="H3279">
        <v>93524703</v>
      </c>
      <c r="I3279" t="s">
        <v>14292</v>
      </c>
      <c r="L3279" t="s">
        <v>22617</v>
      </c>
      <c r="M3279">
        <v>51</v>
      </c>
      <c r="N3279" t="s">
        <v>22618</v>
      </c>
    </row>
    <row r="3280" spans="1:14">
      <c r="A3280" t="s">
        <v>9256</v>
      </c>
      <c r="B3280">
        <v>3908754</v>
      </c>
      <c r="C3280">
        <v>3909845</v>
      </c>
      <c r="E3280" t="s">
        <v>14314</v>
      </c>
      <c r="F3280" t="s">
        <v>22619</v>
      </c>
      <c r="H3280">
        <v>93524704</v>
      </c>
      <c r="I3280" t="s">
        <v>14292</v>
      </c>
      <c r="L3280" t="s">
        <v>22620</v>
      </c>
      <c r="M3280">
        <v>363</v>
      </c>
      <c r="N3280" t="s">
        <v>22621</v>
      </c>
    </row>
    <row r="3281" spans="1:14">
      <c r="A3281" t="s">
        <v>9256</v>
      </c>
      <c r="B3281">
        <v>3909980</v>
      </c>
      <c r="C3281">
        <v>3910915</v>
      </c>
      <c r="E3281" t="s">
        <v>14290</v>
      </c>
      <c r="F3281" t="s">
        <v>19008</v>
      </c>
      <c r="H3281">
        <v>93524705</v>
      </c>
      <c r="I3281" t="s">
        <v>14292</v>
      </c>
      <c r="L3281" t="s">
        <v>22622</v>
      </c>
      <c r="M3281">
        <v>311</v>
      </c>
      <c r="N3281" t="s">
        <v>22623</v>
      </c>
    </row>
    <row r="3282" spans="1:14">
      <c r="A3282" t="s">
        <v>9256</v>
      </c>
      <c r="B3282">
        <v>3910927</v>
      </c>
      <c r="C3282">
        <v>3911847</v>
      </c>
      <c r="E3282" t="s">
        <v>14290</v>
      </c>
      <c r="F3282" t="s">
        <v>15336</v>
      </c>
      <c r="H3282">
        <v>93524706</v>
      </c>
      <c r="I3282" t="s">
        <v>14292</v>
      </c>
      <c r="L3282" t="s">
        <v>22624</v>
      </c>
      <c r="M3282">
        <v>306</v>
      </c>
      <c r="N3282" t="s">
        <v>22625</v>
      </c>
    </row>
    <row r="3283" spans="1:14">
      <c r="A3283" t="s">
        <v>9256</v>
      </c>
      <c r="B3283">
        <v>3911954</v>
      </c>
      <c r="C3283">
        <v>3913531</v>
      </c>
      <c r="E3283" t="s">
        <v>14290</v>
      </c>
      <c r="F3283" t="s">
        <v>22626</v>
      </c>
      <c r="H3283">
        <v>93524707</v>
      </c>
      <c r="I3283" t="s">
        <v>14292</v>
      </c>
      <c r="L3283" t="s">
        <v>22627</v>
      </c>
      <c r="M3283">
        <v>525</v>
      </c>
      <c r="N3283" t="s">
        <v>22628</v>
      </c>
    </row>
    <row r="3284" spans="1:14">
      <c r="A3284" t="s">
        <v>9256</v>
      </c>
      <c r="B3284">
        <v>3913674</v>
      </c>
      <c r="C3284">
        <v>3914105</v>
      </c>
      <c r="E3284" t="s">
        <v>14314</v>
      </c>
      <c r="F3284" t="s">
        <v>22629</v>
      </c>
      <c r="G3284" t="s">
        <v>22630</v>
      </c>
      <c r="H3284">
        <v>93524708</v>
      </c>
      <c r="I3284" t="s">
        <v>14292</v>
      </c>
      <c r="L3284" t="s">
        <v>22631</v>
      </c>
      <c r="M3284">
        <v>143</v>
      </c>
      <c r="N3284" t="s">
        <v>22632</v>
      </c>
    </row>
    <row r="3285" spans="1:14">
      <c r="A3285" t="s">
        <v>9256</v>
      </c>
      <c r="B3285">
        <v>3914108</v>
      </c>
      <c r="C3285">
        <v>3916138</v>
      </c>
      <c r="E3285" t="s">
        <v>14314</v>
      </c>
      <c r="F3285" t="s">
        <v>22633</v>
      </c>
      <c r="H3285">
        <v>93524709</v>
      </c>
      <c r="I3285" t="s">
        <v>14292</v>
      </c>
      <c r="L3285" t="s">
        <v>22634</v>
      </c>
      <c r="M3285">
        <v>676</v>
      </c>
      <c r="N3285" t="s">
        <v>22635</v>
      </c>
    </row>
    <row r="3286" spans="1:14">
      <c r="A3286" t="s">
        <v>9256</v>
      </c>
      <c r="B3286">
        <v>3916319</v>
      </c>
      <c r="C3286">
        <v>3917011</v>
      </c>
      <c r="E3286" t="s">
        <v>14314</v>
      </c>
      <c r="F3286" t="s">
        <v>14576</v>
      </c>
      <c r="H3286">
        <v>93524710</v>
      </c>
      <c r="I3286" t="s">
        <v>14292</v>
      </c>
      <c r="L3286" t="s">
        <v>22636</v>
      </c>
      <c r="M3286">
        <v>230</v>
      </c>
      <c r="N3286" t="s">
        <v>22637</v>
      </c>
    </row>
    <row r="3287" spans="1:14">
      <c r="A3287" t="s">
        <v>9256</v>
      </c>
      <c r="B3287">
        <v>3917032</v>
      </c>
      <c r="C3287">
        <v>3918177</v>
      </c>
      <c r="E3287" t="s">
        <v>14314</v>
      </c>
      <c r="F3287" t="s">
        <v>22638</v>
      </c>
      <c r="G3287" t="s">
        <v>22639</v>
      </c>
      <c r="H3287">
        <v>93524711</v>
      </c>
      <c r="I3287" t="s">
        <v>14292</v>
      </c>
      <c r="L3287" t="s">
        <v>22640</v>
      </c>
      <c r="M3287">
        <v>381</v>
      </c>
      <c r="N3287" t="s">
        <v>22641</v>
      </c>
    </row>
    <row r="3288" spans="1:14">
      <c r="A3288" t="s">
        <v>9256</v>
      </c>
      <c r="B3288">
        <v>3918285</v>
      </c>
      <c r="C3288">
        <v>3919559</v>
      </c>
      <c r="E3288" t="s">
        <v>14314</v>
      </c>
      <c r="F3288" t="s">
        <v>14445</v>
      </c>
      <c r="H3288">
        <v>93524712</v>
      </c>
      <c r="I3288" t="s">
        <v>14292</v>
      </c>
      <c r="L3288" t="s">
        <v>22642</v>
      </c>
      <c r="M3288">
        <v>424</v>
      </c>
      <c r="N3288" t="s">
        <v>22643</v>
      </c>
    </row>
    <row r="3289" spans="1:14">
      <c r="A3289" t="s">
        <v>9256</v>
      </c>
      <c r="B3289">
        <v>3919605</v>
      </c>
      <c r="C3289">
        <v>3920681</v>
      </c>
      <c r="E3289" t="s">
        <v>14314</v>
      </c>
      <c r="F3289" t="s">
        <v>20476</v>
      </c>
      <c r="H3289">
        <v>93524713</v>
      </c>
      <c r="I3289" t="s">
        <v>14292</v>
      </c>
      <c r="L3289" t="s">
        <v>22644</v>
      </c>
      <c r="M3289">
        <v>358</v>
      </c>
      <c r="N3289" t="s">
        <v>22645</v>
      </c>
    </row>
    <row r="3290" spans="1:14">
      <c r="A3290" t="s">
        <v>9256</v>
      </c>
      <c r="B3290">
        <v>3920907</v>
      </c>
      <c r="C3290">
        <v>3923366</v>
      </c>
      <c r="E3290" t="s">
        <v>14290</v>
      </c>
      <c r="F3290" t="s">
        <v>14291</v>
      </c>
      <c r="H3290">
        <v>93524714</v>
      </c>
      <c r="I3290" t="s">
        <v>14292</v>
      </c>
      <c r="L3290" t="s">
        <v>22646</v>
      </c>
      <c r="M3290">
        <v>819</v>
      </c>
      <c r="N3290" t="s">
        <v>22647</v>
      </c>
    </row>
    <row r="3291" spans="1:14">
      <c r="A3291" t="s">
        <v>9256</v>
      </c>
      <c r="B3291">
        <v>3923581</v>
      </c>
      <c r="C3291">
        <v>3923817</v>
      </c>
      <c r="E3291" t="s">
        <v>14314</v>
      </c>
      <c r="F3291" t="s">
        <v>14291</v>
      </c>
      <c r="H3291">
        <v>93524715</v>
      </c>
      <c r="I3291" t="s">
        <v>14292</v>
      </c>
      <c r="L3291" t="s">
        <v>22648</v>
      </c>
      <c r="M3291">
        <v>78</v>
      </c>
      <c r="N3291" t="s">
        <v>22649</v>
      </c>
    </row>
    <row r="3292" spans="1:14">
      <c r="A3292" t="s">
        <v>9256</v>
      </c>
      <c r="B3292">
        <v>3924107</v>
      </c>
      <c r="C3292">
        <v>3926455</v>
      </c>
      <c r="E3292" t="s">
        <v>14290</v>
      </c>
      <c r="F3292" t="s">
        <v>14562</v>
      </c>
      <c r="H3292">
        <v>93524716</v>
      </c>
      <c r="I3292" t="s">
        <v>14292</v>
      </c>
      <c r="L3292" t="s">
        <v>22650</v>
      </c>
      <c r="M3292">
        <v>782</v>
      </c>
      <c r="N3292" t="s">
        <v>22651</v>
      </c>
    </row>
    <row r="3293" spans="1:14">
      <c r="A3293" t="s">
        <v>9256</v>
      </c>
      <c r="B3293">
        <v>3926668</v>
      </c>
      <c r="C3293">
        <v>3927198</v>
      </c>
      <c r="E3293" t="s">
        <v>14314</v>
      </c>
      <c r="F3293" t="s">
        <v>22652</v>
      </c>
      <c r="H3293">
        <v>93524717</v>
      </c>
      <c r="I3293" t="s">
        <v>14292</v>
      </c>
      <c r="L3293" t="s">
        <v>22653</v>
      </c>
      <c r="M3293">
        <v>176</v>
      </c>
      <c r="N3293" t="s">
        <v>22654</v>
      </c>
    </row>
    <row r="3294" spans="1:14">
      <c r="A3294" t="s">
        <v>9256</v>
      </c>
      <c r="B3294">
        <v>3927365</v>
      </c>
      <c r="C3294">
        <v>3927718</v>
      </c>
      <c r="E3294" t="s">
        <v>14290</v>
      </c>
      <c r="F3294" t="s">
        <v>22655</v>
      </c>
      <c r="H3294">
        <v>93524718</v>
      </c>
      <c r="I3294" t="s">
        <v>14292</v>
      </c>
      <c r="L3294" t="s">
        <v>22656</v>
      </c>
      <c r="M3294">
        <v>117</v>
      </c>
      <c r="N3294" t="s">
        <v>22657</v>
      </c>
    </row>
    <row r="3295" spans="1:14">
      <c r="A3295" t="s">
        <v>9256</v>
      </c>
      <c r="B3295">
        <v>3928177</v>
      </c>
      <c r="C3295">
        <v>3929100</v>
      </c>
      <c r="E3295" t="s">
        <v>14290</v>
      </c>
      <c r="F3295" t="s">
        <v>22658</v>
      </c>
      <c r="G3295" t="s">
        <v>22659</v>
      </c>
      <c r="H3295">
        <v>93524719</v>
      </c>
      <c r="I3295" t="s">
        <v>14292</v>
      </c>
      <c r="L3295" t="s">
        <v>22660</v>
      </c>
      <c r="M3295">
        <v>307</v>
      </c>
      <c r="N3295" t="s">
        <v>22661</v>
      </c>
    </row>
    <row r="3296" spans="1:14">
      <c r="A3296" t="s">
        <v>9256</v>
      </c>
      <c r="B3296">
        <v>3929122</v>
      </c>
      <c r="C3296">
        <v>3930678</v>
      </c>
      <c r="E3296" t="s">
        <v>14290</v>
      </c>
      <c r="F3296" t="s">
        <v>22662</v>
      </c>
      <c r="H3296">
        <v>93524720</v>
      </c>
      <c r="I3296" t="s">
        <v>14292</v>
      </c>
      <c r="L3296" t="s">
        <v>22663</v>
      </c>
      <c r="M3296">
        <v>518</v>
      </c>
      <c r="N3296" t="s">
        <v>22664</v>
      </c>
    </row>
    <row r="3297" spans="1:14">
      <c r="A3297" t="s">
        <v>9256</v>
      </c>
      <c r="B3297">
        <v>3930691</v>
      </c>
      <c r="C3297">
        <v>3931707</v>
      </c>
      <c r="E3297" t="s">
        <v>14290</v>
      </c>
      <c r="F3297" t="s">
        <v>22665</v>
      </c>
      <c r="H3297">
        <v>93524721</v>
      </c>
      <c r="I3297" t="s">
        <v>14292</v>
      </c>
      <c r="L3297" t="s">
        <v>22666</v>
      </c>
      <c r="M3297">
        <v>338</v>
      </c>
      <c r="N3297" t="s">
        <v>22667</v>
      </c>
    </row>
    <row r="3298" spans="1:14">
      <c r="A3298" t="s">
        <v>9256</v>
      </c>
      <c r="B3298">
        <v>3931714</v>
      </c>
      <c r="C3298">
        <v>3932715</v>
      </c>
      <c r="E3298" t="s">
        <v>14290</v>
      </c>
      <c r="F3298" t="s">
        <v>22668</v>
      </c>
      <c r="H3298">
        <v>93524722</v>
      </c>
      <c r="I3298" t="s">
        <v>14292</v>
      </c>
      <c r="L3298" t="s">
        <v>22669</v>
      </c>
      <c r="M3298">
        <v>333</v>
      </c>
      <c r="N3298" t="s">
        <v>22670</v>
      </c>
    </row>
    <row r="3299" spans="1:14">
      <c r="A3299" t="s">
        <v>9256</v>
      </c>
      <c r="B3299">
        <v>3932805</v>
      </c>
      <c r="C3299">
        <v>3933554</v>
      </c>
      <c r="E3299" t="s">
        <v>14290</v>
      </c>
      <c r="F3299" t="s">
        <v>14291</v>
      </c>
      <c r="H3299">
        <v>93524723</v>
      </c>
      <c r="I3299" t="s">
        <v>14292</v>
      </c>
      <c r="L3299" t="s">
        <v>22671</v>
      </c>
      <c r="M3299">
        <v>249</v>
      </c>
      <c r="N3299" t="s">
        <v>22672</v>
      </c>
    </row>
    <row r="3300" spans="1:14">
      <c r="A3300" t="s">
        <v>9256</v>
      </c>
      <c r="B3300">
        <v>3933541</v>
      </c>
      <c r="C3300">
        <v>3933921</v>
      </c>
      <c r="E3300" t="s">
        <v>14290</v>
      </c>
      <c r="F3300" t="s">
        <v>22673</v>
      </c>
      <c r="H3300">
        <v>93524724</v>
      </c>
      <c r="I3300" t="s">
        <v>14292</v>
      </c>
      <c r="L3300" t="s">
        <v>22674</v>
      </c>
      <c r="M3300">
        <v>126</v>
      </c>
      <c r="N3300" t="s">
        <v>22675</v>
      </c>
    </row>
    <row r="3301" spans="1:14">
      <c r="A3301" t="s">
        <v>9256</v>
      </c>
      <c r="B3301">
        <v>3933927</v>
      </c>
      <c r="C3301">
        <v>3934859</v>
      </c>
      <c r="E3301" t="s">
        <v>14290</v>
      </c>
      <c r="F3301" t="s">
        <v>14335</v>
      </c>
      <c r="H3301">
        <v>93524725</v>
      </c>
      <c r="I3301" t="s">
        <v>14292</v>
      </c>
      <c r="L3301" t="s">
        <v>22676</v>
      </c>
      <c r="M3301">
        <v>310</v>
      </c>
      <c r="N3301" t="s">
        <v>22677</v>
      </c>
    </row>
    <row r="3302" spans="1:14">
      <c r="A3302" t="s">
        <v>9256</v>
      </c>
      <c r="B3302">
        <v>3935011</v>
      </c>
      <c r="C3302">
        <v>3936411</v>
      </c>
      <c r="E3302" t="s">
        <v>14290</v>
      </c>
      <c r="F3302" t="s">
        <v>22678</v>
      </c>
      <c r="G3302" t="s">
        <v>22679</v>
      </c>
      <c r="H3302">
        <v>93524726</v>
      </c>
      <c r="I3302" t="s">
        <v>14292</v>
      </c>
      <c r="L3302" t="s">
        <v>22680</v>
      </c>
      <c r="M3302">
        <v>466</v>
      </c>
      <c r="N3302" t="s">
        <v>22681</v>
      </c>
    </row>
    <row r="3303" spans="1:14">
      <c r="A3303" t="s">
        <v>9256</v>
      </c>
      <c r="B3303">
        <v>3936506</v>
      </c>
      <c r="C3303">
        <v>3939949</v>
      </c>
      <c r="E3303" t="s">
        <v>14290</v>
      </c>
      <c r="F3303" t="s">
        <v>22682</v>
      </c>
      <c r="H3303">
        <v>93524727</v>
      </c>
      <c r="I3303" t="s">
        <v>14292</v>
      </c>
      <c r="L3303" t="s">
        <v>22683</v>
      </c>
      <c r="M3303">
        <v>1147</v>
      </c>
      <c r="N3303" t="s">
        <v>22684</v>
      </c>
    </row>
    <row r="3304" spans="1:14">
      <c r="A3304" t="s">
        <v>9256</v>
      </c>
      <c r="B3304">
        <v>3939954</v>
      </c>
      <c r="C3304">
        <v>3940235</v>
      </c>
      <c r="E3304" t="s">
        <v>14314</v>
      </c>
      <c r="F3304" t="s">
        <v>14291</v>
      </c>
      <c r="H3304">
        <v>93524728</v>
      </c>
      <c r="I3304" t="s">
        <v>14292</v>
      </c>
      <c r="L3304" t="s">
        <v>22685</v>
      </c>
      <c r="M3304">
        <v>93</v>
      </c>
      <c r="N3304" t="s">
        <v>22686</v>
      </c>
    </row>
    <row r="3305" spans="1:14">
      <c r="A3305" t="s">
        <v>9256</v>
      </c>
      <c r="B3305">
        <v>3940267</v>
      </c>
      <c r="C3305">
        <v>3941655</v>
      </c>
      <c r="E3305" t="s">
        <v>14290</v>
      </c>
      <c r="F3305" t="s">
        <v>22687</v>
      </c>
      <c r="G3305" t="s">
        <v>22688</v>
      </c>
      <c r="H3305">
        <v>93524729</v>
      </c>
      <c r="I3305" t="s">
        <v>14292</v>
      </c>
      <c r="L3305" t="s">
        <v>22689</v>
      </c>
      <c r="M3305">
        <v>462</v>
      </c>
      <c r="N3305" t="s">
        <v>22690</v>
      </c>
    </row>
    <row r="3306" spans="1:14">
      <c r="A3306" t="s">
        <v>9256</v>
      </c>
      <c r="B3306">
        <v>3941668</v>
      </c>
      <c r="C3306">
        <v>3942465</v>
      </c>
      <c r="E3306" t="s">
        <v>14290</v>
      </c>
      <c r="F3306" t="s">
        <v>14562</v>
      </c>
      <c r="H3306">
        <v>93524730</v>
      </c>
      <c r="I3306" t="s">
        <v>14292</v>
      </c>
      <c r="L3306" t="s">
        <v>22691</v>
      </c>
      <c r="M3306">
        <v>265</v>
      </c>
      <c r="N3306" t="s">
        <v>22692</v>
      </c>
    </row>
    <row r="3307" spans="1:14">
      <c r="A3307" t="s">
        <v>9256</v>
      </c>
      <c r="B3307">
        <v>3942465</v>
      </c>
      <c r="C3307">
        <v>3943253</v>
      </c>
      <c r="E3307" t="s">
        <v>14290</v>
      </c>
      <c r="F3307" t="s">
        <v>14562</v>
      </c>
      <c r="H3307">
        <v>93524731</v>
      </c>
      <c r="I3307" t="s">
        <v>14292</v>
      </c>
      <c r="L3307" t="s">
        <v>22693</v>
      </c>
      <c r="M3307">
        <v>262</v>
      </c>
      <c r="N3307" t="s">
        <v>22694</v>
      </c>
    </row>
    <row r="3308" spans="1:14">
      <c r="A3308" t="s">
        <v>9256</v>
      </c>
      <c r="B3308">
        <v>3943260</v>
      </c>
      <c r="C3308">
        <v>3944597</v>
      </c>
      <c r="E3308" t="s">
        <v>14290</v>
      </c>
      <c r="F3308" t="s">
        <v>19643</v>
      </c>
      <c r="H3308">
        <v>93524732</v>
      </c>
      <c r="I3308" t="s">
        <v>14292</v>
      </c>
      <c r="L3308" t="s">
        <v>22695</v>
      </c>
      <c r="M3308">
        <v>445</v>
      </c>
      <c r="N3308" t="s">
        <v>22696</v>
      </c>
    </row>
    <row r="3309" spans="1:14">
      <c r="A3309" t="s">
        <v>9256</v>
      </c>
      <c r="B3309">
        <v>3944599</v>
      </c>
      <c r="C3309">
        <v>3945213</v>
      </c>
      <c r="E3309" t="s">
        <v>14290</v>
      </c>
      <c r="F3309" t="s">
        <v>17493</v>
      </c>
      <c r="H3309">
        <v>93524733</v>
      </c>
      <c r="I3309" t="s">
        <v>14292</v>
      </c>
      <c r="L3309" t="s">
        <v>22697</v>
      </c>
      <c r="M3309">
        <v>204</v>
      </c>
      <c r="N3309" t="s">
        <v>22698</v>
      </c>
    </row>
    <row r="3310" spans="1:14">
      <c r="A3310" t="s">
        <v>9256</v>
      </c>
      <c r="B3310">
        <v>3945239</v>
      </c>
      <c r="C3310">
        <v>3945919</v>
      </c>
      <c r="E3310" t="s">
        <v>14314</v>
      </c>
      <c r="F3310" t="s">
        <v>22699</v>
      </c>
      <c r="H3310">
        <v>93524734</v>
      </c>
      <c r="I3310" t="s">
        <v>14292</v>
      </c>
      <c r="L3310" t="s">
        <v>22700</v>
      </c>
      <c r="M3310">
        <v>226</v>
      </c>
      <c r="N3310" t="s">
        <v>22701</v>
      </c>
    </row>
    <row r="3311" spans="1:14">
      <c r="A3311" t="s">
        <v>9256</v>
      </c>
      <c r="B3311">
        <v>3945981</v>
      </c>
      <c r="C3311">
        <v>3946643</v>
      </c>
      <c r="E3311" t="s">
        <v>14314</v>
      </c>
      <c r="F3311" t="s">
        <v>22702</v>
      </c>
      <c r="H3311">
        <v>93524735</v>
      </c>
      <c r="I3311" t="s">
        <v>14292</v>
      </c>
      <c r="L3311" t="s">
        <v>22703</v>
      </c>
      <c r="M3311">
        <v>220</v>
      </c>
      <c r="N3311" t="s">
        <v>22704</v>
      </c>
    </row>
    <row r="3312" spans="1:14">
      <c r="A3312" t="s">
        <v>9256</v>
      </c>
      <c r="B3312">
        <v>3946757</v>
      </c>
      <c r="C3312">
        <v>3947638</v>
      </c>
      <c r="E3312" t="s">
        <v>14290</v>
      </c>
      <c r="F3312" t="s">
        <v>22705</v>
      </c>
      <c r="H3312">
        <v>93524736</v>
      </c>
      <c r="I3312" t="s">
        <v>14292</v>
      </c>
      <c r="L3312" t="s">
        <v>22706</v>
      </c>
      <c r="M3312">
        <v>293</v>
      </c>
      <c r="N3312" t="s">
        <v>22707</v>
      </c>
    </row>
    <row r="3313" spans="1:14">
      <c r="A3313" t="s">
        <v>9256</v>
      </c>
      <c r="B3313">
        <v>3947864</v>
      </c>
      <c r="C3313">
        <v>3948115</v>
      </c>
      <c r="E3313" t="s">
        <v>14290</v>
      </c>
      <c r="F3313" t="s">
        <v>15442</v>
      </c>
      <c r="H3313">
        <v>301046731</v>
      </c>
      <c r="I3313" t="s">
        <v>14292</v>
      </c>
      <c r="L3313" t="s">
        <v>22708</v>
      </c>
      <c r="M3313">
        <v>83</v>
      </c>
      <c r="N3313" t="s">
        <v>22709</v>
      </c>
    </row>
    <row r="3314" spans="1:14">
      <c r="A3314" t="s">
        <v>9256</v>
      </c>
      <c r="B3314">
        <v>3948219</v>
      </c>
      <c r="C3314">
        <v>3948899</v>
      </c>
      <c r="E3314" t="s">
        <v>14290</v>
      </c>
      <c r="F3314" t="s">
        <v>14403</v>
      </c>
      <c r="H3314">
        <v>93524737</v>
      </c>
      <c r="I3314" t="s">
        <v>14292</v>
      </c>
      <c r="L3314" t="s">
        <v>22710</v>
      </c>
      <c r="M3314">
        <v>226</v>
      </c>
      <c r="N3314" t="s">
        <v>22711</v>
      </c>
    </row>
    <row r="3315" spans="1:14">
      <c r="A3315" t="s">
        <v>9256</v>
      </c>
      <c r="B3315">
        <v>3948995</v>
      </c>
      <c r="C3315">
        <v>3951319</v>
      </c>
      <c r="E3315" t="s">
        <v>14290</v>
      </c>
      <c r="F3315" t="s">
        <v>14562</v>
      </c>
      <c r="H3315">
        <v>93524738</v>
      </c>
      <c r="I3315" t="s">
        <v>14292</v>
      </c>
      <c r="L3315" t="s">
        <v>22712</v>
      </c>
      <c r="M3315">
        <v>774</v>
      </c>
      <c r="N3315" t="s">
        <v>22713</v>
      </c>
    </row>
    <row r="3316" spans="1:14">
      <c r="A3316" t="s">
        <v>9256</v>
      </c>
      <c r="B3316">
        <v>3951345</v>
      </c>
      <c r="C3316">
        <v>3953699</v>
      </c>
      <c r="E3316" t="s">
        <v>14290</v>
      </c>
      <c r="F3316" t="s">
        <v>14562</v>
      </c>
      <c r="H3316">
        <v>93524739</v>
      </c>
      <c r="I3316" t="s">
        <v>14292</v>
      </c>
      <c r="L3316" t="s">
        <v>22714</v>
      </c>
      <c r="M3316">
        <v>784</v>
      </c>
      <c r="N3316" t="s">
        <v>22715</v>
      </c>
    </row>
    <row r="3317" spans="1:14">
      <c r="A3317" t="s">
        <v>9256</v>
      </c>
      <c r="B3317">
        <v>3953899</v>
      </c>
      <c r="C3317">
        <v>3953982</v>
      </c>
      <c r="E3317" t="s">
        <v>14290</v>
      </c>
      <c r="F3317" t="s">
        <v>14414</v>
      </c>
      <c r="H3317">
        <v>93524740</v>
      </c>
      <c r="I3317" t="s">
        <v>14415</v>
      </c>
      <c r="N3317" t="s">
        <v>22716</v>
      </c>
    </row>
    <row r="3318" spans="1:14">
      <c r="A3318" t="s">
        <v>9256</v>
      </c>
      <c r="B3318">
        <v>3954065</v>
      </c>
      <c r="C3318">
        <v>3956449</v>
      </c>
      <c r="E3318" t="s">
        <v>14290</v>
      </c>
      <c r="F3318" t="s">
        <v>14562</v>
      </c>
      <c r="H3318">
        <v>93524741</v>
      </c>
      <c r="I3318" t="s">
        <v>14292</v>
      </c>
      <c r="L3318" t="s">
        <v>22717</v>
      </c>
      <c r="M3318">
        <v>794</v>
      </c>
      <c r="N3318" t="s">
        <v>22718</v>
      </c>
    </row>
    <row r="3319" spans="1:14">
      <c r="A3319" t="s">
        <v>9256</v>
      </c>
      <c r="B3319">
        <v>3956469</v>
      </c>
      <c r="C3319">
        <v>3958835</v>
      </c>
      <c r="E3319" t="s">
        <v>14290</v>
      </c>
      <c r="F3319" t="s">
        <v>14562</v>
      </c>
      <c r="H3319">
        <v>93524742</v>
      </c>
      <c r="I3319" t="s">
        <v>14292</v>
      </c>
      <c r="L3319" t="s">
        <v>22719</v>
      </c>
      <c r="M3319">
        <v>788</v>
      </c>
      <c r="N3319" t="s">
        <v>22720</v>
      </c>
    </row>
    <row r="3320" spans="1:14">
      <c r="A3320" t="s">
        <v>9256</v>
      </c>
      <c r="B3320">
        <v>3958822</v>
      </c>
      <c r="C3320">
        <v>3960168</v>
      </c>
      <c r="E3320" t="s">
        <v>14314</v>
      </c>
      <c r="F3320" t="s">
        <v>22721</v>
      </c>
      <c r="H3320">
        <v>93524743</v>
      </c>
      <c r="I3320" t="s">
        <v>14292</v>
      </c>
      <c r="L3320" t="s">
        <v>22722</v>
      </c>
      <c r="M3320">
        <v>448</v>
      </c>
      <c r="N3320" t="s">
        <v>22723</v>
      </c>
    </row>
    <row r="3321" spans="1:14">
      <c r="A3321" t="s">
        <v>9256</v>
      </c>
      <c r="B3321">
        <v>3960256</v>
      </c>
      <c r="C3321">
        <v>3961146</v>
      </c>
      <c r="E3321" t="s">
        <v>14314</v>
      </c>
      <c r="F3321" t="s">
        <v>15711</v>
      </c>
      <c r="H3321">
        <v>93524744</v>
      </c>
      <c r="I3321" t="s">
        <v>14292</v>
      </c>
      <c r="L3321" t="s">
        <v>22724</v>
      </c>
      <c r="M3321">
        <v>296</v>
      </c>
      <c r="N3321" t="s">
        <v>22725</v>
      </c>
    </row>
    <row r="3322" spans="1:14">
      <c r="A3322" t="s">
        <v>9256</v>
      </c>
      <c r="B3322">
        <v>3961249</v>
      </c>
      <c r="C3322">
        <v>3962550</v>
      </c>
      <c r="E3322" t="s">
        <v>14290</v>
      </c>
      <c r="F3322" t="s">
        <v>14291</v>
      </c>
      <c r="H3322">
        <v>93524745</v>
      </c>
      <c r="I3322" t="s">
        <v>14292</v>
      </c>
      <c r="L3322" t="s">
        <v>22726</v>
      </c>
      <c r="M3322">
        <v>433</v>
      </c>
      <c r="N3322" t="s">
        <v>22727</v>
      </c>
    </row>
    <row r="3323" spans="1:14">
      <c r="A3323" t="s">
        <v>9256</v>
      </c>
      <c r="B3323">
        <v>3962583</v>
      </c>
      <c r="C3323">
        <v>3964328</v>
      </c>
      <c r="E3323" t="s">
        <v>14290</v>
      </c>
      <c r="F3323" t="s">
        <v>22728</v>
      </c>
      <c r="H3323">
        <v>93524746</v>
      </c>
      <c r="I3323" t="s">
        <v>14292</v>
      </c>
      <c r="L3323" t="s">
        <v>22729</v>
      </c>
      <c r="M3323">
        <v>581</v>
      </c>
      <c r="N3323" t="s">
        <v>22730</v>
      </c>
    </row>
    <row r="3324" spans="1:14">
      <c r="A3324" t="s">
        <v>9256</v>
      </c>
      <c r="B3324">
        <v>3964475</v>
      </c>
      <c r="C3324">
        <v>3965578</v>
      </c>
      <c r="E3324" t="s">
        <v>14290</v>
      </c>
      <c r="F3324" t="s">
        <v>18256</v>
      </c>
      <c r="H3324">
        <v>93524747</v>
      </c>
      <c r="I3324" t="s">
        <v>14292</v>
      </c>
      <c r="L3324" t="s">
        <v>22731</v>
      </c>
      <c r="M3324">
        <v>367</v>
      </c>
      <c r="N3324" t="s">
        <v>22732</v>
      </c>
    </row>
    <row r="3325" spans="1:14">
      <c r="A3325" t="s">
        <v>9256</v>
      </c>
      <c r="B3325">
        <v>3965575</v>
      </c>
      <c r="C3325">
        <v>3967944</v>
      </c>
      <c r="E3325" t="s">
        <v>14290</v>
      </c>
      <c r="F3325" t="s">
        <v>14780</v>
      </c>
      <c r="H3325">
        <v>93524748</v>
      </c>
      <c r="I3325" t="s">
        <v>14292</v>
      </c>
      <c r="L3325" t="s">
        <v>22733</v>
      </c>
      <c r="M3325">
        <v>789</v>
      </c>
      <c r="N3325" t="s">
        <v>22734</v>
      </c>
    </row>
    <row r="3326" spans="1:14">
      <c r="A3326" t="s">
        <v>9256</v>
      </c>
      <c r="B3326">
        <v>3967934</v>
      </c>
      <c r="C3326">
        <v>3969076</v>
      </c>
      <c r="E3326" t="s">
        <v>14290</v>
      </c>
      <c r="F3326" t="s">
        <v>14445</v>
      </c>
      <c r="H3326">
        <v>93524749</v>
      </c>
      <c r="I3326" t="s">
        <v>14292</v>
      </c>
      <c r="L3326" t="s">
        <v>22735</v>
      </c>
      <c r="M3326">
        <v>380</v>
      </c>
      <c r="N3326" t="s">
        <v>22736</v>
      </c>
    </row>
    <row r="3327" spans="1:14">
      <c r="A3327" t="s">
        <v>9256</v>
      </c>
      <c r="B3327">
        <v>3969078</v>
      </c>
      <c r="C3327">
        <v>3971966</v>
      </c>
      <c r="E3327" t="s">
        <v>14290</v>
      </c>
      <c r="F3327" t="s">
        <v>21909</v>
      </c>
      <c r="H3327">
        <v>93524750</v>
      </c>
      <c r="I3327" t="s">
        <v>14292</v>
      </c>
      <c r="L3327" t="s">
        <v>22737</v>
      </c>
      <c r="M3327">
        <v>962</v>
      </c>
      <c r="N3327" t="s">
        <v>22738</v>
      </c>
    </row>
    <row r="3328" spans="1:14">
      <c r="A3328" t="s">
        <v>9256</v>
      </c>
      <c r="B3328">
        <v>3972697</v>
      </c>
      <c r="C3328">
        <v>3975873</v>
      </c>
      <c r="E3328" t="s">
        <v>14290</v>
      </c>
      <c r="F3328" t="s">
        <v>14965</v>
      </c>
      <c r="H3328">
        <v>93524751</v>
      </c>
      <c r="I3328" t="s">
        <v>14292</v>
      </c>
      <c r="L3328" t="s">
        <v>22739</v>
      </c>
      <c r="M3328">
        <v>1058</v>
      </c>
      <c r="N3328" t="s">
        <v>22740</v>
      </c>
    </row>
    <row r="3329" spans="1:14">
      <c r="A3329" t="s">
        <v>9256</v>
      </c>
      <c r="B3329">
        <v>3975900</v>
      </c>
      <c r="C3329">
        <v>3977492</v>
      </c>
      <c r="E3329" t="s">
        <v>14290</v>
      </c>
      <c r="F3329" t="s">
        <v>15179</v>
      </c>
      <c r="H3329">
        <v>93524752</v>
      </c>
      <c r="I3329" t="s">
        <v>14292</v>
      </c>
      <c r="L3329" t="s">
        <v>22741</v>
      </c>
      <c r="M3329">
        <v>530</v>
      </c>
      <c r="N3329" t="s">
        <v>22742</v>
      </c>
    </row>
    <row r="3330" spans="1:14">
      <c r="A3330" t="s">
        <v>9256</v>
      </c>
      <c r="B3330">
        <v>3977576</v>
      </c>
      <c r="C3330">
        <v>3977719</v>
      </c>
      <c r="E3330" t="s">
        <v>14314</v>
      </c>
      <c r="F3330" t="s">
        <v>14291</v>
      </c>
      <c r="H3330">
        <v>93524753</v>
      </c>
      <c r="I3330" t="s">
        <v>14292</v>
      </c>
      <c r="L3330" t="s">
        <v>22743</v>
      </c>
      <c r="M3330">
        <v>47</v>
      </c>
      <c r="N3330" t="s">
        <v>22744</v>
      </c>
    </row>
    <row r="3331" spans="1:14">
      <c r="A3331" t="s">
        <v>9256</v>
      </c>
      <c r="B3331">
        <v>3978207</v>
      </c>
      <c r="C3331">
        <v>3978395</v>
      </c>
      <c r="E3331" t="s">
        <v>14314</v>
      </c>
      <c r="F3331" t="s">
        <v>14291</v>
      </c>
      <c r="H3331">
        <v>93524754</v>
      </c>
      <c r="I3331" t="s">
        <v>14292</v>
      </c>
      <c r="L3331" t="s">
        <v>22745</v>
      </c>
      <c r="M3331">
        <v>62</v>
      </c>
      <c r="N3331" t="s">
        <v>22746</v>
      </c>
    </row>
    <row r="3332" spans="1:14">
      <c r="A3332" t="s">
        <v>9256</v>
      </c>
      <c r="B3332">
        <v>3978744</v>
      </c>
      <c r="C3332">
        <v>3979979</v>
      </c>
      <c r="E3332" t="s">
        <v>14290</v>
      </c>
      <c r="F3332" t="s">
        <v>15333</v>
      </c>
      <c r="H3332">
        <v>93524755</v>
      </c>
      <c r="I3332" t="s">
        <v>14292</v>
      </c>
      <c r="L3332" t="s">
        <v>22747</v>
      </c>
      <c r="M3332">
        <v>411</v>
      </c>
      <c r="N3332" t="s">
        <v>22748</v>
      </c>
    </row>
    <row r="3333" spans="1:14">
      <c r="A3333" t="s">
        <v>9256</v>
      </c>
      <c r="B3333">
        <v>3979992</v>
      </c>
      <c r="C3333">
        <v>3980354</v>
      </c>
      <c r="E3333" t="s">
        <v>14290</v>
      </c>
      <c r="F3333" t="s">
        <v>22749</v>
      </c>
      <c r="H3333">
        <v>93524756</v>
      </c>
      <c r="I3333" t="s">
        <v>14292</v>
      </c>
      <c r="L3333" t="s">
        <v>22750</v>
      </c>
      <c r="M3333">
        <v>120</v>
      </c>
      <c r="N3333" t="s">
        <v>22751</v>
      </c>
    </row>
    <row r="3334" spans="1:14">
      <c r="A3334" t="s">
        <v>9256</v>
      </c>
      <c r="B3334">
        <v>3980436</v>
      </c>
      <c r="C3334">
        <v>3980741</v>
      </c>
      <c r="E3334" t="s">
        <v>14314</v>
      </c>
      <c r="F3334" t="s">
        <v>14406</v>
      </c>
      <c r="H3334">
        <v>93524757</v>
      </c>
      <c r="I3334" t="s">
        <v>14292</v>
      </c>
      <c r="L3334" t="s">
        <v>22752</v>
      </c>
      <c r="M3334">
        <v>101</v>
      </c>
      <c r="N3334" t="s">
        <v>22753</v>
      </c>
    </row>
    <row r="3335" spans="1:14">
      <c r="A3335" t="s">
        <v>9256</v>
      </c>
      <c r="B3335">
        <v>3980738</v>
      </c>
      <c r="C3335">
        <v>3981064</v>
      </c>
      <c r="E3335" t="s">
        <v>14314</v>
      </c>
      <c r="F3335" t="s">
        <v>14406</v>
      </c>
      <c r="H3335">
        <v>93524758</v>
      </c>
      <c r="I3335" t="s">
        <v>14292</v>
      </c>
      <c r="L3335" t="s">
        <v>22754</v>
      </c>
      <c r="M3335">
        <v>108</v>
      </c>
      <c r="N3335" t="s">
        <v>22755</v>
      </c>
    </row>
    <row r="3336" spans="1:14">
      <c r="A3336" t="s">
        <v>9256</v>
      </c>
      <c r="B3336">
        <v>3981289</v>
      </c>
      <c r="C3336">
        <v>3981633</v>
      </c>
      <c r="E3336" t="s">
        <v>14290</v>
      </c>
      <c r="F3336" t="s">
        <v>14406</v>
      </c>
      <c r="H3336">
        <v>93524759</v>
      </c>
      <c r="I3336" t="s">
        <v>14292</v>
      </c>
      <c r="L3336" t="s">
        <v>22756</v>
      </c>
      <c r="M3336">
        <v>114</v>
      </c>
      <c r="N3336" t="s">
        <v>22757</v>
      </c>
    </row>
    <row r="3337" spans="1:14">
      <c r="A3337" t="s">
        <v>9256</v>
      </c>
      <c r="B3337">
        <v>3981637</v>
      </c>
      <c r="C3337">
        <v>3981987</v>
      </c>
      <c r="E3337" t="s">
        <v>14290</v>
      </c>
      <c r="F3337" t="s">
        <v>14406</v>
      </c>
      <c r="H3337">
        <v>93524760</v>
      </c>
      <c r="I3337" t="s">
        <v>14292</v>
      </c>
      <c r="L3337" t="s">
        <v>22758</v>
      </c>
      <c r="M3337">
        <v>116</v>
      </c>
      <c r="N3337" t="s">
        <v>22759</v>
      </c>
    </row>
    <row r="3338" spans="1:14">
      <c r="A3338" t="s">
        <v>9256</v>
      </c>
      <c r="B3338">
        <v>3982008</v>
      </c>
      <c r="C3338">
        <v>3983606</v>
      </c>
      <c r="E3338" t="s">
        <v>14290</v>
      </c>
      <c r="F3338" t="s">
        <v>16274</v>
      </c>
      <c r="H3338">
        <v>93524761</v>
      </c>
      <c r="I3338" t="s">
        <v>14292</v>
      </c>
      <c r="L3338" t="s">
        <v>22760</v>
      </c>
      <c r="M3338">
        <v>532</v>
      </c>
      <c r="N3338" t="s">
        <v>22761</v>
      </c>
    </row>
    <row r="3339" spans="1:14">
      <c r="A3339" t="s">
        <v>9256</v>
      </c>
      <c r="B3339">
        <v>3983662</v>
      </c>
      <c r="C3339">
        <v>3985752</v>
      </c>
      <c r="E3339" t="s">
        <v>14290</v>
      </c>
      <c r="F3339" t="s">
        <v>15317</v>
      </c>
      <c r="H3339">
        <v>93524762</v>
      </c>
      <c r="I3339" t="s">
        <v>14292</v>
      </c>
      <c r="L3339" t="s">
        <v>22762</v>
      </c>
      <c r="M3339">
        <v>696</v>
      </c>
      <c r="N3339" t="s">
        <v>22763</v>
      </c>
    </row>
    <row r="3340" spans="1:14">
      <c r="A3340" t="s">
        <v>9256</v>
      </c>
      <c r="B3340">
        <v>3985994</v>
      </c>
      <c r="C3340">
        <v>3986446</v>
      </c>
      <c r="E3340" t="s">
        <v>14290</v>
      </c>
      <c r="F3340" t="s">
        <v>15314</v>
      </c>
      <c r="H3340">
        <v>93524763</v>
      </c>
      <c r="I3340" t="s">
        <v>14292</v>
      </c>
      <c r="L3340" t="s">
        <v>22764</v>
      </c>
      <c r="M3340">
        <v>150</v>
      </c>
      <c r="N3340" t="s">
        <v>22765</v>
      </c>
    </row>
    <row r="3341" spans="1:14">
      <c r="A3341" t="s">
        <v>9256</v>
      </c>
      <c r="B3341">
        <v>3986436</v>
      </c>
      <c r="C3341">
        <v>3992300</v>
      </c>
      <c r="E3341" t="s">
        <v>14290</v>
      </c>
      <c r="F3341" t="s">
        <v>15311</v>
      </c>
      <c r="H3341">
        <v>93524764</v>
      </c>
      <c r="I3341" t="s">
        <v>14292</v>
      </c>
      <c r="L3341" t="s">
        <v>22766</v>
      </c>
      <c r="M3341">
        <v>1954</v>
      </c>
      <c r="N3341" t="s">
        <v>22767</v>
      </c>
    </row>
    <row r="3342" spans="1:14">
      <c r="A3342" t="s">
        <v>9256</v>
      </c>
      <c r="B3342">
        <v>3992490</v>
      </c>
      <c r="C3342">
        <v>3992861</v>
      </c>
      <c r="E3342" t="s">
        <v>14290</v>
      </c>
      <c r="F3342" t="s">
        <v>14417</v>
      </c>
      <c r="H3342">
        <v>93524765</v>
      </c>
      <c r="I3342" t="s">
        <v>14292</v>
      </c>
      <c r="L3342" t="s">
        <v>22768</v>
      </c>
      <c r="M3342">
        <v>123</v>
      </c>
      <c r="N3342" t="s">
        <v>22769</v>
      </c>
    </row>
    <row r="3343" spans="1:14">
      <c r="A3343" t="s">
        <v>9256</v>
      </c>
      <c r="B3343">
        <v>3992875</v>
      </c>
      <c r="C3343">
        <v>3993534</v>
      </c>
      <c r="E3343" t="s">
        <v>14290</v>
      </c>
      <c r="F3343" t="s">
        <v>22770</v>
      </c>
      <c r="H3343">
        <v>93524766</v>
      </c>
      <c r="I3343" t="s">
        <v>14292</v>
      </c>
      <c r="L3343" t="s">
        <v>22771</v>
      </c>
      <c r="M3343">
        <v>219</v>
      </c>
      <c r="N3343" t="s">
        <v>22772</v>
      </c>
    </row>
    <row r="3344" spans="1:14">
      <c r="A3344" t="s">
        <v>9256</v>
      </c>
      <c r="B3344">
        <v>3993531</v>
      </c>
      <c r="C3344">
        <v>3994427</v>
      </c>
      <c r="E3344" t="s">
        <v>14290</v>
      </c>
      <c r="F3344" t="s">
        <v>22773</v>
      </c>
      <c r="G3344" t="s">
        <v>22774</v>
      </c>
      <c r="H3344">
        <v>93524767</v>
      </c>
      <c r="I3344" t="s">
        <v>14292</v>
      </c>
      <c r="L3344" t="s">
        <v>22775</v>
      </c>
      <c r="M3344">
        <v>298</v>
      </c>
      <c r="N3344" t="s">
        <v>22776</v>
      </c>
    </row>
    <row r="3345" spans="1:14">
      <c r="A3345" t="s">
        <v>9256</v>
      </c>
      <c r="B3345">
        <v>3994432</v>
      </c>
      <c r="C3345">
        <v>3995112</v>
      </c>
      <c r="E3345" t="s">
        <v>14290</v>
      </c>
      <c r="F3345" t="s">
        <v>22777</v>
      </c>
      <c r="H3345">
        <v>93524768</v>
      </c>
      <c r="I3345" t="s">
        <v>14292</v>
      </c>
      <c r="L3345" t="s">
        <v>22778</v>
      </c>
      <c r="M3345">
        <v>226</v>
      </c>
      <c r="N3345" t="s">
        <v>22779</v>
      </c>
    </row>
    <row r="3346" spans="1:14">
      <c r="A3346" t="s">
        <v>9256</v>
      </c>
      <c r="B3346">
        <v>3995268</v>
      </c>
      <c r="C3346">
        <v>3996071</v>
      </c>
      <c r="E3346" t="s">
        <v>14290</v>
      </c>
      <c r="F3346" t="s">
        <v>15711</v>
      </c>
      <c r="H3346">
        <v>93524769</v>
      </c>
      <c r="I3346" t="s">
        <v>14292</v>
      </c>
      <c r="L3346" t="s">
        <v>22780</v>
      </c>
      <c r="M3346">
        <v>267</v>
      </c>
      <c r="N3346" t="s">
        <v>22781</v>
      </c>
    </row>
    <row r="3347" spans="1:14">
      <c r="A3347" t="s">
        <v>9256</v>
      </c>
      <c r="B3347">
        <v>3996146</v>
      </c>
      <c r="C3347">
        <v>3996511</v>
      </c>
      <c r="E3347" t="s">
        <v>14290</v>
      </c>
      <c r="F3347" t="s">
        <v>20107</v>
      </c>
      <c r="H3347">
        <v>93524770</v>
      </c>
      <c r="I3347" t="s">
        <v>14292</v>
      </c>
      <c r="L3347" t="s">
        <v>22782</v>
      </c>
      <c r="M3347">
        <v>121</v>
      </c>
      <c r="N3347" t="s">
        <v>22783</v>
      </c>
    </row>
    <row r="3348" spans="1:14">
      <c r="A3348" t="s">
        <v>9256</v>
      </c>
      <c r="B3348">
        <v>3996677</v>
      </c>
      <c r="C3348">
        <v>3997036</v>
      </c>
      <c r="E3348" t="s">
        <v>14290</v>
      </c>
      <c r="F3348" t="s">
        <v>14417</v>
      </c>
      <c r="H3348">
        <v>93524771</v>
      </c>
      <c r="I3348" t="s">
        <v>14292</v>
      </c>
      <c r="L3348" t="s">
        <v>22784</v>
      </c>
      <c r="M3348">
        <v>119</v>
      </c>
      <c r="N3348" t="s">
        <v>22785</v>
      </c>
    </row>
    <row r="3349" spans="1:14">
      <c r="A3349" t="s">
        <v>9256</v>
      </c>
      <c r="B3349">
        <v>3997041</v>
      </c>
      <c r="C3349">
        <v>3998399</v>
      </c>
      <c r="E3349" t="s">
        <v>14290</v>
      </c>
      <c r="F3349" t="s">
        <v>22786</v>
      </c>
      <c r="H3349">
        <v>93524772</v>
      </c>
      <c r="I3349" t="s">
        <v>14292</v>
      </c>
      <c r="L3349" t="s">
        <v>22787</v>
      </c>
      <c r="M3349">
        <v>452</v>
      </c>
      <c r="N3349" t="s">
        <v>22788</v>
      </c>
    </row>
    <row r="3350" spans="1:14">
      <c r="A3350" t="s">
        <v>9256</v>
      </c>
      <c r="B3350">
        <v>3998487</v>
      </c>
      <c r="C3350">
        <v>3999857</v>
      </c>
      <c r="E3350" t="s">
        <v>14290</v>
      </c>
      <c r="F3350" t="s">
        <v>16210</v>
      </c>
      <c r="H3350">
        <v>93524773</v>
      </c>
      <c r="I3350" t="s">
        <v>14292</v>
      </c>
      <c r="L3350" t="s">
        <v>22789</v>
      </c>
      <c r="M3350">
        <v>456</v>
      </c>
      <c r="N3350" t="s">
        <v>22790</v>
      </c>
    </row>
    <row r="3351" spans="1:14">
      <c r="A3351" t="s">
        <v>9256</v>
      </c>
      <c r="B3351">
        <v>3999879</v>
      </c>
      <c r="C3351">
        <v>4000316</v>
      </c>
      <c r="E3351" t="s">
        <v>14290</v>
      </c>
      <c r="F3351" t="s">
        <v>22791</v>
      </c>
      <c r="H3351">
        <v>93524774</v>
      </c>
      <c r="I3351" t="s">
        <v>14292</v>
      </c>
      <c r="L3351" t="s">
        <v>22792</v>
      </c>
      <c r="M3351">
        <v>145</v>
      </c>
      <c r="N3351" t="s">
        <v>22793</v>
      </c>
    </row>
    <row r="3352" spans="1:14">
      <c r="A3352" t="s">
        <v>9256</v>
      </c>
      <c r="B3352">
        <v>4000360</v>
      </c>
      <c r="C3352">
        <v>4001163</v>
      </c>
      <c r="E3352" t="s">
        <v>14290</v>
      </c>
      <c r="F3352" t="s">
        <v>20377</v>
      </c>
      <c r="H3352">
        <v>93524775</v>
      </c>
      <c r="I3352" t="s">
        <v>14292</v>
      </c>
      <c r="L3352" t="s">
        <v>22794</v>
      </c>
      <c r="M3352">
        <v>267</v>
      </c>
      <c r="N3352" t="s">
        <v>22795</v>
      </c>
    </row>
    <row r="3353" spans="1:14">
      <c r="A3353" t="s">
        <v>9256</v>
      </c>
      <c r="B3353">
        <v>4001263</v>
      </c>
      <c r="C3353">
        <v>4003572</v>
      </c>
      <c r="E3353" t="s">
        <v>14290</v>
      </c>
      <c r="F3353" t="s">
        <v>14621</v>
      </c>
      <c r="H3353">
        <v>93524776</v>
      </c>
      <c r="I3353" t="s">
        <v>14292</v>
      </c>
      <c r="L3353" t="s">
        <v>22796</v>
      </c>
      <c r="M3353">
        <v>769</v>
      </c>
      <c r="N3353" t="s">
        <v>22797</v>
      </c>
    </row>
    <row r="3354" spans="1:14">
      <c r="A3354" t="s">
        <v>9256</v>
      </c>
      <c r="B3354">
        <v>4003565</v>
      </c>
      <c r="C3354">
        <v>4004887</v>
      </c>
      <c r="E3354" t="s">
        <v>14290</v>
      </c>
      <c r="F3354" t="s">
        <v>14864</v>
      </c>
      <c r="H3354">
        <v>93524777</v>
      </c>
      <c r="I3354" t="s">
        <v>14292</v>
      </c>
      <c r="L3354" t="s">
        <v>22798</v>
      </c>
      <c r="M3354">
        <v>440</v>
      </c>
      <c r="N3354" t="s">
        <v>22799</v>
      </c>
    </row>
    <row r="3355" spans="1:14">
      <c r="A3355" t="s">
        <v>9256</v>
      </c>
      <c r="B3355">
        <v>4005165</v>
      </c>
      <c r="C3355">
        <v>4005587</v>
      </c>
      <c r="E3355" t="s">
        <v>14290</v>
      </c>
      <c r="F3355" t="s">
        <v>15289</v>
      </c>
      <c r="H3355">
        <v>93524778</v>
      </c>
      <c r="I3355" t="s">
        <v>14292</v>
      </c>
      <c r="L3355" t="s">
        <v>22800</v>
      </c>
      <c r="M3355">
        <v>140</v>
      </c>
      <c r="N3355" t="s">
        <v>22801</v>
      </c>
    </row>
    <row r="3356" spans="1:14">
      <c r="A3356" t="s">
        <v>9256</v>
      </c>
      <c r="B3356">
        <v>4005827</v>
      </c>
      <c r="C3356">
        <v>4006444</v>
      </c>
      <c r="E3356" t="s">
        <v>14290</v>
      </c>
      <c r="F3356" t="s">
        <v>15286</v>
      </c>
      <c r="H3356">
        <v>93524779</v>
      </c>
      <c r="I3356" t="s">
        <v>14292</v>
      </c>
      <c r="L3356" t="s">
        <v>22802</v>
      </c>
      <c r="M3356">
        <v>205</v>
      </c>
      <c r="N3356" t="s">
        <v>22803</v>
      </c>
    </row>
    <row r="3357" spans="1:14">
      <c r="A3357" t="s">
        <v>9256</v>
      </c>
      <c r="B3357">
        <v>4006585</v>
      </c>
      <c r="C3357">
        <v>4008033</v>
      </c>
      <c r="E3357" t="s">
        <v>14290</v>
      </c>
      <c r="F3357" t="s">
        <v>16161</v>
      </c>
      <c r="H3357">
        <v>93524780</v>
      </c>
      <c r="I3357" t="s">
        <v>14292</v>
      </c>
      <c r="L3357" t="s">
        <v>22804</v>
      </c>
      <c r="M3357">
        <v>482</v>
      </c>
      <c r="N3357" t="s">
        <v>22805</v>
      </c>
    </row>
    <row r="3358" spans="1:14">
      <c r="A3358" t="s">
        <v>9256</v>
      </c>
      <c r="B3358">
        <v>4008036</v>
      </c>
      <c r="C3358">
        <v>4008428</v>
      </c>
      <c r="E3358" t="s">
        <v>14290</v>
      </c>
      <c r="F3358" t="s">
        <v>14291</v>
      </c>
      <c r="H3358">
        <v>93524781</v>
      </c>
      <c r="I3358" t="s">
        <v>14292</v>
      </c>
      <c r="L3358" t="s">
        <v>22806</v>
      </c>
      <c r="M3358">
        <v>130</v>
      </c>
      <c r="N3358" t="s">
        <v>22807</v>
      </c>
    </row>
    <row r="3359" spans="1:14">
      <c r="A3359" t="s">
        <v>9256</v>
      </c>
      <c r="B3359">
        <v>4008499</v>
      </c>
      <c r="C3359">
        <v>4010508</v>
      </c>
      <c r="E3359" t="s">
        <v>14314</v>
      </c>
      <c r="F3359" t="s">
        <v>15278</v>
      </c>
      <c r="G3359" t="s">
        <v>15279</v>
      </c>
      <c r="H3359">
        <v>93524782</v>
      </c>
      <c r="I3359" t="s">
        <v>14292</v>
      </c>
      <c r="L3359" t="s">
        <v>22808</v>
      </c>
      <c r="M3359">
        <v>669</v>
      </c>
      <c r="N3359" t="s">
        <v>22809</v>
      </c>
    </row>
    <row r="3360" spans="1:14">
      <c r="A3360" t="s">
        <v>9256</v>
      </c>
      <c r="B3360">
        <v>4010541</v>
      </c>
      <c r="C3360">
        <v>4011791</v>
      </c>
      <c r="E3360" t="s">
        <v>14314</v>
      </c>
      <c r="F3360" t="s">
        <v>15274</v>
      </c>
      <c r="G3360" t="s">
        <v>15275</v>
      </c>
      <c r="H3360">
        <v>93524783</v>
      </c>
      <c r="I3360" t="s">
        <v>14292</v>
      </c>
      <c r="L3360" t="s">
        <v>22810</v>
      </c>
      <c r="M3360">
        <v>416</v>
      </c>
      <c r="N3360" t="s">
        <v>22811</v>
      </c>
    </row>
    <row r="3361" spans="1:14">
      <c r="A3361" t="s">
        <v>9256</v>
      </c>
      <c r="B3361">
        <v>4011770</v>
      </c>
      <c r="C3361">
        <v>4012198</v>
      </c>
      <c r="E3361" t="s">
        <v>14314</v>
      </c>
      <c r="F3361" t="s">
        <v>15270</v>
      </c>
      <c r="G3361" t="s">
        <v>15271</v>
      </c>
      <c r="H3361">
        <v>93524784</v>
      </c>
      <c r="I3361" t="s">
        <v>14292</v>
      </c>
      <c r="L3361" t="s">
        <v>22812</v>
      </c>
      <c r="M3361">
        <v>142</v>
      </c>
      <c r="N3361" t="s">
        <v>22813</v>
      </c>
    </row>
    <row r="3362" spans="1:14">
      <c r="A3362" t="s">
        <v>9256</v>
      </c>
      <c r="B3362">
        <v>4012619</v>
      </c>
      <c r="C3362">
        <v>4013668</v>
      </c>
      <c r="E3362" t="s">
        <v>14290</v>
      </c>
      <c r="F3362" t="s">
        <v>15265</v>
      </c>
      <c r="H3362">
        <v>93524785</v>
      </c>
      <c r="I3362" t="s">
        <v>14292</v>
      </c>
      <c r="L3362" t="s">
        <v>22814</v>
      </c>
      <c r="M3362">
        <v>349</v>
      </c>
      <c r="N3362" t="s">
        <v>22815</v>
      </c>
    </row>
    <row r="3363" spans="1:14">
      <c r="A3363" t="s">
        <v>9256</v>
      </c>
      <c r="B3363">
        <v>4013671</v>
      </c>
      <c r="C3363">
        <v>4014111</v>
      </c>
      <c r="E3363" t="s">
        <v>14290</v>
      </c>
      <c r="F3363" t="s">
        <v>15260</v>
      </c>
      <c r="H3363">
        <v>93524786</v>
      </c>
      <c r="I3363" t="s">
        <v>14292</v>
      </c>
      <c r="L3363" t="s">
        <v>22816</v>
      </c>
      <c r="M3363">
        <v>146</v>
      </c>
      <c r="N3363" t="s">
        <v>22817</v>
      </c>
    </row>
    <row r="3364" spans="1:14">
      <c r="A3364" t="s">
        <v>9256</v>
      </c>
      <c r="B3364">
        <v>4014120</v>
      </c>
      <c r="C3364">
        <v>4014473</v>
      </c>
      <c r="E3364" t="s">
        <v>14290</v>
      </c>
      <c r="F3364" t="s">
        <v>15260</v>
      </c>
      <c r="H3364">
        <v>93524787</v>
      </c>
      <c r="I3364" t="s">
        <v>14292</v>
      </c>
      <c r="L3364" t="s">
        <v>22818</v>
      </c>
      <c r="M3364">
        <v>117</v>
      </c>
      <c r="N3364" t="s">
        <v>22819</v>
      </c>
    </row>
    <row r="3365" spans="1:14">
      <c r="A3365" t="s">
        <v>9256</v>
      </c>
      <c r="B3365">
        <v>4014493</v>
      </c>
      <c r="C3365">
        <v>4015221</v>
      </c>
      <c r="E3365" t="s">
        <v>14290</v>
      </c>
      <c r="F3365" t="s">
        <v>22820</v>
      </c>
      <c r="H3365">
        <v>93524788</v>
      </c>
      <c r="I3365" t="s">
        <v>14292</v>
      </c>
      <c r="L3365" t="s">
        <v>22821</v>
      </c>
      <c r="M3365">
        <v>242</v>
      </c>
      <c r="N3365" t="s">
        <v>22822</v>
      </c>
    </row>
    <row r="3366" spans="1:14">
      <c r="A3366" t="s">
        <v>9256</v>
      </c>
      <c r="B3366">
        <v>4015424</v>
      </c>
      <c r="C3366">
        <v>4015735</v>
      </c>
      <c r="E3366" t="s">
        <v>14290</v>
      </c>
      <c r="F3366" t="s">
        <v>15255</v>
      </c>
      <c r="H3366">
        <v>93524789</v>
      </c>
      <c r="I3366" t="s">
        <v>14292</v>
      </c>
      <c r="L3366" t="s">
        <v>22823</v>
      </c>
      <c r="M3366">
        <v>103</v>
      </c>
      <c r="N3366" t="s">
        <v>22824</v>
      </c>
    </row>
    <row r="3367" spans="1:14">
      <c r="A3367" t="s">
        <v>9256</v>
      </c>
      <c r="B3367">
        <v>4015746</v>
      </c>
      <c r="C3367">
        <v>4016078</v>
      </c>
      <c r="E3367" t="s">
        <v>14290</v>
      </c>
      <c r="F3367" t="s">
        <v>15252</v>
      </c>
      <c r="H3367">
        <v>93524790</v>
      </c>
      <c r="I3367" t="s">
        <v>14292</v>
      </c>
      <c r="L3367" t="s">
        <v>15253</v>
      </c>
      <c r="M3367">
        <v>110</v>
      </c>
      <c r="N3367" t="s">
        <v>22825</v>
      </c>
    </row>
    <row r="3368" spans="1:14">
      <c r="A3368" t="s">
        <v>9256</v>
      </c>
      <c r="B3368">
        <v>4016075</v>
      </c>
      <c r="C3368">
        <v>4018579</v>
      </c>
      <c r="E3368" t="s">
        <v>14290</v>
      </c>
      <c r="F3368" t="s">
        <v>16339</v>
      </c>
      <c r="H3368">
        <v>93524791</v>
      </c>
      <c r="I3368" t="s">
        <v>14292</v>
      </c>
      <c r="L3368" t="s">
        <v>22826</v>
      </c>
      <c r="M3368">
        <v>834</v>
      </c>
      <c r="N3368" t="s">
        <v>22827</v>
      </c>
    </row>
    <row r="3369" spans="1:14">
      <c r="A3369" t="s">
        <v>9256</v>
      </c>
      <c r="B3369">
        <v>4018617</v>
      </c>
      <c r="C3369">
        <v>4019000</v>
      </c>
      <c r="E3369" t="s">
        <v>14290</v>
      </c>
      <c r="F3369" t="s">
        <v>15244</v>
      </c>
      <c r="H3369">
        <v>93524792</v>
      </c>
      <c r="I3369" t="s">
        <v>14292</v>
      </c>
      <c r="L3369" t="s">
        <v>22828</v>
      </c>
      <c r="M3369">
        <v>127</v>
      </c>
      <c r="N3369" t="s">
        <v>22829</v>
      </c>
    </row>
    <row r="3370" spans="1:14">
      <c r="A3370" t="s">
        <v>9256</v>
      </c>
      <c r="B3370">
        <v>4019031</v>
      </c>
      <c r="C3370">
        <v>4019660</v>
      </c>
      <c r="E3370" t="s">
        <v>14290</v>
      </c>
      <c r="F3370" t="s">
        <v>15241</v>
      </c>
      <c r="H3370">
        <v>93524793</v>
      </c>
      <c r="I3370" t="s">
        <v>14292</v>
      </c>
      <c r="L3370" t="s">
        <v>22830</v>
      </c>
      <c r="M3370">
        <v>209</v>
      </c>
      <c r="N3370" t="s">
        <v>22831</v>
      </c>
    </row>
    <row r="3371" spans="1:14">
      <c r="A3371" t="s">
        <v>9256</v>
      </c>
      <c r="B3371">
        <v>4019664</v>
      </c>
      <c r="C3371">
        <v>4020668</v>
      </c>
      <c r="E3371" t="s">
        <v>14290</v>
      </c>
      <c r="F3371" t="s">
        <v>15237</v>
      </c>
      <c r="G3371" t="s">
        <v>15238</v>
      </c>
      <c r="H3371">
        <v>93524794</v>
      </c>
      <c r="I3371" t="s">
        <v>14292</v>
      </c>
      <c r="L3371" t="s">
        <v>22832</v>
      </c>
      <c r="M3371">
        <v>334</v>
      </c>
      <c r="N3371" t="s">
        <v>22833</v>
      </c>
    </row>
    <row r="3372" spans="1:14">
      <c r="A3372" t="s">
        <v>9256</v>
      </c>
      <c r="B3372">
        <v>4020700</v>
      </c>
      <c r="C3372">
        <v>4021323</v>
      </c>
      <c r="E3372" t="s">
        <v>14290</v>
      </c>
      <c r="F3372" t="s">
        <v>15233</v>
      </c>
      <c r="G3372" t="s">
        <v>15234</v>
      </c>
      <c r="H3372">
        <v>93524795</v>
      </c>
      <c r="I3372" t="s">
        <v>14292</v>
      </c>
      <c r="L3372" t="s">
        <v>22834</v>
      </c>
      <c r="M3372">
        <v>207</v>
      </c>
      <c r="N3372" t="s">
        <v>22835</v>
      </c>
    </row>
    <row r="3373" spans="1:14">
      <c r="A3373" t="s">
        <v>9256</v>
      </c>
      <c r="B3373">
        <v>4021329</v>
      </c>
      <c r="C3373">
        <v>4021637</v>
      </c>
      <c r="E3373" t="s">
        <v>14290</v>
      </c>
      <c r="F3373" t="s">
        <v>15230</v>
      </c>
      <c r="H3373">
        <v>93524796</v>
      </c>
      <c r="I3373" t="s">
        <v>14292</v>
      </c>
      <c r="L3373" t="s">
        <v>22836</v>
      </c>
      <c r="M3373">
        <v>102</v>
      </c>
      <c r="N3373" t="s">
        <v>22837</v>
      </c>
    </row>
    <row r="3374" spans="1:14">
      <c r="A3374" t="s">
        <v>9256</v>
      </c>
      <c r="B3374">
        <v>4021618</v>
      </c>
      <c r="C3374">
        <v>4022967</v>
      </c>
      <c r="E3374" t="s">
        <v>14290</v>
      </c>
      <c r="F3374" t="s">
        <v>15226</v>
      </c>
      <c r="G3374" t="s">
        <v>15227</v>
      </c>
      <c r="H3374">
        <v>93524797</v>
      </c>
      <c r="I3374" t="s">
        <v>14292</v>
      </c>
      <c r="L3374" t="s">
        <v>22838</v>
      </c>
      <c r="M3374">
        <v>449</v>
      </c>
      <c r="N3374" t="s">
        <v>22839</v>
      </c>
    </row>
    <row r="3375" spans="1:14">
      <c r="A3375" t="s">
        <v>9256</v>
      </c>
      <c r="B3375">
        <v>4023002</v>
      </c>
      <c r="C3375">
        <v>4023988</v>
      </c>
      <c r="E3375" t="s">
        <v>14290</v>
      </c>
      <c r="F3375" t="s">
        <v>15222</v>
      </c>
      <c r="G3375" t="s">
        <v>15223</v>
      </c>
      <c r="H3375">
        <v>93524798</v>
      </c>
      <c r="I3375" t="s">
        <v>14292</v>
      </c>
      <c r="L3375" t="s">
        <v>22840</v>
      </c>
      <c r="M3375">
        <v>328</v>
      </c>
      <c r="N3375" t="s">
        <v>22841</v>
      </c>
    </row>
    <row r="3376" spans="1:14">
      <c r="A3376" t="s">
        <v>9256</v>
      </c>
      <c r="B3376">
        <v>4023991</v>
      </c>
      <c r="C3376">
        <v>4024566</v>
      </c>
      <c r="E3376" t="s">
        <v>14290</v>
      </c>
      <c r="F3376" t="s">
        <v>15219</v>
      </c>
      <c r="H3376">
        <v>93524799</v>
      </c>
      <c r="I3376" t="s">
        <v>14292</v>
      </c>
      <c r="L3376" t="s">
        <v>22842</v>
      </c>
      <c r="M3376">
        <v>191</v>
      </c>
      <c r="N3376" t="s">
        <v>22843</v>
      </c>
    </row>
    <row r="3377" spans="1:14">
      <c r="A3377" t="s">
        <v>9256</v>
      </c>
      <c r="B3377">
        <v>4024575</v>
      </c>
      <c r="C3377">
        <v>4025453</v>
      </c>
      <c r="E3377" t="s">
        <v>14290</v>
      </c>
      <c r="F3377" t="s">
        <v>15216</v>
      </c>
      <c r="H3377">
        <v>93524800</v>
      </c>
      <c r="I3377" t="s">
        <v>14292</v>
      </c>
      <c r="L3377" t="s">
        <v>22844</v>
      </c>
      <c r="M3377">
        <v>292</v>
      </c>
      <c r="N3377" t="s">
        <v>22845</v>
      </c>
    </row>
    <row r="3378" spans="1:14">
      <c r="A3378" t="s">
        <v>9256</v>
      </c>
      <c r="B3378">
        <v>4025472</v>
      </c>
      <c r="C3378">
        <v>4025978</v>
      </c>
      <c r="E3378" t="s">
        <v>14290</v>
      </c>
      <c r="F3378" t="s">
        <v>15213</v>
      </c>
      <c r="H3378">
        <v>93524801</v>
      </c>
      <c r="I3378" t="s">
        <v>14292</v>
      </c>
      <c r="L3378" t="s">
        <v>22846</v>
      </c>
      <c r="M3378">
        <v>168</v>
      </c>
      <c r="N3378" t="s">
        <v>22847</v>
      </c>
    </row>
    <row r="3379" spans="1:14">
      <c r="A3379" t="s">
        <v>9256</v>
      </c>
      <c r="B3379">
        <v>4025975</v>
      </c>
      <c r="C3379">
        <v>4026502</v>
      </c>
      <c r="E3379" t="s">
        <v>14290</v>
      </c>
      <c r="F3379" t="s">
        <v>15210</v>
      </c>
      <c r="H3379">
        <v>93524802</v>
      </c>
      <c r="I3379" t="s">
        <v>14292</v>
      </c>
      <c r="L3379" t="s">
        <v>22848</v>
      </c>
      <c r="M3379">
        <v>175</v>
      </c>
      <c r="N3379" t="s">
        <v>22849</v>
      </c>
    </row>
    <row r="3380" spans="1:14">
      <c r="A3380" t="s">
        <v>9256</v>
      </c>
      <c r="B3380">
        <v>4026565</v>
      </c>
      <c r="C3380">
        <v>4026786</v>
      </c>
      <c r="E3380" t="s">
        <v>14314</v>
      </c>
      <c r="F3380" t="s">
        <v>22850</v>
      </c>
      <c r="H3380">
        <v>93524803</v>
      </c>
      <c r="I3380" t="s">
        <v>14292</v>
      </c>
      <c r="L3380" t="s">
        <v>22851</v>
      </c>
      <c r="M3380">
        <v>73</v>
      </c>
      <c r="N3380" t="s">
        <v>22852</v>
      </c>
    </row>
    <row r="3381" spans="1:14">
      <c r="A3381" t="s">
        <v>9256</v>
      </c>
      <c r="B3381">
        <v>4026903</v>
      </c>
      <c r="C3381">
        <v>4027211</v>
      </c>
      <c r="E3381" t="s">
        <v>14314</v>
      </c>
      <c r="F3381" t="s">
        <v>14291</v>
      </c>
      <c r="H3381">
        <v>93524804</v>
      </c>
      <c r="I3381" t="s">
        <v>14292</v>
      </c>
      <c r="L3381" t="s">
        <v>22853</v>
      </c>
      <c r="M3381">
        <v>102</v>
      </c>
      <c r="N3381" t="s">
        <v>22854</v>
      </c>
    </row>
    <row r="3382" spans="1:14">
      <c r="A3382" t="s">
        <v>9256</v>
      </c>
      <c r="B3382">
        <v>4027265</v>
      </c>
      <c r="C3382">
        <v>4027570</v>
      </c>
      <c r="E3382" t="s">
        <v>14314</v>
      </c>
      <c r="F3382" t="s">
        <v>15202</v>
      </c>
      <c r="H3382">
        <v>93524805</v>
      </c>
      <c r="I3382" t="s">
        <v>14292</v>
      </c>
      <c r="L3382" t="s">
        <v>22855</v>
      </c>
      <c r="M3382">
        <v>101</v>
      </c>
      <c r="N3382" t="s">
        <v>22856</v>
      </c>
    </row>
    <row r="3383" spans="1:14">
      <c r="A3383" t="s">
        <v>9256</v>
      </c>
      <c r="B3383">
        <v>4027510</v>
      </c>
      <c r="C3383">
        <v>4027740</v>
      </c>
      <c r="E3383" t="s">
        <v>14314</v>
      </c>
      <c r="F3383" t="s">
        <v>15199</v>
      </c>
      <c r="H3383">
        <v>93524806</v>
      </c>
      <c r="I3383" t="s">
        <v>14292</v>
      </c>
      <c r="L3383" t="s">
        <v>22857</v>
      </c>
      <c r="M3383">
        <v>76</v>
      </c>
      <c r="N3383" t="s">
        <v>22858</v>
      </c>
    </row>
    <row r="3384" spans="1:14">
      <c r="A3384" t="s">
        <v>9256</v>
      </c>
      <c r="B3384">
        <v>4027761</v>
      </c>
      <c r="C3384">
        <v>4028018</v>
      </c>
      <c r="E3384" t="s">
        <v>14314</v>
      </c>
      <c r="F3384" t="s">
        <v>14291</v>
      </c>
      <c r="H3384">
        <v>93524807</v>
      </c>
      <c r="I3384" t="s">
        <v>14292</v>
      </c>
      <c r="L3384" t="s">
        <v>22859</v>
      </c>
      <c r="M3384">
        <v>85</v>
      </c>
      <c r="N3384" t="s">
        <v>22860</v>
      </c>
    </row>
    <row r="3385" spans="1:14">
      <c r="A3385" t="s">
        <v>9256</v>
      </c>
      <c r="B3385">
        <v>4028043</v>
      </c>
      <c r="C3385">
        <v>4029308</v>
      </c>
      <c r="E3385" t="s">
        <v>14314</v>
      </c>
      <c r="F3385" t="s">
        <v>15194</v>
      </c>
      <c r="H3385">
        <v>93524808</v>
      </c>
      <c r="I3385" t="s">
        <v>14292</v>
      </c>
      <c r="L3385" t="s">
        <v>22861</v>
      </c>
      <c r="M3385">
        <v>421</v>
      </c>
      <c r="N3385" t="s">
        <v>22862</v>
      </c>
    </row>
    <row r="3386" spans="1:14">
      <c r="A3386" t="s">
        <v>9256</v>
      </c>
      <c r="B3386">
        <v>4029305</v>
      </c>
      <c r="C3386">
        <v>4029724</v>
      </c>
      <c r="E3386" t="s">
        <v>14314</v>
      </c>
      <c r="F3386" t="s">
        <v>15191</v>
      </c>
      <c r="H3386">
        <v>93524809</v>
      </c>
      <c r="I3386" t="s">
        <v>14292</v>
      </c>
      <c r="L3386" t="s">
        <v>22863</v>
      </c>
      <c r="M3386">
        <v>139</v>
      </c>
      <c r="N3386" t="s">
        <v>22864</v>
      </c>
    </row>
    <row r="3387" spans="1:14">
      <c r="A3387" t="s">
        <v>9256</v>
      </c>
      <c r="B3387">
        <v>4029748</v>
      </c>
      <c r="C3387">
        <v>4029969</v>
      </c>
      <c r="E3387" t="s">
        <v>14314</v>
      </c>
      <c r="F3387" t="s">
        <v>14291</v>
      </c>
      <c r="H3387">
        <v>93524810</v>
      </c>
      <c r="I3387" t="s">
        <v>14292</v>
      </c>
      <c r="L3387" t="s">
        <v>22865</v>
      </c>
      <c r="M3387">
        <v>73</v>
      </c>
      <c r="N3387" t="s">
        <v>22866</v>
      </c>
    </row>
    <row r="3388" spans="1:14">
      <c r="A3388" t="s">
        <v>9256</v>
      </c>
      <c r="B3388">
        <v>4029981</v>
      </c>
      <c r="C3388">
        <v>4030196</v>
      </c>
      <c r="E3388" t="s">
        <v>14314</v>
      </c>
      <c r="F3388" t="s">
        <v>14291</v>
      </c>
      <c r="H3388">
        <v>93524811</v>
      </c>
      <c r="I3388" t="s">
        <v>14292</v>
      </c>
      <c r="L3388" t="s">
        <v>22867</v>
      </c>
      <c r="M3388">
        <v>71</v>
      </c>
      <c r="N3388" t="s">
        <v>22868</v>
      </c>
    </row>
    <row r="3389" spans="1:14">
      <c r="A3389" t="s">
        <v>9256</v>
      </c>
      <c r="B3389">
        <v>4030204</v>
      </c>
      <c r="C3389">
        <v>4030539</v>
      </c>
      <c r="E3389" t="s">
        <v>14314</v>
      </c>
      <c r="F3389" t="s">
        <v>14291</v>
      </c>
      <c r="H3389">
        <v>93524812</v>
      </c>
      <c r="I3389" t="s">
        <v>14292</v>
      </c>
      <c r="L3389" t="s">
        <v>22869</v>
      </c>
      <c r="M3389">
        <v>111</v>
      </c>
      <c r="N3389" t="s">
        <v>22870</v>
      </c>
    </row>
    <row r="3390" spans="1:14">
      <c r="A3390" t="s">
        <v>9256</v>
      </c>
      <c r="B3390">
        <v>4030602</v>
      </c>
      <c r="C3390">
        <v>4031012</v>
      </c>
      <c r="E3390" t="s">
        <v>14314</v>
      </c>
      <c r="F3390" t="s">
        <v>14291</v>
      </c>
      <c r="H3390">
        <v>93524813</v>
      </c>
      <c r="I3390" t="s">
        <v>14292</v>
      </c>
      <c r="L3390" t="s">
        <v>22871</v>
      </c>
      <c r="M3390">
        <v>136</v>
      </c>
      <c r="N3390" t="s">
        <v>22872</v>
      </c>
    </row>
    <row r="3391" spans="1:14">
      <c r="A3391" t="s">
        <v>9256</v>
      </c>
      <c r="B3391">
        <v>4031592</v>
      </c>
      <c r="C3391">
        <v>4032755</v>
      </c>
      <c r="E3391" t="s">
        <v>14314</v>
      </c>
      <c r="F3391" t="s">
        <v>15836</v>
      </c>
      <c r="H3391">
        <v>93524814</v>
      </c>
      <c r="I3391" t="s">
        <v>14292</v>
      </c>
      <c r="L3391" t="s">
        <v>22873</v>
      </c>
      <c r="M3391">
        <v>387</v>
      </c>
      <c r="N3391" t="s">
        <v>22874</v>
      </c>
    </row>
    <row r="3392" spans="1:14">
      <c r="A3392" t="s">
        <v>9256</v>
      </c>
      <c r="B3392">
        <v>4032777</v>
      </c>
      <c r="C3392">
        <v>4033553</v>
      </c>
      <c r="E3392" t="s">
        <v>14314</v>
      </c>
      <c r="F3392" t="s">
        <v>15435</v>
      </c>
      <c r="H3392">
        <v>93524815</v>
      </c>
      <c r="I3392" t="s">
        <v>14292</v>
      </c>
      <c r="L3392" t="s">
        <v>22875</v>
      </c>
      <c r="M3392">
        <v>258</v>
      </c>
      <c r="N3392" t="s">
        <v>22876</v>
      </c>
    </row>
    <row r="3393" spans="1:14">
      <c r="A3393" t="s">
        <v>9256</v>
      </c>
      <c r="B3393">
        <v>4033722</v>
      </c>
      <c r="C3393">
        <v>4034615</v>
      </c>
      <c r="E3393" t="s">
        <v>14290</v>
      </c>
      <c r="F3393" t="s">
        <v>15711</v>
      </c>
      <c r="H3393">
        <v>93524816</v>
      </c>
      <c r="I3393" t="s">
        <v>14292</v>
      </c>
      <c r="L3393" t="s">
        <v>22877</v>
      </c>
      <c r="M3393">
        <v>297</v>
      </c>
      <c r="N3393" t="s">
        <v>22878</v>
      </c>
    </row>
    <row r="3394" spans="1:14">
      <c r="A3394" t="s">
        <v>9256</v>
      </c>
      <c r="B3394">
        <v>4034690</v>
      </c>
      <c r="C3394">
        <v>4035280</v>
      </c>
      <c r="E3394" t="s">
        <v>14314</v>
      </c>
      <c r="F3394" t="s">
        <v>22879</v>
      </c>
      <c r="H3394">
        <v>93524817</v>
      </c>
      <c r="I3394" t="s">
        <v>14292</v>
      </c>
      <c r="L3394" t="s">
        <v>22880</v>
      </c>
      <c r="M3394">
        <v>196</v>
      </c>
      <c r="N3394" t="s">
        <v>22881</v>
      </c>
    </row>
    <row r="3395" spans="1:14">
      <c r="A3395" t="s">
        <v>9256</v>
      </c>
      <c r="B3395">
        <v>4035345</v>
      </c>
      <c r="C3395">
        <v>4036274</v>
      </c>
      <c r="E3395" t="s">
        <v>14314</v>
      </c>
      <c r="F3395" t="s">
        <v>14555</v>
      </c>
      <c r="H3395">
        <v>93524818</v>
      </c>
      <c r="I3395" t="s">
        <v>14292</v>
      </c>
      <c r="L3395" t="s">
        <v>22882</v>
      </c>
      <c r="M3395">
        <v>309</v>
      </c>
      <c r="N3395" t="s">
        <v>22883</v>
      </c>
    </row>
    <row r="3396" spans="1:14">
      <c r="A3396" t="s">
        <v>9256</v>
      </c>
      <c r="B3396">
        <v>4036264</v>
      </c>
      <c r="C3396">
        <v>4038543</v>
      </c>
      <c r="E3396" t="s">
        <v>14314</v>
      </c>
      <c r="F3396" t="s">
        <v>22884</v>
      </c>
      <c r="H3396">
        <v>93524819</v>
      </c>
      <c r="I3396" t="s">
        <v>14292</v>
      </c>
      <c r="L3396" t="s">
        <v>22885</v>
      </c>
      <c r="M3396">
        <v>759</v>
      </c>
      <c r="N3396" t="s">
        <v>22886</v>
      </c>
    </row>
    <row r="3397" spans="1:14">
      <c r="A3397" t="s">
        <v>9256</v>
      </c>
      <c r="B3397">
        <v>4038609</v>
      </c>
      <c r="C3397">
        <v>4039349</v>
      </c>
      <c r="E3397" t="s">
        <v>14314</v>
      </c>
      <c r="F3397" t="s">
        <v>22887</v>
      </c>
      <c r="H3397">
        <v>93524820</v>
      </c>
      <c r="I3397" t="s">
        <v>14292</v>
      </c>
      <c r="L3397" t="s">
        <v>22888</v>
      </c>
      <c r="M3397">
        <v>246</v>
      </c>
      <c r="N3397" t="s">
        <v>22889</v>
      </c>
    </row>
    <row r="3398" spans="1:14">
      <c r="A3398" t="s">
        <v>9256</v>
      </c>
      <c r="B3398">
        <v>4039361</v>
      </c>
      <c r="C3398">
        <v>4040326</v>
      </c>
      <c r="E3398" t="s">
        <v>14314</v>
      </c>
      <c r="F3398" t="s">
        <v>18256</v>
      </c>
      <c r="H3398">
        <v>93524821</v>
      </c>
      <c r="I3398" t="s">
        <v>14292</v>
      </c>
      <c r="L3398" t="s">
        <v>22890</v>
      </c>
      <c r="M3398">
        <v>321</v>
      </c>
      <c r="N3398" t="s">
        <v>22891</v>
      </c>
    </row>
    <row r="3399" spans="1:14">
      <c r="A3399" t="s">
        <v>9256</v>
      </c>
      <c r="B3399">
        <v>4040533</v>
      </c>
      <c r="C3399">
        <v>4040970</v>
      </c>
      <c r="E3399" t="s">
        <v>14314</v>
      </c>
      <c r="F3399" t="s">
        <v>22892</v>
      </c>
      <c r="H3399">
        <v>93524822</v>
      </c>
      <c r="I3399" t="s">
        <v>14292</v>
      </c>
      <c r="L3399" t="s">
        <v>22893</v>
      </c>
      <c r="M3399">
        <v>145</v>
      </c>
      <c r="N3399" t="s">
        <v>22894</v>
      </c>
    </row>
    <row r="3400" spans="1:14">
      <c r="A3400" t="s">
        <v>9256</v>
      </c>
      <c r="B3400">
        <v>4041182</v>
      </c>
      <c r="C3400">
        <v>4041763</v>
      </c>
      <c r="E3400" t="s">
        <v>14314</v>
      </c>
      <c r="F3400" t="s">
        <v>22895</v>
      </c>
      <c r="G3400" t="s">
        <v>22896</v>
      </c>
      <c r="H3400">
        <v>93524823</v>
      </c>
      <c r="I3400" t="s">
        <v>14292</v>
      </c>
      <c r="L3400" t="s">
        <v>22897</v>
      </c>
      <c r="M3400">
        <v>193</v>
      </c>
      <c r="N3400" t="s">
        <v>22898</v>
      </c>
    </row>
    <row r="3401" spans="1:14">
      <c r="A3401" t="s">
        <v>9256</v>
      </c>
      <c r="B3401">
        <v>4041756</v>
      </c>
      <c r="C3401">
        <v>4042769</v>
      </c>
      <c r="E3401" t="s">
        <v>14314</v>
      </c>
      <c r="F3401" t="s">
        <v>22899</v>
      </c>
      <c r="H3401">
        <v>93524824</v>
      </c>
      <c r="I3401" t="s">
        <v>14292</v>
      </c>
      <c r="L3401" t="s">
        <v>22900</v>
      </c>
      <c r="M3401">
        <v>337</v>
      </c>
      <c r="N3401" t="s">
        <v>22901</v>
      </c>
    </row>
    <row r="3402" spans="1:14">
      <c r="A3402" t="s">
        <v>9256</v>
      </c>
      <c r="B3402">
        <v>4042784</v>
      </c>
      <c r="C3402">
        <v>4043098</v>
      </c>
      <c r="E3402" t="s">
        <v>14314</v>
      </c>
      <c r="F3402" t="s">
        <v>22902</v>
      </c>
      <c r="G3402" t="s">
        <v>22903</v>
      </c>
      <c r="H3402">
        <v>93524825</v>
      </c>
      <c r="I3402" t="s">
        <v>14292</v>
      </c>
      <c r="L3402" t="s">
        <v>22904</v>
      </c>
      <c r="M3402">
        <v>104</v>
      </c>
      <c r="N3402" t="s">
        <v>22905</v>
      </c>
    </row>
    <row r="3403" spans="1:14">
      <c r="A3403" t="s">
        <v>9256</v>
      </c>
      <c r="B3403">
        <v>4043161</v>
      </c>
      <c r="C3403">
        <v>4044087</v>
      </c>
      <c r="E3403" t="s">
        <v>14314</v>
      </c>
      <c r="F3403" t="s">
        <v>22906</v>
      </c>
      <c r="G3403" t="s">
        <v>22907</v>
      </c>
      <c r="H3403">
        <v>93524826</v>
      </c>
      <c r="I3403" t="s">
        <v>14292</v>
      </c>
      <c r="L3403" t="s">
        <v>22908</v>
      </c>
      <c r="M3403">
        <v>308</v>
      </c>
      <c r="N3403" t="s">
        <v>22909</v>
      </c>
    </row>
    <row r="3404" spans="1:14">
      <c r="A3404" t="s">
        <v>9256</v>
      </c>
      <c r="B3404">
        <v>4044311</v>
      </c>
      <c r="C3404">
        <v>4044700</v>
      </c>
      <c r="E3404" t="s">
        <v>14290</v>
      </c>
      <c r="F3404" t="s">
        <v>22910</v>
      </c>
      <c r="H3404">
        <v>93524827</v>
      </c>
      <c r="I3404" t="s">
        <v>14292</v>
      </c>
      <c r="L3404" t="s">
        <v>22911</v>
      </c>
      <c r="M3404">
        <v>129</v>
      </c>
      <c r="N3404" t="s">
        <v>22912</v>
      </c>
    </row>
    <row r="3405" spans="1:14">
      <c r="A3405" t="s">
        <v>9256</v>
      </c>
      <c r="B3405">
        <v>4044808</v>
      </c>
      <c r="C3405">
        <v>4044978</v>
      </c>
      <c r="E3405" t="s">
        <v>14314</v>
      </c>
      <c r="F3405" t="s">
        <v>14590</v>
      </c>
      <c r="H3405">
        <v>93524828</v>
      </c>
      <c r="I3405" t="s">
        <v>14292</v>
      </c>
      <c r="L3405" t="s">
        <v>22913</v>
      </c>
      <c r="M3405">
        <v>56</v>
      </c>
      <c r="N3405" t="s">
        <v>22914</v>
      </c>
    </row>
    <row r="3406" spans="1:14">
      <c r="A3406" t="s">
        <v>9256</v>
      </c>
      <c r="B3406">
        <v>4045132</v>
      </c>
      <c r="C3406">
        <v>4045833</v>
      </c>
      <c r="E3406" t="s">
        <v>14290</v>
      </c>
      <c r="F3406" t="s">
        <v>14464</v>
      </c>
      <c r="H3406">
        <v>93524829</v>
      </c>
      <c r="I3406" t="s">
        <v>14292</v>
      </c>
      <c r="L3406" t="s">
        <v>22915</v>
      </c>
      <c r="M3406">
        <v>233</v>
      </c>
      <c r="N3406" t="s">
        <v>22916</v>
      </c>
    </row>
    <row r="3407" spans="1:14">
      <c r="A3407" t="s">
        <v>9256</v>
      </c>
      <c r="B3407">
        <v>4045820</v>
      </c>
      <c r="C3407">
        <v>4046653</v>
      </c>
      <c r="E3407" t="s">
        <v>14314</v>
      </c>
      <c r="F3407" t="s">
        <v>22917</v>
      </c>
      <c r="H3407">
        <v>93524830</v>
      </c>
      <c r="I3407" t="s">
        <v>14292</v>
      </c>
      <c r="L3407" t="s">
        <v>22918</v>
      </c>
      <c r="M3407">
        <v>277</v>
      </c>
      <c r="N3407" t="s">
        <v>22919</v>
      </c>
    </row>
    <row r="3408" spans="1:14">
      <c r="A3408" t="s">
        <v>9256</v>
      </c>
      <c r="B3408">
        <v>4046796</v>
      </c>
      <c r="C3408">
        <v>4048850</v>
      </c>
      <c r="E3408" t="s">
        <v>14314</v>
      </c>
      <c r="F3408" t="s">
        <v>22920</v>
      </c>
      <c r="G3408" t="s">
        <v>22921</v>
      </c>
      <c r="H3408">
        <v>93524831</v>
      </c>
      <c r="I3408" t="s">
        <v>14292</v>
      </c>
      <c r="L3408" t="s">
        <v>22922</v>
      </c>
      <c r="M3408">
        <v>684</v>
      </c>
      <c r="N3408" t="s">
        <v>22923</v>
      </c>
    </row>
    <row r="3409" spans="1:14">
      <c r="A3409" t="s">
        <v>9256</v>
      </c>
      <c r="B3409">
        <v>4048881</v>
      </c>
      <c r="C3409">
        <v>4049240</v>
      </c>
      <c r="E3409" t="s">
        <v>14314</v>
      </c>
      <c r="F3409" t="s">
        <v>22924</v>
      </c>
      <c r="G3409" t="s">
        <v>22925</v>
      </c>
      <c r="H3409">
        <v>93524832</v>
      </c>
      <c r="I3409" t="s">
        <v>14292</v>
      </c>
      <c r="L3409" t="s">
        <v>22926</v>
      </c>
      <c r="M3409">
        <v>119</v>
      </c>
      <c r="N3409" t="s">
        <v>22927</v>
      </c>
    </row>
    <row r="3410" spans="1:14">
      <c r="A3410" t="s">
        <v>9256</v>
      </c>
      <c r="B3410">
        <v>4049528</v>
      </c>
      <c r="C3410">
        <v>4049598</v>
      </c>
      <c r="E3410" t="s">
        <v>14290</v>
      </c>
      <c r="F3410" t="s">
        <v>22928</v>
      </c>
      <c r="H3410">
        <v>93524833</v>
      </c>
      <c r="I3410" t="s">
        <v>13638</v>
      </c>
      <c r="N3410" t="s">
        <v>22929</v>
      </c>
    </row>
    <row r="3411" spans="1:14">
      <c r="A3411" t="s">
        <v>9256</v>
      </c>
      <c r="B3411">
        <v>4049631</v>
      </c>
      <c r="C3411">
        <v>4049701</v>
      </c>
      <c r="E3411" t="s">
        <v>14290</v>
      </c>
      <c r="F3411" t="s">
        <v>22928</v>
      </c>
      <c r="H3411">
        <v>93524834</v>
      </c>
      <c r="I3411" t="s">
        <v>13638</v>
      </c>
      <c r="N3411" t="s">
        <v>22930</v>
      </c>
    </row>
    <row r="3412" spans="1:14">
      <c r="A3412" t="s">
        <v>9256</v>
      </c>
      <c r="B3412">
        <v>4049764</v>
      </c>
      <c r="C3412">
        <v>4051080</v>
      </c>
      <c r="E3412" t="s">
        <v>14314</v>
      </c>
      <c r="F3412" t="s">
        <v>14562</v>
      </c>
      <c r="H3412">
        <v>93524835</v>
      </c>
      <c r="I3412" t="s">
        <v>14292</v>
      </c>
      <c r="L3412" t="s">
        <v>22931</v>
      </c>
      <c r="M3412">
        <v>438</v>
      </c>
      <c r="N3412" t="s">
        <v>22932</v>
      </c>
    </row>
    <row r="3413" spans="1:14">
      <c r="A3413" t="s">
        <v>9256</v>
      </c>
      <c r="B3413">
        <v>4051077</v>
      </c>
      <c r="C3413">
        <v>4051949</v>
      </c>
      <c r="E3413" t="s">
        <v>14314</v>
      </c>
      <c r="F3413" t="s">
        <v>14403</v>
      </c>
      <c r="H3413">
        <v>93524836</v>
      </c>
      <c r="I3413" t="s">
        <v>14292</v>
      </c>
      <c r="L3413" t="s">
        <v>22933</v>
      </c>
      <c r="M3413">
        <v>290</v>
      </c>
      <c r="N3413" t="s">
        <v>22934</v>
      </c>
    </row>
    <row r="3414" spans="1:14">
      <c r="A3414" t="s">
        <v>9256</v>
      </c>
      <c r="B3414">
        <v>4051963</v>
      </c>
      <c r="C3414">
        <v>4054080</v>
      </c>
      <c r="E3414" t="s">
        <v>14314</v>
      </c>
      <c r="F3414" t="s">
        <v>22935</v>
      </c>
      <c r="G3414" t="s">
        <v>22936</v>
      </c>
      <c r="H3414">
        <v>93524837</v>
      </c>
      <c r="I3414" t="s">
        <v>14292</v>
      </c>
      <c r="L3414" t="s">
        <v>22937</v>
      </c>
      <c r="M3414">
        <v>705</v>
      </c>
      <c r="N3414" t="s">
        <v>22938</v>
      </c>
    </row>
    <row r="3415" spans="1:14">
      <c r="A3415" t="s">
        <v>9256</v>
      </c>
      <c r="B3415">
        <v>4054306</v>
      </c>
      <c r="C3415">
        <v>4054842</v>
      </c>
      <c r="E3415" t="s">
        <v>14290</v>
      </c>
      <c r="F3415" t="s">
        <v>14318</v>
      </c>
      <c r="H3415">
        <v>93524838</v>
      </c>
      <c r="I3415" t="s">
        <v>14292</v>
      </c>
      <c r="L3415" t="s">
        <v>22939</v>
      </c>
      <c r="M3415">
        <v>178</v>
      </c>
      <c r="N3415" t="s">
        <v>22940</v>
      </c>
    </row>
    <row r="3416" spans="1:14">
      <c r="A3416" t="s">
        <v>9256</v>
      </c>
      <c r="B3416">
        <v>4055009</v>
      </c>
      <c r="C3416">
        <v>4055305</v>
      </c>
      <c r="E3416" t="s">
        <v>14290</v>
      </c>
      <c r="F3416" t="s">
        <v>15392</v>
      </c>
      <c r="H3416">
        <v>93524839</v>
      </c>
      <c r="I3416" t="s">
        <v>14292</v>
      </c>
      <c r="L3416" t="s">
        <v>22941</v>
      </c>
      <c r="M3416">
        <v>98</v>
      </c>
      <c r="N3416" t="s">
        <v>22942</v>
      </c>
    </row>
    <row r="3417" spans="1:14">
      <c r="A3417" t="s">
        <v>9256</v>
      </c>
      <c r="B3417">
        <v>4055427</v>
      </c>
      <c r="C3417">
        <v>4055681</v>
      </c>
      <c r="E3417" t="s">
        <v>14290</v>
      </c>
      <c r="F3417" t="s">
        <v>15389</v>
      </c>
      <c r="H3417">
        <v>93524840</v>
      </c>
      <c r="I3417" t="s">
        <v>14292</v>
      </c>
      <c r="L3417" t="s">
        <v>22943</v>
      </c>
      <c r="M3417">
        <v>84</v>
      </c>
      <c r="N3417" t="s">
        <v>22944</v>
      </c>
    </row>
    <row r="3418" spans="1:14">
      <c r="A3418" t="s">
        <v>9256</v>
      </c>
      <c r="B3418">
        <v>4055856</v>
      </c>
      <c r="C3418">
        <v>4056185</v>
      </c>
      <c r="E3418" t="s">
        <v>14290</v>
      </c>
      <c r="F3418" t="s">
        <v>14291</v>
      </c>
      <c r="H3418">
        <v>93524841</v>
      </c>
      <c r="I3418" t="s">
        <v>14292</v>
      </c>
      <c r="L3418" t="s">
        <v>22945</v>
      </c>
      <c r="M3418">
        <v>109</v>
      </c>
      <c r="N3418" t="s">
        <v>22946</v>
      </c>
    </row>
    <row r="3419" spans="1:14">
      <c r="A3419" t="s">
        <v>9256</v>
      </c>
      <c r="B3419">
        <v>4056667</v>
      </c>
      <c r="C3419">
        <v>4058601</v>
      </c>
      <c r="E3419" t="s">
        <v>14290</v>
      </c>
      <c r="F3419" t="s">
        <v>20173</v>
      </c>
      <c r="H3419">
        <v>93524842</v>
      </c>
      <c r="I3419" t="s">
        <v>14292</v>
      </c>
      <c r="L3419" t="s">
        <v>22947</v>
      </c>
      <c r="M3419">
        <v>644</v>
      </c>
      <c r="N3419" t="s">
        <v>22948</v>
      </c>
    </row>
    <row r="3420" spans="1:14">
      <c r="A3420" t="s">
        <v>9256</v>
      </c>
      <c r="B3420">
        <v>4059022</v>
      </c>
      <c r="C3420">
        <v>4059957</v>
      </c>
      <c r="E3420" t="s">
        <v>14290</v>
      </c>
      <c r="F3420" t="s">
        <v>17951</v>
      </c>
      <c r="H3420">
        <v>93524843</v>
      </c>
      <c r="I3420" t="s">
        <v>14292</v>
      </c>
      <c r="L3420" t="s">
        <v>22949</v>
      </c>
      <c r="M3420">
        <v>311</v>
      </c>
      <c r="N3420" t="s">
        <v>22950</v>
      </c>
    </row>
    <row r="3421" spans="1:14">
      <c r="A3421" t="s">
        <v>9256</v>
      </c>
      <c r="B3421">
        <v>4059969</v>
      </c>
      <c r="C3421">
        <v>4060625</v>
      </c>
      <c r="E3421" t="s">
        <v>14290</v>
      </c>
      <c r="F3421" t="s">
        <v>14369</v>
      </c>
      <c r="H3421">
        <v>93524844</v>
      </c>
      <c r="I3421" t="s">
        <v>14292</v>
      </c>
      <c r="L3421" t="s">
        <v>22951</v>
      </c>
      <c r="M3421">
        <v>218</v>
      </c>
      <c r="N3421" t="s">
        <v>22952</v>
      </c>
    </row>
    <row r="3422" spans="1:14">
      <c r="A3422" t="s">
        <v>9256</v>
      </c>
      <c r="B3422">
        <v>4060730</v>
      </c>
      <c r="C3422">
        <v>4061695</v>
      </c>
      <c r="E3422" t="s">
        <v>14290</v>
      </c>
      <c r="F3422" t="s">
        <v>14439</v>
      </c>
      <c r="H3422">
        <v>93524845</v>
      </c>
      <c r="I3422" t="s">
        <v>14292</v>
      </c>
      <c r="L3422" t="s">
        <v>22953</v>
      </c>
      <c r="M3422">
        <v>321</v>
      </c>
      <c r="N3422" t="s">
        <v>22954</v>
      </c>
    </row>
    <row r="3423" spans="1:14">
      <c r="A3423" t="s">
        <v>9256</v>
      </c>
      <c r="B3423">
        <v>4061698</v>
      </c>
      <c r="C3423">
        <v>4062609</v>
      </c>
      <c r="E3423" t="s">
        <v>14290</v>
      </c>
      <c r="F3423" t="s">
        <v>22955</v>
      </c>
      <c r="H3423">
        <v>93524846</v>
      </c>
      <c r="I3423" t="s">
        <v>14292</v>
      </c>
      <c r="L3423" t="s">
        <v>22956</v>
      </c>
      <c r="M3423">
        <v>303</v>
      </c>
      <c r="N3423" t="s">
        <v>22957</v>
      </c>
    </row>
    <row r="3424" spans="1:14">
      <c r="A3424" t="s">
        <v>9256</v>
      </c>
      <c r="B3424">
        <v>4062611</v>
      </c>
      <c r="C3424">
        <v>4063582</v>
      </c>
      <c r="E3424" t="s">
        <v>14290</v>
      </c>
      <c r="F3424" t="s">
        <v>20983</v>
      </c>
      <c r="H3424">
        <v>93524847</v>
      </c>
      <c r="I3424" t="s">
        <v>14292</v>
      </c>
      <c r="L3424" t="s">
        <v>22958</v>
      </c>
      <c r="M3424">
        <v>323</v>
      </c>
      <c r="N3424" t="s">
        <v>22959</v>
      </c>
    </row>
    <row r="3425" spans="1:14">
      <c r="A3425" t="s">
        <v>9256</v>
      </c>
      <c r="B3425">
        <v>4063633</v>
      </c>
      <c r="C3425">
        <v>4064169</v>
      </c>
      <c r="E3425" t="s">
        <v>14290</v>
      </c>
      <c r="F3425" t="s">
        <v>16215</v>
      </c>
      <c r="H3425">
        <v>93524848</v>
      </c>
      <c r="I3425" t="s">
        <v>14292</v>
      </c>
      <c r="L3425" t="s">
        <v>22960</v>
      </c>
      <c r="M3425">
        <v>178</v>
      </c>
      <c r="N3425" t="s">
        <v>22961</v>
      </c>
    </row>
    <row r="3426" spans="1:14">
      <c r="A3426" t="s">
        <v>9256</v>
      </c>
      <c r="B3426">
        <v>4064209</v>
      </c>
      <c r="C3426">
        <v>4065414</v>
      </c>
      <c r="E3426" t="s">
        <v>14290</v>
      </c>
      <c r="F3426" t="s">
        <v>21332</v>
      </c>
      <c r="H3426">
        <v>93524849</v>
      </c>
      <c r="I3426" t="s">
        <v>14292</v>
      </c>
      <c r="L3426" t="s">
        <v>22962</v>
      </c>
      <c r="M3426">
        <v>401</v>
      </c>
      <c r="N3426" t="s">
        <v>22963</v>
      </c>
    </row>
    <row r="3427" spans="1:14">
      <c r="A3427" t="s">
        <v>9256</v>
      </c>
      <c r="B3427">
        <v>4065441</v>
      </c>
      <c r="C3427">
        <v>4066400</v>
      </c>
      <c r="E3427" t="s">
        <v>14290</v>
      </c>
      <c r="F3427" t="s">
        <v>14335</v>
      </c>
      <c r="H3427">
        <v>93524850</v>
      </c>
      <c r="I3427" t="s">
        <v>14292</v>
      </c>
      <c r="L3427" t="s">
        <v>22964</v>
      </c>
      <c r="M3427">
        <v>319</v>
      </c>
      <c r="N3427" t="s">
        <v>22965</v>
      </c>
    </row>
    <row r="3428" spans="1:14">
      <c r="A3428" t="s">
        <v>9256</v>
      </c>
      <c r="B3428">
        <v>4066397</v>
      </c>
      <c r="C3428">
        <v>4067500</v>
      </c>
      <c r="E3428" t="s">
        <v>14290</v>
      </c>
      <c r="F3428" t="s">
        <v>14332</v>
      </c>
      <c r="H3428">
        <v>93524851</v>
      </c>
      <c r="I3428" t="s">
        <v>14292</v>
      </c>
      <c r="L3428" t="s">
        <v>22966</v>
      </c>
      <c r="M3428">
        <v>367</v>
      </c>
      <c r="N3428" t="s">
        <v>22967</v>
      </c>
    </row>
    <row r="3429" spans="1:14">
      <c r="A3429" t="s">
        <v>9256</v>
      </c>
      <c r="B3429">
        <v>4067516</v>
      </c>
      <c r="C3429">
        <v>4068775</v>
      </c>
      <c r="E3429" t="s">
        <v>14290</v>
      </c>
      <c r="F3429" t="s">
        <v>22968</v>
      </c>
      <c r="H3429">
        <v>93524852</v>
      </c>
      <c r="I3429" t="s">
        <v>14292</v>
      </c>
      <c r="L3429" t="s">
        <v>22969</v>
      </c>
      <c r="M3429">
        <v>419</v>
      </c>
      <c r="N3429" t="s">
        <v>22970</v>
      </c>
    </row>
    <row r="3430" spans="1:14">
      <c r="A3430" t="s">
        <v>9256</v>
      </c>
      <c r="B3430">
        <v>4068747</v>
      </c>
      <c r="C3430">
        <v>4069958</v>
      </c>
      <c r="E3430" t="s">
        <v>14290</v>
      </c>
      <c r="F3430" t="s">
        <v>14329</v>
      </c>
      <c r="H3430">
        <v>93524853</v>
      </c>
      <c r="I3430" t="s">
        <v>14292</v>
      </c>
      <c r="L3430" t="s">
        <v>22971</v>
      </c>
      <c r="M3430">
        <v>403</v>
      </c>
      <c r="N3430" t="s">
        <v>22972</v>
      </c>
    </row>
    <row r="3431" spans="1:14">
      <c r="A3431" t="s">
        <v>9256</v>
      </c>
      <c r="B3431">
        <v>4070344</v>
      </c>
      <c r="C3431">
        <v>4071597</v>
      </c>
      <c r="E3431" t="s">
        <v>14290</v>
      </c>
      <c r="F3431" t="s">
        <v>17951</v>
      </c>
      <c r="H3431">
        <v>93524854</v>
      </c>
      <c r="I3431" t="s">
        <v>14292</v>
      </c>
      <c r="L3431" t="s">
        <v>22973</v>
      </c>
      <c r="M3431">
        <v>417</v>
      </c>
      <c r="N3431" t="s">
        <v>22974</v>
      </c>
    </row>
    <row r="3432" spans="1:14">
      <c r="A3432" t="s">
        <v>9256</v>
      </c>
      <c r="B3432">
        <v>4071683</v>
      </c>
      <c r="C3432">
        <v>4072048</v>
      </c>
      <c r="E3432" t="s">
        <v>14290</v>
      </c>
      <c r="F3432" t="s">
        <v>20173</v>
      </c>
      <c r="H3432">
        <v>93524855</v>
      </c>
      <c r="I3432" t="s">
        <v>14292</v>
      </c>
      <c r="L3432" t="s">
        <v>22975</v>
      </c>
      <c r="M3432">
        <v>121</v>
      </c>
      <c r="N3432" t="s">
        <v>22976</v>
      </c>
    </row>
    <row r="3433" spans="1:14">
      <c r="A3433" t="s">
        <v>9256</v>
      </c>
      <c r="B3433">
        <v>4072193</v>
      </c>
      <c r="C3433">
        <v>4075492</v>
      </c>
      <c r="E3433" t="s">
        <v>14290</v>
      </c>
      <c r="F3433" t="s">
        <v>22977</v>
      </c>
      <c r="H3433">
        <v>93524856</v>
      </c>
      <c r="I3433" t="s">
        <v>14292</v>
      </c>
      <c r="L3433" t="s">
        <v>22978</v>
      </c>
      <c r="M3433">
        <v>1099</v>
      </c>
      <c r="N3433" t="s">
        <v>22979</v>
      </c>
    </row>
    <row r="3434" spans="1:14">
      <c r="A3434" t="s">
        <v>9256</v>
      </c>
      <c r="B3434">
        <v>4075484</v>
      </c>
      <c r="C3434">
        <v>4076623</v>
      </c>
      <c r="E3434" t="s">
        <v>14314</v>
      </c>
      <c r="F3434" t="s">
        <v>22980</v>
      </c>
      <c r="G3434" t="s">
        <v>22981</v>
      </c>
      <c r="H3434">
        <v>93524857</v>
      </c>
      <c r="I3434" t="s">
        <v>14292</v>
      </c>
      <c r="L3434" t="s">
        <v>22982</v>
      </c>
      <c r="M3434">
        <v>379</v>
      </c>
      <c r="N3434" t="s">
        <v>22983</v>
      </c>
    </row>
    <row r="3435" spans="1:14">
      <c r="A3435" t="s">
        <v>9256</v>
      </c>
      <c r="B3435">
        <v>4076637</v>
      </c>
      <c r="C3435">
        <v>4077194</v>
      </c>
      <c r="E3435" t="s">
        <v>14314</v>
      </c>
      <c r="F3435" t="s">
        <v>22984</v>
      </c>
      <c r="G3435" t="s">
        <v>22985</v>
      </c>
      <c r="H3435">
        <v>93524858</v>
      </c>
      <c r="I3435" t="s">
        <v>14292</v>
      </c>
      <c r="L3435" t="s">
        <v>22986</v>
      </c>
      <c r="M3435">
        <v>185</v>
      </c>
      <c r="N3435" t="s">
        <v>22987</v>
      </c>
    </row>
    <row r="3436" spans="1:14">
      <c r="A3436" t="s">
        <v>9256</v>
      </c>
      <c r="B3436">
        <v>4077360</v>
      </c>
      <c r="C3436">
        <v>4077431</v>
      </c>
      <c r="E3436" t="s">
        <v>14290</v>
      </c>
      <c r="F3436" t="s">
        <v>22988</v>
      </c>
      <c r="H3436">
        <v>93524859</v>
      </c>
      <c r="I3436" t="s">
        <v>13638</v>
      </c>
      <c r="N3436" t="s">
        <v>22989</v>
      </c>
    </row>
    <row r="3437" spans="1:14">
      <c r="A3437" t="s">
        <v>9256</v>
      </c>
      <c r="B3437">
        <v>4077483</v>
      </c>
      <c r="C3437">
        <v>4077554</v>
      </c>
      <c r="E3437" t="s">
        <v>14290</v>
      </c>
      <c r="F3437" t="s">
        <v>22988</v>
      </c>
      <c r="H3437">
        <v>93524860</v>
      </c>
      <c r="I3437" t="s">
        <v>13638</v>
      </c>
      <c r="N3437" t="s">
        <v>22990</v>
      </c>
    </row>
    <row r="3438" spans="1:14">
      <c r="A3438" t="s">
        <v>9256</v>
      </c>
      <c r="B3438">
        <v>4078559</v>
      </c>
      <c r="C3438">
        <v>4078804</v>
      </c>
      <c r="E3438" t="s">
        <v>14314</v>
      </c>
      <c r="F3438" t="s">
        <v>14291</v>
      </c>
      <c r="H3438">
        <v>93524861</v>
      </c>
      <c r="I3438" t="s">
        <v>14292</v>
      </c>
      <c r="L3438" t="s">
        <v>22991</v>
      </c>
      <c r="M3438">
        <v>81</v>
      </c>
      <c r="N3438" t="s">
        <v>22992</v>
      </c>
    </row>
    <row r="3439" spans="1:14">
      <c r="A3439" t="s">
        <v>9256</v>
      </c>
      <c r="B3439">
        <v>4078830</v>
      </c>
      <c r="C3439">
        <v>4079141</v>
      </c>
      <c r="E3439" t="s">
        <v>14314</v>
      </c>
      <c r="F3439" t="s">
        <v>22993</v>
      </c>
      <c r="H3439">
        <v>93524862</v>
      </c>
      <c r="I3439" t="s">
        <v>14292</v>
      </c>
      <c r="L3439" t="s">
        <v>22994</v>
      </c>
      <c r="M3439">
        <v>103</v>
      </c>
      <c r="N3439" t="s">
        <v>22995</v>
      </c>
    </row>
    <row r="3440" spans="1:14">
      <c r="A3440" t="s">
        <v>9256</v>
      </c>
      <c r="B3440">
        <v>4079173</v>
      </c>
      <c r="C3440">
        <v>4079313</v>
      </c>
      <c r="E3440" t="s">
        <v>14314</v>
      </c>
      <c r="F3440" t="s">
        <v>14291</v>
      </c>
      <c r="H3440">
        <v>93524863</v>
      </c>
      <c r="I3440" t="s">
        <v>14292</v>
      </c>
      <c r="L3440" t="s">
        <v>22996</v>
      </c>
      <c r="M3440">
        <v>46</v>
      </c>
      <c r="N3440" t="s">
        <v>22997</v>
      </c>
    </row>
    <row r="3441" spans="1:14">
      <c r="A3441" t="s">
        <v>9256</v>
      </c>
      <c r="B3441">
        <v>4079483</v>
      </c>
      <c r="C3441">
        <v>4079731</v>
      </c>
      <c r="E3441" t="s">
        <v>14290</v>
      </c>
      <c r="F3441" t="s">
        <v>14406</v>
      </c>
      <c r="H3441">
        <v>93524864</v>
      </c>
      <c r="I3441" t="s">
        <v>14292</v>
      </c>
      <c r="L3441" t="s">
        <v>22998</v>
      </c>
      <c r="M3441">
        <v>82</v>
      </c>
      <c r="N3441" t="s">
        <v>22999</v>
      </c>
    </row>
    <row r="3442" spans="1:14">
      <c r="A3442" t="s">
        <v>9256</v>
      </c>
      <c r="B3442">
        <v>4079734</v>
      </c>
      <c r="C3442">
        <v>4080285</v>
      </c>
      <c r="E3442" t="s">
        <v>14290</v>
      </c>
      <c r="F3442" t="s">
        <v>23000</v>
      </c>
      <c r="G3442" t="s">
        <v>23001</v>
      </c>
      <c r="H3442">
        <v>93524865</v>
      </c>
      <c r="I3442" t="s">
        <v>14292</v>
      </c>
      <c r="L3442" t="s">
        <v>23002</v>
      </c>
      <c r="M3442">
        <v>183</v>
      </c>
      <c r="N3442" t="s">
        <v>23003</v>
      </c>
    </row>
    <row r="3443" spans="1:14">
      <c r="A3443" t="s">
        <v>9256</v>
      </c>
      <c r="B3443">
        <v>4080676</v>
      </c>
      <c r="C3443">
        <v>4080819</v>
      </c>
      <c r="E3443" t="s">
        <v>14314</v>
      </c>
      <c r="F3443" t="s">
        <v>14291</v>
      </c>
      <c r="H3443">
        <v>93524866</v>
      </c>
      <c r="I3443" t="s">
        <v>14292</v>
      </c>
      <c r="L3443" t="s">
        <v>23004</v>
      </c>
      <c r="M3443">
        <v>47</v>
      </c>
      <c r="N3443" t="s">
        <v>23005</v>
      </c>
    </row>
    <row r="3444" spans="1:14">
      <c r="A3444" t="s">
        <v>9256</v>
      </c>
      <c r="B3444">
        <v>4081517</v>
      </c>
      <c r="C3444">
        <v>4081789</v>
      </c>
      <c r="E3444" t="s">
        <v>14314</v>
      </c>
      <c r="F3444" t="s">
        <v>14291</v>
      </c>
      <c r="H3444">
        <v>93524867</v>
      </c>
      <c r="I3444" t="s">
        <v>14292</v>
      </c>
      <c r="L3444" t="s">
        <v>23006</v>
      </c>
      <c r="M3444">
        <v>90</v>
      </c>
      <c r="N3444" t="s">
        <v>23007</v>
      </c>
    </row>
    <row r="3445" spans="1:14">
      <c r="A3445" t="s">
        <v>9256</v>
      </c>
      <c r="B3445">
        <v>4081800</v>
      </c>
      <c r="C3445">
        <v>4082405</v>
      </c>
      <c r="E3445" t="s">
        <v>14314</v>
      </c>
      <c r="F3445" t="s">
        <v>14291</v>
      </c>
      <c r="H3445">
        <v>93524868</v>
      </c>
      <c r="I3445" t="s">
        <v>14292</v>
      </c>
      <c r="L3445" t="s">
        <v>23008</v>
      </c>
      <c r="M3445">
        <v>201</v>
      </c>
      <c r="N3445" t="s">
        <v>23009</v>
      </c>
    </row>
    <row r="3446" spans="1:14">
      <c r="A3446" t="s">
        <v>9256</v>
      </c>
      <c r="B3446">
        <v>4082431</v>
      </c>
      <c r="C3446">
        <v>4082709</v>
      </c>
      <c r="E3446" t="s">
        <v>14314</v>
      </c>
      <c r="F3446" t="s">
        <v>14291</v>
      </c>
      <c r="H3446">
        <v>93524869</v>
      </c>
      <c r="I3446" t="s">
        <v>14292</v>
      </c>
      <c r="L3446" t="s">
        <v>23010</v>
      </c>
      <c r="M3446">
        <v>92</v>
      </c>
      <c r="N3446" t="s">
        <v>23011</v>
      </c>
    </row>
    <row r="3447" spans="1:14">
      <c r="A3447" t="s">
        <v>9256</v>
      </c>
      <c r="B3447">
        <v>4082712</v>
      </c>
      <c r="C3447">
        <v>4083593</v>
      </c>
      <c r="E3447" t="s">
        <v>14314</v>
      </c>
      <c r="F3447" t="s">
        <v>15094</v>
      </c>
      <c r="H3447">
        <v>93524870</v>
      </c>
      <c r="I3447" t="s">
        <v>14292</v>
      </c>
      <c r="L3447" t="s">
        <v>23012</v>
      </c>
      <c r="M3447">
        <v>293</v>
      </c>
      <c r="N3447" t="s">
        <v>23013</v>
      </c>
    </row>
    <row r="3448" spans="1:14">
      <c r="A3448" t="s">
        <v>9256</v>
      </c>
      <c r="B3448">
        <v>4083740</v>
      </c>
      <c r="C3448">
        <v>4085050</v>
      </c>
      <c r="E3448" t="s">
        <v>14314</v>
      </c>
      <c r="F3448" t="s">
        <v>15097</v>
      </c>
      <c r="H3448">
        <v>93524871</v>
      </c>
      <c r="I3448" t="s">
        <v>14292</v>
      </c>
      <c r="L3448" t="s">
        <v>23014</v>
      </c>
      <c r="M3448">
        <v>436</v>
      </c>
      <c r="N3448" t="s">
        <v>23015</v>
      </c>
    </row>
    <row r="3449" spans="1:14">
      <c r="A3449" t="s">
        <v>9256</v>
      </c>
      <c r="B3449">
        <v>4085043</v>
      </c>
      <c r="C3449">
        <v>4085384</v>
      </c>
      <c r="E3449" t="s">
        <v>14314</v>
      </c>
      <c r="F3449" t="s">
        <v>14291</v>
      </c>
      <c r="H3449">
        <v>93524872</v>
      </c>
      <c r="I3449" t="s">
        <v>14292</v>
      </c>
      <c r="L3449" t="s">
        <v>23016</v>
      </c>
      <c r="M3449">
        <v>113</v>
      </c>
      <c r="N3449" t="s">
        <v>23017</v>
      </c>
    </row>
    <row r="3450" spans="1:14">
      <c r="A3450" t="s">
        <v>9256</v>
      </c>
      <c r="B3450">
        <v>4085387</v>
      </c>
      <c r="C3450">
        <v>4085686</v>
      </c>
      <c r="E3450" t="s">
        <v>14314</v>
      </c>
      <c r="F3450" t="s">
        <v>14406</v>
      </c>
      <c r="H3450">
        <v>93524873</v>
      </c>
      <c r="I3450" t="s">
        <v>14292</v>
      </c>
      <c r="L3450" t="s">
        <v>23018</v>
      </c>
      <c r="M3450">
        <v>99</v>
      </c>
      <c r="N3450" t="s">
        <v>23019</v>
      </c>
    </row>
    <row r="3451" spans="1:14">
      <c r="A3451" t="s">
        <v>9256</v>
      </c>
      <c r="B3451">
        <v>4086024</v>
      </c>
      <c r="C3451">
        <v>4087346</v>
      </c>
      <c r="E3451" t="s">
        <v>14314</v>
      </c>
      <c r="F3451" t="s">
        <v>15333</v>
      </c>
      <c r="H3451">
        <v>93524874</v>
      </c>
      <c r="I3451" t="s">
        <v>14292</v>
      </c>
      <c r="L3451" t="s">
        <v>23020</v>
      </c>
      <c r="M3451">
        <v>440</v>
      </c>
      <c r="N3451" t="s">
        <v>23021</v>
      </c>
    </row>
    <row r="3452" spans="1:14">
      <c r="A3452" t="s">
        <v>9256</v>
      </c>
      <c r="B3452">
        <v>4087923</v>
      </c>
      <c r="C3452">
        <v>4089443</v>
      </c>
      <c r="E3452" t="s">
        <v>14290</v>
      </c>
      <c r="F3452" t="s">
        <v>23022</v>
      </c>
      <c r="G3452" t="s">
        <v>23023</v>
      </c>
      <c r="H3452">
        <v>93524875</v>
      </c>
      <c r="I3452" t="s">
        <v>14292</v>
      </c>
      <c r="L3452" t="s">
        <v>23024</v>
      </c>
      <c r="M3452">
        <v>506</v>
      </c>
      <c r="N3452" t="s">
        <v>23025</v>
      </c>
    </row>
    <row r="3453" spans="1:14">
      <c r="A3453" t="s">
        <v>9256</v>
      </c>
      <c r="B3453">
        <v>4089495</v>
      </c>
      <c r="C3453">
        <v>4090802</v>
      </c>
      <c r="E3453" t="s">
        <v>14290</v>
      </c>
      <c r="F3453" t="s">
        <v>23022</v>
      </c>
      <c r="G3453" t="s">
        <v>23023</v>
      </c>
      <c r="H3453">
        <v>93524876</v>
      </c>
      <c r="I3453" t="s">
        <v>14292</v>
      </c>
      <c r="L3453" t="s">
        <v>23026</v>
      </c>
      <c r="M3453">
        <v>435</v>
      </c>
      <c r="N3453" t="s">
        <v>23027</v>
      </c>
    </row>
    <row r="3454" spans="1:14">
      <c r="A3454" t="s">
        <v>9256</v>
      </c>
      <c r="B3454">
        <v>4090891</v>
      </c>
      <c r="C3454">
        <v>4091628</v>
      </c>
      <c r="E3454" t="s">
        <v>14314</v>
      </c>
      <c r="F3454" t="s">
        <v>15435</v>
      </c>
      <c r="H3454">
        <v>93524877</v>
      </c>
      <c r="I3454" t="s">
        <v>14292</v>
      </c>
      <c r="L3454" t="s">
        <v>23028</v>
      </c>
      <c r="M3454">
        <v>245</v>
      </c>
      <c r="N3454" t="s">
        <v>23029</v>
      </c>
    </row>
    <row r="3455" spans="1:14">
      <c r="A3455" t="s">
        <v>9256</v>
      </c>
      <c r="B3455">
        <v>4091738</v>
      </c>
      <c r="C3455">
        <v>4092436</v>
      </c>
      <c r="E3455" t="s">
        <v>14314</v>
      </c>
      <c r="F3455" t="s">
        <v>23030</v>
      </c>
      <c r="H3455">
        <v>93524878</v>
      </c>
      <c r="I3455" t="s">
        <v>14292</v>
      </c>
      <c r="L3455" t="s">
        <v>23031</v>
      </c>
      <c r="M3455">
        <v>232</v>
      </c>
      <c r="N3455" t="s">
        <v>23032</v>
      </c>
    </row>
    <row r="3456" spans="1:14">
      <c r="A3456" t="s">
        <v>9256</v>
      </c>
      <c r="B3456">
        <v>4092468</v>
      </c>
      <c r="C3456">
        <v>4093784</v>
      </c>
      <c r="E3456" t="s">
        <v>14314</v>
      </c>
      <c r="F3456" t="s">
        <v>23033</v>
      </c>
      <c r="H3456">
        <v>93524879</v>
      </c>
      <c r="I3456" t="s">
        <v>14292</v>
      </c>
      <c r="L3456" t="s">
        <v>23034</v>
      </c>
      <c r="M3456">
        <v>438</v>
      </c>
      <c r="N3456" t="s">
        <v>23035</v>
      </c>
    </row>
    <row r="3457" spans="1:14">
      <c r="A3457" t="s">
        <v>9256</v>
      </c>
      <c r="B3457">
        <v>4093781</v>
      </c>
      <c r="C3457">
        <v>4094422</v>
      </c>
      <c r="E3457" t="s">
        <v>14314</v>
      </c>
      <c r="F3457" t="s">
        <v>23036</v>
      </c>
      <c r="H3457">
        <v>93524880</v>
      </c>
      <c r="I3457" t="s">
        <v>14292</v>
      </c>
      <c r="L3457" t="s">
        <v>23037</v>
      </c>
      <c r="M3457">
        <v>213</v>
      </c>
      <c r="N3457" t="s">
        <v>23038</v>
      </c>
    </row>
    <row r="3458" spans="1:14">
      <c r="A3458" t="s">
        <v>9256</v>
      </c>
      <c r="B3458">
        <v>4094495</v>
      </c>
      <c r="C3458">
        <v>4096495</v>
      </c>
      <c r="E3458" t="s">
        <v>14314</v>
      </c>
      <c r="F3458" t="s">
        <v>14493</v>
      </c>
      <c r="H3458">
        <v>93525953</v>
      </c>
      <c r="I3458" t="s">
        <v>14292</v>
      </c>
      <c r="L3458" t="s">
        <v>23039</v>
      </c>
      <c r="M3458">
        <v>666</v>
      </c>
      <c r="N3458" t="s">
        <v>23040</v>
      </c>
    </row>
    <row r="3459" spans="1:14">
      <c r="A3459" t="s">
        <v>9256</v>
      </c>
      <c r="B3459">
        <v>4096733</v>
      </c>
      <c r="C3459">
        <v>4097530</v>
      </c>
      <c r="E3459" t="s">
        <v>14314</v>
      </c>
      <c r="F3459" t="s">
        <v>17585</v>
      </c>
      <c r="H3459">
        <v>93524881</v>
      </c>
      <c r="I3459" t="s">
        <v>14292</v>
      </c>
      <c r="L3459" t="s">
        <v>23041</v>
      </c>
      <c r="M3459">
        <v>265</v>
      </c>
      <c r="N3459" t="s">
        <v>23042</v>
      </c>
    </row>
    <row r="3460" spans="1:14">
      <c r="A3460" t="s">
        <v>9256</v>
      </c>
      <c r="B3460">
        <v>4097539</v>
      </c>
      <c r="C3460">
        <v>4098468</v>
      </c>
      <c r="E3460" t="s">
        <v>14314</v>
      </c>
      <c r="F3460" t="s">
        <v>23043</v>
      </c>
      <c r="H3460">
        <v>93524882</v>
      </c>
      <c r="I3460" t="s">
        <v>14292</v>
      </c>
      <c r="L3460" t="s">
        <v>23044</v>
      </c>
      <c r="M3460">
        <v>309</v>
      </c>
      <c r="N3460" t="s">
        <v>23045</v>
      </c>
    </row>
    <row r="3461" spans="1:14">
      <c r="A3461" t="s">
        <v>9256</v>
      </c>
      <c r="B3461">
        <v>4098550</v>
      </c>
      <c r="C3461">
        <v>4099437</v>
      </c>
      <c r="E3461" t="s">
        <v>14290</v>
      </c>
      <c r="F3461" t="s">
        <v>23046</v>
      </c>
      <c r="H3461">
        <v>93524883</v>
      </c>
      <c r="I3461" t="s">
        <v>14292</v>
      </c>
      <c r="L3461" t="s">
        <v>23047</v>
      </c>
      <c r="M3461">
        <v>295</v>
      </c>
      <c r="N3461" t="s">
        <v>23048</v>
      </c>
    </row>
    <row r="3462" spans="1:14">
      <c r="A3462" t="s">
        <v>9256</v>
      </c>
      <c r="B3462">
        <v>4099547</v>
      </c>
      <c r="C3462">
        <v>4100602</v>
      </c>
      <c r="E3462" t="s">
        <v>14290</v>
      </c>
      <c r="F3462" t="s">
        <v>23049</v>
      </c>
      <c r="H3462">
        <v>93524884</v>
      </c>
      <c r="I3462" t="s">
        <v>14292</v>
      </c>
      <c r="L3462" t="s">
        <v>23050</v>
      </c>
      <c r="M3462">
        <v>351</v>
      </c>
      <c r="N3462" t="s">
        <v>23051</v>
      </c>
    </row>
    <row r="3463" spans="1:14">
      <c r="A3463" t="s">
        <v>9256</v>
      </c>
      <c r="B3463">
        <v>4100689</v>
      </c>
      <c r="C3463">
        <v>4103034</v>
      </c>
      <c r="E3463" t="s">
        <v>14290</v>
      </c>
      <c r="F3463" t="s">
        <v>23052</v>
      </c>
      <c r="H3463">
        <v>93524885</v>
      </c>
      <c r="I3463" t="s">
        <v>14292</v>
      </c>
      <c r="L3463" t="s">
        <v>23053</v>
      </c>
      <c r="M3463">
        <v>781</v>
      </c>
      <c r="N3463" t="s">
        <v>23054</v>
      </c>
    </row>
    <row r="3464" spans="1:14">
      <c r="A3464" t="s">
        <v>9256</v>
      </c>
      <c r="B3464">
        <v>4103265</v>
      </c>
      <c r="C3464">
        <v>4104830</v>
      </c>
      <c r="E3464" t="s">
        <v>14290</v>
      </c>
      <c r="F3464" t="s">
        <v>23055</v>
      </c>
      <c r="H3464">
        <v>93524886</v>
      </c>
      <c r="I3464" t="s">
        <v>14292</v>
      </c>
      <c r="L3464" t="s">
        <v>23056</v>
      </c>
      <c r="M3464">
        <v>521</v>
      </c>
      <c r="N3464" t="s">
        <v>23057</v>
      </c>
    </row>
    <row r="3465" spans="1:14">
      <c r="A3465" t="s">
        <v>9256</v>
      </c>
      <c r="B3465">
        <v>4104863</v>
      </c>
      <c r="C3465">
        <v>4106362</v>
      </c>
      <c r="E3465" t="s">
        <v>14290</v>
      </c>
      <c r="F3465" t="s">
        <v>23058</v>
      </c>
      <c r="G3465" t="s">
        <v>23059</v>
      </c>
      <c r="H3465">
        <v>93524887</v>
      </c>
      <c r="I3465" t="s">
        <v>14292</v>
      </c>
      <c r="L3465" t="s">
        <v>23060</v>
      </c>
      <c r="M3465">
        <v>499</v>
      </c>
      <c r="N3465" t="s">
        <v>23061</v>
      </c>
    </row>
    <row r="3466" spans="1:14">
      <c r="A3466" t="s">
        <v>9256</v>
      </c>
      <c r="B3466">
        <v>4106419</v>
      </c>
      <c r="C3466">
        <v>4107156</v>
      </c>
      <c r="E3466" t="s">
        <v>14290</v>
      </c>
      <c r="F3466" t="s">
        <v>17251</v>
      </c>
      <c r="H3466">
        <v>93524888</v>
      </c>
      <c r="I3466" t="s">
        <v>14292</v>
      </c>
      <c r="L3466" t="s">
        <v>23062</v>
      </c>
      <c r="M3466">
        <v>245</v>
      </c>
      <c r="N3466" t="s">
        <v>23063</v>
      </c>
    </row>
    <row r="3467" spans="1:14">
      <c r="A3467" t="s">
        <v>9256</v>
      </c>
      <c r="B3467">
        <v>4107122</v>
      </c>
      <c r="C3467">
        <v>4107601</v>
      </c>
      <c r="E3467" t="s">
        <v>14314</v>
      </c>
      <c r="F3467" t="s">
        <v>23064</v>
      </c>
      <c r="H3467">
        <v>93524889</v>
      </c>
      <c r="I3467" t="s">
        <v>14292</v>
      </c>
      <c r="L3467" t="s">
        <v>23065</v>
      </c>
      <c r="M3467">
        <v>159</v>
      </c>
      <c r="N3467" t="s">
        <v>23066</v>
      </c>
    </row>
    <row r="3468" spans="1:14">
      <c r="A3468" t="s">
        <v>9256</v>
      </c>
      <c r="B3468">
        <v>4107598</v>
      </c>
      <c r="C3468">
        <v>4108335</v>
      </c>
      <c r="E3468" t="s">
        <v>14314</v>
      </c>
      <c r="F3468" t="s">
        <v>23067</v>
      </c>
      <c r="G3468" t="s">
        <v>23068</v>
      </c>
      <c r="H3468">
        <v>93524890</v>
      </c>
      <c r="I3468" t="s">
        <v>14292</v>
      </c>
      <c r="L3468" t="s">
        <v>23069</v>
      </c>
      <c r="M3468">
        <v>245</v>
      </c>
      <c r="N3468" t="s">
        <v>23070</v>
      </c>
    </row>
    <row r="3469" spans="1:14">
      <c r="A3469" t="s">
        <v>9256</v>
      </c>
      <c r="B3469">
        <v>4108350</v>
      </c>
      <c r="C3469">
        <v>4110071</v>
      </c>
      <c r="E3469" t="s">
        <v>14314</v>
      </c>
      <c r="F3469" t="s">
        <v>23071</v>
      </c>
      <c r="H3469">
        <v>93524891</v>
      </c>
      <c r="I3469" t="s">
        <v>14292</v>
      </c>
      <c r="L3469" t="s">
        <v>23072</v>
      </c>
      <c r="M3469">
        <v>573</v>
      </c>
      <c r="N3469" t="s">
        <v>23073</v>
      </c>
    </row>
    <row r="3470" spans="1:14">
      <c r="A3470" t="s">
        <v>9256</v>
      </c>
      <c r="B3470">
        <v>4110087</v>
      </c>
      <c r="C3470">
        <v>4111184</v>
      </c>
      <c r="E3470" t="s">
        <v>14314</v>
      </c>
      <c r="F3470" t="s">
        <v>23074</v>
      </c>
      <c r="H3470">
        <v>93524892</v>
      </c>
      <c r="I3470" t="s">
        <v>14292</v>
      </c>
      <c r="L3470" t="s">
        <v>23075</v>
      </c>
      <c r="M3470">
        <v>365</v>
      </c>
      <c r="N3470" t="s">
        <v>23076</v>
      </c>
    </row>
    <row r="3471" spans="1:14">
      <c r="A3471" t="s">
        <v>9256</v>
      </c>
      <c r="B3471">
        <v>4111204</v>
      </c>
      <c r="C3471">
        <v>4112253</v>
      </c>
      <c r="E3471" t="s">
        <v>14314</v>
      </c>
      <c r="F3471" t="s">
        <v>23077</v>
      </c>
      <c r="G3471" t="s">
        <v>23078</v>
      </c>
      <c r="H3471">
        <v>93524893</v>
      </c>
      <c r="I3471" t="s">
        <v>14292</v>
      </c>
      <c r="L3471" t="s">
        <v>23079</v>
      </c>
      <c r="M3471">
        <v>349</v>
      </c>
      <c r="N3471" t="s">
        <v>23080</v>
      </c>
    </row>
    <row r="3472" spans="1:14">
      <c r="A3472" t="s">
        <v>9256</v>
      </c>
      <c r="B3472">
        <v>4112260</v>
      </c>
      <c r="C3472">
        <v>4113339</v>
      </c>
      <c r="E3472" t="s">
        <v>14314</v>
      </c>
      <c r="F3472" t="s">
        <v>23081</v>
      </c>
      <c r="G3472" t="s">
        <v>14559</v>
      </c>
      <c r="H3472">
        <v>93524894</v>
      </c>
      <c r="I3472" t="s">
        <v>14292</v>
      </c>
      <c r="L3472" t="s">
        <v>23082</v>
      </c>
      <c r="M3472">
        <v>359</v>
      </c>
      <c r="N3472" t="s">
        <v>23083</v>
      </c>
    </row>
    <row r="3473" spans="1:14">
      <c r="A3473" t="s">
        <v>9256</v>
      </c>
      <c r="B3473">
        <v>4113327</v>
      </c>
      <c r="C3473">
        <v>4113560</v>
      </c>
      <c r="E3473" t="s">
        <v>14314</v>
      </c>
      <c r="F3473" t="s">
        <v>23084</v>
      </c>
      <c r="H3473">
        <v>93524895</v>
      </c>
      <c r="I3473" t="s">
        <v>14292</v>
      </c>
      <c r="L3473" t="s">
        <v>23085</v>
      </c>
      <c r="M3473">
        <v>77</v>
      </c>
      <c r="N3473" t="s">
        <v>23086</v>
      </c>
    </row>
    <row r="3474" spans="1:14">
      <c r="A3474" t="s">
        <v>9256</v>
      </c>
      <c r="B3474">
        <v>4113720</v>
      </c>
      <c r="C3474">
        <v>4116002</v>
      </c>
      <c r="E3474" t="s">
        <v>14290</v>
      </c>
      <c r="F3474" t="s">
        <v>23087</v>
      </c>
      <c r="G3474" t="s">
        <v>23088</v>
      </c>
      <c r="H3474">
        <v>93524896</v>
      </c>
      <c r="I3474" t="s">
        <v>14292</v>
      </c>
      <c r="L3474" t="s">
        <v>23089</v>
      </c>
      <c r="M3474">
        <v>760</v>
      </c>
      <c r="N3474" t="s">
        <v>23090</v>
      </c>
    </row>
    <row r="3475" spans="1:14">
      <c r="A3475" t="s">
        <v>9256</v>
      </c>
      <c r="B3475">
        <v>4116015</v>
      </c>
      <c r="C3475">
        <v>4116362</v>
      </c>
      <c r="E3475" t="s">
        <v>14290</v>
      </c>
      <c r="F3475" t="s">
        <v>23091</v>
      </c>
      <c r="G3475" t="s">
        <v>23092</v>
      </c>
      <c r="H3475">
        <v>93524897</v>
      </c>
      <c r="I3475" t="s">
        <v>14292</v>
      </c>
      <c r="L3475" t="s">
        <v>23093</v>
      </c>
      <c r="M3475">
        <v>115</v>
      </c>
      <c r="N3475" t="s">
        <v>23094</v>
      </c>
    </row>
    <row r="3476" spans="1:14">
      <c r="A3476" t="s">
        <v>9256</v>
      </c>
      <c r="B3476">
        <v>4116392</v>
      </c>
      <c r="C3476">
        <v>4117144</v>
      </c>
      <c r="E3476" t="s">
        <v>14290</v>
      </c>
      <c r="F3476" t="s">
        <v>23095</v>
      </c>
      <c r="G3476" t="s">
        <v>23096</v>
      </c>
      <c r="H3476">
        <v>93524898</v>
      </c>
      <c r="I3476" t="s">
        <v>14292</v>
      </c>
      <c r="L3476" t="s">
        <v>23097</v>
      </c>
      <c r="M3476">
        <v>250</v>
      </c>
      <c r="N3476" t="s">
        <v>23098</v>
      </c>
    </row>
    <row r="3477" spans="1:14">
      <c r="A3477" t="s">
        <v>9256</v>
      </c>
      <c r="B3477">
        <v>4117224</v>
      </c>
      <c r="C3477">
        <v>4119284</v>
      </c>
      <c r="E3477" t="s">
        <v>14290</v>
      </c>
      <c r="F3477" t="s">
        <v>23099</v>
      </c>
      <c r="H3477">
        <v>93524899</v>
      </c>
      <c r="I3477" t="s">
        <v>14292</v>
      </c>
      <c r="L3477" t="s">
        <v>23100</v>
      </c>
      <c r="M3477">
        <v>686</v>
      </c>
      <c r="N3477" t="s">
        <v>23101</v>
      </c>
    </row>
    <row r="3478" spans="1:14">
      <c r="A3478" t="s">
        <v>9256</v>
      </c>
      <c r="B3478">
        <v>4119347</v>
      </c>
      <c r="C3478">
        <v>4119964</v>
      </c>
      <c r="E3478" t="s">
        <v>14314</v>
      </c>
      <c r="F3478" t="s">
        <v>23102</v>
      </c>
      <c r="H3478">
        <v>93524900</v>
      </c>
      <c r="I3478" t="s">
        <v>14292</v>
      </c>
      <c r="L3478" t="s">
        <v>23103</v>
      </c>
      <c r="M3478">
        <v>205</v>
      </c>
      <c r="N3478" t="s">
        <v>23104</v>
      </c>
    </row>
    <row r="3479" spans="1:14">
      <c r="A3479" t="s">
        <v>9256</v>
      </c>
      <c r="B3479">
        <v>4120104</v>
      </c>
      <c r="C3479">
        <v>4120190</v>
      </c>
      <c r="E3479" t="s">
        <v>14314</v>
      </c>
      <c r="F3479" t="s">
        <v>20434</v>
      </c>
      <c r="H3479">
        <v>93524901</v>
      </c>
      <c r="I3479" t="s">
        <v>13638</v>
      </c>
      <c r="N3479" t="s">
        <v>23105</v>
      </c>
    </row>
    <row r="3480" spans="1:14">
      <c r="A3480" t="s">
        <v>9256</v>
      </c>
      <c r="B3480">
        <v>4120330</v>
      </c>
      <c r="C3480">
        <v>4121379</v>
      </c>
      <c r="E3480" t="s">
        <v>14290</v>
      </c>
      <c r="F3480" t="s">
        <v>23106</v>
      </c>
      <c r="G3480" t="s">
        <v>23107</v>
      </c>
      <c r="H3480">
        <v>93524902</v>
      </c>
      <c r="I3480" t="s">
        <v>14292</v>
      </c>
      <c r="L3480" t="s">
        <v>23108</v>
      </c>
      <c r="M3480">
        <v>349</v>
      </c>
      <c r="N3480" t="s">
        <v>23109</v>
      </c>
    </row>
    <row r="3481" spans="1:14">
      <c r="A3481" t="s">
        <v>9256</v>
      </c>
      <c r="B3481">
        <v>4121484</v>
      </c>
      <c r="C3481">
        <v>4123085</v>
      </c>
      <c r="E3481" t="s">
        <v>14290</v>
      </c>
      <c r="F3481" t="s">
        <v>23110</v>
      </c>
      <c r="H3481">
        <v>93524903</v>
      </c>
      <c r="I3481" t="s">
        <v>14292</v>
      </c>
      <c r="L3481" t="s">
        <v>23111</v>
      </c>
      <c r="M3481">
        <v>533</v>
      </c>
      <c r="N3481" t="s">
        <v>23112</v>
      </c>
    </row>
    <row r="3482" spans="1:14">
      <c r="A3482" t="s">
        <v>9256</v>
      </c>
      <c r="B3482">
        <v>4123082</v>
      </c>
      <c r="C3482">
        <v>4123663</v>
      </c>
      <c r="E3482" t="s">
        <v>14290</v>
      </c>
      <c r="F3482" t="s">
        <v>23113</v>
      </c>
      <c r="H3482">
        <v>93524904</v>
      </c>
      <c r="I3482" t="s">
        <v>14292</v>
      </c>
      <c r="L3482" t="s">
        <v>23114</v>
      </c>
      <c r="M3482">
        <v>193</v>
      </c>
      <c r="N3482" t="s">
        <v>23115</v>
      </c>
    </row>
    <row r="3483" spans="1:14">
      <c r="A3483" t="s">
        <v>9256</v>
      </c>
      <c r="B3483">
        <v>4123878</v>
      </c>
      <c r="C3483">
        <v>4124387</v>
      </c>
      <c r="E3483" t="s">
        <v>14290</v>
      </c>
      <c r="F3483" t="s">
        <v>23116</v>
      </c>
      <c r="H3483">
        <v>93524905</v>
      </c>
      <c r="I3483" t="s">
        <v>14292</v>
      </c>
      <c r="L3483" t="s">
        <v>23117</v>
      </c>
      <c r="M3483">
        <v>169</v>
      </c>
      <c r="N3483" t="s">
        <v>23118</v>
      </c>
    </row>
    <row r="3484" spans="1:14">
      <c r="A3484" t="s">
        <v>9256</v>
      </c>
      <c r="B3484">
        <v>4124393</v>
      </c>
      <c r="C3484">
        <v>4125181</v>
      </c>
      <c r="E3484" t="s">
        <v>14290</v>
      </c>
      <c r="F3484" t="s">
        <v>17288</v>
      </c>
      <c r="H3484">
        <v>93524906</v>
      </c>
      <c r="I3484" t="s">
        <v>14292</v>
      </c>
      <c r="L3484" t="s">
        <v>23119</v>
      </c>
      <c r="M3484">
        <v>262</v>
      </c>
      <c r="N3484" t="s">
        <v>23120</v>
      </c>
    </row>
    <row r="3485" spans="1:14">
      <c r="A3485" t="s">
        <v>9256</v>
      </c>
      <c r="B3485">
        <v>4125303</v>
      </c>
      <c r="C3485">
        <v>4127729</v>
      </c>
      <c r="E3485" t="s">
        <v>14290</v>
      </c>
      <c r="F3485" t="s">
        <v>23121</v>
      </c>
      <c r="H3485">
        <v>93524907</v>
      </c>
      <c r="I3485" t="s">
        <v>14292</v>
      </c>
      <c r="L3485" t="s">
        <v>23122</v>
      </c>
      <c r="M3485">
        <v>808</v>
      </c>
      <c r="N3485" t="s">
        <v>23123</v>
      </c>
    </row>
    <row r="3486" spans="1:14">
      <c r="A3486" t="s">
        <v>9256</v>
      </c>
      <c r="B3486">
        <v>4127741</v>
      </c>
      <c r="C3486">
        <v>4129471</v>
      </c>
      <c r="E3486" t="s">
        <v>14290</v>
      </c>
      <c r="F3486" t="s">
        <v>23124</v>
      </c>
      <c r="H3486">
        <v>93524908</v>
      </c>
      <c r="I3486" t="s">
        <v>14292</v>
      </c>
      <c r="L3486" t="s">
        <v>23125</v>
      </c>
      <c r="M3486">
        <v>576</v>
      </c>
      <c r="N3486" t="s">
        <v>23126</v>
      </c>
    </row>
    <row r="3487" spans="1:14">
      <c r="A3487" t="s">
        <v>9256</v>
      </c>
      <c r="B3487">
        <v>4129712</v>
      </c>
      <c r="C3487">
        <v>4129936</v>
      </c>
      <c r="E3487" t="s">
        <v>14314</v>
      </c>
      <c r="F3487" t="s">
        <v>14291</v>
      </c>
      <c r="H3487">
        <v>93524909</v>
      </c>
      <c r="I3487" t="s">
        <v>14292</v>
      </c>
      <c r="L3487" t="s">
        <v>18233</v>
      </c>
      <c r="M3487">
        <v>74</v>
      </c>
      <c r="N3487" t="s">
        <v>23127</v>
      </c>
    </row>
    <row r="3488" spans="1:14">
      <c r="A3488" t="s">
        <v>9256</v>
      </c>
      <c r="B3488">
        <v>4130461</v>
      </c>
      <c r="C3488">
        <v>4131985</v>
      </c>
      <c r="E3488" t="s">
        <v>14290</v>
      </c>
      <c r="F3488" t="s">
        <v>16999</v>
      </c>
      <c r="H3488">
        <v>93524910</v>
      </c>
      <c r="I3488" t="s">
        <v>16991</v>
      </c>
      <c r="N3488" t="s">
        <v>23128</v>
      </c>
    </row>
    <row r="3489" spans="1:14">
      <c r="A3489" t="s">
        <v>9256</v>
      </c>
      <c r="B3489">
        <v>4132138</v>
      </c>
      <c r="C3489">
        <v>4132211</v>
      </c>
      <c r="E3489" t="s">
        <v>14290</v>
      </c>
      <c r="F3489" t="s">
        <v>16997</v>
      </c>
      <c r="H3489">
        <v>93524911</v>
      </c>
      <c r="I3489" t="s">
        <v>13638</v>
      </c>
      <c r="N3489" t="s">
        <v>23129</v>
      </c>
    </row>
    <row r="3490" spans="1:14">
      <c r="A3490" t="s">
        <v>9256</v>
      </c>
      <c r="B3490">
        <v>4132222</v>
      </c>
      <c r="C3490">
        <v>4132295</v>
      </c>
      <c r="E3490" t="s">
        <v>14290</v>
      </c>
      <c r="F3490" t="s">
        <v>16995</v>
      </c>
      <c r="H3490">
        <v>93524912</v>
      </c>
      <c r="I3490" t="s">
        <v>13638</v>
      </c>
      <c r="N3490" t="s">
        <v>23130</v>
      </c>
    </row>
    <row r="3491" spans="1:14">
      <c r="A3491" t="s">
        <v>9256</v>
      </c>
      <c r="B3491">
        <v>4132401</v>
      </c>
      <c r="C3491">
        <v>4135277</v>
      </c>
      <c r="E3491" t="s">
        <v>14290</v>
      </c>
      <c r="F3491" t="s">
        <v>16993</v>
      </c>
      <c r="H3491">
        <v>93524913</v>
      </c>
      <c r="I3491" t="s">
        <v>16991</v>
      </c>
      <c r="N3491" t="s">
        <v>23131</v>
      </c>
    </row>
    <row r="3492" spans="1:14">
      <c r="A3492" t="s">
        <v>9256</v>
      </c>
      <c r="B3492">
        <v>4135361</v>
      </c>
      <c r="C3492">
        <v>4135471</v>
      </c>
      <c r="E3492" t="s">
        <v>14290</v>
      </c>
      <c r="F3492" t="s">
        <v>16989</v>
      </c>
      <c r="G3492" t="s">
        <v>16990</v>
      </c>
      <c r="H3492">
        <v>93524914</v>
      </c>
      <c r="I3492" t="s">
        <v>16991</v>
      </c>
      <c r="N3492" t="s">
        <v>23132</v>
      </c>
    </row>
    <row r="3493" spans="1:14">
      <c r="A3493" t="s">
        <v>9256</v>
      </c>
      <c r="B3493">
        <v>4135610</v>
      </c>
      <c r="C3493">
        <v>4136491</v>
      </c>
      <c r="E3493" t="s">
        <v>14290</v>
      </c>
      <c r="F3493" t="s">
        <v>15800</v>
      </c>
      <c r="H3493">
        <v>93524915</v>
      </c>
      <c r="I3493" t="s">
        <v>14292</v>
      </c>
      <c r="L3493" t="s">
        <v>23133</v>
      </c>
      <c r="M3493">
        <v>293</v>
      </c>
      <c r="N3493" t="s">
        <v>23134</v>
      </c>
    </row>
    <row r="3494" spans="1:14">
      <c r="A3494" t="s">
        <v>9256</v>
      </c>
      <c r="B3494">
        <v>4136698</v>
      </c>
      <c r="C3494">
        <v>4139010</v>
      </c>
      <c r="E3494" t="s">
        <v>14290</v>
      </c>
      <c r="F3494" t="s">
        <v>18736</v>
      </c>
      <c r="G3494" t="s">
        <v>18737</v>
      </c>
      <c r="H3494">
        <v>93524916</v>
      </c>
      <c r="I3494" t="s">
        <v>14292</v>
      </c>
      <c r="L3494" t="s">
        <v>23135</v>
      </c>
      <c r="M3494">
        <v>770</v>
      </c>
      <c r="N3494" t="s">
        <v>23136</v>
      </c>
    </row>
    <row r="3495" spans="1:14">
      <c r="A3495" t="s">
        <v>9256</v>
      </c>
      <c r="B3495">
        <v>4139325</v>
      </c>
      <c r="C3495">
        <v>4140494</v>
      </c>
      <c r="E3495" t="s">
        <v>14290</v>
      </c>
      <c r="F3495" t="s">
        <v>15333</v>
      </c>
      <c r="H3495">
        <v>93524917</v>
      </c>
      <c r="I3495" t="s">
        <v>14292</v>
      </c>
      <c r="L3495" t="s">
        <v>23137</v>
      </c>
      <c r="M3495">
        <v>389</v>
      </c>
      <c r="N3495" t="s">
        <v>23138</v>
      </c>
    </row>
    <row r="3496" spans="1:14">
      <c r="A3496" t="s">
        <v>9256</v>
      </c>
      <c r="B3496">
        <v>4140540</v>
      </c>
      <c r="C3496">
        <v>4141400</v>
      </c>
      <c r="E3496" t="s">
        <v>14290</v>
      </c>
      <c r="F3496" t="s">
        <v>14291</v>
      </c>
      <c r="H3496">
        <v>93524918</v>
      </c>
      <c r="I3496" t="s">
        <v>14292</v>
      </c>
      <c r="L3496" t="s">
        <v>23139</v>
      </c>
      <c r="M3496">
        <v>286</v>
      </c>
      <c r="N3496" t="s">
        <v>23140</v>
      </c>
    </row>
    <row r="3497" spans="1:14">
      <c r="A3497" t="s">
        <v>9256</v>
      </c>
      <c r="B3497">
        <v>4141578</v>
      </c>
      <c r="C3497">
        <v>4141874</v>
      </c>
      <c r="E3497" t="s">
        <v>14290</v>
      </c>
      <c r="F3497" t="s">
        <v>17648</v>
      </c>
      <c r="H3497">
        <v>93524919</v>
      </c>
      <c r="I3497" t="s">
        <v>14292</v>
      </c>
      <c r="L3497" t="s">
        <v>23141</v>
      </c>
      <c r="M3497">
        <v>98</v>
      </c>
      <c r="N3497" t="s">
        <v>23142</v>
      </c>
    </row>
    <row r="3498" spans="1:14">
      <c r="A3498" t="s">
        <v>9256</v>
      </c>
      <c r="B3498">
        <v>4141871</v>
      </c>
      <c r="C3498">
        <v>4142887</v>
      </c>
      <c r="E3498" t="s">
        <v>14290</v>
      </c>
      <c r="F3498" t="s">
        <v>23143</v>
      </c>
      <c r="H3498">
        <v>93524920</v>
      </c>
      <c r="I3498" t="s">
        <v>14292</v>
      </c>
      <c r="L3498" t="s">
        <v>23144</v>
      </c>
      <c r="M3498">
        <v>338</v>
      </c>
      <c r="N3498" t="s">
        <v>23145</v>
      </c>
    </row>
    <row r="3499" spans="1:14">
      <c r="A3499" t="s">
        <v>9256</v>
      </c>
      <c r="B3499">
        <v>4143148</v>
      </c>
      <c r="C3499">
        <v>4143444</v>
      </c>
      <c r="E3499" t="s">
        <v>14290</v>
      </c>
      <c r="F3499" t="s">
        <v>15392</v>
      </c>
      <c r="H3499">
        <v>93524921</v>
      </c>
      <c r="I3499" t="s">
        <v>14292</v>
      </c>
      <c r="L3499" t="s">
        <v>20020</v>
      </c>
      <c r="M3499">
        <v>98</v>
      </c>
      <c r="N3499" t="s">
        <v>23146</v>
      </c>
    </row>
    <row r="3500" spans="1:14">
      <c r="A3500" t="s">
        <v>9256</v>
      </c>
      <c r="B3500">
        <v>4143428</v>
      </c>
      <c r="C3500">
        <v>4143769</v>
      </c>
      <c r="E3500" t="s">
        <v>14290</v>
      </c>
      <c r="F3500" t="s">
        <v>15389</v>
      </c>
      <c r="H3500">
        <v>93524922</v>
      </c>
      <c r="I3500" t="s">
        <v>14292</v>
      </c>
      <c r="L3500" t="s">
        <v>23147</v>
      </c>
      <c r="M3500">
        <v>113</v>
      </c>
      <c r="N3500" t="s">
        <v>23148</v>
      </c>
    </row>
    <row r="3501" spans="1:14">
      <c r="A3501" t="s">
        <v>9256</v>
      </c>
      <c r="B3501">
        <v>4144382</v>
      </c>
      <c r="C3501">
        <v>4145647</v>
      </c>
      <c r="E3501" t="s">
        <v>14290</v>
      </c>
      <c r="F3501" t="s">
        <v>14291</v>
      </c>
      <c r="H3501">
        <v>93524923</v>
      </c>
      <c r="I3501" t="s">
        <v>14292</v>
      </c>
      <c r="L3501" t="s">
        <v>23149</v>
      </c>
      <c r="M3501">
        <v>421</v>
      </c>
      <c r="N3501" t="s">
        <v>23150</v>
      </c>
    </row>
    <row r="3502" spans="1:14">
      <c r="A3502" t="s">
        <v>9256</v>
      </c>
      <c r="B3502">
        <v>4145660</v>
      </c>
      <c r="C3502">
        <v>4146121</v>
      </c>
      <c r="E3502" t="s">
        <v>14290</v>
      </c>
      <c r="F3502" t="s">
        <v>14291</v>
      </c>
      <c r="H3502">
        <v>93524924</v>
      </c>
      <c r="I3502" t="s">
        <v>14292</v>
      </c>
      <c r="L3502" t="s">
        <v>23151</v>
      </c>
      <c r="M3502">
        <v>153</v>
      </c>
      <c r="N3502" t="s">
        <v>23152</v>
      </c>
    </row>
    <row r="3503" spans="1:14">
      <c r="A3503" t="s">
        <v>9256</v>
      </c>
      <c r="B3503">
        <v>4146587</v>
      </c>
      <c r="C3503">
        <v>4146889</v>
      </c>
      <c r="E3503" t="s">
        <v>14290</v>
      </c>
      <c r="F3503" t="s">
        <v>14291</v>
      </c>
      <c r="H3503">
        <v>93524925</v>
      </c>
      <c r="I3503" t="s">
        <v>14292</v>
      </c>
      <c r="L3503" t="s">
        <v>23153</v>
      </c>
      <c r="M3503">
        <v>100</v>
      </c>
      <c r="N3503" t="s">
        <v>23154</v>
      </c>
    </row>
    <row r="3504" spans="1:14">
      <c r="A3504" t="s">
        <v>9256</v>
      </c>
      <c r="B3504">
        <v>4147076</v>
      </c>
      <c r="C3504">
        <v>4148215</v>
      </c>
      <c r="E3504" t="s">
        <v>14290</v>
      </c>
      <c r="F3504" t="s">
        <v>14291</v>
      </c>
      <c r="H3504">
        <v>93524926</v>
      </c>
      <c r="I3504" t="s">
        <v>14292</v>
      </c>
      <c r="L3504" t="s">
        <v>23155</v>
      </c>
      <c r="M3504">
        <v>379</v>
      </c>
      <c r="N3504" t="s">
        <v>23156</v>
      </c>
    </row>
    <row r="3505" spans="1:14">
      <c r="A3505" t="s">
        <v>9256</v>
      </c>
      <c r="B3505">
        <v>4148197</v>
      </c>
      <c r="C3505">
        <v>4149222</v>
      </c>
      <c r="E3505" t="s">
        <v>14290</v>
      </c>
      <c r="F3505" t="s">
        <v>23157</v>
      </c>
      <c r="H3505">
        <v>93524927</v>
      </c>
      <c r="I3505" t="s">
        <v>14292</v>
      </c>
      <c r="L3505" t="s">
        <v>23158</v>
      </c>
      <c r="M3505">
        <v>341</v>
      </c>
      <c r="N3505" t="s">
        <v>23159</v>
      </c>
    </row>
    <row r="3506" spans="1:14">
      <c r="A3506" t="s">
        <v>9256</v>
      </c>
      <c r="B3506">
        <v>4149284</v>
      </c>
      <c r="C3506">
        <v>4149586</v>
      </c>
      <c r="E3506" t="s">
        <v>14290</v>
      </c>
      <c r="F3506" t="s">
        <v>14291</v>
      </c>
      <c r="H3506">
        <v>93524928</v>
      </c>
      <c r="I3506" t="s">
        <v>14292</v>
      </c>
      <c r="L3506" t="s">
        <v>23160</v>
      </c>
      <c r="M3506">
        <v>100</v>
      </c>
      <c r="N3506" t="s">
        <v>23161</v>
      </c>
    </row>
    <row r="3507" spans="1:14">
      <c r="A3507" t="s">
        <v>9256</v>
      </c>
      <c r="B3507">
        <v>4149604</v>
      </c>
      <c r="C3507">
        <v>4150203</v>
      </c>
      <c r="E3507" t="s">
        <v>14290</v>
      </c>
      <c r="F3507" t="s">
        <v>14291</v>
      </c>
      <c r="H3507">
        <v>93524929</v>
      </c>
      <c r="I3507" t="s">
        <v>14292</v>
      </c>
      <c r="L3507" t="s">
        <v>23162</v>
      </c>
      <c r="M3507">
        <v>199</v>
      </c>
      <c r="N3507" t="s">
        <v>23163</v>
      </c>
    </row>
    <row r="3508" spans="1:14">
      <c r="A3508" t="s">
        <v>9256</v>
      </c>
      <c r="B3508">
        <v>4150499</v>
      </c>
      <c r="C3508">
        <v>4150898</v>
      </c>
      <c r="E3508" t="s">
        <v>14290</v>
      </c>
      <c r="F3508" t="s">
        <v>23164</v>
      </c>
      <c r="G3508" t="s">
        <v>23165</v>
      </c>
      <c r="H3508">
        <v>93524930</v>
      </c>
      <c r="I3508" t="s">
        <v>23166</v>
      </c>
      <c r="N3508" t="s">
        <v>23167</v>
      </c>
    </row>
    <row r="3509" spans="1:14">
      <c r="A3509" t="s">
        <v>9256</v>
      </c>
      <c r="B3509">
        <v>4150939</v>
      </c>
      <c r="C3509">
        <v>4151760</v>
      </c>
      <c r="E3509" t="s">
        <v>14314</v>
      </c>
      <c r="F3509" t="s">
        <v>15974</v>
      </c>
      <c r="H3509">
        <v>93524931</v>
      </c>
      <c r="I3509" t="s">
        <v>14292</v>
      </c>
      <c r="L3509" t="s">
        <v>23168</v>
      </c>
      <c r="M3509">
        <v>273</v>
      </c>
      <c r="N3509" t="s">
        <v>23169</v>
      </c>
    </row>
    <row r="3510" spans="1:14">
      <c r="A3510" t="s">
        <v>9256</v>
      </c>
      <c r="B3510">
        <v>4152184</v>
      </c>
      <c r="C3510">
        <v>4152486</v>
      </c>
      <c r="E3510" t="s">
        <v>14290</v>
      </c>
      <c r="F3510" t="s">
        <v>17648</v>
      </c>
      <c r="H3510">
        <v>93524932</v>
      </c>
      <c r="I3510" t="s">
        <v>14292</v>
      </c>
      <c r="L3510" t="s">
        <v>23170</v>
      </c>
      <c r="M3510">
        <v>100</v>
      </c>
      <c r="N3510" t="s">
        <v>23171</v>
      </c>
    </row>
    <row r="3511" spans="1:14">
      <c r="A3511" t="s">
        <v>9256</v>
      </c>
      <c r="B3511">
        <v>4152736</v>
      </c>
      <c r="C3511">
        <v>4153731</v>
      </c>
      <c r="E3511" t="s">
        <v>14290</v>
      </c>
      <c r="F3511" t="s">
        <v>23172</v>
      </c>
      <c r="H3511">
        <v>93524933</v>
      </c>
      <c r="I3511" t="s">
        <v>14292</v>
      </c>
      <c r="L3511" t="s">
        <v>23173</v>
      </c>
      <c r="M3511">
        <v>331</v>
      </c>
      <c r="N3511" t="s">
        <v>23174</v>
      </c>
    </row>
    <row r="3512" spans="1:14">
      <c r="A3512" t="s">
        <v>9256</v>
      </c>
      <c r="B3512">
        <v>4153715</v>
      </c>
      <c r="C3512">
        <v>4154185</v>
      </c>
      <c r="E3512" t="s">
        <v>14290</v>
      </c>
      <c r="F3512" t="s">
        <v>23175</v>
      </c>
      <c r="H3512">
        <v>93524934</v>
      </c>
      <c r="I3512" t="s">
        <v>14292</v>
      </c>
      <c r="L3512" t="s">
        <v>23176</v>
      </c>
      <c r="M3512">
        <v>156</v>
      </c>
      <c r="N3512" t="s">
        <v>23177</v>
      </c>
    </row>
    <row r="3513" spans="1:14">
      <c r="A3513" t="s">
        <v>9256</v>
      </c>
      <c r="B3513">
        <v>4154198</v>
      </c>
      <c r="C3513">
        <v>4155496</v>
      </c>
      <c r="E3513" t="s">
        <v>14290</v>
      </c>
      <c r="F3513" t="s">
        <v>23178</v>
      </c>
      <c r="H3513">
        <v>93524935</v>
      </c>
      <c r="I3513" t="s">
        <v>14292</v>
      </c>
      <c r="L3513" t="s">
        <v>23179</v>
      </c>
      <c r="M3513">
        <v>432</v>
      </c>
      <c r="N3513" t="s">
        <v>23180</v>
      </c>
    </row>
    <row r="3514" spans="1:14">
      <c r="A3514" t="s">
        <v>9256</v>
      </c>
      <c r="B3514">
        <v>4155675</v>
      </c>
      <c r="C3514">
        <v>4156853</v>
      </c>
      <c r="E3514" t="s">
        <v>14314</v>
      </c>
      <c r="F3514" t="s">
        <v>23181</v>
      </c>
      <c r="G3514" t="s">
        <v>23182</v>
      </c>
      <c r="H3514">
        <v>93524936</v>
      </c>
      <c r="I3514" t="s">
        <v>14292</v>
      </c>
      <c r="L3514" t="s">
        <v>23183</v>
      </c>
      <c r="M3514">
        <v>392</v>
      </c>
      <c r="N3514" t="s">
        <v>23184</v>
      </c>
    </row>
    <row r="3515" spans="1:14">
      <c r="A3515" t="s">
        <v>9256</v>
      </c>
      <c r="B3515">
        <v>4156936</v>
      </c>
      <c r="C3515">
        <v>4157748</v>
      </c>
      <c r="E3515" t="s">
        <v>14314</v>
      </c>
      <c r="F3515" t="s">
        <v>17910</v>
      </c>
      <c r="H3515">
        <v>93524937</v>
      </c>
      <c r="I3515" t="s">
        <v>14292</v>
      </c>
      <c r="L3515" t="s">
        <v>23185</v>
      </c>
      <c r="M3515">
        <v>270</v>
      </c>
      <c r="N3515" t="s">
        <v>23186</v>
      </c>
    </row>
    <row r="3516" spans="1:14">
      <c r="A3516" t="s">
        <v>9256</v>
      </c>
      <c r="B3516">
        <v>4157748</v>
      </c>
      <c r="C3516">
        <v>4158809</v>
      </c>
      <c r="E3516" t="s">
        <v>14314</v>
      </c>
      <c r="F3516" t="s">
        <v>23187</v>
      </c>
      <c r="H3516">
        <v>93524938</v>
      </c>
      <c r="I3516" t="s">
        <v>14292</v>
      </c>
      <c r="L3516" t="s">
        <v>23188</v>
      </c>
      <c r="M3516">
        <v>353</v>
      </c>
      <c r="N3516" t="s">
        <v>23189</v>
      </c>
    </row>
    <row r="3517" spans="1:14">
      <c r="A3517" t="s">
        <v>9256</v>
      </c>
      <c r="B3517">
        <v>4158844</v>
      </c>
      <c r="C3517">
        <v>4159470</v>
      </c>
      <c r="E3517" t="s">
        <v>14314</v>
      </c>
      <c r="F3517" t="s">
        <v>14291</v>
      </c>
      <c r="H3517">
        <v>93524939</v>
      </c>
      <c r="I3517" t="s">
        <v>14292</v>
      </c>
      <c r="L3517" t="s">
        <v>23190</v>
      </c>
      <c r="M3517">
        <v>208</v>
      </c>
      <c r="N3517" t="s">
        <v>23191</v>
      </c>
    </row>
    <row r="3518" spans="1:14">
      <c r="A3518" t="s">
        <v>9256</v>
      </c>
      <c r="B3518">
        <v>4159772</v>
      </c>
      <c r="C3518">
        <v>4160983</v>
      </c>
      <c r="E3518" t="s">
        <v>14290</v>
      </c>
      <c r="F3518" t="s">
        <v>14503</v>
      </c>
      <c r="H3518">
        <v>93524940</v>
      </c>
      <c r="I3518" t="s">
        <v>14292</v>
      </c>
      <c r="L3518" t="s">
        <v>23192</v>
      </c>
      <c r="M3518">
        <v>403</v>
      </c>
      <c r="N3518" t="s">
        <v>23193</v>
      </c>
    </row>
    <row r="3519" spans="1:14">
      <c r="A3519" t="s">
        <v>9256</v>
      </c>
      <c r="B3519">
        <v>4161037</v>
      </c>
      <c r="C3519">
        <v>4164258</v>
      </c>
      <c r="E3519" t="s">
        <v>14290</v>
      </c>
      <c r="F3519" t="s">
        <v>14548</v>
      </c>
      <c r="H3519">
        <v>93524941</v>
      </c>
      <c r="I3519" t="s">
        <v>14292</v>
      </c>
      <c r="L3519" t="s">
        <v>23194</v>
      </c>
      <c r="M3519">
        <v>1073</v>
      </c>
      <c r="N3519" t="s">
        <v>23195</v>
      </c>
    </row>
    <row r="3520" spans="1:14">
      <c r="A3520" t="s">
        <v>9256</v>
      </c>
      <c r="B3520">
        <v>4164262</v>
      </c>
      <c r="C3520">
        <v>4165653</v>
      </c>
      <c r="E3520" t="s">
        <v>14290</v>
      </c>
      <c r="F3520" t="s">
        <v>14545</v>
      </c>
      <c r="H3520">
        <v>93524942</v>
      </c>
      <c r="I3520" t="s">
        <v>14292</v>
      </c>
      <c r="L3520" t="s">
        <v>23196</v>
      </c>
      <c r="M3520">
        <v>463</v>
      </c>
      <c r="N3520" t="s">
        <v>23197</v>
      </c>
    </row>
    <row r="3521" spans="1:14">
      <c r="A3521" t="s">
        <v>9256</v>
      </c>
      <c r="B3521">
        <v>4165677</v>
      </c>
      <c r="C3521">
        <v>4166444</v>
      </c>
      <c r="E3521" t="s">
        <v>14290</v>
      </c>
      <c r="F3521" t="s">
        <v>16008</v>
      </c>
      <c r="G3521" t="s">
        <v>16009</v>
      </c>
      <c r="H3521">
        <v>93524943</v>
      </c>
      <c r="I3521" t="s">
        <v>14292</v>
      </c>
      <c r="L3521" t="s">
        <v>23198</v>
      </c>
      <c r="M3521">
        <v>255</v>
      </c>
      <c r="N3521" t="s">
        <v>23199</v>
      </c>
    </row>
    <row r="3522" spans="1:14">
      <c r="A3522" t="s">
        <v>9256</v>
      </c>
      <c r="B3522">
        <v>4166627</v>
      </c>
      <c r="C3522">
        <v>4167088</v>
      </c>
      <c r="E3522" t="s">
        <v>14290</v>
      </c>
      <c r="F3522" t="s">
        <v>14291</v>
      </c>
      <c r="H3522">
        <v>93524944</v>
      </c>
      <c r="I3522" t="s">
        <v>14292</v>
      </c>
      <c r="L3522" t="s">
        <v>23200</v>
      </c>
      <c r="M3522">
        <v>153</v>
      </c>
      <c r="N3522" t="s">
        <v>23201</v>
      </c>
    </row>
    <row r="3523" spans="1:14">
      <c r="A3523" t="s">
        <v>9256</v>
      </c>
      <c r="B3523">
        <v>4167359</v>
      </c>
      <c r="C3523">
        <v>4168300</v>
      </c>
      <c r="E3523" t="s">
        <v>14314</v>
      </c>
      <c r="F3523" t="s">
        <v>14653</v>
      </c>
      <c r="G3523" t="s">
        <v>23202</v>
      </c>
      <c r="H3523">
        <v>93524945</v>
      </c>
      <c r="I3523" t="s">
        <v>14292</v>
      </c>
      <c r="L3523" t="s">
        <v>23203</v>
      </c>
      <c r="M3523">
        <v>313</v>
      </c>
      <c r="N3523" t="s">
        <v>23204</v>
      </c>
    </row>
    <row r="3524" spans="1:14">
      <c r="A3524" t="s">
        <v>9256</v>
      </c>
      <c r="B3524">
        <v>4168573</v>
      </c>
      <c r="C3524">
        <v>4171350</v>
      </c>
      <c r="E3524" t="s">
        <v>14290</v>
      </c>
      <c r="F3524" t="s">
        <v>14965</v>
      </c>
      <c r="H3524">
        <v>93524946</v>
      </c>
      <c r="I3524" t="s">
        <v>14292</v>
      </c>
      <c r="L3524" t="s">
        <v>23205</v>
      </c>
      <c r="M3524">
        <v>925</v>
      </c>
      <c r="N3524" t="s">
        <v>23206</v>
      </c>
    </row>
    <row r="3525" spans="1:14">
      <c r="A3525" t="s">
        <v>9256</v>
      </c>
      <c r="B3525">
        <v>4171363</v>
      </c>
      <c r="C3525">
        <v>4172988</v>
      </c>
      <c r="E3525" t="s">
        <v>14290</v>
      </c>
      <c r="F3525" t="s">
        <v>15179</v>
      </c>
      <c r="H3525">
        <v>93524947</v>
      </c>
      <c r="I3525" t="s">
        <v>14292</v>
      </c>
      <c r="L3525" t="s">
        <v>23207</v>
      </c>
      <c r="M3525">
        <v>541</v>
      </c>
      <c r="N3525" t="s">
        <v>23208</v>
      </c>
    </row>
    <row r="3526" spans="1:14">
      <c r="A3526" t="s">
        <v>9256</v>
      </c>
      <c r="B3526">
        <v>4173078</v>
      </c>
      <c r="C3526">
        <v>4173371</v>
      </c>
      <c r="E3526" t="s">
        <v>14290</v>
      </c>
      <c r="F3526" t="s">
        <v>15392</v>
      </c>
      <c r="H3526">
        <v>93524948</v>
      </c>
      <c r="I3526" t="s">
        <v>14292</v>
      </c>
      <c r="L3526" t="s">
        <v>23209</v>
      </c>
      <c r="M3526">
        <v>97</v>
      </c>
      <c r="N3526" t="s">
        <v>23210</v>
      </c>
    </row>
    <row r="3527" spans="1:14">
      <c r="A3527" t="s">
        <v>9256</v>
      </c>
      <c r="B3527">
        <v>4173364</v>
      </c>
      <c r="C3527">
        <v>4173744</v>
      </c>
      <c r="E3527" t="s">
        <v>14290</v>
      </c>
      <c r="F3527" t="s">
        <v>15389</v>
      </c>
      <c r="H3527">
        <v>93524949</v>
      </c>
      <c r="I3527" t="s">
        <v>14292</v>
      </c>
      <c r="L3527" t="s">
        <v>23211</v>
      </c>
      <c r="M3527">
        <v>126</v>
      </c>
      <c r="N3527" t="s">
        <v>23212</v>
      </c>
    </row>
    <row r="3528" spans="1:14">
      <c r="A3528" t="s">
        <v>9256</v>
      </c>
      <c r="B3528">
        <v>4173786</v>
      </c>
      <c r="C3528">
        <v>4174970</v>
      </c>
      <c r="E3528" t="s">
        <v>14314</v>
      </c>
      <c r="F3528" t="s">
        <v>23213</v>
      </c>
      <c r="H3528">
        <v>93524950</v>
      </c>
      <c r="I3528" t="s">
        <v>14292</v>
      </c>
      <c r="L3528" t="s">
        <v>23214</v>
      </c>
      <c r="M3528">
        <v>394</v>
      </c>
      <c r="N3528" t="s">
        <v>23215</v>
      </c>
    </row>
    <row r="3529" spans="1:14">
      <c r="A3529" t="s">
        <v>9256</v>
      </c>
      <c r="B3529">
        <v>4174971</v>
      </c>
      <c r="C3529">
        <v>4175552</v>
      </c>
      <c r="E3529" t="s">
        <v>14314</v>
      </c>
      <c r="F3529" t="s">
        <v>14484</v>
      </c>
      <c r="H3529">
        <v>93524951</v>
      </c>
      <c r="I3529" t="s">
        <v>14292</v>
      </c>
      <c r="L3529" t="s">
        <v>23216</v>
      </c>
      <c r="M3529">
        <v>193</v>
      </c>
      <c r="N3529" t="s">
        <v>23217</v>
      </c>
    </row>
    <row r="3530" spans="1:14">
      <c r="A3530" t="s">
        <v>9256</v>
      </c>
      <c r="B3530">
        <v>4175549</v>
      </c>
      <c r="C3530">
        <v>4176097</v>
      </c>
      <c r="E3530" t="s">
        <v>14314</v>
      </c>
      <c r="F3530" t="s">
        <v>23218</v>
      </c>
      <c r="H3530">
        <v>93524952</v>
      </c>
      <c r="I3530" t="s">
        <v>14292</v>
      </c>
      <c r="L3530" t="s">
        <v>23219</v>
      </c>
      <c r="M3530">
        <v>182</v>
      </c>
      <c r="N3530" t="s">
        <v>23220</v>
      </c>
    </row>
    <row r="3531" spans="1:14">
      <c r="A3531" t="s">
        <v>9256</v>
      </c>
      <c r="B3531">
        <v>4176309</v>
      </c>
      <c r="C3531">
        <v>4177694</v>
      </c>
      <c r="E3531" t="s">
        <v>14290</v>
      </c>
      <c r="F3531" t="s">
        <v>15812</v>
      </c>
      <c r="H3531">
        <v>93524953</v>
      </c>
      <c r="I3531" t="s">
        <v>14292</v>
      </c>
      <c r="L3531" t="s">
        <v>23221</v>
      </c>
      <c r="M3531">
        <v>461</v>
      </c>
      <c r="N3531" t="s">
        <v>23222</v>
      </c>
    </row>
    <row r="3532" spans="1:14">
      <c r="A3532" t="s">
        <v>9256</v>
      </c>
      <c r="B3532">
        <v>4177716</v>
      </c>
      <c r="C3532">
        <v>4179236</v>
      </c>
      <c r="E3532" t="s">
        <v>14290</v>
      </c>
      <c r="F3532" t="s">
        <v>17288</v>
      </c>
      <c r="H3532">
        <v>93524954</v>
      </c>
      <c r="I3532" t="s">
        <v>14292</v>
      </c>
      <c r="L3532" t="s">
        <v>23223</v>
      </c>
      <c r="M3532">
        <v>506</v>
      </c>
      <c r="N3532" t="s">
        <v>23224</v>
      </c>
    </row>
    <row r="3533" spans="1:14">
      <c r="A3533" t="s">
        <v>9256</v>
      </c>
      <c r="B3533">
        <v>4179393</v>
      </c>
      <c r="C3533">
        <v>4181921</v>
      </c>
      <c r="E3533" t="s">
        <v>14290</v>
      </c>
      <c r="F3533" t="s">
        <v>23225</v>
      </c>
      <c r="H3533">
        <v>93524955</v>
      </c>
      <c r="I3533" t="s">
        <v>14292</v>
      </c>
      <c r="L3533" t="s">
        <v>23226</v>
      </c>
      <c r="M3533">
        <v>842</v>
      </c>
      <c r="N3533" t="s">
        <v>23227</v>
      </c>
    </row>
    <row r="3534" spans="1:14">
      <c r="A3534" t="s">
        <v>9256</v>
      </c>
      <c r="B3534">
        <v>4181924</v>
      </c>
      <c r="C3534">
        <v>4182598</v>
      </c>
      <c r="E3534" t="s">
        <v>14290</v>
      </c>
      <c r="F3534" t="s">
        <v>23228</v>
      </c>
      <c r="H3534">
        <v>93524956</v>
      </c>
      <c r="I3534" t="s">
        <v>14292</v>
      </c>
      <c r="L3534" t="s">
        <v>23229</v>
      </c>
      <c r="M3534">
        <v>224</v>
      </c>
      <c r="N3534" t="s">
        <v>23230</v>
      </c>
    </row>
    <row r="3535" spans="1:14">
      <c r="A3535" t="s">
        <v>9256</v>
      </c>
      <c r="B3535">
        <v>4182636</v>
      </c>
      <c r="C3535">
        <v>4183589</v>
      </c>
      <c r="E3535" t="s">
        <v>14290</v>
      </c>
      <c r="F3535" t="s">
        <v>23231</v>
      </c>
      <c r="G3535" t="s">
        <v>23232</v>
      </c>
      <c r="H3535">
        <v>93524957</v>
      </c>
      <c r="I3535" t="s">
        <v>14292</v>
      </c>
      <c r="L3535" t="s">
        <v>23233</v>
      </c>
      <c r="M3535">
        <v>317</v>
      </c>
      <c r="N3535" t="s">
        <v>23234</v>
      </c>
    </row>
    <row r="3536" spans="1:14">
      <c r="A3536" t="s">
        <v>9256</v>
      </c>
      <c r="B3536">
        <v>4183662</v>
      </c>
      <c r="C3536">
        <v>4184438</v>
      </c>
      <c r="E3536" t="s">
        <v>14290</v>
      </c>
      <c r="F3536" t="s">
        <v>21092</v>
      </c>
      <c r="H3536">
        <v>93524958</v>
      </c>
      <c r="I3536" t="s">
        <v>14292</v>
      </c>
      <c r="L3536" t="s">
        <v>23235</v>
      </c>
      <c r="M3536">
        <v>258</v>
      </c>
      <c r="N3536" t="s">
        <v>23236</v>
      </c>
    </row>
    <row r="3537" spans="1:14">
      <c r="A3537" t="s">
        <v>9256</v>
      </c>
      <c r="B3537">
        <v>4184451</v>
      </c>
      <c r="C3537">
        <v>4185938</v>
      </c>
      <c r="E3537" t="s">
        <v>14290</v>
      </c>
      <c r="F3537" t="s">
        <v>19158</v>
      </c>
      <c r="H3537">
        <v>93524959</v>
      </c>
      <c r="I3537" t="s">
        <v>14292</v>
      </c>
      <c r="L3537" t="s">
        <v>23237</v>
      </c>
      <c r="M3537">
        <v>495</v>
      </c>
      <c r="N3537" t="s">
        <v>23238</v>
      </c>
    </row>
    <row r="3538" spans="1:14">
      <c r="A3538" t="s">
        <v>9256</v>
      </c>
      <c r="B3538">
        <v>4185984</v>
      </c>
      <c r="C3538">
        <v>4186412</v>
      </c>
      <c r="E3538" t="s">
        <v>14290</v>
      </c>
      <c r="F3538" t="s">
        <v>14291</v>
      </c>
      <c r="H3538">
        <v>93524960</v>
      </c>
      <c r="I3538" t="s">
        <v>14292</v>
      </c>
      <c r="L3538" t="s">
        <v>23239</v>
      </c>
      <c r="M3538">
        <v>142</v>
      </c>
      <c r="N3538" t="s">
        <v>23240</v>
      </c>
    </row>
    <row r="3539" spans="1:14">
      <c r="A3539" t="s">
        <v>9256</v>
      </c>
      <c r="B3539">
        <v>4186526</v>
      </c>
      <c r="C3539">
        <v>4188763</v>
      </c>
      <c r="E3539" t="s">
        <v>14290</v>
      </c>
      <c r="F3539" t="s">
        <v>14955</v>
      </c>
      <c r="H3539">
        <v>93524961</v>
      </c>
      <c r="I3539" t="s">
        <v>14292</v>
      </c>
      <c r="L3539" t="s">
        <v>23241</v>
      </c>
      <c r="M3539">
        <v>745</v>
      </c>
      <c r="N3539" t="s">
        <v>23242</v>
      </c>
    </row>
    <row r="3540" spans="1:14">
      <c r="A3540" t="s">
        <v>9256</v>
      </c>
      <c r="B3540">
        <v>4188924</v>
      </c>
      <c r="C3540">
        <v>4189274</v>
      </c>
      <c r="E3540" t="s">
        <v>14290</v>
      </c>
      <c r="F3540" t="s">
        <v>23243</v>
      </c>
      <c r="H3540">
        <v>93524962</v>
      </c>
      <c r="I3540" t="s">
        <v>14292</v>
      </c>
      <c r="L3540" t="s">
        <v>23244</v>
      </c>
      <c r="M3540">
        <v>116</v>
      </c>
      <c r="N3540" t="s">
        <v>23245</v>
      </c>
    </row>
    <row r="3541" spans="1:14">
      <c r="A3541" t="s">
        <v>9256</v>
      </c>
      <c r="B3541">
        <v>4189443</v>
      </c>
      <c r="C3541">
        <v>4189970</v>
      </c>
      <c r="E3541" t="s">
        <v>14290</v>
      </c>
      <c r="F3541" t="s">
        <v>15442</v>
      </c>
      <c r="H3541">
        <v>93524963</v>
      </c>
      <c r="I3541" t="s">
        <v>14292</v>
      </c>
      <c r="L3541" t="s">
        <v>23246</v>
      </c>
      <c r="M3541">
        <v>175</v>
      </c>
      <c r="N3541" t="s">
        <v>23247</v>
      </c>
    </row>
    <row r="3542" spans="1:14">
      <c r="A3542" t="s">
        <v>9256</v>
      </c>
      <c r="B3542">
        <v>4189977</v>
      </c>
      <c r="C3542">
        <v>4191245</v>
      </c>
      <c r="E3542" t="s">
        <v>14290</v>
      </c>
      <c r="F3542" t="s">
        <v>14464</v>
      </c>
      <c r="H3542">
        <v>93524964</v>
      </c>
      <c r="I3542" t="s">
        <v>14292</v>
      </c>
      <c r="L3542" t="s">
        <v>23248</v>
      </c>
      <c r="M3542">
        <v>422</v>
      </c>
      <c r="N3542" t="s">
        <v>23249</v>
      </c>
    </row>
    <row r="3543" spans="1:14">
      <c r="A3543" t="s">
        <v>9256</v>
      </c>
      <c r="B3543">
        <v>4191301</v>
      </c>
      <c r="C3543">
        <v>4192074</v>
      </c>
      <c r="E3543" t="s">
        <v>14290</v>
      </c>
      <c r="F3543" t="s">
        <v>14291</v>
      </c>
      <c r="H3543">
        <v>93524965</v>
      </c>
      <c r="I3543" t="s">
        <v>14292</v>
      </c>
      <c r="L3543" t="s">
        <v>23250</v>
      </c>
      <c r="M3543">
        <v>257</v>
      </c>
      <c r="N3543" t="s">
        <v>23251</v>
      </c>
    </row>
    <row r="3544" spans="1:14">
      <c r="A3544" t="s">
        <v>9256</v>
      </c>
      <c r="B3544">
        <v>4192203</v>
      </c>
      <c r="C3544">
        <v>4192964</v>
      </c>
      <c r="E3544" t="s">
        <v>14290</v>
      </c>
      <c r="F3544" t="s">
        <v>14291</v>
      </c>
      <c r="H3544">
        <v>93524966</v>
      </c>
      <c r="I3544" t="s">
        <v>14292</v>
      </c>
      <c r="L3544" t="s">
        <v>23252</v>
      </c>
      <c r="M3544">
        <v>253</v>
      </c>
      <c r="N3544" t="s">
        <v>23253</v>
      </c>
    </row>
    <row r="3545" spans="1:14">
      <c r="A3545" t="s">
        <v>9256</v>
      </c>
      <c r="B3545">
        <v>4192970</v>
      </c>
      <c r="C3545">
        <v>4193719</v>
      </c>
      <c r="E3545" t="s">
        <v>14290</v>
      </c>
      <c r="F3545" t="s">
        <v>14291</v>
      </c>
      <c r="H3545">
        <v>93524967</v>
      </c>
      <c r="I3545" t="s">
        <v>14292</v>
      </c>
      <c r="L3545" t="s">
        <v>23254</v>
      </c>
      <c r="M3545">
        <v>249</v>
      </c>
      <c r="N3545" t="s">
        <v>23255</v>
      </c>
    </row>
    <row r="3546" spans="1:14">
      <c r="A3546" t="s">
        <v>9256</v>
      </c>
      <c r="B3546">
        <v>4193753</v>
      </c>
      <c r="C3546">
        <v>4194319</v>
      </c>
      <c r="E3546" t="s">
        <v>14290</v>
      </c>
      <c r="F3546" t="s">
        <v>23256</v>
      </c>
      <c r="H3546">
        <v>93524968</v>
      </c>
      <c r="I3546" t="s">
        <v>14292</v>
      </c>
      <c r="L3546" t="s">
        <v>23257</v>
      </c>
      <c r="M3546">
        <v>188</v>
      </c>
      <c r="N3546" t="s">
        <v>23258</v>
      </c>
    </row>
    <row r="3547" spans="1:14">
      <c r="A3547" t="s">
        <v>9256</v>
      </c>
      <c r="B3547">
        <v>4194334</v>
      </c>
      <c r="C3547">
        <v>4194795</v>
      </c>
      <c r="E3547" t="s">
        <v>14290</v>
      </c>
      <c r="F3547" t="s">
        <v>23259</v>
      </c>
      <c r="G3547" t="s">
        <v>23260</v>
      </c>
      <c r="H3547">
        <v>93524969</v>
      </c>
      <c r="I3547" t="s">
        <v>14292</v>
      </c>
      <c r="L3547" t="s">
        <v>23261</v>
      </c>
      <c r="M3547">
        <v>153</v>
      </c>
      <c r="N3547" t="s">
        <v>23262</v>
      </c>
    </row>
    <row r="3548" spans="1:14">
      <c r="A3548" t="s">
        <v>9256</v>
      </c>
      <c r="B3548">
        <v>4194802</v>
      </c>
      <c r="C3548">
        <v>4195761</v>
      </c>
      <c r="E3548" t="s">
        <v>14290</v>
      </c>
      <c r="F3548" t="s">
        <v>18438</v>
      </c>
      <c r="H3548">
        <v>93524970</v>
      </c>
      <c r="I3548" t="s">
        <v>14292</v>
      </c>
      <c r="L3548" t="s">
        <v>23263</v>
      </c>
      <c r="M3548">
        <v>319</v>
      </c>
      <c r="N3548" t="s">
        <v>23264</v>
      </c>
    </row>
    <row r="3549" spans="1:14">
      <c r="A3549" t="s">
        <v>9256</v>
      </c>
      <c r="B3549">
        <v>4195754</v>
      </c>
      <c r="C3549">
        <v>4199446</v>
      </c>
      <c r="E3549" t="s">
        <v>14290</v>
      </c>
      <c r="F3549" t="s">
        <v>23265</v>
      </c>
      <c r="G3549" t="s">
        <v>23266</v>
      </c>
      <c r="H3549">
        <v>93524971</v>
      </c>
      <c r="I3549" t="s">
        <v>14292</v>
      </c>
      <c r="L3549" t="s">
        <v>23267</v>
      </c>
      <c r="M3549">
        <v>1230</v>
      </c>
      <c r="N3549" t="s">
        <v>23268</v>
      </c>
    </row>
    <row r="3550" spans="1:14">
      <c r="A3550" t="s">
        <v>9256</v>
      </c>
      <c r="B3550">
        <v>4199565</v>
      </c>
      <c r="C3550">
        <v>4201121</v>
      </c>
      <c r="E3550" t="s">
        <v>14314</v>
      </c>
      <c r="F3550" t="s">
        <v>23269</v>
      </c>
      <c r="H3550">
        <v>93524972</v>
      </c>
      <c r="I3550" t="s">
        <v>14292</v>
      </c>
      <c r="L3550" t="s">
        <v>23270</v>
      </c>
      <c r="M3550">
        <v>518</v>
      </c>
      <c r="N3550" t="s">
        <v>23271</v>
      </c>
    </row>
    <row r="3551" spans="1:14">
      <c r="A3551" t="s">
        <v>9256</v>
      </c>
      <c r="B3551">
        <v>4201156</v>
      </c>
      <c r="C3551">
        <v>4202667</v>
      </c>
      <c r="E3551" t="s">
        <v>14314</v>
      </c>
      <c r="F3551" t="s">
        <v>15179</v>
      </c>
      <c r="H3551">
        <v>93524973</v>
      </c>
      <c r="I3551" t="s">
        <v>14292</v>
      </c>
      <c r="L3551" t="s">
        <v>23272</v>
      </c>
      <c r="M3551">
        <v>503</v>
      </c>
      <c r="N3551" t="s">
        <v>23273</v>
      </c>
    </row>
    <row r="3552" spans="1:14">
      <c r="A3552" t="s">
        <v>9256</v>
      </c>
      <c r="B3552">
        <v>4202681</v>
      </c>
      <c r="C3552">
        <v>4205875</v>
      </c>
      <c r="E3552" t="s">
        <v>14314</v>
      </c>
      <c r="F3552" t="s">
        <v>14965</v>
      </c>
      <c r="H3552">
        <v>93524974</v>
      </c>
      <c r="I3552" t="s">
        <v>14292</v>
      </c>
      <c r="L3552" t="s">
        <v>23274</v>
      </c>
      <c r="M3552">
        <v>1064</v>
      </c>
      <c r="N3552" t="s">
        <v>23275</v>
      </c>
    </row>
    <row r="3553" spans="1:14">
      <c r="A3553" t="s">
        <v>9256</v>
      </c>
      <c r="B3553">
        <v>4206782</v>
      </c>
      <c r="C3553">
        <v>4207714</v>
      </c>
      <c r="E3553" t="s">
        <v>14290</v>
      </c>
      <c r="F3553" t="s">
        <v>15126</v>
      </c>
      <c r="H3553">
        <v>93524975</v>
      </c>
      <c r="I3553" t="s">
        <v>14292</v>
      </c>
      <c r="L3553" t="s">
        <v>23276</v>
      </c>
      <c r="M3553">
        <v>310</v>
      </c>
      <c r="N3553" t="s">
        <v>23277</v>
      </c>
    </row>
    <row r="3554" spans="1:14">
      <c r="A3554" t="s">
        <v>9256</v>
      </c>
      <c r="B3554">
        <v>4208134</v>
      </c>
      <c r="C3554">
        <v>4208796</v>
      </c>
      <c r="E3554" t="s">
        <v>14290</v>
      </c>
      <c r="F3554" t="s">
        <v>23278</v>
      </c>
      <c r="H3554">
        <v>93524976</v>
      </c>
      <c r="I3554" t="s">
        <v>14292</v>
      </c>
      <c r="L3554" t="s">
        <v>23279</v>
      </c>
      <c r="M3554">
        <v>220</v>
      </c>
      <c r="N3554" t="s">
        <v>23280</v>
      </c>
    </row>
    <row r="3555" spans="1:14">
      <c r="A3555" t="s">
        <v>9256</v>
      </c>
      <c r="B3555">
        <v>4208806</v>
      </c>
      <c r="C3555">
        <v>4209243</v>
      </c>
      <c r="E3555" t="s">
        <v>14290</v>
      </c>
      <c r="F3555" t="s">
        <v>14291</v>
      </c>
      <c r="H3555">
        <v>93524977</v>
      </c>
      <c r="I3555" t="s">
        <v>14292</v>
      </c>
      <c r="L3555" t="s">
        <v>23281</v>
      </c>
      <c r="M3555">
        <v>145</v>
      </c>
      <c r="N3555" t="s">
        <v>23282</v>
      </c>
    </row>
    <row r="3556" spans="1:14">
      <c r="A3556" t="s">
        <v>9256</v>
      </c>
      <c r="B3556">
        <v>4209482</v>
      </c>
      <c r="C3556">
        <v>4211431</v>
      </c>
      <c r="E3556" t="s">
        <v>14290</v>
      </c>
      <c r="F3556" t="s">
        <v>20173</v>
      </c>
      <c r="H3556">
        <v>93524978</v>
      </c>
      <c r="I3556" t="s">
        <v>14292</v>
      </c>
      <c r="L3556" t="s">
        <v>23283</v>
      </c>
      <c r="M3556">
        <v>649</v>
      </c>
      <c r="N3556" t="s">
        <v>23284</v>
      </c>
    </row>
    <row r="3557" spans="1:14">
      <c r="A3557" t="s">
        <v>9256</v>
      </c>
      <c r="B3557">
        <v>4211467</v>
      </c>
      <c r="C3557">
        <v>4211895</v>
      </c>
      <c r="E3557" t="s">
        <v>14290</v>
      </c>
      <c r="F3557" t="s">
        <v>14323</v>
      </c>
      <c r="H3557">
        <v>93524979</v>
      </c>
      <c r="I3557" t="s">
        <v>14292</v>
      </c>
      <c r="L3557" t="s">
        <v>23285</v>
      </c>
      <c r="M3557">
        <v>142</v>
      </c>
      <c r="N3557" t="s">
        <v>23286</v>
      </c>
    </row>
    <row r="3558" spans="1:14">
      <c r="A3558" t="s">
        <v>9256</v>
      </c>
      <c r="B3558">
        <v>4211945</v>
      </c>
      <c r="C3558">
        <v>4212742</v>
      </c>
      <c r="E3558" t="s">
        <v>14290</v>
      </c>
      <c r="F3558" t="s">
        <v>14381</v>
      </c>
      <c r="H3558">
        <v>93524980</v>
      </c>
      <c r="I3558" t="s">
        <v>14292</v>
      </c>
      <c r="L3558" t="s">
        <v>23287</v>
      </c>
      <c r="M3558">
        <v>265</v>
      </c>
      <c r="N3558" t="s">
        <v>23288</v>
      </c>
    </row>
    <row r="3559" spans="1:14">
      <c r="A3559" t="s">
        <v>9256</v>
      </c>
      <c r="B3559">
        <v>4212773</v>
      </c>
      <c r="C3559">
        <v>4215220</v>
      </c>
      <c r="E3559" t="s">
        <v>14290</v>
      </c>
      <c r="F3559" t="s">
        <v>14384</v>
      </c>
      <c r="H3559">
        <v>93524981</v>
      </c>
      <c r="I3559" t="s">
        <v>14292</v>
      </c>
      <c r="L3559" t="s">
        <v>23289</v>
      </c>
      <c r="M3559">
        <v>815</v>
      </c>
      <c r="N3559" t="s">
        <v>23290</v>
      </c>
    </row>
    <row r="3560" spans="1:14">
      <c r="A3560" t="s">
        <v>9256</v>
      </c>
      <c r="B3560">
        <v>4215272</v>
      </c>
      <c r="C3560">
        <v>4216249</v>
      </c>
      <c r="E3560" t="s">
        <v>14290</v>
      </c>
      <c r="F3560" t="s">
        <v>14335</v>
      </c>
      <c r="H3560">
        <v>93524982</v>
      </c>
      <c r="I3560" t="s">
        <v>14292</v>
      </c>
      <c r="L3560" t="s">
        <v>23291</v>
      </c>
      <c r="M3560">
        <v>325</v>
      </c>
      <c r="N3560" t="s">
        <v>23292</v>
      </c>
    </row>
    <row r="3561" spans="1:14">
      <c r="A3561" t="s">
        <v>9256</v>
      </c>
      <c r="B3561">
        <v>4216297</v>
      </c>
      <c r="C3561">
        <v>4217730</v>
      </c>
      <c r="E3561" t="s">
        <v>14290</v>
      </c>
      <c r="F3561" t="s">
        <v>23293</v>
      </c>
      <c r="H3561">
        <v>93524983</v>
      </c>
      <c r="I3561" t="s">
        <v>14292</v>
      </c>
      <c r="L3561" t="s">
        <v>23294</v>
      </c>
      <c r="M3561">
        <v>477</v>
      </c>
      <c r="N3561" t="s">
        <v>23295</v>
      </c>
    </row>
    <row r="3562" spans="1:14">
      <c r="A3562" t="s">
        <v>9256</v>
      </c>
      <c r="B3562">
        <v>4217760</v>
      </c>
      <c r="C3562">
        <v>4219274</v>
      </c>
      <c r="E3562" t="s">
        <v>14290</v>
      </c>
      <c r="F3562" t="s">
        <v>22968</v>
      </c>
      <c r="H3562">
        <v>93524984</v>
      </c>
      <c r="I3562" t="s">
        <v>14292</v>
      </c>
      <c r="L3562" t="s">
        <v>23296</v>
      </c>
      <c r="M3562">
        <v>504</v>
      </c>
      <c r="N3562" t="s">
        <v>23297</v>
      </c>
    </row>
    <row r="3563" spans="1:14">
      <c r="A3563" t="s">
        <v>9256</v>
      </c>
      <c r="B3563">
        <v>4219342</v>
      </c>
      <c r="C3563">
        <v>4220589</v>
      </c>
      <c r="E3563" t="s">
        <v>14290</v>
      </c>
      <c r="F3563" t="s">
        <v>14364</v>
      </c>
      <c r="H3563">
        <v>93524985</v>
      </c>
      <c r="I3563" t="s">
        <v>14292</v>
      </c>
      <c r="L3563" t="s">
        <v>23298</v>
      </c>
      <c r="M3563">
        <v>415</v>
      </c>
      <c r="N3563" t="s">
        <v>23299</v>
      </c>
    </row>
    <row r="3564" spans="1:14">
      <c r="A3564" t="s">
        <v>9256</v>
      </c>
      <c r="B3564">
        <v>4220676</v>
      </c>
      <c r="C3564">
        <v>4221869</v>
      </c>
      <c r="E3564" t="s">
        <v>14290</v>
      </c>
      <c r="F3564" t="s">
        <v>20983</v>
      </c>
      <c r="H3564">
        <v>93524986</v>
      </c>
      <c r="I3564" t="s">
        <v>14292</v>
      </c>
      <c r="L3564" t="s">
        <v>23300</v>
      </c>
      <c r="M3564">
        <v>397</v>
      </c>
      <c r="N3564" t="s">
        <v>23301</v>
      </c>
    </row>
    <row r="3565" spans="1:14">
      <c r="A3565" t="s">
        <v>9256</v>
      </c>
      <c r="B3565">
        <v>4221873</v>
      </c>
      <c r="C3565">
        <v>4222472</v>
      </c>
      <c r="E3565" t="s">
        <v>14290</v>
      </c>
      <c r="F3565" t="s">
        <v>14369</v>
      </c>
      <c r="H3565">
        <v>93524987</v>
      </c>
      <c r="I3565" t="s">
        <v>14292</v>
      </c>
      <c r="L3565" t="s">
        <v>23302</v>
      </c>
      <c r="M3565">
        <v>199</v>
      </c>
      <c r="N3565" t="s">
        <v>23303</v>
      </c>
    </row>
    <row r="3566" spans="1:14">
      <c r="A3566" t="s">
        <v>9256</v>
      </c>
      <c r="B3566">
        <v>4222472</v>
      </c>
      <c r="C3566">
        <v>4223677</v>
      </c>
      <c r="E3566" t="s">
        <v>14290</v>
      </c>
      <c r="F3566" t="s">
        <v>20983</v>
      </c>
      <c r="H3566">
        <v>93524988</v>
      </c>
      <c r="I3566" t="s">
        <v>14292</v>
      </c>
      <c r="L3566" t="s">
        <v>23304</v>
      </c>
      <c r="M3566">
        <v>401</v>
      </c>
      <c r="N3566" t="s">
        <v>23305</v>
      </c>
    </row>
    <row r="3567" spans="1:14">
      <c r="A3567" t="s">
        <v>9256</v>
      </c>
      <c r="B3567">
        <v>4223726</v>
      </c>
      <c r="C3567">
        <v>4224925</v>
      </c>
      <c r="E3567" t="s">
        <v>14290</v>
      </c>
      <c r="F3567" t="s">
        <v>17951</v>
      </c>
      <c r="H3567">
        <v>93524989</v>
      </c>
      <c r="I3567" t="s">
        <v>14292</v>
      </c>
      <c r="L3567" t="s">
        <v>23306</v>
      </c>
      <c r="M3567">
        <v>399</v>
      </c>
      <c r="N3567" t="s">
        <v>23307</v>
      </c>
    </row>
    <row r="3568" spans="1:14">
      <c r="A3568" t="s">
        <v>9256</v>
      </c>
      <c r="B3568">
        <v>4225576</v>
      </c>
      <c r="C3568">
        <v>4226625</v>
      </c>
      <c r="E3568" t="s">
        <v>14290</v>
      </c>
      <c r="F3568" t="s">
        <v>23308</v>
      </c>
      <c r="H3568">
        <v>93524990</v>
      </c>
      <c r="I3568" t="s">
        <v>14292</v>
      </c>
      <c r="L3568" t="s">
        <v>23309</v>
      </c>
      <c r="M3568">
        <v>349</v>
      </c>
      <c r="N3568" t="s">
        <v>23310</v>
      </c>
    </row>
    <row r="3569" spans="1:14">
      <c r="A3569" t="s">
        <v>9256</v>
      </c>
      <c r="B3569">
        <v>4226634</v>
      </c>
      <c r="C3569">
        <v>4228841</v>
      </c>
      <c r="E3569" t="s">
        <v>14314</v>
      </c>
      <c r="F3569" t="s">
        <v>21471</v>
      </c>
      <c r="H3569">
        <v>93524991</v>
      </c>
      <c r="I3569" t="s">
        <v>14292</v>
      </c>
      <c r="L3569" t="s">
        <v>23311</v>
      </c>
      <c r="M3569">
        <v>735</v>
      </c>
      <c r="N3569" t="s">
        <v>23312</v>
      </c>
    </row>
    <row r="3570" spans="1:14">
      <c r="A3570" t="s">
        <v>9256</v>
      </c>
      <c r="B3570">
        <v>4229067</v>
      </c>
      <c r="C3570">
        <v>4232489</v>
      </c>
      <c r="E3570" t="s">
        <v>14290</v>
      </c>
      <c r="F3570" t="s">
        <v>23313</v>
      </c>
      <c r="G3570" t="s">
        <v>23314</v>
      </c>
      <c r="H3570">
        <v>93524992</v>
      </c>
      <c r="I3570" t="s">
        <v>14292</v>
      </c>
      <c r="L3570" t="s">
        <v>23315</v>
      </c>
      <c r="M3570">
        <v>1140</v>
      </c>
      <c r="N3570" t="s">
        <v>23316</v>
      </c>
    </row>
    <row r="3571" spans="1:14">
      <c r="A3571" t="s">
        <v>9256</v>
      </c>
      <c r="B3571">
        <v>4232657</v>
      </c>
      <c r="C3571">
        <v>4233037</v>
      </c>
      <c r="E3571" t="s">
        <v>14290</v>
      </c>
      <c r="F3571" t="s">
        <v>23317</v>
      </c>
      <c r="H3571">
        <v>93524993</v>
      </c>
      <c r="I3571" t="s">
        <v>14292</v>
      </c>
      <c r="L3571" t="s">
        <v>23318</v>
      </c>
      <c r="M3571">
        <v>126</v>
      </c>
      <c r="N3571" t="s">
        <v>23319</v>
      </c>
    </row>
    <row r="3572" spans="1:14">
      <c r="A3572" t="s">
        <v>9256</v>
      </c>
      <c r="B3572">
        <v>4233038</v>
      </c>
      <c r="C3572">
        <v>4233655</v>
      </c>
      <c r="E3572" t="s">
        <v>14290</v>
      </c>
      <c r="F3572" t="s">
        <v>23320</v>
      </c>
      <c r="H3572">
        <v>93524994</v>
      </c>
      <c r="I3572" t="s">
        <v>14292</v>
      </c>
      <c r="L3572" t="s">
        <v>23321</v>
      </c>
      <c r="M3572">
        <v>205</v>
      </c>
      <c r="N3572" t="s">
        <v>23322</v>
      </c>
    </row>
    <row r="3573" spans="1:14">
      <c r="A3573" t="s">
        <v>9256</v>
      </c>
      <c r="B3573">
        <v>4233656</v>
      </c>
      <c r="C3573">
        <v>4234441</v>
      </c>
      <c r="E3573" t="s">
        <v>14290</v>
      </c>
      <c r="F3573" t="s">
        <v>23323</v>
      </c>
      <c r="H3573">
        <v>93524995</v>
      </c>
      <c r="I3573" t="s">
        <v>14292</v>
      </c>
      <c r="L3573" t="s">
        <v>23324</v>
      </c>
      <c r="M3573">
        <v>261</v>
      </c>
      <c r="N3573" t="s">
        <v>23325</v>
      </c>
    </row>
    <row r="3574" spans="1:14">
      <c r="A3574" t="s">
        <v>9256</v>
      </c>
      <c r="B3574">
        <v>4234718</v>
      </c>
      <c r="C3574">
        <v>4235485</v>
      </c>
      <c r="E3574" t="s">
        <v>14314</v>
      </c>
      <c r="F3574" t="s">
        <v>23326</v>
      </c>
      <c r="H3574">
        <v>93524996</v>
      </c>
      <c r="I3574" t="s">
        <v>14292</v>
      </c>
      <c r="L3574" t="s">
        <v>23327</v>
      </c>
      <c r="M3574">
        <v>255</v>
      </c>
      <c r="N3574" t="s">
        <v>23328</v>
      </c>
    </row>
    <row r="3575" spans="1:14">
      <c r="A3575" t="s">
        <v>9256</v>
      </c>
      <c r="B3575">
        <v>4235562</v>
      </c>
      <c r="C3575">
        <v>4237922</v>
      </c>
      <c r="E3575" t="s">
        <v>14290</v>
      </c>
      <c r="F3575" t="s">
        <v>17624</v>
      </c>
      <c r="H3575">
        <v>93524997</v>
      </c>
      <c r="I3575" t="s">
        <v>14292</v>
      </c>
      <c r="L3575" t="s">
        <v>23329</v>
      </c>
      <c r="M3575">
        <v>786</v>
      </c>
      <c r="N3575" t="s">
        <v>23330</v>
      </c>
    </row>
    <row r="3576" spans="1:14">
      <c r="A3576" t="s">
        <v>9256</v>
      </c>
      <c r="B3576">
        <v>4238001</v>
      </c>
      <c r="C3576">
        <v>4238074</v>
      </c>
      <c r="E3576" t="s">
        <v>14290</v>
      </c>
      <c r="F3576" t="s">
        <v>14751</v>
      </c>
      <c r="H3576">
        <v>93524998</v>
      </c>
      <c r="I3576" t="s">
        <v>13638</v>
      </c>
      <c r="N3576" t="s">
        <v>23331</v>
      </c>
    </row>
    <row r="3577" spans="1:14">
      <c r="A3577" t="s">
        <v>9256</v>
      </c>
      <c r="B3577">
        <v>4238318</v>
      </c>
      <c r="C3577">
        <v>4238617</v>
      </c>
      <c r="E3577" t="s">
        <v>14290</v>
      </c>
      <c r="F3577" t="s">
        <v>15499</v>
      </c>
      <c r="G3577" t="s">
        <v>15500</v>
      </c>
      <c r="H3577">
        <v>93524999</v>
      </c>
      <c r="I3577" t="s">
        <v>14292</v>
      </c>
      <c r="L3577" t="s">
        <v>23332</v>
      </c>
      <c r="M3577">
        <v>99</v>
      </c>
      <c r="N3577" t="s">
        <v>23333</v>
      </c>
    </row>
    <row r="3578" spans="1:14">
      <c r="A3578" t="s">
        <v>9256</v>
      </c>
      <c r="B3578">
        <v>4238614</v>
      </c>
      <c r="C3578">
        <v>4240197</v>
      </c>
      <c r="E3578" t="s">
        <v>14314</v>
      </c>
      <c r="F3578" t="s">
        <v>23334</v>
      </c>
      <c r="H3578">
        <v>93525000</v>
      </c>
      <c r="I3578" t="s">
        <v>14292</v>
      </c>
      <c r="L3578" t="s">
        <v>23335</v>
      </c>
      <c r="M3578">
        <v>527</v>
      </c>
      <c r="N3578" t="s">
        <v>23336</v>
      </c>
    </row>
    <row r="3579" spans="1:14">
      <c r="A3579" t="s">
        <v>9256</v>
      </c>
      <c r="B3579">
        <v>4240194</v>
      </c>
      <c r="C3579">
        <v>4241465</v>
      </c>
      <c r="E3579" t="s">
        <v>14314</v>
      </c>
      <c r="F3579" t="s">
        <v>23337</v>
      </c>
      <c r="H3579">
        <v>93525001</v>
      </c>
      <c r="I3579" t="s">
        <v>14292</v>
      </c>
      <c r="L3579" t="s">
        <v>23338</v>
      </c>
      <c r="M3579">
        <v>423</v>
      </c>
      <c r="N3579" t="s">
        <v>23339</v>
      </c>
    </row>
    <row r="3580" spans="1:14">
      <c r="A3580" t="s">
        <v>9256</v>
      </c>
      <c r="B3580">
        <v>4241630</v>
      </c>
      <c r="C3580">
        <v>4242130</v>
      </c>
      <c r="E3580" t="s">
        <v>14290</v>
      </c>
      <c r="F3580" t="s">
        <v>23340</v>
      </c>
      <c r="G3580" t="s">
        <v>23341</v>
      </c>
      <c r="H3580">
        <v>93525002</v>
      </c>
      <c r="I3580" t="s">
        <v>14292</v>
      </c>
      <c r="L3580" t="s">
        <v>23342</v>
      </c>
      <c r="M3580">
        <v>166</v>
      </c>
      <c r="N3580" t="s">
        <v>23343</v>
      </c>
    </row>
    <row r="3581" spans="1:14">
      <c r="A3581" t="s">
        <v>9256</v>
      </c>
      <c r="B3581">
        <v>4242228</v>
      </c>
      <c r="C3581">
        <v>4242908</v>
      </c>
      <c r="E3581" t="s">
        <v>14314</v>
      </c>
      <c r="F3581" t="s">
        <v>14403</v>
      </c>
      <c r="H3581">
        <v>93525003</v>
      </c>
      <c r="I3581" t="s">
        <v>14292</v>
      </c>
      <c r="L3581" t="s">
        <v>23344</v>
      </c>
      <c r="M3581">
        <v>226</v>
      </c>
      <c r="N3581" t="s">
        <v>23345</v>
      </c>
    </row>
    <row r="3582" spans="1:14">
      <c r="A3582" t="s">
        <v>9256</v>
      </c>
      <c r="B3582">
        <v>4242958</v>
      </c>
      <c r="C3582">
        <v>4245300</v>
      </c>
      <c r="E3582" t="s">
        <v>14314</v>
      </c>
      <c r="F3582" t="s">
        <v>14562</v>
      </c>
      <c r="H3582">
        <v>93525004</v>
      </c>
      <c r="I3582" t="s">
        <v>14292</v>
      </c>
      <c r="L3582" t="s">
        <v>23346</v>
      </c>
      <c r="M3582">
        <v>780</v>
      </c>
      <c r="N3582" t="s">
        <v>23347</v>
      </c>
    </row>
    <row r="3583" spans="1:14">
      <c r="A3583" t="s">
        <v>9256</v>
      </c>
      <c r="B3583">
        <v>4245476</v>
      </c>
      <c r="C3583">
        <v>4246000</v>
      </c>
      <c r="E3583" t="s">
        <v>14290</v>
      </c>
      <c r="F3583" t="s">
        <v>14952</v>
      </c>
      <c r="H3583">
        <v>93525005</v>
      </c>
      <c r="I3583" t="s">
        <v>14292</v>
      </c>
      <c r="L3583" t="s">
        <v>23348</v>
      </c>
      <c r="M3583">
        <v>174</v>
      </c>
      <c r="N3583" t="s">
        <v>23349</v>
      </c>
    </row>
    <row r="3584" spans="1:14">
      <c r="A3584" t="s">
        <v>9256</v>
      </c>
      <c r="B3584">
        <v>4245997</v>
      </c>
      <c r="C3584">
        <v>4246839</v>
      </c>
      <c r="E3584" t="s">
        <v>14290</v>
      </c>
      <c r="F3584" t="s">
        <v>14493</v>
      </c>
      <c r="H3584">
        <v>93525006</v>
      </c>
      <c r="I3584" t="s">
        <v>14292</v>
      </c>
      <c r="L3584" t="s">
        <v>23350</v>
      </c>
      <c r="M3584">
        <v>280</v>
      </c>
      <c r="N3584" t="s">
        <v>23351</v>
      </c>
    </row>
    <row r="3585" spans="1:14">
      <c r="A3585" t="s">
        <v>9256</v>
      </c>
      <c r="B3585">
        <v>4246854</v>
      </c>
      <c r="C3585">
        <v>4248161</v>
      </c>
      <c r="E3585" t="s">
        <v>14290</v>
      </c>
      <c r="F3585" t="s">
        <v>16210</v>
      </c>
      <c r="H3585">
        <v>93525007</v>
      </c>
      <c r="I3585" t="s">
        <v>14292</v>
      </c>
      <c r="L3585" t="s">
        <v>23352</v>
      </c>
      <c r="M3585">
        <v>435</v>
      </c>
      <c r="N3585" t="s">
        <v>23353</v>
      </c>
    </row>
    <row r="3586" spans="1:14">
      <c r="A3586" t="s">
        <v>9256</v>
      </c>
      <c r="B3586">
        <v>4248298</v>
      </c>
      <c r="C3586">
        <v>4250007</v>
      </c>
      <c r="E3586" t="s">
        <v>14314</v>
      </c>
      <c r="F3586" t="s">
        <v>23354</v>
      </c>
      <c r="H3586">
        <v>93525008</v>
      </c>
      <c r="I3586" t="s">
        <v>14292</v>
      </c>
      <c r="L3586" t="s">
        <v>23355</v>
      </c>
      <c r="M3586">
        <v>569</v>
      </c>
      <c r="N3586" t="s">
        <v>23356</v>
      </c>
    </row>
    <row r="3587" spans="1:14">
      <c r="A3587" t="s">
        <v>9256</v>
      </c>
      <c r="B3587">
        <v>4250010</v>
      </c>
      <c r="C3587">
        <v>4251029</v>
      </c>
      <c r="E3587" t="s">
        <v>14314</v>
      </c>
      <c r="F3587" t="s">
        <v>23357</v>
      </c>
      <c r="H3587">
        <v>93525009</v>
      </c>
      <c r="I3587" t="s">
        <v>14292</v>
      </c>
      <c r="L3587" t="s">
        <v>23358</v>
      </c>
      <c r="M3587">
        <v>339</v>
      </c>
      <c r="N3587" t="s">
        <v>23359</v>
      </c>
    </row>
    <row r="3588" spans="1:14">
      <c r="A3588" t="s">
        <v>9256</v>
      </c>
      <c r="B3588">
        <v>4251034</v>
      </c>
      <c r="C3588">
        <v>4251939</v>
      </c>
      <c r="E3588" t="s">
        <v>14314</v>
      </c>
      <c r="F3588" t="s">
        <v>23360</v>
      </c>
      <c r="H3588">
        <v>93525010</v>
      </c>
      <c r="I3588" t="s">
        <v>14292</v>
      </c>
      <c r="L3588" t="s">
        <v>23361</v>
      </c>
      <c r="M3588">
        <v>301</v>
      </c>
      <c r="N3588" t="s">
        <v>23362</v>
      </c>
    </row>
    <row r="3589" spans="1:14">
      <c r="A3589" t="s">
        <v>9256</v>
      </c>
      <c r="B3589">
        <v>4252095</v>
      </c>
      <c r="C3589">
        <v>4253480</v>
      </c>
      <c r="E3589" t="s">
        <v>14314</v>
      </c>
      <c r="F3589" t="s">
        <v>14445</v>
      </c>
      <c r="H3589">
        <v>93525011</v>
      </c>
      <c r="I3589" t="s">
        <v>14292</v>
      </c>
      <c r="L3589" t="s">
        <v>23363</v>
      </c>
      <c r="M3589">
        <v>461</v>
      </c>
      <c r="N3589" t="s">
        <v>23364</v>
      </c>
    </row>
    <row r="3590" spans="1:14">
      <c r="A3590" t="s">
        <v>9256</v>
      </c>
      <c r="B3590">
        <v>4253592</v>
      </c>
      <c r="C3590">
        <v>4254701</v>
      </c>
      <c r="E3590" t="s">
        <v>14314</v>
      </c>
      <c r="F3590" t="s">
        <v>14291</v>
      </c>
      <c r="H3590">
        <v>93525012</v>
      </c>
      <c r="I3590" t="s">
        <v>14292</v>
      </c>
      <c r="L3590" t="s">
        <v>23365</v>
      </c>
      <c r="M3590">
        <v>369</v>
      </c>
      <c r="N3590" t="s">
        <v>23366</v>
      </c>
    </row>
    <row r="3591" spans="1:14">
      <c r="A3591" t="s">
        <v>9256</v>
      </c>
      <c r="B3591">
        <v>4254698</v>
      </c>
      <c r="C3591">
        <v>4257550</v>
      </c>
      <c r="E3591" t="s">
        <v>14314</v>
      </c>
      <c r="F3591" t="s">
        <v>23367</v>
      </c>
      <c r="G3591" t="s">
        <v>23368</v>
      </c>
      <c r="H3591">
        <v>93525013</v>
      </c>
      <c r="I3591" t="s">
        <v>14292</v>
      </c>
      <c r="L3591" t="s">
        <v>23369</v>
      </c>
      <c r="M3591">
        <v>950</v>
      </c>
      <c r="N3591" t="s">
        <v>23370</v>
      </c>
    </row>
    <row r="3592" spans="1:14">
      <c r="A3592" t="s">
        <v>9256</v>
      </c>
      <c r="B3592">
        <v>4257563</v>
      </c>
      <c r="C3592">
        <v>4258201</v>
      </c>
      <c r="E3592" t="s">
        <v>14314</v>
      </c>
      <c r="F3592" t="s">
        <v>17196</v>
      </c>
      <c r="H3592">
        <v>93525014</v>
      </c>
      <c r="I3592" t="s">
        <v>14292</v>
      </c>
      <c r="L3592" t="s">
        <v>23371</v>
      </c>
      <c r="M3592">
        <v>212</v>
      </c>
      <c r="N3592" t="s">
        <v>23372</v>
      </c>
    </row>
    <row r="3593" spans="1:14">
      <c r="A3593" t="s">
        <v>9256</v>
      </c>
      <c r="B3593">
        <v>4258198</v>
      </c>
      <c r="C3593">
        <v>4258890</v>
      </c>
      <c r="E3593" t="s">
        <v>14314</v>
      </c>
      <c r="F3593" t="s">
        <v>23373</v>
      </c>
      <c r="G3593" t="s">
        <v>23374</v>
      </c>
      <c r="H3593">
        <v>93525015</v>
      </c>
      <c r="I3593" t="s">
        <v>14292</v>
      </c>
      <c r="L3593" t="s">
        <v>23375</v>
      </c>
      <c r="M3593">
        <v>230</v>
      </c>
      <c r="N3593" t="s">
        <v>23376</v>
      </c>
    </row>
    <row r="3594" spans="1:14">
      <c r="A3594" t="s">
        <v>9256</v>
      </c>
      <c r="B3594">
        <v>4258904</v>
      </c>
      <c r="C3594">
        <v>4259755</v>
      </c>
      <c r="E3594" t="s">
        <v>14314</v>
      </c>
      <c r="F3594" t="s">
        <v>23377</v>
      </c>
      <c r="H3594">
        <v>93525016</v>
      </c>
      <c r="I3594" t="s">
        <v>14292</v>
      </c>
      <c r="L3594" t="s">
        <v>23378</v>
      </c>
      <c r="M3594">
        <v>283</v>
      </c>
      <c r="N3594" t="s">
        <v>23379</v>
      </c>
    </row>
    <row r="3595" spans="1:14">
      <c r="A3595" t="s">
        <v>9256</v>
      </c>
      <c r="B3595">
        <v>4259957</v>
      </c>
      <c r="C3595">
        <v>4260391</v>
      </c>
      <c r="E3595" t="s">
        <v>14314</v>
      </c>
      <c r="F3595" t="s">
        <v>14291</v>
      </c>
      <c r="H3595">
        <v>93525017</v>
      </c>
      <c r="I3595" t="s">
        <v>14292</v>
      </c>
      <c r="L3595" t="s">
        <v>23380</v>
      </c>
      <c r="M3595">
        <v>144</v>
      </c>
      <c r="N3595" t="s">
        <v>23381</v>
      </c>
    </row>
    <row r="3596" spans="1:14">
      <c r="A3596" t="s">
        <v>9256</v>
      </c>
      <c r="B3596">
        <v>4261236</v>
      </c>
      <c r="C3596">
        <v>4261520</v>
      </c>
      <c r="E3596" t="s">
        <v>14314</v>
      </c>
      <c r="F3596" t="s">
        <v>14291</v>
      </c>
      <c r="H3596">
        <v>93525954</v>
      </c>
      <c r="I3596" t="s">
        <v>14292</v>
      </c>
      <c r="L3596" t="s">
        <v>23382</v>
      </c>
      <c r="M3596">
        <v>94</v>
      </c>
      <c r="N3596" t="s">
        <v>23383</v>
      </c>
    </row>
    <row r="3597" spans="1:14">
      <c r="A3597" t="s">
        <v>9256</v>
      </c>
      <c r="B3597">
        <v>4261916</v>
      </c>
      <c r="C3597">
        <v>4263730</v>
      </c>
      <c r="E3597" t="s">
        <v>14290</v>
      </c>
      <c r="F3597" t="s">
        <v>18889</v>
      </c>
      <c r="H3597">
        <v>93525018</v>
      </c>
      <c r="I3597" t="s">
        <v>14292</v>
      </c>
      <c r="L3597" t="s">
        <v>23384</v>
      </c>
      <c r="M3597">
        <v>604</v>
      </c>
      <c r="N3597" t="s">
        <v>23385</v>
      </c>
    </row>
    <row r="3598" spans="1:14">
      <c r="A3598" t="s">
        <v>9256</v>
      </c>
      <c r="B3598">
        <v>4263826</v>
      </c>
      <c r="C3598">
        <v>4264323</v>
      </c>
      <c r="E3598" t="s">
        <v>14290</v>
      </c>
      <c r="F3598" t="s">
        <v>14439</v>
      </c>
      <c r="H3598">
        <v>93525019</v>
      </c>
      <c r="I3598" t="s">
        <v>14292</v>
      </c>
      <c r="L3598" t="s">
        <v>23386</v>
      </c>
      <c r="M3598">
        <v>165</v>
      </c>
      <c r="N3598" t="s">
        <v>23387</v>
      </c>
    </row>
    <row r="3599" spans="1:14">
      <c r="A3599" t="s">
        <v>9256</v>
      </c>
      <c r="B3599">
        <v>4264390</v>
      </c>
      <c r="C3599">
        <v>4264995</v>
      </c>
      <c r="E3599" t="s">
        <v>14290</v>
      </c>
      <c r="F3599" t="s">
        <v>23388</v>
      </c>
      <c r="H3599">
        <v>93525020</v>
      </c>
      <c r="I3599" t="s">
        <v>14292</v>
      </c>
      <c r="L3599" t="s">
        <v>23389</v>
      </c>
      <c r="M3599">
        <v>201</v>
      </c>
      <c r="N3599" t="s">
        <v>23390</v>
      </c>
    </row>
    <row r="3600" spans="1:14">
      <c r="A3600" t="s">
        <v>9256</v>
      </c>
      <c r="B3600">
        <v>4264992</v>
      </c>
      <c r="C3600">
        <v>4266296</v>
      </c>
      <c r="E3600" t="s">
        <v>14290</v>
      </c>
      <c r="F3600" t="s">
        <v>23391</v>
      </c>
      <c r="G3600" t="s">
        <v>23392</v>
      </c>
      <c r="H3600">
        <v>93525021</v>
      </c>
      <c r="I3600" t="s">
        <v>14292</v>
      </c>
      <c r="L3600" t="s">
        <v>23393</v>
      </c>
      <c r="M3600">
        <v>434</v>
      </c>
      <c r="N3600" t="s">
        <v>23394</v>
      </c>
    </row>
    <row r="3601" spans="1:14">
      <c r="A3601" t="s">
        <v>9256</v>
      </c>
      <c r="B3601">
        <v>4266309</v>
      </c>
      <c r="C3601">
        <v>4266842</v>
      </c>
      <c r="E3601" t="s">
        <v>14290</v>
      </c>
      <c r="F3601" t="s">
        <v>23395</v>
      </c>
      <c r="G3601" t="s">
        <v>23396</v>
      </c>
      <c r="H3601">
        <v>93525022</v>
      </c>
      <c r="I3601" t="s">
        <v>14292</v>
      </c>
      <c r="L3601" t="s">
        <v>23397</v>
      </c>
      <c r="M3601">
        <v>177</v>
      </c>
      <c r="N3601" t="s">
        <v>23398</v>
      </c>
    </row>
    <row r="3602" spans="1:14">
      <c r="A3602" t="s">
        <v>9256</v>
      </c>
      <c r="B3602">
        <v>4266853</v>
      </c>
      <c r="C3602">
        <v>4267716</v>
      </c>
      <c r="E3602" t="s">
        <v>14290</v>
      </c>
      <c r="F3602" t="s">
        <v>15974</v>
      </c>
      <c r="H3602">
        <v>93525023</v>
      </c>
      <c r="I3602" t="s">
        <v>14292</v>
      </c>
      <c r="L3602" t="s">
        <v>23399</v>
      </c>
      <c r="M3602">
        <v>287</v>
      </c>
      <c r="N3602" t="s">
        <v>23400</v>
      </c>
    </row>
    <row r="3603" spans="1:14">
      <c r="A3603" t="s">
        <v>9256</v>
      </c>
      <c r="B3603">
        <v>4267723</v>
      </c>
      <c r="C3603">
        <v>4268874</v>
      </c>
      <c r="E3603" t="s">
        <v>14290</v>
      </c>
      <c r="F3603" t="s">
        <v>23401</v>
      </c>
      <c r="H3603">
        <v>93525024</v>
      </c>
      <c r="I3603" t="s">
        <v>14292</v>
      </c>
      <c r="L3603" t="s">
        <v>23402</v>
      </c>
      <c r="M3603">
        <v>383</v>
      </c>
      <c r="N3603" t="s">
        <v>23403</v>
      </c>
    </row>
    <row r="3604" spans="1:14">
      <c r="A3604" t="s">
        <v>9256</v>
      </c>
      <c r="B3604">
        <v>4268905</v>
      </c>
      <c r="C3604">
        <v>4270233</v>
      </c>
      <c r="E3604" t="s">
        <v>14290</v>
      </c>
      <c r="F3604" t="s">
        <v>23404</v>
      </c>
      <c r="G3604" t="s">
        <v>23405</v>
      </c>
      <c r="H3604">
        <v>93525025</v>
      </c>
      <c r="I3604" t="s">
        <v>14292</v>
      </c>
      <c r="L3604" t="s">
        <v>23406</v>
      </c>
      <c r="M3604">
        <v>442</v>
      </c>
      <c r="N3604" t="s">
        <v>23407</v>
      </c>
    </row>
    <row r="3605" spans="1:14">
      <c r="A3605" t="s">
        <v>9256</v>
      </c>
      <c r="B3605">
        <v>4270325</v>
      </c>
      <c r="C3605">
        <v>4271068</v>
      </c>
      <c r="E3605" t="s">
        <v>14314</v>
      </c>
      <c r="F3605" t="s">
        <v>14805</v>
      </c>
      <c r="H3605">
        <v>93525026</v>
      </c>
      <c r="I3605" t="s">
        <v>14292</v>
      </c>
      <c r="L3605" t="s">
        <v>23408</v>
      </c>
      <c r="M3605">
        <v>247</v>
      </c>
      <c r="N3605" t="s">
        <v>23409</v>
      </c>
    </row>
    <row r="3606" spans="1:14">
      <c r="A3606" t="s">
        <v>9256</v>
      </c>
      <c r="B3606">
        <v>4271224</v>
      </c>
      <c r="C3606">
        <v>4272318</v>
      </c>
      <c r="E3606" t="s">
        <v>14314</v>
      </c>
      <c r="F3606" t="s">
        <v>17994</v>
      </c>
      <c r="G3606" t="s">
        <v>23410</v>
      </c>
      <c r="H3606">
        <v>93525027</v>
      </c>
      <c r="I3606" t="s">
        <v>14292</v>
      </c>
      <c r="L3606" t="s">
        <v>23411</v>
      </c>
      <c r="M3606">
        <v>364</v>
      </c>
      <c r="N3606" t="s">
        <v>23412</v>
      </c>
    </row>
    <row r="3607" spans="1:14">
      <c r="A3607" t="s">
        <v>9256</v>
      </c>
      <c r="B3607">
        <v>4272415</v>
      </c>
      <c r="C3607">
        <v>4275795</v>
      </c>
      <c r="E3607" t="s">
        <v>14314</v>
      </c>
      <c r="F3607" t="s">
        <v>23413</v>
      </c>
      <c r="G3607" t="s">
        <v>23414</v>
      </c>
      <c r="H3607">
        <v>93525028</v>
      </c>
      <c r="I3607" t="s">
        <v>14292</v>
      </c>
      <c r="L3607" t="s">
        <v>23415</v>
      </c>
      <c r="M3607">
        <v>1126</v>
      </c>
      <c r="N3607" t="s">
        <v>23416</v>
      </c>
    </row>
    <row r="3608" spans="1:14">
      <c r="A3608" t="s">
        <v>9256</v>
      </c>
      <c r="B3608">
        <v>4275928</v>
      </c>
      <c r="C3608">
        <v>4277514</v>
      </c>
      <c r="E3608" t="s">
        <v>14314</v>
      </c>
      <c r="F3608" t="s">
        <v>23417</v>
      </c>
      <c r="H3608">
        <v>93525029</v>
      </c>
      <c r="I3608" t="s">
        <v>14292</v>
      </c>
      <c r="L3608" t="s">
        <v>23418</v>
      </c>
      <c r="M3608">
        <v>528</v>
      </c>
      <c r="N3608" t="s">
        <v>23419</v>
      </c>
    </row>
    <row r="3609" spans="1:14">
      <c r="A3609" t="s">
        <v>9256</v>
      </c>
      <c r="B3609">
        <v>4277511</v>
      </c>
      <c r="C3609">
        <v>4278698</v>
      </c>
      <c r="E3609" t="s">
        <v>14314</v>
      </c>
      <c r="F3609" t="s">
        <v>23420</v>
      </c>
      <c r="H3609">
        <v>93525030</v>
      </c>
      <c r="I3609" t="s">
        <v>14292</v>
      </c>
      <c r="L3609" t="s">
        <v>23421</v>
      </c>
      <c r="M3609">
        <v>395</v>
      </c>
      <c r="N3609" t="s">
        <v>23422</v>
      </c>
    </row>
    <row r="3610" spans="1:14">
      <c r="A3610" t="s">
        <v>9256</v>
      </c>
      <c r="B3610">
        <v>4279061</v>
      </c>
      <c r="C3610">
        <v>4279133</v>
      </c>
      <c r="E3610" t="s">
        <v>14314</v>
      </c>
      <c r="F3610" t="s">
        <v>16484</v>
      </c>
      <c r="H3610">
        <v>93525031</v>
      </c>
      <c r="I3610" t="s">
        <v>13638</v>
      </c>
      <c r="N3610" t="s">
        <v>23423</v>
      </c>
    </row>
    <row r="3611" spans="1:14">
      <c r="A3611" t="s">
        <v>9256</v>
      </c>
      <c r="B3611">
        <v>4279211</v>
      </c>
      <c r="C3611">
        <v>4279978</v>
      </c>
      <c r="E3611" t="s">
        <v>14290</v>
      </c>
      <c r="F3611" t="s">
        <v>23424</v>
      </c>
      <c r="G3611" t="s">
        <v>23425</v>
      </c>
      <c r="H3611">
        <v>93525032</v>
      </c>
      <c r="I3611" t="s">
        <v>14292</v>
      </c>
      <c r="L3611" t="s">
        <v>23426</v>
      </c>
      <c r="M3611">
        <v>255</v>
      </c>
      <c r="N3611" t="s">
        <v>23427</v>
      </c>
    </row>
    <row r="3612" spans="1:14">
      <c r="A3612" t="s">
        <v>9256</v>
      </c>
      <c r="B3612">
        <v>4280030</v>
      </c>
      <c r="C3612">
        <v>4280698</v>
      </c>
      <c r="E3612" t="s">
        <v>14314</v>
      </c>
      <c r="F3612" t="s">
        <v>15435</v>
      </c>
      <c r="H3612">
        <v>93525033</v>
      </c>
      <c r="I3612" t="s">
        <v>14292</v>
      </c>
      <c r="L3612" t="s">
        <v>23428</v>
      </c>
      <c r="M3612">
        <v>222</v>
      </c>
      <c r="N3612" t="s">
        <v>23429</v>
      </c>
    </row>
    <row r="3613" spans="1:14">
      <c r="A3613" t="s">
        <v>9256</v>
      </c>
      <c r="B3613">
        <v>4281258</v>
      </c>
      <c r="C3613">
        <v>4284503</v>
      </c>
      <c r="E3613" t="s">
        <v>14290</v>
      </c>
      <c r="F3613" t="s">
        <v>14965</v>
      </c>
      <c r="H3613">
        <v>93525034</v>
      </c>
      <c r="I3613" t="s">
        <v>14292</v>
      </c>
      <c r="L3613" t="s">
        <v>23430</v>
      </c>
      <c r="M3613">
        <v>1081</v>
      </c>
      <c r="N3613" t="s">
        <v>23431</v>
      </c>
    </row>
    <row r="3614" spans="1:14">
      <c r="A3614" t="s">
        <v>9256</v>
      </c>
      <c r="B3614">
        <v>4284529</v>
      </c>
      <c r="C3614">
        <v>4286016</v>
      </c>
      <c r="E3614" t="s">
        <v>14290</v>
      </c>
      <c r="F3614" t="s">
        <v>14962</v>
      </c>
      <c r="H3614">
        <v>93525035</v>
      </c>
      <c r="I3614" t="s">
        <v>14292</v>
      </c>
      <c r="L3614" t="s">
        <v>23432</v>
      </c>
      <c r="M3614">
        <v>495</v>
      </c>
      <c r="N3614" t="s">
        <v>23433</v>
      </c>
    </row>
    <row r="3615" spans="1:14">
      <c r="A3615" t="s">
        <v>9256</v>
      </c>
      <c r="B3615">
        <v>4286153</v>
      </c>
      <c r="C3615">
        <v>4287625</v>
      </c>
      <c r="E3615" t="s">
        <v>14290</v>
      </c>
      <c r="F3615" t="s">
        <v>23434</v>
      </c>
      <c r="H3615">
        <v>93525036</v>
      </c>
      <c r="I3615" t="s">
        <v>14292</v>
      </c>
      <c r="L3615" t="s">
        <v>23435</v>
      </c>
      <c r="M3615">
        <v>490</v>
      </c>
      <c r="N3615" t="s">
        <v>23436</v>
      </c>
    </row>
    <row r="3616" spans="1:14">
      <c r="A3616" t="s">
        <v>9256</v>
      </c>
      <c r="B3616">
        <v>4287721</v>
      </c>
      <c r="C3616">
        <v>4289265</v>
      </c>
      <c r="E3616" t="s">
        <v>14314</v>
      </c>
      <c r="F3616" t="s">
        <v>14962</v>
      </c>
      <c r="H3616">
        <v>93525037</v>
      </c>
      <c r="I3616" t="s">
        <v>14292</v>
      </c>
      <c r="L3616" t="s">
        <v>23437</v>
      </c>
      <c r="M3616">
        <v>514</v>
      </c>
      <c r="N3616" t="s">
        <v>23438</v>
      </c>
    </row>
    <row r="3617" spans="1:14">
      <c r="A3617" t="s">
        <v>9256</v>
      </c>
      <c r="B3617">
        <v>4289279</v>
      </c>
      <c r="C3617">
        <v>4292221</v>
      </c>
      <c r="E3617" t="s">
        <v>14314</v>
      </c>
      <c r="F3617" t="s">
        <v>14965</v>
      </c>
      <c r="H3617">
        <v>93525038</v>
      </c>
      <c r="I3617" t="s">
        <v>14292</v>
      </c>
      <c r="L3617" t="s">
        <v>23439</v>
      </c>
      <c r="M3617">
        <v>980</v>
      </c>
      <c r="N3617" t="s">
        <v>23440</v>
      </c>
    </row>
    <row r="3618" spans="1:14">
      <c r="A3618" t="s">
        <v>9256</v>
      </c>
      <c r="B3618">
        <v>4292621</v>
      </c>
      <c r="C3618">
        <v>4295794</v>
      </c>
      <c r="E3618" t="s">
        <v>14290</v>
      </c>
      <c r="F3618" t="s">
        <v>14965</v>
      </c>
      <c r="H3618">
        <v>93525039</v>
      </c>
      <c r="I3618" t="s">
        <v>14292</v>
      </c>
      <c r="L3618" t="s">
        <v>23441</v>
      </c>
      <c r="M3618">
        <v>1057</v>
      </c>
      <c r="N3618" t="s">
        <v>23442</v>
      </c>
    </row>
    <row r="3619" spans="1:14">
      <c r="A3619" t="s">
        <v>9256</v>
      </c>
      <c r="B3619">
        <v>4295822</v>
      </c>
      <c r="C3619">
        <v>4297294</v>
      </c>
      <c r="E3619" t="s">
        <v>14290</v>
      </c>
      <c r="F3619" t="s">
        <v>14962</v>
      </c>
      <c r="H3619">
        <v>93525040</v>
      </c>
      <c r="I3619" t="s">
        <v>14292</v>
      </c>
      <c r="L3619" t="s">
        <v>23443</v>
      </c>
      <c r="M3619">
        <v>490</v>
      </c>
      <c r="N3619" t="s">
        <v>23444</v>
      </c>
    </row>
    <row r="3620" spans="1:14">
      <c r="A3620" t="s">
        <v>9256</v>
      </c>
      <c r="B3620">
        <v>4297338</v>
      </c>
      <c r="C3620">
        <v>4297838</v>
      </c>
      <c r="E3620" t="s">
        <v>14290</v>
      </c>
      <c r="F3620" t="s">
        <v>23445</v>
      </c>
      <c r="H3620">
        <v>93525041</v>
      </c>
      <c r="I3620" t="s">
        <v>14292</v>
      </c>
      <c r="L3620" t="s">
        <v>23446</v>
      </c>
      <c r="M3620">
        <v>166</v>
      </c>
      <c r="N3620" t="s">
        <v>23447</v>
      </c>
    </row>
    <row r="3621" spans="1:14">
      <c r="A3621" t="s">
        <v>9256</v>
      </c>
      <c r="B3621">
        <v>4298027</v>
      </c>
      <c r="C3621">
        <v>4299205</v>
      </c>
      <c r="E3621" t="s">
        <v>14290</v>
      </c>
      <c r="F3621" t="s">
        <v>15333</v>
      </c>
      <c r="H3621">
        <v>93525042</v>
      </c>
      <c r="I3621" t="s">
        <v>14292</v>
      </c>
      <c r="L3621" t="s">
        <v>23448</v>
      </c>
      <c r="M3621">
        <v>392</v>
      </c>
      <c r="N3621" t="s">
        <v>23449</v>
      </c>
    </row>
    <row r="3622" spans="1:14">
      <c r="A3622" t="s">
        <v>9256</v>
      </c>
      <c r="B3622">
        <v>4299296</v>
      </c>
      <c r="C3622">
        <v>4300825</v>
      </c>
      <c r="E3622" t="s">
        <v>14314</v>
      </c>
      <c r="F3622" t="s">
        <v>14962</v>
      </c>
      <c r="H3622">
        <v>93525043</v>
      </c>
      <c r="I3622" t="s">
        <v>14292</v>
      </c>
      <c r="L3622" t="s">
        <v>23450</v>
      </c>
      <c r="M3622">
        <v>509</v>
      </c>
      <c r="N3622" t="s">
        <v>23451</v>
      </c>
    </row>
    <row r="3623" spans="1:14">
      <c r="A3623" t="s">
        <v>9256</v>
      </c>
      <c r="B3623">
        <v>4300841</v>
      </c>
      <c r="C3623">
        <v>4304014</v>
      </c>
      <c r="E3623" t="s">
        <v>14314</v>
      </c>
      <c r="F3623" t="s">
        <v>14965</v>
      </c>
      <c r="H3623">
        <v>93525044</v>
      </c>
      <c r="I3623" t="s">
        <v>14292</v>
      </c>
      <c r="L3623" t="s">
        <v>23452</v>
      </c>
      <c r="M3623">
        <v>1057</v>
      </c>
      <c r="N3623" t="s">
        <v>23453</v>
      </c>
    </row>
    <row r="3624" spans="1:14">
      <c r="A3624" t="s">
        <v>9256</v>
      </c>
      <c r="B3624">
        <v>4304707</v>
      </c>
      <c r="C3624">
        <v>4307904</v>
      </c>
      <c r="E3624" t="s">
        <v>14290</v>
      </c>
      <c r="F3624" t="s">
        <v>14965</v>
      </c>
      <c r="H3624">
        <v>93525045</v>
      </c>
      <c r="I3624" t="s">
        <v>14292</v>
      </c>
      <c r="L3624" t="s">
        <v>23454</v>
      </c>
      <c r="M3624">
        <v>1065</v>
      </c>
      <c r="N3624" t="s">
        <v>23455</v>
      </c>
    </row>
    <row r="3625" spans="1:14">
      <c r="A3625" t="s">
        <v>9256</v>
      </c>
      <c r="B3625">
        <v>4307927</v>
      </c>
      <c r="C3625">
        <v>4309495</v>
      </c>
      <c r="E3625" t="s">
        <v>14290</v>
      </c>
      <c r="F3625" t="s">
        <v>14962</v>
      </c>
      <c r="H3625">
        <v>93525046</v>
      </c>
      <c r="I3625" t="s">
        <v>14292</v>
      </c>
      <c r="L3625" t="s">
        <v>23456</v>
      </c>
      <c r="M3625">
        <v>522</v>
      </c>
      <c r="N3625" t="s">
        <v>23457</v>
      </c>
    </row>
    <row r="3626" spans="1:14">
      <c r="A3626" t="s">
        <v>9256</v>
      </c>
      <c r="B3626">
        <v>4309977</v>
      </c>
      <c r="C3626">
        <v>4311248</v>
      </c>
      <c r="E3626" t="s">
        <v>14290</v>
      </c>
      <c r="F3626" t="s">
        <v>23458</v>
      </c>
      <c r="H3626">
        <v>93525047</v>
      </c>
      <c r="I3626" t="s">
        <v>14292</v>
      </c>
      <c r="L3626" t="s">
        <v>23459</v>
      </c>
      <c r="M3626">
        <v>423</v>
      </c>
      <c r="N3626" t="s">
        <v>23460</v>
      </c>
    </row>
    <row r="3627" spans="1:14">
      <c r="A3627" t="s">
        <v>9256</v>
      </c>
      <c r="B3627">
        <v>4311381</v>
      </c>
      <c r="C3627">
        <v>4312448</v>
      </c>
      <c r="E3627" t="s">
        <v>14290</v>
      </c>
      <c r="F3627" t="s">
        <v>23461</v>
      </c>
      <c r="G3627" t="s">
        <v>23462</v>
      </c>
      <c r="H3627">
        <v>93525048</v>
      </c>
      <c r="I3627" t="s">
        <v>14292</v>
      </c>
      <c r="L3627" t="s">
        <v>23463</v>
      </c>
      <c r="M3627">
        <v>355</v>
      </c>
      <c r="N3627" t="s">
        <v>23464</v>
      </c>
    </row>
    <row r="3628" spans="1:14">
      <c r="A3628" t="s">
        <v>9256</v>
      </c>
      <c r="B3628">
        <v>4312466</v>
      </c>
      <c r="C3628">
        <v>4313389</v>
      </c>
      <c r="E3628" t="s">
        <v>14290</v>
      </c>
      <c r="F3628" t="s">
        <v>23465</v>
      </c>
      <c r="H3628">
        <v>93525049</v>
      </c>
      <c r="I3628" t="s">
        <v>14292</v>
      </c>
      <c r="L3628" t="s">
        <v>23466</v>
      </c>
      <c r="M3628">
        <v>307</v>
      </c>
      <c r="N3628" t="s">
        <v>23467</v>
      </c>
    </row>
    <row r="3629" spans="1:14">
      <c r="A3629" t="s">
        <v>9256</v>
      </c>
      <c r="B3629">
        <v>4313462</v>
      </c>
      <c r="C3629">
        <v>4314709</v>
      </c>
      <c r="E3629" t="s">
        <v>14290</v>
      </c>
      <c r="F3629" t="s">
        <v>23468</v>
      </c>
      <c r="H3629">
        <v>93525050</v>
      </c>
      <c r="I3629" t="s">
        <v>14292</v>
      </c>
      <c r="L3629" t="s">
        <v>23469</v>
      </c>
      <c r="M3629">
        <v>415</v>
      </c>
      <c r="N3629" t="s">
        <v>23470</v>
      </c>
    </row>
    <row r="3630" spans="1:14">
      <c r="A3630" t="s">
        <v>9256</v>
      </c>
      <c r="B3630">
        <v>4314832</v>
      </c>
      <c r="C3630">
        <v>4315464</v>
      </c>
      <c r="E3630" t="s">
        <v>14290</v>
      </c>
      <c r="F3630" t="s">
        <v>17493</v>
      </c>
      <c r="H3630">
        <v>93525051</v>
      </c>
      <c r="I3630" t="s">
        <v>14292</v>
      </c>
      <c r="L3630" t="s">
        <v>23471</v>
      </c>
      <c r="M3630">
        <v>210</v>
      </c>
      <c r="N3630" t="s">
        <v>23472</v>
      </c>
    </row>
    <row r="3631" spans="1:14">
      <c r="A3631" t="s">
        <v>9256</v>
      </c>
      <c r="B3631">
        <v>4315503</v>
      </c>
      <c r="C3631">
        <v>4317885</v>
      </c>
      <c r="E3631" t="s">
        <v>14290</v>
      </c>
      <c r="F3631" t="s">
        <v>14414</v>
      </c>
      <c r="H3631">
        <v>93525052</v>
      </c>
      <c r="I3631" t="s">
        <v>14415</v>
      </c>
      <c r="N3631" t="s">
        <v>23473</v>
      </c>
    </row>
    <row r="3632" spans="1:14">
      <c r="A3632" t="s">
        <v>9256</v>
      </c>
      <c r="B3632">
        <v>4317956</v>
      </c>
      <c r="C3632">
        <v>4318996</v>
      </c>
      <c r="E3632" t="s">
        <v>14314</v>
      </c>
      <c r="F3632" t="s">
        <v>23474</v>
      </c>
      <c r="G3632" t="s">
        <v>23475</v>
      </c>
      <c r="H3632">
        <v>93525053</v>
      </c>
      <c r="I3632" t="s">
        <v>14292</v>
      </c>
      <c r="L3632" t="s">
        <v>23476</v>
      </c>
      <c r="M3632">
        <v>346</v>
      </c>
      <c r="N3632" t="s">
        <v>23477</v>
      </c>
    </row>
    <row r="3633" spans="1:14">
      <c r="A3633" t="s">
        <v>9256</v>
      </c>
      <c r="B3633">
        <v>4319022</v>
      </c>
      <c r="C3633">
        <v>4319594</v>
      </c>
      <c r="E3633" t="s">
        <v>14314</v>
      </c>
      <c r="F3633" t="s">
        <v>23478</v>
      </c>
      <c r="G3633" t="s">
        <v>23479</v>
      </c>
      <c r="H3633">
        <v>93525054</v>
      </c>
      <c r="I3633" t="s">
        <v>14292</v>
      </c>
      <c r="L3633" t="s">
        <v>23480</v>
      </c>
      <c r="M3633">
        <v>190</v>
      </c>
      <c r="N3633" t="s">
        <v>23481</v>
      </c>
    </row>
    <row r="3634" spans="1:14">
      <c r="A3634" t="s">
        <v>9256</v>
      </c>
      <c r="B3634">
        <v>4319607</v>
      </c>
      <c r="C3634">
        <v>4320191</v>
      </c>
      <c r="E3634" t="s">
        <v>14314</v>
      </c>
      <c r="F3634" t="s">
        <v>23482</v>
      </c>
      <c r="H3634">
        <v>93525055</v>
      </c>
      <c r="I3634" t="s">
        <v>14292</v>
      </c>
      <c r="L3634" t="s">
        <v>23483</v>
      </c>
      <c r="M3634">
        <v>194</v>
      </c>
      <c r="N3634" t="s">
        <v>23484</v>
      </c>
    </row>
    <row r="3635" spans="1:14">
      <c r="A3635" t="s">
        <v>9256</v>
      </c>
      <c r="B3635">
        <v>4320209</v>
      </c>
      <c r="C3635">
        <v>4320823</v>
      </c>
      <c r="E3635" t="s">
        <v>14314</v>
      </c>
      <c r="F3635" t="s">
        <v>23485</v>
      </c>
      <c r="H3635">
        <v>93525056</v>
      </c>
      <c r="I3635" t="s">
        <v>14292</v>
      </c>
      <c r="L3635" t="s">
        <v>23486</v>
      </c>
      <c r="M3635">
        <v>204</v>
      </c>
      <c r="N3635" t="s">
        <v>23487</v>
      </c>
    </row>
    <row r="3636" spans="1:14">
      <c r="A3636" t="s">
        <v>9256</v>
      </c>
      <c r="B3636">
        <v>4320826</v>
      </c>
      <c r="C3636">
        <v>4321794</v>
      </c>
      <c r="E3636" t="s">
        <v>14314</v>
      </c>
      <c r="F3636" t="s">
        <v>23488</v>
      </c>
      <c r="H3636">
        <v>93525057</v>
      </c>
      <c r="I3636" t="s">
        <v>14292</v>
      </c>
      <c r="L3636" t="s">
        <v>23489</v>
      </c>
      <c r="M3636">
        <v>322</v>
      </c>
      <c r="N3636" t="s">
        <v>23490</v>
      </c>
    </row>
    <row r="3637" spans="1:14">
      <c r="A3637" t="s">
        <v>9256</v>
      </c>
      <c r="B3637">
        <v>4321807</v>
      </c>
      <c r="C3637">
        <v>4323138</v>
      </c>
      <c r="E3637" t="s">
        <v>14314</v>
      </c>
      <c r="F3637" t="s">
        <v>23491</v>
      </c>
      <c r="G3637" t="s">
        <v>23492</v>
      </c>
      <c r="H3637">
        <v>93525058</v>
      </c>
      <c r="I3637" t="s">
        <v>14292</v>
      </c>
      <c r="L3637" t="s">
        <v>23493</v>
      </c>
      <c r="M3637">
        <v>443</v>
      </c>
      <c r="N3637" t="s">
        <v>23494</v>
      </c>
    </row>
    <row r="3638" spans="1:14">
      <c r="A3638" t="s">
        <v>9256</v>
      </c>
      <c r="B3638">
        <v>4323150</v>
      </c>
      <c r="C3638">
        <v>4324082</v>
      </c>
      <c r="E3638" t="s">
        <v>14314</v>
      </c>
      <c r="F3638" t="s">
        <v>23495</v>
      </c>
      <c r="H3638">
        <v>93525059</v>
      </c>
      <c r="I3638" t="s">
        <v>14292</v>
      </c>
      <c r="L3638" t="s">
        <v>23496</v>
      </c>
      <c r="M3638">
        <v>310</v>
      </c>
      <c r="N3638" t="s">
        <v>23497</v>
      </c>
    </row>
    <row r="3639" spans="1:14">
      <c r="A3639" t="s">
        <v>9256</v>
      </c>
      <c r="B3639">
        <v>4324092</v>
      </c>
      <c r="C3639">
        <v>4324508</v>
      </c>
      <c r="E3639" t="s">
        <v>14314</v>
      </c>
      <c r="F3639" t="s">
        <v>23498</v>
      </c>
      <c r="H3639">
        <v>93525060</v>
      </c>
      <c r="I3639" t="s">
        <v>14292</v>
      </c>
      <c r="L3639" t="s">
        <v>23499</v>
      </c>
      <c r="M3639">
        <v>138</v>
      </c>
      <c r="N3639" t="s">
        <v>23500</v>
      </c>
    </row>
    <row r="3640" spans="1:14">
      <c r="A3640" t="s">
        <v>9256</v>
      </c>
      <c r="B3640">
        <v>4324610</v>
      </c>
      <c r="C3640">
        <v>4326154</v>
      </c>
      <c r="E3640" t="s">
        <v>14314</v>
      </c>
      <c r="F3640" t="s">
        <v>23501</v>
      </c>
      <c r="H3640">
        <v>93525061</v>
      </c>
      <c r="I3640" t="s">
        <v>14292</v>
      </c>
      <c r="L3640" t="s">
        <v>23502</v>
      </c>
      <c r="M3640">
        <v>514</v>
      </c>
      <c r="N3640" t="s">
        <v>23503</v>
      </c>
    </row>
    <row r="3641" spans="1:14">
      <c r="A3641" t="s">
        <v>9256</v>
      </c>
      <c r="B3641">
        <v>4326572</v>
      </c>
      <c r="C3641">
        <v>4328179</v>
      </c>
      <c r="E3641" t="s">
        <v>14290</v>
      </c>
      <c r="F3641" t="s">
        <v>23504</v>
      </c>
      <c r="H3641">
        <v>93525062</v>
      </c>
      <c r="I3641" t="s">
        <v>14292</v>
      </c>
      <c r="L3641" t="s">
        <v>23505</v>
      </c>
      <c r="M3641">
        <v>535</v>
      </c>
      <c r="N3641" t="s">
        <v>23506</v>
      </c>
    </row>
    <row r="3642" spans="1:14">
      <c r="A3642" t="s">
        <v>9256</v>
      </c>
      <c r="B3642">
        <v>4328190</v>
      </c>
      <c r="C3642">
        <v>4330091</v>
      </c>
      <c r="E3642" t="s">
        <v>14290</v>
      </c>
      <c r="F3642" t="s">
        <v>23507</v>
      </c>
      <c r="G3642" t="s">
        <v>23508</v>
      </c>
      <c r="H3642">
        <v>93525063</v>
      </c>
      <c r="I3642" t="s">
        <v>14292</v>
      </c>
      <c r="L3642" t="s">
        <v>23509</v>
      </c>
      <c r="M3642">
        <v>633</v>
      </c>
      <c r="N3642" t="s">
        <v>23510</v>
      </c>
    </row>
    <row r="3643" spans="1:14">
      <c r="A3643" t="s">
        <v>9256</v>
      </c>
      <c r="B3643">
        <v>4330340</v>
      </c>
      <c r="C3643">
        <v>4332064</v>
      </c>
      <c r="E3643" t="s">
        <v>14290</v>
      </c>
      <c r="F3643" t="s">
        <v>17187</v>
      </c>
      <c r="H3643">
        <v>93525064</v>
      </c>
      <c r="I3643" t="s">
        <v>14292</v>
      </c>
      <c r="L3643" t="s">
        <v>23511</v>
      </c>
      <c r="M3643">
        <v>574</v>
      </c>
      <c r="N3643" t="s">
        <v>23512</v>
      </c>
    </row>
    <row r="3644" spans="1:14">
      <c r="A3644" t="s">
        <v>9256</v>
      </c>
      <c r="B3644">
        <v>4332081</v>
      </c>
      <c r="C3644">
        <v>4332833</v>
      </c>
      <c r="E3644" t="s">
        <v>14314</v>
      </c>
      <c r="F3644" t="s">
        <v>23513</v>
      </c>
      <c r="G3644" t="s">
        <v>23514</v>
      </c>
      <c r="H3644">
        <v>93525065</v>
      </c>
      <c r="I3644" t="s">
        <v>14292</v>
      </c>
      <c r="L3644" t="s">
        <v>23515</v>
      </c>
      <c r="M3644">
        <v>250</v>
      </c>
      <c r="N3644" t="s">
        <v>23516</v>
      </c>
    </row>
    <row r="3645" spans="1:14">
      <c r="A3645" t="s">
        <v>9256</v>
      </c>
      <c r="B3645">
        <v>4332851</v>
      </c>
      <c r="C3645">
        <v>4335121</v>
      </c>
      <c r="E3645" t="s">
        <v>14314</v>
      </c>
      <c r="F3645" t="s">
        <v>19862</v>
      </c>
      <c r="H3645">
        <v>93525066</v>
      </c>
      <c r="I3645" t="s">
        <v>14292</v>
      </c>
      <c r="L3645" t="s">
        <v>23517</v>
      </c>
      <c r="M3645">
        <v>756</v>
      </c>
      <c r="N3645" t="s">
        <v>23518</v>
      </c>
    </row>
    <row r="3646" spans="1:14">
      <c r="A3646" t="s">
        <v>9256</v>
      </c>
      <c r="B3646">
        <v>4335192</v>
      </c>
      <c r="C3646">
        <v>4335827</v>
      </c>
      <c r="E3646" t="s">
        <v>14290</v>
      </c>
      <c r="F3646" t="s">
        <v>21040</v>
      </c>
      <c r="H3646">
        <v>93525067</v>
      </c>
      <c r="I3646" t="s">
        <v>14292</v>
      </c>
      <c r="L3646" t="s">
        <v>23519</v>
      </c>
      <c r="M3646">
        <v>211</v>
      </c>
      <c r="N3646" t="s">
        <v>23520</v>
      </c>
    </row>
    <row r="3647" spans="1:14">
      <c r="A3647" t="s">
        <v>9256</v>
      </c>
      <c r="B3647">
        <v>4335834</v>
      </c>
      <c r="C3647">
        <v>4337213</v>
      </c>
      <c r="E3647" t="s">
        <v>14314</v>
      </c>
      <c r="F3647" t="s">
        <v>16029</v>
      </c>
      <c r="H3647">
        <v>93525068</v>
      </c>
      <c r="I3647" t="s">
        <v>14292</v>
      </c>
      <c r="L3647" t="s">
        <v>23521</v>
      </c>
      <c r="M3647">
        <v>459</v>
      </c>
      <c r="N3647" t="s">
        <v>23522</v>
      </c>
    </row>
    <row r="3648" spans="1:14">
      <c r="A3648" t="s">
        <v>9256</v>
      </c>
      <c r="B3648">
        <v>4337479</v>
      </c>
      <c r="C3648">
        <v>4338924</v>
      </c>
      <c r="E3648" t="s">
        <v>14290</v>
      </c>
      <c r="F3648" t="s">
        <v>18530</v>
      </c>
      <c r="H3648">
        <v>93525069</v>
      </c>
      <c r="I3648" t="s">
        <v>14292</v>
      </c>
      <c r="L3648" t="s">
        <v>18531</v>
      </c>
      <c r="M3648">
        <v>481</v>
      </c>
      <c r="N3648" t="s">
        <v>23523</v>
      </c>
    </row>
    <row r="3649" spans="1:14">
      <c r="A3649" t="s">
        <v>9256</v>
      </c>
      <c r="B3649">
        <v>4339151</v>
      </c>
      <c r="C3649">
        <v>4339660</v>
      </c>
      <c r="E3649" t="s">
        <v>14290</v>
      </c>
      <c r="F3649" t="s">
        <v>15442</v>
      </c>
      <c r="H3649">
        <v>93525070</v>
      </c>
      <c r="I3649" t="s">
        <v>14292</v>
      </c>
      <c r="L3649" t="s">
        <v>23524</v>
      </c>
      <c r="M3649">
        <v>169</v>
      </c>
      <c r="N3649" t="s">
        <v>23525</v>
      </c>
    </row>
    <row r="3650" spans="1:14">
      <c r="A3650" t="s">
        <v>9256</v>
      </c>
      <c r="B3650">
        <v>4339711</v>
      </c>
      <c r="C3650">
        <v>4341369</v>
      </c>
      <c r="E3650" t="s">
        <v>14314</v>
      </c>
      <c r="F3650" t="s">
        <v>16424</v>
      </c>
      <c r="H3650">
        <v>93525071</v>
      </c>
      <c r="I3650" t="s">
        <v>14292</v>
      </c>
      <c r="L3650" t="s">
        <v>23526</v>
      </c>
      <c r="M3650">
        <v>552</v>
      </c>
      <c r="N3650" t="s">
        <v>23527</v>
      </c>
    </row>
    <row r="3651" spans="1:14">
      <c r="A3651" t="s">
        <v>9256</v>
      </c>
      <c r="B3651">
        <v>4341510</v>
      </c>
      <c r="C3651">
        <v>4342310</v>
      </c>
      <c r="E3651" t="s">
        <v>14290</v>
      </c>
      <c r="F3651" t="s">
        <v>23528</v>
      </c>
      <c r="G3651" t="s">
        <v>23529</v>
      </c>
      <c r="H3651">
        <v>93525072</v>
      </c>
      <c r="I3651" t="s">
        <v>14292</v>
      </c>
      <c r="L3651" t="s">
        <v>23530</v>
      </c>
      <c r="M3651">
        <v>266</v>
      </c>
      <c r="N3651" t="s">
        <v>23531</v>
      </c>
    </row>
    <row r="3652" spans="1:14">
      <c r="A3652" t="s">
        <v>9256</v>
      </c>
      <c r="B3652">
        <v>4342256</v>
      </c>
      <c r="C3652">
        <v>4342921</v>
      </c>
      <c r="E3652" t="s">
        <v>14290</v>
      </c>
      <c r="F3652" t="s">
        <v>23532</v>
      </c>
      <c r="G3652" t="s">
        <v>23533</v>
      </c>
      <c r="H3652">
        <v>93525073</v>
      </c>
      <c r="I3652" t="s">
        <v>14292</v>
      </c>
      <c r="L3652" t="s">
        <v>23534</v>
      </c>
      <c r="M3652">
        <v>221</v>
      </c>
      <c r="N3652" t="s">
        <v>23535</v>
      </c>
    </row>
    <row r="3653" spans="1:14">
      <c r="A3653" t="s">
        <v>9256</v>
      </c>
      <c r="B3653">
        <v>4342923</v>
      </c>
      <c r="C3653">
        <v>4343855</v>
      </c>
      <c r="E3653" t="s">
        <v>14290</v>
      </c>
      <c r="F3653" t="s">
        <v>23536</v>
      </c>
      <c r="H3653">
        <v>93525074</v>
      </c>
      <c r="I3653" t="s">
        <v>14292</v>
      </c>
      <c r="L3653" t="s">
        <v>23537</v>
      </c>
      <c r="M3653">
        <v>310</v>
      </c>
      <c r="N3653" t="s">
        <v>23538</v>
      </c>
    </row>
    <row r="3654" spans="1:14">
      <c r="A3654" t="s">
        <v>9256</v>
      </c>
      <c r="B3654">
        <v>4343812</v>
      </c>
      <c r="C3654">
        <v>4348275</v>
      </c>
      <c r="E3654" t="s">
        <v>14314</v>
      </c>
      <c r="F3654" t="s">
        <v>17621</v>
      </c>
      <c r="H3654">
        <v>93525075</v>
      </c>
      <c r="I3654" t="s">
        <v>14292</v>
      </c>
      <c r="L3654" t="s">
        <v>23539</v>
      </c>
      <c r="M3654">
        <v>1487</v>
      </c>
      <c r="N3654" t="s">
        <v>23540</v>
      </c>
    </row>
    <row r="3655" spans="1:14">
      <c r="A3655" t="s">
        <v>9256</v>
      </c>
      <c r="B3655">
        <v>4348415</v>
      </c>
      <c r="C3655">
        <v>4349434</v>
      </c>
      <c r="E3655" t="s">
        <v>14290</v>
      </c>
      <c r="F3655" t="s">
        <v>23541</v>
      </c>
      <c r="G3655" t="s">
        <v>23542</v>
      </c>
      <c r="H3655">
        <v>93525076</v>
      </c>
      <c r="I3655" t="s">
        <v>14292</v>
      </c>
      <c r="L3655" t="s">
        <v>23543</v>
      </c>
      <c r="M3655">
        <v>339</v>
      </c>
      <c r="N3655" t="s">
        <v>23544</v>
      </c>
    </row>
    <row r="3656" spans="1:14">
      <c r="A3656" t="s">
        <v>9256</v>
      </c>
      <c r="B3656">
        <v>4349475</v>
      </c>
      <c r="C3656">
        <v>4350011</v>
      </c>
      <c r="E3656" t="s">
        <v>14290</v>
      </c>
      <c r="F3656" t="s">
        <v>23545</v>
      </c>
      <c r="H3656">
        <v>93525077</v>
      </c>
      <c r="I3656" t="s">
        <v>14292</v>
      </c>
      <c r="L3656" t="s">
        <v>23546</v>
      </c>
      <c r="M3656">
        <v>178</v>
      </c>
      <c r="N3656" t="s">
        <v>23547</v>
      </c>
    </row>
    <row r="3657" spans="1:14">
      <c r="A3657" t="s">
        <v>9256</v>
      </c>
      <c r="B3657">
        <v>4350024</v>
      </c>
      <c r="C3657">
        <v>4351763</v>
      </c>
      <c r="E3657" t="s">
        <v>14314</v>
      </c>
      <c r="F3657" t="s">
        <v>21498</v>
      </c>
      <c r="H3657">
        <v>93525078</v>
      </c>
      <c r="I3657" t="s">
        <v>14292</v>
      </c>
      <c r="L3657" t="s">
        <v>23548</v>
      </c>
      <c r="M3657">
        <v>579</v>
      </c>
      <c r="N3657" t="s">
        <v>23549</v>
      </c>
    </row>
    <row r="3658" spans="1:14">
      <c r="A3658" t="s">
        <v>9256</v>
      </c>
      <c r="B3658">
        <v>4351846</v>
      </c>
      <c r="C3658">
        <v>4353837</v>
      </c>
      <c r="E3658" t="s">
        <v>14290</v>
      </c>
      <c r="F3658" t="s">
        <v>18261</v>
      </c>
      <c r="H3658">
        <v>93525079</v>
      </c>
      <c r="I3658" t="s">
        <v>14292</v>
      </c>
      <c r="L3658" t="s">
        <v>23550</v>
      </c>
      <c r="M3658">
        <v>663</v>
      </c>
      <c r="N3658" t="s">
        <v>23551</v>
      </c>
    </row>
    <row r="3659" spans="1:14">
      <c r="A3659" t="s">
        <v>9256</v>
      </c>
      <c r="B3659">
        <v>4353936</v>
      </c>
      <c r="C3659">
        <v>4354958</v>
      </c>
      <c r="E3659" t="s">
        <v>14290</v>
      </c>
      <c r="F3659" t="s">
        <v>14493</v>
      </c>
      <c r="H3659">
        <v>93525080</v>
      </c>
      <c r="I3659" t="s">
        <v>14292</v>
      </c>
      <c r="L3659" t="s">
        <v>23552</v>
      </c>
      <c r="M3659">
        <v>340</v>
      </c>
      <c r="N3659" t="s">
        <v>23553</v>
      </c>
    </row>
    <row r="3660" spans="1:14">
      <c r="A3660" t="s">
        <v>9256</v>
      </c>
      <c r="B3660">
        <v>4354955</v>
      </c>
      <c r="C3660">
        <v>4355665</v>
      </c>
      <c r="E3660" t="s">
        <v>14290</v>
      </c>
      <c r="F3660" t="s">
        <v>14498</v>
      </c>
      <c r="H3660">
        <v>93525081</v>
      </c>
      <c r="I3660" t="s">
        <v>14292</v>
      </c>
      <c r="L3660" t="s">
        <v>23554</v>
      </c>
      <c r="M3660">
        <v>236</v>
      </c>
      <c r="N3660" t="s">
        <v>23555</v>
      </c>
    </row>
    <row r="3661" spans="1:14">
      <c r="A3661" t="s">
        <v>9256</v>
      </c>
      <c r="B3661">
        <v>4355795</v>
      </c>
      <c r="C3661">
        <v>4356334</v>
      </c>
      <c r="E3661" t="s">
        <v>14290</v>
      </c>
      <c r="F3661" t="s">
        <v>23556</v>
      </c>
      <c r="H3661">
        <v>93525082</v>
      </c>
      <c r="I3661" t="s">
        <v>14292</v>
      </c>
      <c r="L3661" t="s">
        <v>23557</v>
      </c>
      <c r="M3661">
        <v>179</v>
      </c>
      <c r="N3661" t="s">
        <v>23558</v>
      </c>
    </row>
    <row r="3662" spans="1:14">
      <c r="A3662" t="s">
        <v>9256</v>
      </c>
      <c r="B3662">
        <v>4356382</v>
      </c>
      <c r="C3662">
        <v>4357656</v>
      </c>
      <c r="E3662" t="s">
        <v>14290</v>
      </c>
      <c r="F3662" t="s">
        <v>23559</v>
      </c>
      <c r="G3662" t="s">
        <v>23560</v>
      </c>
      <c r="H3662">
        <v>93525083</v>
      </c>
      <c r="I3662" t="s">
        <v>14292</v>
      </c>
      <c r="L3662" t="s">
        <v>23561</v>
      </c>
      <c r="M3662">
        <v>424</v>
      </c>
      <c r="N3662" t="s">
        <v>23562</v>
      </c>
    </row>
    <row r="3663" spans="1:14">
      <c r="A3663" t="s">
        <v>9256</v>
      </c>
      <c r="B3663">
        <v>4357732</v>
      </c>
      <c r="C3663">
        <v>4360200</v>
      </c>
      <c r="E3663" t="s">
        <v>14314</v>
      </c>
      <c r="F3663" t="s">
        <v>14853</v>
      </c>
      <c r="H3663">
        <v>93525084</v>
      </c>
      <c r="I3663" t="s">
        <v>14292</v>
      </c>
      <c r="L3663" t="s">
        <v>23563</v>
      </c>
      <c r="M3663">
        <v>822</v>
      </c>
      <c r="N3663" t="s">
        <v>23564</v>
      </c>
    </row>
    <row r="3664" spans="1:14">
      <c r="A3664" t="s">
        <v>9256</v>
      </c>
      <c r="B3664">
        <v>4360268</v>
      </c>
      <c r="C3664">
        <v>4360633</v>
      </c>
      <c r="E3664" t="s">
        <v>14314</v>
      </c>
      <c r="F3664" t="s">
        <v>14731</v>
      </c>
      <c r="H3664">
        <v>93525085</v>
      </c>
      <c r="I3664" t="s">
        <v>14292</v>
      </c>
      <c r="L3664" t="s">
        <v>23565</v>
      </c>
      <c r="M3664">
        <v>121</v>
      </c>
      <c r="N3664" t="s">
        <v>23566</v>
      </c>
    </row>
    <row r="3665" spans="1:14">
      <c r="A3665" t="s">
        <v>9256</v>
      </c>
      <c r="B3665">
        <v>4360843</v>
      </c>
      <c r="C3665">
        <v>4361820</v>
      </c>
      <c r="E3665" t="s">
        <v>14314</v>
      </c>
      <c r="F3665" t="s">
        <v>23567</v>
      </c>
      <c r="H3665">
        <v>93525086</v>
      </c>
      <c r="I3665" t="s">
        <v>14292</v>
      </c>
      <c r="L3665" t="s">
        <v>23568</v>
      </c>
      <c r="M3665">
        <v>325</v>
      </c>
      <c r="N3665" t="s">
        <v>23569</v>
      </c>
    </row>
    <row r="3666" spans="1:14">
      <c r="A3666" t="s">
        <v>9256</v>
      </c>
      <c r="B3666">
        <v>4361850</v>
      </c>
      <c r="C3666">
        <v>4362518</v>
      </c>
      <c r="E3666" t="s">
        <v>14314</v>
      </c>
      <c r="F3666" t="s">
        <v>23570</v>
      </c>
      <c r="H3666">
        <v>93525087</v>
      </c>
      <c r="I3666" t="s">
        <v>14292</v>
      </c>
      <c r="L3666" t="s">
        <v>23571</v>
      </c>
      <c r="M3666">
        <v>222</v>
      </c>
      <c r="N3666" t="s">
        <v>23572</v>
      </c>
    </row>
    <row r="3667" spans="1:14">
      <c r="A3667" t="s">
        <v>9256</v>
      </c>
      <c r="B3667">
        <v>4362523</v>
      </c>
      <c r="C3667">
        <v>4363026</v>
      </c>
      <c r="E3667" t="s">
        <v>14314</v>
      </c>
      <c r="F3667" t="s">
        <v>23573</v>
      </c>
      <c r="H3667">
        <v>93525088</v>
      </c>
      <c r="I3667" t="s">
        <v>14292</v>
      </c>
      <c r="L3667" t="s">
        <v>23574</v>
      </c>
      <c r="M3667">
        <v>167</v>
      </c>
      <c r="N3667" t="s">
        <v>23575</v>
      </c>
    </row>
    <row r="3668" spans="1:14">
      <c r="A3668" t="s">
        <v>9256</v>
      </c>
      <c r="B3668">
        <v>4363182</v>
      </c>
      <c r="C3668">
        <v>4364114</v>
      </c>
      <c r="E3668" t="s">
        <v>14290</v>
      </c>
      <c r="F3668" t="s">
        <v>15126</v>
      </c>
      <c r="H3668">
        <v>93525089</v>
      </c>
      <c r="I3668" t="s">
        <v>14292</v>
      </c>
      <c r="L3668" t="s">
        <v>23576</v>
      </c>
      <c r="M3668">
        <v>310</v>
      </c>
      <c r="N3668" t="s">
        <v>23577</v>
      </c>
    </row>
    <row r="3669" spans="1:14">
      <c r="A3669" t="s">
        <v>9256</v>
      </c>
      <c r="B3669">
        <v>4364624</v>
      </c>
      <c r="C3669">
        <v>4365727</v>
      </c>
      <c r="E3669" t="s">
        <v>14290</v>
      </c>
      <c r="F3669" t="s">
        <v>15122</v>
      </c>
      <c r="G3669" t="s">
        <v>15123</v>
      </c>
      <c r="H3669">
        <v>93525090</v>
      </c>
      <c r="I3669" t="s">
        <v>14292</v>
      </c>
      <c r="L3669" t="s">
        <v>23578</v>
      </c>
      <c r="M3669">
        <v>367</v>
      </c>
      <c r="N3669" t="s">
        <v>23579</v>
      </c>
    </row>
    <row r="3670" spans="1:14">
      <c r="A3670" t="s">
        <v>9256</v>
      </c>
      <c r="B3670">
        <v>4365747</v>
      </c>
      <c r="C3670">
        <v>4366160</v>
      </c>
      <c r="E3670" t="s">
        <v>14290</v>
      </c>
      <c r="F3670" t="s">
        <v>14291</v>
      </c>
      <c r="H3670">
        <v>93525091</v>
      </c>
      <c r="I3670" t="s">
        <v>14292</v>
      </c>
      <c r="L3670" t="s">
        <v>23580</v>
      </c>
      <c r="M3670">
        <v>137</v>
      </c>
      <c r="N3670" t="s">
        <v>23581</v>
      </c>
    </row>
    <row r="3671" spans="1:14">
      <c r="A3671" t="s">
        <v>9256</v>
      </c>
      <c r="B3671">
        <v>4366157</v>
      </c>
      <c r="C3671">
        <v>4366828</v>
      </c>
      <c r="E3671" t="s">
        <v>14290</v>
      </c>
      <c r="F3671" t="s">
        <v>14369</v>
      </c>
      <c r="H3671">
        <v>93525092</v>
      </c>
      <c r="I3671" t="s">
        <v>14292</v>
      </c>
      <c r="L3671" t="s">
        <v>23582</v>
      </c>
      <c r="M3671">
        <v>223</v>
      </c>
      <c r="N3671" t="s">
        <v>23583</v>
      </c>
    </row>
    <row r="3672" spans="1:14">
      <c r="A3672" t="s">
        <v>9256</v>
      </c>
      <c r="B3672">
        <v>4366831</v>
      </c>
      <c r="C3672">
        <v>4367277</v>
      </c>
      <c r="E3672" t="s">
        <v>14314</v>
      </c>
      <c r="F3672" t="s">
        <v>14487</v>
      </c>
      <c r="H3672">
        <v>93525093</v>
      </c>
      <c r="I3672" t="s">
        <v>14292</v>
      </c>
      <c r="L3672" t="s">
        <v>23584</v>
      </c>
      <c r="M3672">
        <v>148</v>
      </c>
      <c r="N3672" t="s">
        <v>23585</v>
      </c>
    </row>
    <row r="3673" spans="1:14">
      <c r="A3673" t="s">
        <v>9256</v>
      </c>
      <c r="B3673">
        <v>4367310</v>
      </c>
      <c r="C3673">
        <v>4367405</v>
      </c>
      <c r="E3673" t="s">
        <v>14314</v>
      </c>
      <c r="F3673" t="s">
        <v>15106</v>
      </c>
      <c r="H3673">
        <v>93525094</v>
      </c>
      <c r="I3673" t="s">
        <v>14292</v>
      </c>
      <c r="L3673" t="s">
        <v>15107</v>
      </c>
      <c r="M3673">
        <v>31</v>
      </c>
      <c r="N3673" t="s">
        <v>23586</v>
      </c>
    </row>
    <row r="3674" spans="1:14">
      <c r="A3674" t="s">
        <v>9256</v>
      </c>
      <c r="B3674">
        <v>4367658</v>
      </c>
      <c r="C3674">
        <v>4368155</v>
      </c>
      <c r="E3674" t="s">
        <v>14314</v>
      </c>
      <c r="F3674" t="s">
        <v>15103</v>
      </c>
      <c r="H3674">
        <v>93525095</v>
      </c>
      <c r="I3674" t="s">
        <v>14292</v>
      </c>
      <c r="L3674" t="s">
        <v>23587</v>
      </c>
      <c r="M3674">
        <v>165</v>
      </c>
      <c r="N3674" t="s">
        <v>23588</v>
      </c>
    </row>
    <row r="3675" spans="1:14">
      <c r="A3675" t="s">
        <v>9256</v>
      </c>
      <c r="B3675">
        <v>4368385</v>
      </c>
      <c r="C3675">
        <v>4368624</v>
      </c>
      <c r="E3675" t="s">
        <v>14290</v>
      </c>
      <c r="F3675" t="s">
        <v>15100</v>
      </c>
      <c r="H3675">
        <v>93525096</v>
      </c>
      <c r="I3675" t="s">
        <v>14292</v>
      </c>
      <c r="L3675" t="s">
        <v>23589</v>
      </c>
      <c r="M3675">
        <v>79</v>
      </c>
      <c r="N3675" t="s">
        <v>23590</v>
      </c>
    </row>
    <row r="3676" spans="1:14">
      <c r="A3676" t="s">
        <v>9256</v>
      </c>
      <c r="B3676">
        <v>4368758</v>
      </c>
      <c r="C3676">
        <v>4370590</v>
      </c>
      <c r="E3676" t="s">
        <v>14314</v>
      </c>
      <c r="F3676" t="s">
        <v>15097</v>
      </c>
      <c r="H3676">
        <v>93525097</v>
      </c>
      <c r="I3676" t="s">
        <v>14292</v>
      </c>
      <c r="L3676" t="s">
        <v>23591</v>
      </c>
      <c r="M3676">
        <v>610</v>
      </c>
      <c r="N3676" t="s">
        <v>23592</v>
      </c>
    </row>
    <row r="3677" spans="1:14">
      <c r="A3677" t="s">
        <v>9256</v>
      </c>
      <c r="B3677">
        <v>4370646</v>
      </c>
      <c r="C3677">
        <v>4371209</v>
      </c>
      <c r="E3677" t="s">
        <v>14314</v>
      </c>
      <c r="F3677" t="s">
        <v>15094</v>
      </c>
      <c r="H3677">
        <v>93525098</v>
      </c>
      <c r="I3677" t="s">
        <v>14292</v>
      </c>
      <c r="L3677" t="s">
        <v>23593</v>
      </c>
      <c r="M3677">
        <v>187</v>
      </c>
      <c r="N3677" t="s">
        <v>23594</v>
      </c>
    </row>
    <row r="3678" spans="1:14">
      <c r="A3678" t="s">
        <v>9256</v>
      </c>
      <c r="B3678">
        <v>4371347</v>
      </c>
      <c r="C3678">
        <v>4371775</v>
      </c>
      <c r="E3678" t="s">
        <v>14290</v>
      </c>
      <c r="F3678" t="s">
        <v>14291</v>
      </c>
      <c r="H3678">
        <v>93525099</v>
      </c>
      <c r="I3678" t="s">
        <v>14292</v>
      </c>
      <c r="L3678" t="s">
        <v>23595</v>
      </c>
      <c r="M3678">
        <v>142</v>
      </c>
      <c r="N3678" t="s">
        <v>23596</v>
      </c>
    </row>
    <row r="3679" spans="1:14">
      <c r="A3679" t="s">
        <v>9256</v>
      </c>
      <c r="B3679">
        <v>4371845</v>
      </c>
      <c r="C3679">
        <v>4372138</v>
      </c>
      <c r="E3679" t="s">
        <v>14290</v>
      </c>
      <c r="F3679" t="s">
        <v>15392</v>
      </c>
      <c r="H3679">
        <v>93525100</v>
      </c>
      <c r="I3679" t="s">
        <v>14292</v>
      </c>
      <c r="L3679" t="s">
        <v>23597</v>
      </c>
      <c r="M3679">
        <v>97</v>
      </c>
      <c r="N3679" t="s">
        <v>23598</v>
      </c>
    </row>
    <row r="3680" spans="1:14">
      <c r="A3680" t="s">
        <v>9256</v>
      </c>
      <c r="B3680">
        <v>4372131</v>
      </c>
      <c r="C3680">
        <v>4372505</v>
      </c>
      <c r="E3680" t="s">
        <v>14290</v>
      </c>
      <c r="F3680" t="s">
        <v>15389</v>
      </c>
      <c r="H3680">
        <v>93525101</v>
      </c>
      <c r="I3680" t="s">
        <v>14292</v>
      </c>
      <c r="L3680" t="s">
        <v>23599</v>
      </c>
      <c r="M3680">
        <v>124</v>
      </c>
      <c r="N3680" t="s">
        <v>23600</v>
      </c>
    </row>
    <row r="3681" spans="1:14">
      <c r="A3681" t="s">
        <v>9256</v>
      </c>
      <c r="B3681">
        <v>4373069</v>
      </c>
      <c r="C3681">
        <v>4373473</v>
      </c>
      <c r="E3681" t="s">
        <v>14290</v>
      </c>
      <c r="F3681" t="s">
        <v>23601</v>
      </c>
      <c r="H3681">
        <v>93525102</v>
      </c>
      <c r="I3681" t="s">
        <v>14292</v>
      </c>
      <c r="L3681" t="s">
        <v>23602</v>
      </c>
      <c r="M3681">
        <v>134</v>
      </c>
      <c r="N3681" t="s">
        <v>23603</v>
      </c>
    </row>
    <row r="3682" spans="1:14">
      <c r="A3682" t="s">
        <v>9256</v>
      </c>
      <c r="B3682">
        <v>4373698</v>
      </c>
      <c r="C3682">
        <v>4374186</v>
      </c>
      <c r="E3682" t="s">
        <v>14290</v>
      </c>
      <c r="F3682" t="s">
        <v>23601</v>
      </c>
      <c r="H3682">
        <v>93525103</v>
      </c>
      <c r="I3682" t="s">
        <v>14292</v>
      </c>
      <c r="L3682" t="s">
        <v>23604</v>
      </c>
      <c r="M3682">
        <v>162</v>
      </c>
      <c r="N3682" t="s">
        <v>23605</v>
      </c>
    </row>
    <row r="3683" spans="1:14">
      <c r="A3683" t="s">
        <v>9256</v>
      </c>
      <c r="B3683">
        <v>4374186</v>
      </c>
      <c r="C3683">
        <v>4374602</v>
      </c>
      <c r="E3683" t="s">
        <v>14290</v>
      </c>
      <c r="F3683" t="s">
        <v>23601</v>
      </c>
      <c r="H3683">
        <v>93525104</v>
      </c>
      <c r="I3683" t="s">
        <v>14292</v>
      </c>
      <c r="L3683" t="s">
        <v>23606</v>
      </c>
      <c r="M3683">
        <v>138</v>
      </c>
      <c r="N3683" t="s">
        <v>23607</v>
      </c>
    </row>
    <row r="3684" spans="1:14">
      <c r="A3684" t="s">
        <v>9256</v>
      </c>
      <c r="B3684">
        <v>4374599</v>
      </c>
      <c r="C3684">
        <v>4375795</v>
      </c>
      <c r="E3684" t="s">
        <v>14290</v>
      </c>
      <c r="F3684" t="s">
        <v>23608</v>
      </c>
      <c r="H3684">
        <v>93525105</v>
      </c>
      <c r="I3684" t="s">
        <v>14292</v>
      </c>
      <c r="L3684" t="s">
        <v>23609</v>
      </c>
      <c r="M3684">
        <v>398</v>
      </c>
      <c r="N3684" t="s">
        <v>23610</v>
      </c>
    </row>
    <row r="3685" spans="1:14">
      <c r="A3685" t="s">
        <v>9256</v>
      </c>
      <c r="B3685">
        <v>4375792</v>
      </c>
      <c r="C3685">
        <v>4376895</v>
      </c>
      <c r="E3685" t="s">
        <v>14290</v>
      </c>
      <c r="F3685" t="s">
        <v>17951</v>
      </c>
      <c r="H3685">
        <v>93525106</v>
      </c>
      <c r="I3685" t="s">
        <v>14292</v>
      </c>
      <c r="L3685" t="s">
        <v>23611</v>
      </c>
      <c r="M3685">
        <v>367</v>
      </c>
      <c r="N3685" t="s">
        <v>23612</v>
      </c>
    </row>
    <row r="3686" spans="1:14">
      <c r="A3686" t="s">
        <v>9256</v>
      </c>
      <c r="B3686">
        <v>4376883</v>
      </c>
      <c r="C3686">
        <v>4378184</v>
      </c>
      <c r="E3686" t="s">
        <v>14290</v>
      </c>
      <c r="F3686" t="s">
        <v>23613</v>
      </c>
      <c r="H3686">
        <v>93525107</v>
      </c>
      <c r="I3686" t="s">
        <v>14292</v>
      </c>
      <c r="L3686" t="s">
        <v>23614</v>
      </c>
      <c r="M3686">
        <v>433</v>
      </c>
      <c r="N3686" t="s">
        <v>23615</v>
      </c>
    </row>
    <row r="3687" spans="1:14">
      <c r="A3687" t="s">
        <v>9256</v>
      </c>
      <c r="B3687">
        <v>4378174</v>
      </c>
      <c r="C3687">
        <v>4379100</v>
      </c>
      <c r="E3687" t="s">
        <v>14290</v>
      </c>
      <c r="F3687" t="s">
        <v>14364</v>
      </c>
      <c r="H3687">
        <v>93525108</v>
      </c>
      <c r="I3687" t="s">
        <v>14292</v>
      </c>
      <c r="L3687" t="s">
        <v>23616</v>
      </c>
      <c r="M3687">
        <v>308</v>
      </c>
      <c r="N3687" t="s">
        <v>23617</v>
      </c>
    </row>
    <row r="3688" spans="1:14">
      <c r="A3688" t="s">
        <v>9256</v>
      </c>
      <c r="B3688">
        <v>4379147</v>
      </c>
      <c r="C3688">
        <v>4380400</v>
      </c>
      <c r="E3688" t="s">
        <v>14290</v>
      </c>
      <c r="F3688" t="s">
        <v>14291</v>
      </c>
      <c r="H3688">
        <v>93525109</v>
      </c>
      <c r="I3688" t="s">
        <v>14292</v>
      </c>
      <c r="L3688" t="s">
        <v>23618</v>
      </c>
      <c r="M3688">
        <v>417</v>
      </c>
      <c r="N3688" t="s">
        <v>23619</v>
      </c>
    </row>
    <row r="3689" spans="1:14">
      <c r="A3689" t="s">
        <v>9256</v>
      </c>
      <c r="B3689">
        <v>4380397</v>
      </c>
      <c r="C3689">
        <v>4381383</v>
      </c>
      <c r="E3689" t="s">
        <v>14290</v>
      </c>
      <c r="F3689" t="s">
        <v>14335</v>
      </c>
      <c r="H3689">
        <v>93525110</v>
      </c>
      <c r="I3689" t="s">
        <v>14292</v>
      </c>
      <c r="L3689" t="s">
        <v>23620</v>
      </c>
      <c r="M3689">
        <v>328</v>
      </c>
      <c r="N3689" t="s">
        <v>23621</v>
      </c>
    </row>
    <row r="3690" spans="1:14">
      <c r="A3690" t="s">
        <v>9256</v>
      </c>
      <c r="B3690">
        <v>4381468</v>
      </c>
      <c r="C3690">
        <v>4382478</v>
      </c>
      <c r="E3690" t="s">
        <v>14290</v>
      </c>
      <c r="F3690" t="s">
        <v>18007</v>
      </c>
      <c r="H3690">
        <v>93525111</v>
      </c>
      <c r="I3690" t="s">
        <v>14292</v>
      </c>
      <c r="L3690" t="s">
        <v>23622</v>
      </c>
      <c r="M3690">
        <v>336</v>
      </c>
      <c r="N3690" t="s">
        <v>23623</v>
      </c>
    </row>
    <row r="3691" spans="1:14">
      <c r="A3691" t="s">
        <v>9256</v>
      </c>
      <c r="B3691">
        <v>4382475</v>
      </c>
      <c r="C3691">
        <v>4383617</v>
      </c>
      <c r="E3691" t="s">
        <v>14290</v>
      </c>
      <c r="F3691" t="s">
        <v>14364</v>
      </c>
      <c r="H3691">
        <v>93525112</v>
      </c>
      <c r="I3691" t="s">
        <v>14292</v>
      </c>
      <c r="L3691" t="s">
        <v>23624</v>
      </c>
      <c r="M3691">
        <v>380</v>
      </c>
      <c r="N3691" t="s">
        <v>23625</v>
      </c>
    </row>
    <row r="3692" spans="1:14">
      <c r="A3692" t="s">
        <v>9256</v>
      </c>
      <c r="B3692">
        <v>4383636</v>
      </c>
      <c r="C3692">
        <v>4385213</v>
      </c>
      <c r="E3692" t="s">
        <v>14290</v>
      </c>
      <c r="F3692" t="s">
        <v>23626</v>
      </c>
      <c r="H3692">
        <v>93525113</v>
      </c>
      <c r="I3692" t="s">
        <v>14292</v>
      </c>
      <c r="L3692" t="s">
        <v>23627</v>
      </c>
      <c r="M3692">
        <v>525</v>
      </c>
      <c r="N3692" t="s">
        <v>23628</v>
      </c>
    </row>
    <row r="3693" spans="1:14">
      <c r="A3693" t="s">
        <v>9256</v>
      </c>
      <c r="B3693">
        <v>4385276</v>
      </c>
      <c r="C3693">
        <v>4386481</v>
      </c>
      <c r="E3693" t="s">
        <v>14290</v>
      </c>
      <c r="F3693" t="s">
        <v>23629</v>
      </c>
      <c r="G3693" t="s">
        <v>23630</v>
      </c>
      <c r="H3693">
        <v>93525114</v>
      </c>
      <c r="I3693" t="s">
        <v>14292</v>
      </c>
      <c r="L3693" t="s">
        <v>23631</v>
      </c>
      <c r="M3693">
        <v>401</v>
      </c>
      <c r="N3693" t="s">
        <v>23632</v>
      </c>
    </row>
    <row r="3694" spans="1:14">
      <c r="A3694" t="s">
        <v>9256</v>
      </c>
      <c r="B3694">
        <v>4386511</v>
      </c>
      <c r="C3694">
        <v>4387671</v>
      </c>
      <c r="E3694" t="s">
        <v>14290</v>
      </c>
      <c r="F3694" t="s">
        <v>15077</v>
      </c>
      <c r="G3694" t="s">
        <v>15078</v>
      </c>
      <c r="H3694">
        <v>93525115</v>
      </c>
      <c r="I3694" t="s">
        <v>14292</v>
      </c>
      <c r="L3694" t="s">
        <v>23633</v>
      </c>
      <c r="M3694">
        <v>386</v>
      </c>
      <c r="N3694" t="s">
        <v>23634</v>
      </c>
    </row>
    <row r="3695" spans="1:14">
      <c r="A3695" t="s">
        <v>9256</v>
      </c>
      <c r="B3695">
        <v>4387668</v>
      </c>
      <c r="C3695">
        <v>4388858</v>
      </c>
      <c r="E3695" t="s">
        <v>14290</v>
      </c>
      <c r="F3695" t="s">
        <v>14361</v>
      </c>
      <c r="H3695">
        <v>93525116</v>
      </c>
      <c r="I3695" t="s">
        <v>14292</v>
      </c>
      <c r="L3695" t="s">
        <v>23635</v>
      </c>
      <c r="M3695">
        <v>396</v>
      </c>
      <c r="N3695" t="s">
        <v>23636</v>
      </c>
    </row>
    <row r="3696" spans="1:14">
      <c r="A3696" t="s">
        <v>9256</v>
      </c>
      <c r="B3696">
        <v>4389054</v>
      </c>
      <c r="C3696">
        <v>4389515</v>
      </c>
      <c r="E3696" t="s">
        <v>14314</v>
      </c>
      <c r="F3696" t="s">
        <v>23637</v>
      </c>
      <c r="G3696" t="s">
        <v>23638</v>
      </c>
      <c r="H3696">
        <v>93525117</v>
      </c>
      <c r="I3696" t="s">
        <v>14292</v>
      </c>
      <c r="L3696" t="s">
        <v>23639</v>
      </c>
      <c r="M3696">
        <v>153</v>
      </c>
      <c r="N3696" t="s">
        <v>23640</v>
      </c>
    </row>
    <row r="3697" spans="1:14">
      <c r="A3697" t="s">
        <v>9256</v>
      </c>
      <c r="B3697">
        <v>4389740</v>
      </c>
      <c r="C3697">
        <v>4390369</v>
      </c>
      <c r="E3697" t="s">
        <v>14314</v>
      </c>
      <c r="F3697" t="s">
        <v>23641</v>
      </c>
      <c r="H3697">
        <v>93525118</v>
      </c>
      <c r="I3697" t="s">
        <v>14292</v>
      </c>
      <c r="L3697" t="s">
        <v>23642</v>
      </c>
      <c r="M3697">
        <v>209</v>
      </c>
      <c r="N3697" t="s">
        <v>23643</v>
      </c>
    </row>
    <row r="3698" spans="1:14">
      <c r="A3698" t="s">
        <v>9256</v>
      </c>
      <c r="B3698">
        <v>4390578</v>
      </c>
      <c r="C3698">
        <v>4393427</v>
      </c>
      <c r="E3698" t="s">
        <v>14290</v>
      </c>
      <c r="F3698" t="s">
        <v>23644</v>
      </c>
      <c r="H3698">
        <v>93525119</v>
      </c>
      <c r="I3698" t="s">
        <v>14292</v>
      </c>
      <c r="L3698" t="s">
        <v>23645</v>
      </c>
      <c r="M3698">
        <v>949</v>
      </c>
      <c r="N3698" t="s">
        <v>23646</v>
      </c>
    </row>
    <row r="3699" spans="1:14">
      <c r="A3699" t="s">
        <v>9256</v>
      </c>
      <c r="B3699">
        <v>4393547</v>
      </c>
      <c r="C3699">
        <v>4396105</v>
      </c>
      <c r="E3699" t="s">
        <v>14290</v>
      </c>
      <c r="F3699" t="s">
        <v>14936</v>
      </c>
      <c r="H3699">
        <v>93525120</v>
      </c>
      <c r="I3699" t="s">
        <v>14292</v>
      </c>
      <c r="L3699" t="s">
        <v>23647</v>
      </c>
      <c r="M3699">
        <v>852</v>
      </c>
      <c r="N3699" t="s">
        <v>23648</v>
      </c>
    </row>
    <row r="3700" spans="1:14">
      <c r="A3700" t="s">
        <v>9256</v>
      </c>
      <c r="B3700">
        <v>4396114</v>
      </c>
      <c r="C3700">
        <v>4397202</v>
      </c>
      <c r="E3700" t="s">
        <v>14314</v>
      </c>
      <c r="F3700" t="s">
        <v>23649</v>
      </c>
      <c r="G3700" t="s">
        <v>23650</v>
      </c>
      <c r="H3700">
        <v>93525121</v>
      </c>
      <c r="I3700" t="s">
        <v>14292</v>
      </c>
      <c r="L3700" t="s">
        <v>23651</v>
      </c>
      <c r="M3700">
        <v>362</v>
      </c>
      <c r="N3700" t="s">
        <v>23652</v>
      </c>
    </row>
    <row r="3701" spans="1:14">
      <c r="A3701" t="s">
        <v>9256</v>
      </c>
      <c r="B3701">
        <v>4397264</v>
      </c>
      <c r="C3701">
        <v>4398028</v>
      </c>
      <c r="E3701" t="s">
        <v>14314</v>
      </c>
      <c r="F3701" t="s">
        <v>16823</v>
      </c>
      <c r="H3701">
        <v>93525122</v>
      </c>
      <c r="I3701" t="s">
        <v>14292</v>
      </c>
      <c r="L3701" t="s">
        <v>23653</v>
      </c>
      <c r="M3701">
        <v>254</v>
      </c>
      <c r="N3701" t="s">
        <v>23654</v>
      </c>
    </row>
    <row r="3702" spans="1:14">
      <c r="A3702" t="s">
        <v>9256</v>
      </c>
      <c r="B3702">
        <v>4398034</v>
      </c>
      <c r="C3702">
        <v>4398705</v>
      </c>
      <c r="E3702" t="s">
        <v>14314</v>
      </c>
      <c r="F3702" t="s">
        <v>16823</v>
      </c>
      <c r="H3702">
        <v>93525123</v>
      </c>
      <c r="I3702" t="s">
        <v>14292</v>
      </c>
      <c r="L3702" t="s">
        <v>23655</v>
      </c>
      <c r="M3702">
        <v>223</v>
      </c>
      <c r="N3702" t="s">
        <v>23656</v>
      </c>
    </row>
    <row r="3703" spans="1:14">
      <c r="A3703" t="s">
        <v>9256</v>
      </c>
      <c r="B3703">
        <v>4398903</v>
      </c>
      <c r="C3703">
        <v>4400174</v>
      </c>
      <c r="E3703" t="s">
        <v>14290</v>
      </c>
      <c r="F3703" t="s">
        <v>17196</v>
      </c>
      <c r="H3703">
        <v>93525124</v>
      </c>
      <c r="I3703" t="s">
        <v>14292</v>
      </c>
      <c r="L3703" t="s">
        <v>23657</v>
      </c>
      <c r="M3703">
        <v>423</v>
      </c>
      <c r="N3703" t="s">
        <v>23658</v>
      </c>
    </row>
    <row r="3704" spans="1:14">
      <c r="A3704" t="s">
        <v>9256</v>
      </c>
      <c r="B3704">
        <v>4400206</v>
      </c>
      <c r="C3704">
        <v>4401102</v>
      </c>
      <c r="E3704" t="s">
        <v>14314</v>
      </c>
      <c r="F3704" t="s">
        <v>14406</v>
      </c>
      <c r="H3704">
        <v>93525125</v>
      </c>
      <c r="I3704" t="s">
        <v>14292</v>
      </c>
      <c r="L3704" t="s">
        <v>23659</v>
      </c>
      <c r="M3704">
        <v>298</v>
      </c>
      <c r="N3704" t="s">
        <v>23660</v>
      </c>
    </row>
    <row r="3705" spans="1:14">
      <c r="A3705" t="s">
        <v>9256</v>
      </c>
      <c r="B3705">
        <v>4401263</v>
      </c>
      <c r="C3705">
        <v>4402426</v>
      </c>
      <c r="E3705" t="s">
        <v>14290</v>
      </c>
      <c r="F3705" t="s">
        <v>15812</v>
      </c>
      <c r="H3705">
        <v>93525126</v>
      </c>
      <c r="I3705" t="s">
        <v>14292</v>
      </c>
      <c r="L3705" t="s">
        <v>23661</v>
      </c>
      <c r="M3705">
        <v>387</v>
      </c>
      <c r="N3705" t="s">
        <v>23662</v>
      </c>
    </row>
    <row r="3706" spans="1:14">
      <c r="A3706" t="s">
        <v>9256</v>
      </c>
      <c r="B3706">
        <v>4402444</v>
      </c>
      <c r="C3706">
        <v>4403469</v>
      </c>
      <c r="E3706" t="s">
        <v>14290</v>
      </c>
      <c r="F3706" t="s">
        <v>15800</v>
      </c>
      <c r="H3706">
        <v>93525127</v>
      </c>
      <c r="I3706" t="s">
        <v>14292</v>
      </c>
      <c r="L3706" t="s">
        <v>23663</v>
      </c>
      <c r="M3706">
        <v>341</v>
      </c>
      <c r="N3706" t="s">
        <v>23664</v>
      </c>
    </row>
    <row r="3707" spans="1:14">
      <c r="A3707" t="s">
        <v>9256</v>
      </c>
      <c r="B3707">
        <v>4403672</v>
      </c>
      <c r="C3707">
        <v>4404574</v>
      </c>
      <c r="E3707" t="s">
        <v>14314</v>
      </c>
      <c r="F3707" t="s">
        <v>23665</v>
      </c>
      <c r="H3707">
        <v>93525128</v>
      </c>
      <c r="I3707" t="s">
        <v>14292</v>
      </c>
      <c r="L3707" t="s">
        <v>23666</v>
      </c>
      <c r="M3707">
        <v>300</v>
      </c>
      <c r="N3707" t="s">
        <v>23667</v>
      </c>
    </row>
    <row r="3708" spans="1:14">
      <c r="A3708" t="s">
        <v>9256</v>
      </c>
      <c r="B3708">
        <v>4404657</v>
      </c>
      <c r="C3708">
        <v>4406192</v>
      </c>
      <c r="E3708" t="s">
        <v>14314</v>
      </c>
      <c r="F3708" t="s">
        <v>23668</v>
      </c>
      <c r="H3708">
        <v>93525129</v>
      </c>
      <c r="I3708" t="s">
        <v>14292</v>
      </c>
      <c r="L3708" t="s">
        <v>23669</v>
      </c>
      <c r="M3708">
        <v>511</v>
      </c>
      <c r="N3708" t="s">
        <v>23670</v>
      </c>
    </row>
    <row r="3709" spans="1:14">
      <c r="A3709" t="s">
        <v>9256</v>
      </c>
      <c r="B3709">
        <v>4406375</v>
      </c>
      <c r="C3709">
        <v>4408417</v>
      </c>
      <c r="E3709" t="s">
        <v>14290</v>
      </c>
      <c r="F3709" t="s">
        <v>23671</v>
      </c>
      <c r="H3709">
        <v>93525130</v>
      </c>
      <c r="I3709" t="s">
        <v>14292</v>
      </c>
      <c r="L3709" t="s">
        <v>23672</v>
      </c>
      <c r="M3709">
        <v>680</v>
      </c>
      <c r="N3709" t="s">
        <v>23673</v>
      </c>
    </row>
    <row r="3710" spans="1:14">
      <c r="A3710" t="s">
        <v>9256</v>
      </c>
      <c r="B3710">
        <v>4408564</v>
      </c>
      <c r="C3710">
        <v>4410156</v>
      </c>
      <c r="E3710" t="s">
        <v>14290</v>
      </c>
      <c r="F3710" t="s">
        <v>23674</v>
      </c>
      <c r="H3710">
        <v>93525131</v>
      </c>
      <c r="I3710" t="s">
        <v>14292</v>
      </c>
      <c r="L3710" t="s">
        <v>23675</v>
      </c>
      <c r="M3710">
        <v>530</v>
      </c>
      <c r="N3710" t="s">
        <v>23676</v>
      </c>
    </row>
    <row r="3711" spans="1:14">
      <c r="A3711" t="s">
        <v>9256</v>
      </c>
      <c r="B3711">
        <v>4410160</v>
      </c>
      <c r="C3711">
        <v>4411029</v>
      </c>
      <c r="E3711" t="s">
        <v>14314</v>
      </c>
      <c r="F3711" t="s">
        <v>14406</v>
      </c>
      <c r="H3711">
        <v>93525132</v>
      </c>
      <c r="I3711" t="s">
        <v>14292</v>
      </c>
      <c r="L3711" t="s">
        <v>23677</v>
      </c>
      <c r="M3711">
        <v>289</v>
      </c>
      <c r="N3711" t="s">
        <v>23678</v>
      </c>
    </row>
    <row r="3712" spans="1:14">
      <c r="A3712" t="s">
        <v>9256</v>
      </c>
      <c r="B3712">
        <v>4411225</v>
      </c>
      <c r="C3712">
        <v>4411446</v>
      </c>
      <c r="E3712" t="s">
        <v>14290</v>
      </c>
      <c r="F3712" t="s">
        <v>15411</v>
      </c>
      <c r="H3712">
        <v>93525133</v>
      </c>
      <c r="I3712" t="s">
        <v>14292</v>
      </c>
      <c r="L3712" t="s">
        <v>23679</v>
      </c>
      <c r="M3712">
        <v>73</v>
      </c>
      <c r="N3712" t="s">
        <v>23680</v>
      </c>
    </row>
    <row r="3713" spans="1:14">
      <c r="A3713" t="s">
        <v>9256</v>
      </c>
      <c r="B3713">
        <v>4411722</v>
      </c>
      <c r="C3713">
        <v>4412831</v>
      </c>
      <c r="E3713" t="s">
        <v>14314</v>
      </c>
      <c r="F3713" t="s">
        <v>23681</v>
      </c>
      <c r="H3713">
        <v>93525134</v>
      </c>
      <c r="I3713" t="s">
        <v>14292</v>
      </c>
      <c r="L3713" t="s">
        <v>23682</v>
      </c>
      <c r="M3713">
        <v>369</v>
      </c>
      <c r="N3713" t="s">
        <v>23683</v>
      </c>
    </row>
    <row r="3714" spans="1:14">
      <c r="A3714" t="s">
        <v>9256</v>
      </c>
      <c r="B3714">
        <v>4412860</v>
      </c>
      <c r="C3714">
        <v>4414407</v>
      </c>
      <c r="E3714" t="s">
        <v>14314</v>
      </c>
      <c r="F3714" t="s">
        <v>15179</v>
      </c>
      <c r="H3714">
        <v>93525135</v>
      </c>
      <c r="I3714" t="s">
        <v>14292</v>
      </c>
      <c r="L3714" t="s">
        <v>23684</v>
      </c>
      <c r="M3714">
        <v>515</v>
      </c>
      <c r="N3714" t="s">
        <v>23685</v>
      </c>
    </row>
    <row r="3715" spans="1:14">
      <c r="A3715" t="s">
        <v>9256</v>
      </c>
      <c r="B3715">
        <v>4414428</v>
      </c>
      <c r="C3715">
        <v>4417397</v>
      </c>
      <c r="E3715" t="s">
        <v>14314</v>
      </c>
      <c r="F3715" t="s">
        <v>14965</v>
      </c>
      <c r="H3715">
        <v>93525136</v>
      </c>
      <c r="I3715" t="s">
        <v>14292</v>
      </c>
      <c r="L3715" t="s">
        <v>23686</v>
      </c>
      <c r="M3715">
        <v>989</v>
      </c>
      <c r="N3715" t="s">
        <v>23687</v>
      </c>
    </row>
    <row r="3716" spans="1:14">
      <c r="A3716" t="s">
        <v>9256</v>
      </c>
      <c r="B3716">
        <v>4417598</v>
      </c>
      <c r="C3716">
        <v>4418611</v>
      </c>
      <c r="E3716" t="s">
        <v>14290</v>
      </c>
      <c r="F3716" t="s">
        <v>23187</v>
      </c>
      <c r="H3716">
        <v>93525137</v>
      </c>
      <c r="I3716" t="s">
        <v>14292</v>
      </c>
      <c r="L3716" t="s">
        <v>23688</v>
      </c>
      <c r="M3716">
        <v>337</v>
      </c>
      <c r="N3716" t="s">
        <v>23689</v>
      </c>
    </row>
    <row r="3717" spans="1:14">
      <c r="A3717" t="s">
        <v>9256</v>
      </c>
      <c r="B3717">
        <v>4418739</v>
      </c>
      <c r="C3717">
        <v>4420103</v>
      </c>
      <c r="E3717" t="s">
        <v>14290</v>
      </c>
      <c r="F3717" t="s">
        <v>14445</v>
      </c>
      <c r="H3717">
        <v>93525138</v>
      </c>
      <c r="I3717" t="s">
        <v>14292</v>
      </c>
      <c r="L3717" t="s">
        <v>23690</v>
      </c>
      <c r="M3717">
        <v>454</v>
      </c>
      <c r="N3717" t="s">
        <v>23691</v>
      </c>
    </row>
    <row r="3718" spans="1:14">
      <c r="A3718" t="s">
        <v>9256</v>
      </c>
      <c r="B3718">
        <v>4420250</v>
      </c>
      <c r="C3718">
        <v>4420444</v>
      </c>
      <c r="E3718" t="s">
        <v>14314</v>
      </c>
      <c r="F3718" t="s">
        <v>14291</v>
      </c>
      <c r="H3718">
        <v>93525139</v>
      </c>
      <c r="I3718" t="s">
        <v>14292</v>
      </c>
      <c r="L3718" t="s">
        <v>23692</v>
      </c>
      <c r="M3718">
        <v>64</v>
      </c>
      <c r="N3718" t="s">
        <v>23693</v>
      </c>
    </row>
    <row r="3719" spans="1:14">
      <c r="A3719" t="s">
        <v>9256</v>
      </c>
      <c r="B3719">
        <v>4420838</v>
      </c>
      <c r="C3719">
        <v>4421239</v>
      </c>
      <c r="E3719" t="s">
        <v>14314</v>
      </c>
      <c r="F3719" t="s">
        <v>14291</v>
      </c>
      <c r="H3719">
        <v>93525140</v>
      </c>
      <c r="I3719" t="s">
        <v>14292</v>
      </c>
      <c r="L3719" t="s">
        <v>23694</v>
      </c>
      <c r="M3719">
        <v>133</v>
      </c>
      <c r="N3719" t="s">
        <v>23695</v>
      </c>
    </row>
    <row r="3720" spans="1:14">
      <c r="A3720" t="s">
        <v>9256</v>
      </c>
      <c r="B3720">
        <v>4421333</v>
      </c>
      <c r="C3720">
        <v>4422223</v>
      </c>
      <c r="E3720" t="s">
        <v>14290</v>
      </c>
      <c r="F3720" t="s">
        <v>23696</v>
      </c>
      <c r="H3720">
        <v>93525141</v>
      </c>
      <c r="I3720" t="s">
        <v>14292</v>
      </c>
      <c r="L3720" t="s">
        <v>23697</v>
      </c>
      <c r="M3720">
        <v>296</v>
      </c>
      <c r="N3720" t="s">
        <v>23698</v>
      </c>
    </row>
    <row r="3721" spans="1:14">
      <c r="A3721" t="s">
        <v>9256</v>
      </c>
      <c r="B3721">
        <v>4422209</v>
      </c>
      <c r="C3721">
        <v>4423141</v>
      </c>
      <c r="E3721" t="s">
        <v>14314</v>
      </c>
      <c r="F3721" t="s">
        <v>15525</v>
      </c>
      <c r="H3721">
        <v>93525142</v>
      </c>
      <c r="I3721" t="s">
        <v>14292</v>
      </c>
      <c r="L3721" t="s">
        <v>23699</v>
      </c>
      <c r="M3721">
        <v>310</v>
      </c>
      <c r="N3721" t="s">
        <v>23700</v>
      </c>
    </row>
    <row r="3722" spans="1:14">
      <c r="A3722" t="s">
        <v>9256</v>
      </c>
      <c r="B3722">
        <v>4423241</v>
      </c>
      <c r="C3722">
        <v>4424317</v>
      </c>
      <c r="E3722" t="s">
        <v>14290</v>
      </c>
      <c r="F3722" t="s">
        <v>22208</v>
      </c>
      <c r="H3722">
        <v>93525143</v>
      </c>
      <c r="I3722" t="s">
        <v>14292</v>
      </c>
      <c r="L3722" t="s">
        <v>23701</v>
      </c>
      <c r="M3722">
        <v>358</v>
      </c>
      <c r="N3722" t="s">
        <v>23702</v>
      </c>
    </row>
    <row r="3723" spans="1:14">
      <c r="A3723" t="s">
        <v>9256</v>
      </c>
      <c r="B3723">
        <v>4424445</v>
      </c>
      <c r="C3723">
        <v>4424990</v>
      </c>
      <c r="E3723" t="s">
        <v>14314</v>
      </c>
      <c r="F3723" t="s">
        <v>23703</v>
      </c>
      <c r="H3723">
        <v>93525144</v>
      </c>
      <c r="I3723" t="s">
        <v>14292</v>
      </c>
      <c r="L3723" t="s">
        <v>23704</v>
      </c>
      <c r="M3723">
        <v>181</v>
      </c>
      <c r="N3723" t="s">
        <v>23705</v>
      </c>
    </row>
    <row r="3724" spans="1:14">
      <c r="A3724" t="s">
        <v>9256</v>
      </c>
      <c r="B3724">
        <v>4425000</v>
      </c>
      <c r="C3724">
        <v>4425854</v>
      </c>
      <c r="E3724" t="s">
        <v>14314</v>
      </c>
      <c r="F3724" t="s">
        <v>23706</v>
      </c>
      <c r="H3724">
        <v>93525145</v>
      </c>
      <c r="I3724" t="s">
        <v>14292</v>
      </c>
      <c r="L3724" t="s">
        <v>23707</v>
      </c>
      <c r="M3724">
        <v>284</v>
      </c>
      <c r="N3724" t="s">
        <v>23708</v>
      </c>
    </row>
    <row r="3725" spans="1:14">
      <c r="A3725" t="s">
        <v>9256</v>
      </c>
      <c r="B3725">
        <v>4425860</v>
      </c>
      <c r="C3725">
        <v>4426270</v>
      </c>
      <c r="E3725" t="s">
        <v>14314</v>
      </c>
      <c r="F3725" t="s">
        <v>20424</v>
      </c>
      <c r="H3725">
        <v>93525146</v>
      </c>
      <c r="I3725" t="s">
        <v>14292</v>
      </c>
      <c r="L3725" t="s">
        <v>23709</v>
      </c>
      <c r="M3725">
        <v>136</v>
      </c>
      <c r="N3725" t="s">
        <v>23710</v>
      </c>
    </row>
    <row r="3726" spans="1:14">
      <c r="A3726" t="s">
        <v>9256</v>
      </c>
      <c r="B3726">
        <v>4426362</v>
      </c>
      <c r="C3726">
        <v>4427072</v>
      </c>
      <c r="E3726" t="s">
        <v>14314</v>
      </c>
      <c r="F3726" t="s">
        <v>20431</v>
      </c>
      <c r="H3726">
        <v>93525147</v>
      </c>
      <c r="I3726" t="s">
        <v>14292</v>
      </c>
      <c r="L3726" t="s">
        <v>23711</v>
      </c>
      <c r="M3726">
        <v>236</v>
      </c>
      <c r="N3726" t="s">
        <v>23712</v>
      </c>
    </row>
    <row r="3727" spans="1:14">
      <c r="A3727" t="s">
        <v>9256</v>
      </c>
      <c r="B3727">
        <v>4427122</v>
      </c>
      <c r="C3727">
        <v>4427838</v>
      </c>
      <c r="E3727" t="s">
        <v>14314</v>
      </c>
      <c r="F3727" t="s">
        <v>23713</v>
      </c>
      <c r="H3727">
        <v>93525148</v>
      </c>
      <c r="I3727" t="s">
        <v>14292</v>
      </c>
      <c r="L3727" t="s">
        <v>23714</v>
      </c>
      <c r="M3727">
        <v>238</v>
      </c>
      <c r="N3727" t="s">
        <v>23715</v>
      </c>
    </row>
    <row r="3728" spans="1:14">
      <c r="A3728" t="s">
        <v>9256</v>
      </c>
      <c r="B3728">
        <v>4427923</v>
      </c>
      <c r="C3728">
        <v>4428582</v>
      </c>
      <c r="E3728" t="s">
        <v>14290</v>
      </c>
      <c r="F3728" t="s">
        <v>23716</v>
      </c>
      <c r="H3728">
        <v>93525149</v>
      </c>
      <c r="I3728" t="s">
        <v>14292</v>
      </c>
      <c r="L3728" t="s">
        <v>23717</v>
      </c>
      <c r="M3728">
        <v>219</v>
      </c>
      <c r="N3728" t="s">
        <v>23718</v>
      </c>
    </row>
    <row r="3729" spans="1:14">
      <c r="A3729" t="s">
        <v>9256</v>
      </c>
      <c r="B3729">
        <v>4428598</v>
      </c>
      <c r="C3729">
        <v>4429473</v>
      </c>
      <c r="E3729" t="s">
        <v>14290</v>
      </c>
      <c r="F3729" t="s">
        <v>23719</v>
      </c>
      <c r="H3729">
        <v>93525150</v>
      </c>
      <c r="I3729" t="s">
        <v>14292</v>
      </c>
      <c r="L3729" t="s">
        <v>23720</v>
      </c>
      <c r="M3729">
        <v>291</v>
      </c>
      <c r="N3729" t="s">
        <v>23721</v>
      </c>
    </row>
    <row r="3730" spans="1:14">
      <c r="A3730" t="s">
        <v>9256</v>
      </c>
      <c r="B3730">
        <v>4429719</v>
      </c>
      <c r="C3730">
        <v>4430681</v>
      </c>
      <c r="E3730" t="s">
        <v>14290</v>
      </c>
      <c r="F3730" t="s">
        <v>14364</v>
      </c>
      <c r="H3730">
        <v>93525151</v>
      </c>
      <c r="I3730" t="s">
        <v>14292</v>
      </c>
      <c r="L3730" t="s">
        <v>23722</v>
      </c>
      <c r="M3730">
        <v>320</v>
      </c>
      <c r="N3730" t="s">
        <v>23723</v>
      </c>
    </row>
    <row r="3731" spans="1:14">
      <c r="A3731" t="s">
        <v>9256</v>
      </c>
      <c r="B3731">
        <v>4430701</v>
      </c>
      <c r="C3731">
        <v>4431390</v>
      </c>
      <c r="E3731" t="s">
        <v>14290</v>
      </c>
      <c r="F3731" t="s">
        <v>14291</v>
      </c>
      <c r="H3731">
        <v>93525152</v>
      </c>
      <c r="I3731" t="s">
        <v>14292</v>
      </c>
      <c r="L3731" t="s">
        <v>23724</v>
      </c>
      <c r="M3731">
        <v>229</v>
      </c>
      <c r="N3731" t="s">
        <v>23725</v>
      </c>
    </row>
    <row r="3732" spans="1:14">
      <c r="A3732" t="s">
        <v>9256</v>
      </c>
      <c r="B3732">
        <v>4432071</v>
      </c>
      <c r="C3732">
        <v>4432952</v>
      </c>
      <c r="E3732" t="s">
        <v>14290</v>
      </c>
      <c r="F3732" t="s">
        <v>15711</v>
      </c>
      <c r="H3732">
        <v>93525153</v>
      </c>
      <c r="I3732" t="s">
        <v>14292</v>
      </c>
      <c r="L3732" t="s">
        <v>23726</v>
      </c>
      <c r="M3732">
        <v>293</v>
      </c>
      <c r="N3732" t="s">
        <v>23727</v>
      </c>
    </row>
    <row r="3733" spans="1:14">
      <c r="A3733" t="s">
        <v>9256</v>
      </c>
      <c r="B3733">
        <v>4433094</v>
      </c>
      <c r="C3733">
        <v>4434662</v>
      </c>
      <c r="E3733" t="s">
        <v>14290</v>
      </c>
      <c r="F3733" t="s">
        <v>21487</v>
      </c>
      <c r="H3733">
        <v>93525154</v>
      </c>
      <c r="I3733" t="s">
        <v>14292</v>
      </c>
      <c r="L3733" t="s">
        <v>23728</v>
      </c>
      <c r="M3733">
        <v>522</v>
      </c>
      <c r="N3733" t="s">
        <v>23729</v>
      </c>
    </row>
    <row r="3734" spans="1:14">
      <c r="A3734" t="s">
        <v>9256</v>
      </c>
      <c r="B3734">
        <v>4434951</v>
      </c>
      <c r="C3734">
        <v>4435490</v>
      </c>
      <c r="E3734" t="s">
        <v>14290</v>
      </c>
      <c r="F3734" t="s">
        <v>23730</v>
      </c>
      <c r="H3734">
        <v>93525155</v>
      </c>
      <c r="I3734" t="s">
        <v>14292</v>
      </c>
      <c r="L3734" t="s">
        <v>23731</v>
      </c>
      <c r="M3734">
        <v>179</v>
      </c>
      <c r="N3734" t="s">
        <v>23732</v>
      </c>
    </row>
    <row r="3735" spans="1:14">
      <c r="A3735" t="s">
        <v>9256</v>
      </c>
      <c r="B3735">
        <v>4435830</v>
      </c>
      <c r="C3735">
        <v>4437029</v>
      </c>
      <c r="E3735" t="s">
        <v>14290</v>
      </c>
      <c r="F3735" t="s">
        <v>14445</v>
      </c>
      <c r="H3735">
        <v>93525156</v>
      </c>
      <c r="I3735" t="s">
        <v>14292</v>
      </c>
      <c r="L3735" t="s">
        <v>23733</v>
      </c>
      <c r="M3735">
        <v>399</v>
      </c>
      <c r="N3735" t="s">
        <v>23734</v>
      </c>
    </row>
    <row r="3736" spans="1:14">
      <c r="A3736" t="s">
        <v>9256</v>
      </c>
      <c r="B3736">
        <v>4437091</v>
      </c>
      <c r="C3736">
        <v>4438533</v>
      </c>
      <c r="E3736" t="s">
        <v>14290</v>
      </c>
      <c r="F3736" t="s">
        <v>14545</v>
      </c>
      <c r="H3736">
        <v>93525157</v>
      </c>
      <c r="I3736" t="s">
        <v>14292</v>
      </c>
      <c r="L3736" t="s">
        <v>23735</v>
      </c>
      <c r="M3736">
        <v>480</v>
      </c>
      <c r="N3736" t="s">
        <v>23736</v>
      </c>
    </row>
    <row r="3737" spans="1:14">
      <c r="A3737" t="s">
        <v>9256</v>
      </c>
      <c r="B3737">
        <v>4438568</v>
      </c>
      <c r="C3737">
        <v>4439554</v>
      </c>
      <c r="E3737" t="s">
        <v>14290</v>
      </c>
      <c r="F3737" t="s">
        <v>14736</v>
      </c>
      <c r="H3737">
        <v>93525158</v>
      </c>
      <c r="I3737" t="s">
        <v>14292</v>
      </c>
      <c r="L3737" t="s">
        <v>23737</v>
      </c>
      <c r="M3737">
        <v>328</v>
      </c>
      <c r="N3737" t="s">
        <v>23738</v>
      </c>
    </row>
    <row r="3738" spans="1:14">
      <c r="A3738" t="s">
        <v>9256</v>
      </c>
      <c r="B3738">
        <v>4439617</v>
      </c>
      <c r="C3738">
        <v>4440792</v>
      </c>
      <c r="E3738" t="s">
        <v>14290</v>
      </c>
      <c r="F3738" t="s">
        <v>14562</v>
      </c>
      <c r="H3738">
        <v>93525159</v>
      </c>
      <c r="I3738" t="s">
        <v>14292</v>
      </c>
      <c r="L3738" t="s">
        <v>23739</v>
      </c>
      <c r="M3738">
        <v>391</v>
      </c>
      <c r="N3738" t="s">
        <v>23740</v>
      </c>
    </row>
    <row r="3739" spans="1:14">
      <c r="A3739" t="s">
        <v>9256</v>
      </c>
      <c r="B3739">
        <v>4440776</v>
      </c>
      <c r="C3739">
        <v>4441984</v>
      </c>
      <c r="E3739" t="s">
        <v>14290</v>
      </c>
      <c r="F3739" t="s">
        <v>14562</v>
      </c>
      <c r="H3739">
        <v>93525160</v>
      </c>
      <c r="I3739" t="s">
        <v>14292</v>
      </c>
      <c r="L3739" t="s">
        <v>23741</v>
      </c>
      <c r="M3739">
        <v>402</v>
      </c>
      <c r="N3739" t="s">
        <v>23742</v>
      </c>
    </row>
    <row r="3740" spans="1:14">
      <c r="A3740" t="s">
        <v>9256</v>
      </c>
      <c r="B3740">
        <v>4441976</v>
      </c>
      <c r="C3740">
        <v>4442701</v>
      </c>
      <c r="E3740" t="s">
        <v>14314</v>
      </c>
      <c r="F3740" t="s">
        <v>17196</v>
      </c>
      <c r="H3740">
        <v>93525161</v>
      </c>
      <c r="I3740" t="s">
        <v>14292</v>
      </c>
      <c r="L3740" t="s">
        <v>23743</v>
      </c>
      <c r="M3740">
        <v>241</v>
      </c>
      <c r="N3740" t="s">
        <v>23744</v>
      </c>
    </row>
    <row r="3741" spans="1:14">
      <c r="A3741" t="s">
        <v>9256</v>
      </c>
      <c r="B3741">
        <v>4442825</v>
      </c>
      <c r="C3741">
        <v>4444552</v>
      </c>
      <c r="E3741" t="s">
        <v>14290</v>
      </c>
      <c r="F3741" t="s">
        <v>23745</v>
      </c>
      <c r="H3741">
        <v>93525162</v>
      </c>
      <c r="I3741" t="s">
        <v>14292</v>
      </c>
      <c r="L3741" t="s">
        <v>23746</v>
      </c>
      <c r="M3741">
        <v>575</v>
      </c>
      <c r="N3741" t="s">
        <v>23747</v>
      </c>
    </row>
    <row r="3742" spans="1:14">
      <c r="A3742" t="s">
        <v>9256</v>
      </c>
      <c r="B3742">
        <v>4444718</v>
      </c>
      <c r="C3742">
        <v>4445428</v>
      </c>
      <c r="E3742" t="s">
        <v>14314</v>
      </c>
      <c r="F3742" t="s">
        <v>23748</v>
      </c>
      <c r="H3742">
        <v>93525163</v>
      </c>
      <c r="I3742" t="s">
        <v>14292</v>
      </c>
      <c r="L3742" t="s">
        <v>23749</v>
      </c>
      <c r="M3742">
        <v>236</v>
      </c>
      <c r="N3742" t="s">
        <v>23750</v>
      </c>
    </row>
    <row r="3743" spans="1:14">
      <c r="A3743" t="s">
        <v>9256</v>
      </c>
      <c r="B3743">
        <v>4445425</v>
      </c>
      <c r="C3743">
        <v>4447044</v>
      </c>
      <c r="E3743" t="s">
        <v>14314</v>
      </c>
      <c r="F3743" t="s">
        <v>23751</v>
      </c>
      <c r="G3743" t="s">
        <v>23752</v>
      </c>
      <c r="H3743">
        <v>93525164</v>
      </c>
      <c r="I3743" t="s">
        <v>14292</v>
      </c>
      <c r="L3743" t="s">
        <v>23753</v>
      </c>
      <c r="M3743">
        <v>539</v>
      </c>
      <c r="N3743" t="s">
        <v>23754</v>
      </c>
    </row>
    <row r="3744" spans="1:14">
      <c r="A3744" t="s">
        <v>9256</v>
      </c>
      <c r="B3744">
        <v>4447345</v>
      </c>
      <c r="C3744">
        <v>4447797</v>
      </c>
      <c r="E3744" t="s">
        <v>14314</v>
      </c>
      <c r="F3744" t="s">
        <v>23755</v>
      </c>
      <c r="H3744">
        <v>93525165</v>
      </c>
      <c r="I3744" t="s">
        <v>14292</v>
      </c>
      <c r="L3744" t="s">
        <v>23756</v>
      </c>
      <c r="M3744">
        <v>150</v>
      </c>
      <c r="N3744" t="s">
        <v>23757</v>
      </c>
    </row>
    <row r="3745" spans="1:14">
      <c r="A3745" t="s">
        <v>9256</v>
      </c>
      <c r="B3745">
        <v>4447961</v>
      </c>
      <c r="C3745">
        <v>4448137</v>
      </c>
      <c r="E3745" t="s">
        <v>14290</v>
      </c>
      <c r="F3745" t="s">
        <v>23758</v>
      </c>
      <c r="H3745">
        <v>93525166</v>
      </c>
      <c r="I3745" t="s">
        <v>14292</v>
      </c>
      <c r="L3745" t="s">
        <v>23759</v>
      </c>
      <c r="M3745">
        <v>58</v>
      </c>
      <c r="N3745" t="s">
        <v>23760</v>
      </c>
    </row>
    <row r="3746" spans="1:14">
      <c r="A3746" t="s">
        <v>9256</v>
      </c>
      <c r="B3746">
        <v>4448275</v>
      </c>
      <c r="C3746">
        <v>4449135</v>
      </c>
      <c r="E3746" t="s">
        <v>14314</v>
      </c>
      <c r="F3746" t="s">
        <v>14712</v>
      </c>
      <c r="H3746">
        <v>93525167</v>
      </c>
      <c r="I3746" t="s">
        <v>14292</v>
      </c>
      <c r="L3746" t="s">
        <v>23761</v>
      </c>
      <c r="M3746">
        <v>286</v>
      </c>
      <c r="N3746" t="s">
        <v>23762</v>
      </c>
    </row>
    <row r="3747" spans="1:14">
      <c r="A3747" t="s">
        <v>9256</v>
      </c>
      <c r="B3747">
        <v>4449230</v>
      </c>
      <c r="C3747">
        <v>4450231</v>
      </c>
      <c r="E3747" t="s">
        <v>14314</v>
      </c>
      <c r="F3747" t="s">
        <v>23763</v>
      </c>
      <c r="H3747">
        <v>93525168</v>
      </c>
      <c r="I3747" t="s">
        <v>14292</v>
      </c>
      <c r="L3747" t="s">
        <v>23764</v>
      </c>
      <c r="M3747">
        <v>333</v>
      </c>
      <c r="N3747" t="s">
        <v>23765</v>
      </c>
    </row>
    <row r="3748" spans="1:14">
      <c r="A3748" t="s">
        <v>9256</v>
      </c>
      <c r="B3748">
        <v>4450241</v>
      </c>
      <c r="C3748">
        <v>4450432</v>
      </c>
      <c r="E3748" t="s">
        <v>14314</v>
      </c>
      <c r="F3748" t="s">
        <v>14291</v>
      </c>
      <c r="H3748">
        <v>93525169</v>
      </c>
      <c r="I3748" t="s">
        <v>14292</v>
      </c>
      <c r="L3748" t="s">
        <v>23766</v>
      </c>
      <c r="M3748">
        <v>63</v>
      </c>
      <c r="N3748" t="s">
        <v>23767</v>
      </c>
    </row>
    <row r="3749" spans="1:14">
      <c r="A3749" t="s">
        <v>9256</v>
      </c>
      <c r="B3749">
        <v>4450425</v>
      </c>
      <c r="C3749">
        <v>4451117</v>
      </c>
      <c r="E3749" t="s">
        <v>14314</v>
      </c>
      <c r="F3749" t="s">
        <v>23768</v>
      </c>
      <c r="H3749">
        <v>93525170</v>
      </c>
      <c r="I3749" t="s">
        <v>14292</v>
      </c>
      <c r="L3749" t="s">
        <v>23769</v>
      </c>
      <c r="M3749">
        <v>230</v>
      </c>
      <c r="N3749" t="s">
        <v>23770</v>
      </c>
    </row>
    <row r="3750" spans="1:14">
      <c r="A3750" t="s">
        <v>9256</v>
      </c>
      <c r="B3750">
        <v>4451242</v>
      </c>
      <c r="C3750">
        <v>4453197</v>
      </c>
      <c r="E3750" t="s">
        <v>14314</v>
      </c>
      <c r="F3750" t="s">
        <v>23771</v>
      </c>
      <c r="H3750">
        <v>93525171</v>
      </c>
      <c r="I3750" t="s">
        <v>14292</v>
      </c>
      <c r="L3750" t="s">
        <v>23772</v>
      </c>
      <c r="M3750">
        <v>651</v>
      </c>
      <c r="N3750" t="s">
        <v>23773</v>
      </c>
    </row>
    <row r="3751" spans="1:14">
      <c r="A3751" t="s">
        <v>9256</v>
      </c>
      <c r="B3751">
        <v>4453187</v>
      </c>
      <c r="C3751">
        <v>4453633</v>
      </c>
      <c r="E3751" t="s">
        <v>14314</v>
      </c>
      <c r="F3751" t="s">
        <v>23774</v>
      </c>
      <c r="H3751">
        <v>93525172</v>
      </c>
      <c r="I3751" t="s">
        <v>14292</v>
      </c>
      <c r="L3751" t="s">
        <v>23775</v>
      </c>
      <c r="M3751">
        <v>148</v>
      </c>
      <c r="N3751" t="s">
        <v>23776</v>
      </c>
    </row>
    <row r="3752" spans="1:14">
      <c r="A3752" t="s">
        <v>9256</v>
      </c>
      <c r="B3752">
        <v>4453652</v>
      </c>
      <c r="C3752">
        <v>4454776</v>
      </c>
      <c r="E3752" t="s">
        <v>14314</v>
      </c>
      <c r="F3752" t="s">
        <v>17866</v>
      </c>
      <c r="H3752">
        <v>93525173</v>
      </c>
      <c r="I3752" t="s">
        <v>14292</v>
      </c>
      <c r="L3752" t="s">
        <v>23777</v>
      </c>
      <c r="M3752">
        <v>374</v>
      </c>
      <c r="N3752" t="s">
        <v>23778</v>
      </c>
    </row>
    <row r="3753" spans="1:14">
      <c r="A3753" t="s">
        <v>9256</v>
      </c>
      <c r="B3753">
        <v>4454925</v>
      </c>
      <c r="C3753">
        <v>4457930</v>
      </c>
      <c r="E3753" t="s">
        <v>14314</v>
      </c>
      <c r="F3753" t="s">
        <v>14291</v>
      </c>
      <c r="H3753">
        <v>93525174</v>
      </c>
      <c r="I3753" t="s">
        <v>14292</v>
      </c>
      <c r="L3753" t="s">
        <v>23779</v>
      </c>
      <c r="M3753">
        <v>1001</v>
      </c>
      <c r="N3753" t="s">
        <v>23780</v>
      </c>
    </row>
    <row r="3754" spans="1:14">
      <c r="A3754" t="s">
        <v>9256</v>
      </c>
      <c r="B3754">
        <v>4457945</v>
      </c>
      <c r="C3754">
        <v>4460848</v>
      </c>
      <c r="E3754" t="s">
        <v>14314</v>
      </c>
      <c r="F3754" t="s">
        <v>23781</v>
      </c>
      <c r="H3754">
        <v>93525175</v>
      </c>
      <c r="I3754" t="s">
        <v>14292</v>
      </c>
      <c r="L3754" t="s">
        <v>23782</v>
      </c>
      <c r="M3754">
        <v>967</v>
      </c>
      <c r="N3754" t="s">
        <v>23783</v>
      </c>
    </row>
    <row r="3755" spans="1:14">
      <c r="A3755" t="s">
        <v>9256</v>
      </c>
      <c r="B3755">
        <v>4460968</v>
      </c>
      <c r="C3755">
        <v>4462677</v>
      </c>
      <c r="E3755" t="s">
        <v>14314</v>
      </c>
      <c r="F3755" t="s">
        <v>14406</v>
      </c>
      <c r="H3755">
        <v>93525176</v>
      </c>
      <c r="I3755" t="s">
        <v>14292</v>
      </c>
      <c r="L3755" t="s">
        <v>23784</v>
      </c>
      <c r="M3755">
        <v>569</v>
      </c>
      <c r="N3755" t="s">
        <v>23785</v>
      </c>
    </row>
    <row r="3756" spans="1:14">
      <c r="A3756" t="s">
        <v>9256</v>
      </c>
      <c r="B3756">
        <v>4463229</v>
      </c>
      <c r="C3756">
        <v>4464872</v>
      </c>
      <c r="E3756" t="s">
        <v>14290</v>
      </c>
      <c r="F3756" t="s">
        <v>23786</v>
      </c>
      <c r="H3756">
        <v>93525177</v>
      </c>
      <c r="I3756" t="s">
        <v>14292</v>
      </c>
      <c r="L3756" t="s">
        <v>23787</v>
      </c>
      <c r="M3756">
        <v>547</v>
      </c>
      <c r="N3756" t="s">
        <v>23788</v>
      </c>
    </row>
    <row r="3757" spans="1:14">
      <c r="A3757" t="s">
        <v>9256</v>
      </c>
      <c r="B3757">
        <v>4464993</v>
      </c>
      <c r="C3757">
        <v>4467299</v>
      </c>
      <c r="E3757" t="s">
        <v>14290</v>
      </c>
      <c r="F3757" t="s">
        <v>23789</v>
      </c>
      <c r="H3757">
        <v>93525178</v>
      </c>
      <c r="I3757" t="s">
        <v>14292</v>
      </c>
      <c r="L3757" t="s">
        <v>23790</v>
      </c>
      <c r="M3757">
        <v>768</v>
      </c>
      <c r="N3757" t="s">
        <v>23791</v>
      </c>
    </row>
    <row r="3758" spans="1:14">
      <c r="A3758" t="s">
        <v>9256</v>
      </c>
      <c r="B3758">
        <v>4467724</v>
      </c>
      <c r="C3758">
        <v>4469169</v>
      </c>
      <c r="E3758" t="s">
        <v>14290</v>
      </c>
      <c r="F3758" t="s">
        <v>18530</v>
      </c>
      <c r="H3758">
        <v>93525179</v>
      </c>
      <c r="I3758" t="s">
        <v>14292</v>
      </c>
      <c r="L3758" t="s">
        <v>18531</v>
      </c>
      <c r="M3758">
        <v>481</v>
      </c>
      <c r="N3758" t="s">
        <v>23792</v>
      </c>
    </row>
    <row r="3759" spans="1:14">
      <c r="A3759" t="s">
        <v>9256</v>
      </c>
      <c r="B3759">
        <v>4469351</v>
      </c>
      <c r="C3759">
        <v>4472650</v>
      </c>
      <c r="E3759" t="s">
        <v>14290</v>
      </c>
      <c r="F3759" t="s">
        <v>14965</v>
      </c>
      <c r="H3759">
        <v>93525180</v>
      </c>
      <c r="I3759" t="s">
        <v>14292</v>
      </c>
      <c r="L3759" t="s">
        <v>23793</v>
      </c>
      <c r="M3759">
        <v>1099</v>
      </c>
      <c r="N3759" t="s">
        <v>23794</v>
      </c>
    </row>
    <row r="3760" spans="1:14">
      <c r="A3760" t="s">
        <v>9256</v>
      </c>
      <c r="B3760">
        <v>4472686</v>
      </c>
      <c r="C3760">
        <v>4474449</v>
      </c>
      <c r="E3760" t="s">
        <v>14290</v>
      </c>
      <c r="F3760" t="s">
        <v>15179</v>
      </c>
      <c r="H3760">
        <v>93525181</v>
      </c>
      <c r="I3760" t="s">
        <v>14292</v>
      </c>
      <c r="L3760" t="s">
        <v>23795</v>
      </c>
      <c r="M3760">
        <v>587</v>
      </c>
      <c r="N3760" t="s">
        <v>23796</v>
      </c>
    </row>
    <row r="3761" spans="1:14">
      <c r="A3761" t="s">
        <v>9256</v>
      </c>
      <c r="B3761">
        <v>4474560</v>
      </c>
      <c r="C3761">
        <v>4474949</v>
      </c>
      <c r="E3761" t="s">
        <v>14290</v>
      </c>
      <c r="F3761" t="s">
        <v>14291</v>
      </c>
      <c r="H3761">
        <v>93525182</v>
      </c>
      <c r="I3761" t="s">
        <v>14292</v>
      </c>
      <c r="L3761" t="s">
        <v>23797</v>
      </c>
      <c r="M3761">
        <v>129</v>
      </c>
      <c r="N3761" t="s">
        <v>23798</v>
      </c>
    </row>
    <row r="3762" spans="1:14">
      <c r="A3762" t="s">
        <v>9256</v>
      </c>
      <c r="B3762">
        <v>4475129</v>
      </c>
      <c r="C3762">
        <v>4476250</v>
      </c>
      <c r="E3762" t="s">
        <v>14290</v>
      </c>
      <c r="F3762" t="s">
        <v>16629</v>
      </c>
      <c r="H3762">
        <v>93525183</v>
      </c>
      <c r="I3762" t="s">
        <v>14292</v>
      </c>
      <c r="L3762" t="s">
        <v>23799</v>
      </c>
      <c r="M3762">
        <v>373</v>
      </c>
      <c r="N3762" t="s">
        <v>23800</v>
      </c>
    </row>
    <row r="3763" spans="1:14">
      <c r="A3763" t="s">
        <v>9256</v>
      </c>
      <c r="B3763">
        <v>4476382</v>
      </c>
      <c r="C3763">
        <v>4476609</v>
      </c>
      <c r="E3763" t="s">
        <v>14290</v>
      </c>
      <c r="F3763" t="s">
        <v>16644</v>
      </c>
      <c r="H3763">
        <v>93525184</v>
      </c>
      <c r="I3763" t="s">
        <v>14292</v>
      </c>
      <c r="L3763" t="s">
        <v>23801</v>
      </c>
      <c r="M3763">
        <v>75</v>
      </c>
      <c r="N3763" t="s">
        <v>23802</v>
      </c>
    </row>
    <row r="3764" spans="1:14">
      <c r="A3764" t="s">
        <v>9256</v>
      </c>
      <c r="B3764">
        <v>4476724</v>
      </c>
      <c r="C3764">
        <v>4477689</v>
      </c>
      <c r="E3764" t="s">
        <v>14290</v>
      </c>
      <c r="F3764" t="s">
        <v>19136</v>
      </c>
      <c r="H3764">
        <v>93525185</v>
      </c>
      <c r="I3764" t="s">
        <v>14292</v>
      </c>
      <c r="L3764" t="s">
        <v>23803</v>
      </c>
      <c r="M3764">
        <v>321</v>
      </c>
      <c r="N3764" t="s">
        <v>23804</v>
      </c>
    </row>
    <row r="3765" spans="1:14">
      <c r="A3765" t="s">
        <v>9256</v>
      </c>
      <c r="B3765">
        <v>4478067</v>
      </c>
      <c r="C3765">
        <v>4478564</v>
      </c>
      <c r="E3765" t="s">
        <v>14314</v>
      </c>
      <c r="F3765" t="s">
        <v>15987</v>
      </c>
      <c r="H3765">
        <v>93525186</v>
      </c>
      <c r="I3765" t="s">
        <v>14292</v>
      </c>
      <c r="L3765" t="s">
        <v>23805</v>
      </c>
      <c r="M3765">
        <v>165</v>
      </c>
      <c r="N3765" t="s">
        <v>23806</v>
      </c>
    </row>
    <row r="3766" spans="1:14">
      <c r="A3766" t="s">
        <v>9256</v>
      </c>
      <c r="B3766">
        <v>4478606</v>
      </c>
      <c r="C3766">
        <v>4479064</v>
      </c>
      <c r="E3766" t="s">
        <v>14314</v>
      </c>
      <c r="F3766" t="s">
        <v>14291</v>
      </c>
      <c r="H3766">
        <v>93525187</v>
      </c>
      <c r="I3766" t="s">
        <v>14292</v>
      </c>
      <c r="L3766" t="s">
        <v>23807</v>
      </c>
      <c r="M3766">
        <v>152</v>
      </c>
      <c r="N3766" t="s">
        <v>23808</v>
      </c>
    </row>
    <row r="3767" spans="1:14">
      <c r="A3767" t="s">
        <v>9256</v>
      </c>
      <c r="B3767">
        <v>4479206</v>
      </c>
      <c r="C3767">
        <v>4479427</v>
      </c>
      <c r="E3767" t="s">
        <v>14290</v>
      </c>
      <c r="F3767" t="s">
        <v>15100</v>
      </c>
      <c r="H3767">
        <v>93525188</v>
      </c>
      <c r="I3767" t="s">
        <v>14292</v>
      </c>
      <c r="L3767" t="s">
        <v>23809</v>
      </c>
      <c r="M3767">
        <v>73</v>
      </c>
      <c r="N3767" t="s">
        <v>23810</v>
      </c>
    </row>
    <row r="3768" spans="1:14">
      <c r="A3768" t="s">
        <v>9256</v>
      </c>
      <c r="B3768">
        <v>4479605</v>
      </c>
      <c r="C3768">
        <v>4479931</v>
      </c>
      <c r="E3768" t="s">
        <v>14290</v>
      </c>
      <c r="F3768" t="s">
        <v>23811</v>
      </c>
      <c r="H3768">
        <v>93525189</v>
      </c>
      <c r="I3768" t="s">
        <v>14292</v>
      </c>
      <c r="L3768" t="s">
        <v>23812</v>
      </c>
      <c r="M3768">
        <v>108</v>
      </c>
      <c r="N3768" t="s">
        <v>23813</v>
      </c>
    </row>
    <row r="3769" spans="1:14">
      <c r="A3769" t="s">
        <v>9256</v>
      </c>
      <c r="B3769">
        <v>4479886</v>
      </c>
      <c r="C3769">
        <v>4480548</v>
      </c>
      <c r="E3769" t="s">
        <v>14290</v>
      </c>
      <c r="F3769" t="s">
        <v>16899</v>
      </c>
      <c r="H3769">
        <v>93525190</v>
      </c>
      <c r="I3769" t="s">
        <v>14292</v>
      </c>
      <c r="L3769" t="s">
        <v>23814</v>
      </c>
      <c r="M3769">
        <v>220</v>
      </c>
      <c r="N3769" t="s">
        <v>23815</v>
      </c>
    </row>
    <row r="3770" spans="1:14">
      <c r="A3770" t="s">
        <v>9256</v>
      </c>
      <c r="B3770">
        <v>4480768</v>
      </c>
      <c r="C3770">
        <v>4482939</v>
      </c>
      <c r="E3770" t="s">
        <v>14314</v>
      </c>
      <c r="F3770" t="s">
        <v>15094</v>
      </c>
      <c r="H3770">
        <v>93525191</v>
      </c>
      <c r="I3770" t="s">
        <v>14292</v>
      </c>
      <c r="L3770" t="s">
        <v>23816</v>
      </c>
      <c r="M3770">
        <v>723</v>
      </c>
      <c r="N3770" t="s">
        <v>23817</v>
      </c>
    </row>
    <row r="3771" spans="1:14">
      <c r="A3771" t="s">
        <v>9256</v>
      </c>
      <c r="B3771">
        <v>4483058</v>
      </c>
      <c r="C3771">
        <v>4483402</v>
      </c>
      <c r="E3771" t="s">
        <v>14314</v>
      </c>
      <c r="F3771" t="s">
        <v>14291</v>
      </c>
      <c r="H3771">
        <v>93525192</v>
      </c>
      <c r="I3771" t="s">
        <v>14292</v>
      </c>
      <c r="L3771" t="s">
        <v>23818</v>
      </c>
      <c r="M3771">
        <v>114</v>
      </c>
      <c r="N3771" t="s">
        <v>23819</v>
      </c>
    </row>
    <row r="3772" spans="1:14">
      <c r="A3772" t="s">
        <v>9256</v>
      </c>
      <c r="B3772">
        <v>4483568</v>
      </c>
      <c r="C3772">
        <v>4485298</v>
      </c>
      <c r="E3772" t="s">
        <v>14290</v>
      </c>
      <c r="F3772" t="s">
        <v>14870</v>
      </c>
      <c r="H3772">
        <v>93525193</v>
      </c>
      <c r="I3772" t="s">
        <v>14292</v>
      </c>
      <c r="L3772" t="s">
        <v>23820</v>
      </c>
      <c r="M3772">
        <v>576</v>
      </c>
      <c r="N3772" t="s">
        <v>23821</v>
      </c>
    </row>
    <row r="3773" spans="1:14">
      <c r="A3773" t="s">
        <v>9256</v>
      </c>
      <c r="B3773">
        <v>4485337</v>
      </c>
      <c r="C3773">
        <v>4486029</v>
      </c>
      <c r="E3773" t="s">
        <v>14290</v>
      </c>
      <c r="F3773" t="s">
        <v>14291</v>
      </c>
      <c r="H3773">
        <v>93525194</v>
      </c>
      <c r="I3773" t="s">
        <v>14292</v>
      </c>
      <c r="L3773" t="s">
        <v>23822</v>
      </c>
      <c r="M3773">
        <v>230</v>
      </c>
      <c r="N3773" t="s">
        <v>23823</v>
      </c>
    </row>
    <row r="3774" spans="1:14">
      <c r="A3774" t="s">
        <v>9256</v>
      </c>
      <c r="B3774">
        <v>4486026</v>
      </c>
      <c r="C3774">
        <v>4488779</v>
      </c>
      <c r="E3774" t="s">
        <v>14290</v>
      </c>
      <c r="F3774" t="s">
        <v>15450</v>
      </c>
      <c r="H3774">
        <v>93525195</v>
      </c>
      <c r="I3774" t="s">
        <v>14292</v>
      </c>
      <c r="L3774" t="s">
        <v>23824</v>
      </c>
      <c r="M3774">
        <v>917</v>
      </c>
      <c r="N3774" t="s">
        <v>23825</v>
      </c>
    </row>
    <row r="3775" spans="1:14">
      <c r="A3775" t="s">
        <v>9256</v>
      </c>
      <c r="B3775">
        <v>4488792</v>
      </c>
      <c r="C3775">
        <v>4489952</v>
      </c>
      <c r="E3775" t="s">
        <v>14290</v>
      </c>
      <c r="F3775" t="s">
        <v>16629</v>
      </c>
      <c r="H3775">
        <v>93525196</v>
      </c>
      <c r="I3775" t="s">
        <v>14292</v>
      </c>
      <c r="L3775" t="s">
        <v>23826</v>
      </c>
      <c r="M3775">
        <v>386</v>
      </c>
      <c r="N3775" t="s">
        <v>23827</v>
      </c>
    </row>
    <row r="3776" spans="1:14">
      <c r="A3776" t="s">
        <v>9256</v>
      </c>
      <c r="B3776">
        <v>4489963</v>
      </c>
      <c r="C3776">
        <v>4491645</v>
      </c>
      <c r="E3776" t="s">
        <v>14290</v>
      </c>
      <c r="F3776" t="s">
        <v>14291</v>
      </c>
      <c r="H3776">
        <v>93525197</v>
      </c>
      <c r="I3776" t="s">
        <v>14292</v>
      </c>
      <c r="L3776" t="s">
        <v>23828</v>
      </c>
      <c r="M3776">
        <v>560</v>
      </c>
      <c r="N3776" t="s">
        <v>23829</v>
      </c>
    </row>
    <row r="3777" spans="1:14">
      <c r="A3777" t="s">
        <v>9256</v>
      </c>
      <c r="B3777">
        <v>4491714</v>
      </c>
      <c r="C3777">
        <v>4491950</v>
      </c>
      <c r="E3777" t="s">
        <v>14290</v>
      </c>
      <c r="F3777" t="s">
        <v>14291</v>
      </c>
      <c r="H3777">
        <v>93525198</v>
      </c>
      <c r="I3777" t="s">
        <v>14292</v>
      </c>
      <c r="L3777" t="s">
        <v>23830</v>
      </c>
      <c r="M3777">
        <v>78</v>
      </c>
      <c r="N3777" t="s">
        <v>23831</v>
      </c>
    </row>
    <row r="3778" spans="1:14">
      <c r="A3778" t="s">
        <v>9256</v>
      </c>
      <c r="B3778">
        <v>4491932</v>
      </c>
      <c r="C3778">
        <v>4492246</v>
      </c>
      <c r="E3778" t="s">
        <v>14290</v>
      </c>
      <c r="F3778" t="s">
        <v>15901</v>
      </c>
      <c r="H3778">
        <v>93525199</v>
      </c>
      <c r="I3778" t="s">
        <v>14292</v>
      </c>
      <c r="L3778" t="s">
        <v>23832</v>
      </c>
      <c r="M3778">
        <v>104</v>
      </c>
      <c r="N3778" t="s">
        <v>23833</v>
      </c>
    </row>
    <row r="3779" spans="1:14">
      <c r="A3779" t="s">
        <v>9256</v>
      </c>
      <c r="B3779">
        <v>4492323</v>
      </c>
      <c r="C3779">
        <v>4493345</v>
      </c>
      <c r="E3779" t="s">
        <v>14290</v>
      </c>
      <c r="F3779" t="s">
        <v>23834</v>
      </c>
      <c r="H3779">
        <v>93525200</v>
      </c>
      <c r="I3779" t="s">
        <v>14292</v>
      </c>
      <c r="L3779" t="s">
        <v>23835</v>
      </c>
      <c r="M3779">
        <v>340</v>
      </c>
      <c r="N3779" t="s">
        <v>23836</v>
      </c>
    </row>
    <row r="3780" spans="1:14">
      <c r="A3780" t="s">
        <v>9256</v>
      </c>
      <c r="B3780">
        <v>4493360</v>
      </c>
      <c r="C3780">
        <v>4495246</v>
      </c>
      <c r="E3780" t="s">
        <v>14290</v>
      </c>
      <c r="F3780" t="s">
        <v>15336</v>
      </c>
      <c r="H3780">
        <v>93525201</v>
      </c>
      <c r="I3780" t="s">
        <v>14292</v>
      </c>
      <c r="L3780" t="s">
        <v>23837</v>
      </c>
      <c r="M3780">
        <v>628</v>
      </c>
      <c r="N3780" t="s">
        <v>23838</v>
      </c>
    </row>
    <row r="3781" spans="1:14">
      <c r="A3781" t="s">
        <v>9256</v>
      </c>
      <c r="B3781">
        <v>4495255</v>
      </c>
      <c r="C3781">
        <v>4496580</v>
      </c>
      <c r="E3781" t="s">
        <v>14290</v>
      </c>
      <c r="F3781" t="s">
        <v>23839</v>
      </c>
      <c r="H3781">
        <v>93525202</v>
      </c>
      <c r="I3781" t="s">
        <v>14292</v>
      </c>
      <c r="L3781" t="s">
        <v>23840</v>
      </c>
      <c r="M3781">
        <v>441</v>
      </c>
      <c r="N3781" t="s">
        <v>23841</v>
      </c>
    </row>
    <row r="3782" spans="1:14">
      <c r="A3782" t="s">
        <v>9256</v>
      </c>
      <c r="B3782">
        <v>4496587</v>
      </c>
      <c r="C3782">
        <v>4497153</v>
      </c>
      <c r="E3782" t="s">
        <v>14290</v>
      </c>
      <c r="F3782" t="s">
        <v>23842</v>
      </c>
      <c r="G3782" t="s">
        <v>23843</v>
      </c>
      <c r="H3782">
        <v>93525203</v>
      </c>
      <c r="I3782" t="s">
        <v>14292</v>
      </c>
      <c r="L3782" t="s">
        <v>23844</v>
      </c>
      <c r="M3782">
        <v>188</v>
      </c>
      <c r="N3782" t="s">
        <v>23845</v>
      </c>
    </row>
    <row r="3783" spans="1:14">
      <c r="A3783" t="s">
        <v>9256</v>
      </c>
      <c r="B3783">
        <v>4497164</v>
      </c>
      <c r="C3783">
        <v>4497577</v>
      </c>
      <c r="E3783" t="s">
        <v>14290</v>
      </c>
      <c r="F3783" t="s">
        <v>18081</v>
      </c>
      <c r="H3783">
        <v>93525204</v>
      </c>
      <c r="I3783" t="s">
        <v>14292</v>
      </c>
      <c r="L3783" t="s">
        <v>23846</v>
      </c>
      <c r="M3783">
        <v>137</v>
      </c>
      <c r="N3783" t="s">
        <v>23847</v>
      </c>
    </row>
    <row r="3784" spans="1:14">
      <c r="A3784" t="s">
        <v>9256</v>
      </c>
      <c r="B3784">
        <v>4497605</v>
      </c>
      <c r="C3784">
        <v>4499464</v>
      </c>
      <c r="E3784" t="s">
        <v>14290</v>
      </c>
      <c r="F3784" t="s">
        <v>23848</v>
      </c>
      <c r="H3784">
        <v>93525205</v>
      </c>
      <c r="I3784" t="s">
        <v>14292</v>
      </c>
      <c r="L3784" t="s">
        <v>23849</v>
      </c>
      <c r="M3784">
        <v>619</v>
      </c>
      <c r="N3784" t="s">
        <v>23850</v>
      </c>
    </row>
    <row r="3785" spans="1:14">
      <c r="A3785" t="s">
        <v>9256</v>
      </c>
      <c r="B3785">
        <v>4499661</v>
      </c>
      <c r="C3785">
        <v>4499732</v>
      </c>
      <c r="E3785" t="s">
        <v>14314</v>
      </c>
      <c r="F3785" t="s">
        <v>19831</v>
      </c>
      <c r="H3785">
        <v>93525206</v>
      </c>
      <c r="I3785" t="s">
        <v>13638</v>
      </c>
      <c r="N3785" t="s">
        <v>23851</v>
      </c>
    </row>
    <row r="3786" spans="1:14">
      <c r="A3786" t="s">
        <v>9256</v>
      </c>
      <c r="B3786">
        <v>4499884</v>
      </c>
      <c r="C3786">
        <v>4500477</v>
      </c>
      <c r="E3786" t="s">
        <v>14290</v>
      </c>
      <c r="F3786" t="s">
        <v>19399</v>
      </c>
      <c r="H3786">
        <v>93525207</v>
      </c>
      <c r="I3786" t="s">
        <v>14292</v>
      </c>
      <c r="L3786" t="s">
        <v>23852</v>
      </c>
      <c r="M3786">
        <v>197</v>
      </c>
      <c r="N3786" t="s">
        <v>23853</v>
      </c>
    </row>
    <row r="3787" spans="1:14">
      <c r="A3787" t="s">
        <v>9256</v>
      </c>
      <c r="B3787">
        <v>4500495</v>
      </c>
      <c r="C3787">
        <v>4501439</v>
      </c>
      <c r="E3787" t="s">
        <v>14290</v>
      </c>
      <c r="F3787" t="s">
        <v>20206</v>
      </c>
      <c r="H3787">
        <v>93525208</v>
      </c>
      <c r="I3787" t="s">
        <v>14292</v>
      </c>
      <c r="L3787" t="s">
        <v>23854</v>
      </c>
      <c r="M3787">
        <v>314</v>
      </c>
      <c r="N3787" t="s">
        <v>23855</v>
      </c>
    </row>
    <row r="3788" spans="1:14">
      <c r="A3788" t="s">
        <v>9256</v>
      </c>
      <c r="B3788">
        <v>4501460</v>
      </c>
      <c r="C3788">
        <v>4502206</v>
      </c>
      <c r="E3788" t="s">
        <v>14290</v>
      </c>
      <c r="F3788" t="s">
        <v>23856</v>
      </c>
      <c r="G3788" t="s">
        <v>23857</v>
      </c>
      <c r="H3788">
        <v>93525209</v>
      </c>
      <c r="I3788" t="s">
        <v>14292</v>
      </c>
      <c r="L3788" t="s">
        <v>23858</v>
      </c>
      <c r="M3788">
        <v>248</v>
      </c>
      <c r="N3788" t="s">
        <v>23859</v>
      </c>
    </row>
    <row r="3789" spans="1:14">
      <c r="A3789" t="s">
        <v>9256</v>
      </c>
      <c r="B3789">
        <v>4502208</v>
      </c>
      <c r="C3789">
        <v>4502882</v>
      </c>
      <c r="E3789" t="s">
        <v>14290</v>
      </c>
      <c r="F3789" t="s">
        <v>16205</v>
      </c>
      <c r="H3789">
        <v>93525210</v>
      </c>
      <c r="I3789" t="s">
        <v>14292</v>
      </c>
      <c r="L3789" t="s">
        <v>23860</v>
      </c>
      <c r="M3789">
        <v>224</v>
      </c>
      <c r="N3789" t="s">
        <v>23861</v>
      </c>
    </row>
    <row r="3790" spans="1:14">
      <c r="A3790" t="s">
        <v>9256</v>
      </c>
      <c r="B3790">
        <v>4503158</v>
      </c>
      <c r="C3790">
        <v>4504324</v>
      </c>
      <c r="E3790" t="s">
        <v>14290</v>
      </c>
      <c r="F3790" t="s">
        <v>14503</v>
      </c>
      <c r="H3790">
        <v>93525211</v>
      </c>
      <c r="I3790" t="s">
        <v>14292</v>
      </c>
      <c r="L3790" t="s">
        <v>23862</v>
      </c>
      <c r="M3790">
        <v>388</v>
      </c>
      <c r="N3790" t="s">
        <v>23863</v>
      </c>
    </row>
    <row r="3791" spans="1:14">
      <c r="A3791" t="s">
        <v>9256</v>
      </c>
      <c r="B3791">
        <v>4504321</v>
      </c>
      <c r="C3791">
        <v>4507485</v>
      </c>
      <c r="E3791" t="s">
        <v>14290</v>
      </c>
      <c r="F3791" t="s">
        <v>14548</v>
      </c>
      <c r="H3791">
        <v>93525212</v>
      </c>
      <c r="I3791" t="s">
        <v>14292</v>
      </c>
      <c r="L3791" t="s">
        <v>23864</v>
      </c>
      <c r="M3791">
        <v>1054</v>
      </c>
      <c r="N3791" t="s">
        <v>23865</v>
      </c>
    </row>
    <row r="3792" spans="1:14">
      <c r="A3792" t="s">
        <v>9256</v>
      </c>
      <c r="B3792">
        <v>4507482</v>
      </c>
      <c r="C3792">
        <v>4508861</v>
      </c>
      <c r="E3792" t="s">
        <v>14290</v>
      </c>
      <c r="F3792" t="s">
        <v>21986</v>
      </c>
      <c r="H3792">
        <v>93525213</v>
      </c>
      <c r="I3792" t="s">
        <v>14292</v>
      </c>
      <c r="L3792" t="s">
        <v>23866</v>
      </c>
      <c r="M3792">
        <v>459</v>
      </c>
      <c r="N3792" t="s">
        <v>23867</v>
      </c>
    </row>
    <row r="3793" spans="1:14">
      <c r="A3793" t="s">
        <v>9256</v>
      </c>
      <c r="B3793">
        <v>4509122</v>
      </c>
      <c r="C3793">
        <v>4510054</v>
      </c>
      <c r="E3793" t="s">
        <v>14290</v>
      </c>
      <c r="F3793" t="s">
        <v>23868</v>
      </c>
      <c r="G3793" t="s">
        <v>23869</v>
      </c>
      <c r="H3793">
        <v>93525214</v>
      </c>
      <c r="I3793" t="s">
        <v>14292</v>
      </c>
      <c r="L3793" t="s">
        <v>23870</v>
      </c>
      <c r="M3793">
        <v>310</v>
      </c>
      <c r="N3793" t="s">
        <v>23871</v>
      </c>
    </row>
    <row r="3794" spans="1:14">
      <c r="A3794" t="s">
        <v>9256</v>
      </c>
      <c r="B3794">
        <v>4510055</v>
      </c>
      <c r="C3794">
        <v>4511899</v>
      </c>
      <c r="E3794" t="s">
        <v>14290</v>
      </c>
      <c r="F3794" t="s">
        <v>19034</v>
      </c>
      <c r="H3794">
        <v>93525215</v>
      </c>
      <c r="I3794" t="s">
        <v>14292</v>
      </c>
      <c r="L3794" t="s">
        <v>23872</v>
      </c>
      <c r="M3794">
        <v>614</v>
      </c>
      <c r="N3794" t="s">
        <v>23873</v>
      </c>
    </row>
    <row r="3795" spans="1:14">
      <c r="A3795" t="s">
        <v>9256</v>
      </c>
      <c r="B3795">
        <v>4511939</v>
      </c>
      <c r="C3795">
        <v>4512757</v>
      </c>
      <c r="E3795" t="s">
        <v>14290</v>
      </c>
      <c r="F3795" t="s">
        <v>16823</v>
      </c>
      <c r="H3795">
        <v>93525216</v>
      </c>
      <c r="I3795" t="s">
        <v>14292</v>
      </c>
      <c r="L3795" t="s">
        <v>23874</v>
      </c>
      <c r="M3795">
        <v>272</v>
      </c>
      <c r="N3795" t="s">
        <v>23875</v>
      </c>
    </row>
    <row r="3796" spans="1:14">
      <c r="A3796" t="s">
        <v>9256</v>
      </c>
      <c r="B3796">
        <v>4512911</v>
      </c>
      <c r="C3796">
        <v>4513378</v>
      </c>
      <c r="E3796" t="s">
        <v>14314</v>
      </c>
      <c r="F3796" t="s">
        <v>20708</v>
      </c>
      <c r="H3796">
        <v>93525217</v>
      </c>
      <c r="I3796" t="s">
        <v>14292</v>
      </c>
      <c r="L3796" t="s">
        <v>23876</v>
      </c>
      <c r="M3796">
        <v>155</v>
      </c>
      <c r="N3796" t="s">
        <v>23877</v>
      </c>
    </row>
    <row r="3797" spans="1:14">
      <c r="A3797" t="s">
        <v>9256</v>
      </c>
      <c r="B3797">
        <v>4513499</v>
      </c>
      <c r="C3797">
        <v>4514956</v>
      </c>
      <c r="E3797" t="s">
        <v>14290</v>
      </c>
      <c r="F3797" t="s">
        <v>18556</v>
      </c>
      <c r="H3797">
        <v>93525218</v>
      </c>
      <c r="I3797" t="s">
        <v>14292</v>
      </c>
      <c r="L3797" t="s">
        <v>23878</v>
      </c>
      <c r="M3797">
        <v>485</v>
      </c>
      <c r="N3797" t="s">
        <v>23879</v>
      </c>
    </row>
    <row r="3798" spans="1:14">
      <c r="A3798" t="s">
        <v>9256</v>
      </c>
      <c r="B3798">
        <v>4514962</v>
      </c>
      <c r="C3798">
        <v>4515870</v>
      </c>
      <c r="E3798" t="s">
        <v>14290</v>
      </c>
      <c r="F3798" t="s">
        <v>14291</v>
      </c>
      <c r="H3798">
        <v>93525219</v>
      </c>
      <c r="I3798" t="s">
        <v>14292</v>
      </c>
      <c r="L3798" t="s">
        <v>23880</v>
      </c>
      <c r="M3798">
        <v>302</v>
      </c>
      <c r="N3798" t="s">
        <v>23881</v>
      </c>
    </row>
    <row r="3799" spans="1:14">
      <c r="A3799" t="s">
        <v>9256</v>
      </c>
      <c r="B3799">
        <v>4515915</v>
      </c>
      <c r="C3799">
        <v>4518650</v>
      </c>
      <c r="E3799" t="s">
        <v>14290</v>
      </c>
      <c r="F3799" t="s">
        <v>17838</v>
      </c>
      <c r="H3799">
        <v>93525220</v>
      </c>
      <c r="I3799" t="s">
        <v>14292</v>
      </c>
      <c r="L3799" t="s">
        <v>23882</v>
      </c>
      <c r="M3799">
        <v>911</v>
      </c>
      <c r="N3799" t="s">
        <v>23883</v>
      </c>
    </row>
    <row r="3800" spans="1:14">
      <c r="A3800" t="s">
        <v>9256</v>
      </c>
      <c r="B3800">
        <v>4518826</v>
      </c>
      <c r="C3800">
        <v>4519704</v>
      </c>
      <c r="E3800" t="s">
        <v>14290</v>
      </c>
      <c r="F3800" t="s">
        <v>18311</v>
      </c>
      <c r="H3800">
        <v>93525221</v>
      </c>
      <c r="I3800" t="s">
        <v>14292</v>
      </c>
      <c r="L3800" t="s">
        <v>23884</v>
      </c>
      <c r="M3800">
        <v>292</v>
      </c>
      <c r="N3800" t="s">
        <v>23885</v>
      </c>
    </row>
    <row r="3801" spans="1:14">
      <c r="A3801" t="s">
        <v>9256</v>
      </c>
      <c r="B3801">
        <v>4519997</v>
      </c>
      <c r="C3801">
        <v>4520485</v>
      </c>
      <c r="E3801" t="s">
        <v>14314</v>
      </c>
      <c r="F3801" t="s">
        <v>16578</v>
      </c>
      <c r="H3801">
        <v>93525222</v>
      </c>
      <c r="I3801" t="s">
        <v>14292</v>
      </c>
      <c r="L3801" t="s">
        <v>23886</v>
      </c>
      <c r="M3801">
        <v>162</v>
      </c>
      <c r="N3801" t="s">
        <v>23887</v>
      </c>
    </row>
    <row r="3802" spans="1:14">
      <c r="A3802" t="s">
        <v>9256</v>
      </c>
      <c r="B3802">
        <v>4520571</v>
      </c>
      <c r="C3802">
        <v>4522682</v>
      </c>
      <c r="E3802" t="s">
        <v>14290</v>
      </c>
      <c r="F3802" t="s">
        <v>16249</v>
      </c>
      <c r="H3802">
        <v>93525223</v>
      </c>
      <c r="I3802" t="s">
        <v>14292</v>
      </c>
      <c r="L3802" t="s">
        <v>23888</v>
      </c>
      <c r="M3802">
        <v>703</v>
      </c>
      <c r="N3802" t="s">
        <v>23889</v>
      </c>
    </row>
    <row r="3803" spans="1:14">
      <c r="A3803" t="s">
        <v>9256</v>
      </c>
      <c r="B3803">
        <v>4522751</v>
      </c>
      <c r="C3803">
        <v>4523809</v>
      </c>
      <c r="E3803" t="s">
        <v>14314</v>
      </c>
      <c r="F3803" t="s">
        <v>19876</v>
      </c>
      <c r="H3803">
        <v>93525224</v>
      </c>
      <c r="I3803" t="s">
        <v>14292</v>
      </c>
      <c r="L3803" t="s">
        <v>23890</v>
      </c>
      <c r="M3803">
        <v>352</v>
      </c>
      <c r="N3803" t="s">
        <v>23891</v>
      </c>
    </row>
    <row r="3804" spans="1:14">
      <c r="A3804" t="s">
        <v>9256</v>
      </c>
      <c r="B3804">
        <v>4523965</v>
      </c>
      <c r="C3804">
        <v>4524516</v>
      </c>
      <c r="E3804" t="s">
        <v>14290</v>
      </c>
      <c r="F3804" t="s">
        <v>23892</v>
      </c>
      <c r="H3804">
        <v>93525225</v>
      </c>
      <c r="I3804" t="s">
        <v>14292</v>
      </c>
      <c r="L3804" t="s">
        <v>23893</v>
      </c>
      <c r="M3804">
        <v>183</v>
      </c>
      <c r="N3804" t="s">
        <v>23894</v>
      </c>
    </row>
    <row r="3805" spans="1:14">
      <c r="A3805" t="s">
        <v>9256</v>
      </c>
      <c r="B3805">
        <v>4524655</v>
      </c>
      <c r="C3805">
        <v>4524741</v>
      </c>
      <c r="E3805" t="s">
        <v>14290</v>
      </c>
      <c r="F3805" t="s">
        <v>20434</v>
      </c>
      <c r="H3805">
        <v>93525226</v>
      </c>
      <c r="I3805" t="s">
        <v>13638</v>
      </c>
      <c r="N3805" t="s">
        <v>23895</v>
      </c>
    </row>
    <row r="3806" spans="1:14">
      <c r="A3806" t="s">
        <v>9256</v>
      </c>
      <c r="B3806">
        <v>4524750</v>
      </c>
      <c r="C3806">
        <v>4525271</v>
      </c>
      <c r="E3806" t="s">
        <v>14314</v>
      </c>
      <c r="F3806" t="s">
        <v>14439</v>
      </c>
      <c r="H3806">
        <v>93525227</v>
      </c>
      <c r="I3806" t="s">
        <v>14292</v>
      </c>
      <c r="L3806" t="s">
        <v>23896</v>
      </c>
      <c r="M3806">
        <v>173</v>
      </c>
      <c r="N3806" t="s">
        <v>23897</v>
      </c>
    </row>
    <row r="3807" spans="1:14">
      <c r="A3807" t="s">
        <v>9256</v>
      </c>
      <c r="B3807">
        <v>4525313</v>
      </c>
      <c r="C3807">
        <v>4527511</v>
      </c>
      <c r="E3807" t="s">
        <v>14314</v>
      </c>
      <c r="F3807" t="s">
        <v>14805</v>
      </c>
      <c r="H3807">
        <v>93525228</v>
      </c>
      <c r="I3807" t="s">
        <v>14292</v>
      </c>
      <c r="L3807" t="s">
        <v>23898</v>
      </c>
      <c r="M3807">
        <v>732</v>
      </c>
      <c r="N3807" t="s">
        <v>23899</v>
      </c>
    </row>
    <row r="3808" spans="1:14">
      <c r="A3808" t="s">
        <v>9256</v>
      </c>
      <c r="B3808">
        <v>4527599</v>
      </c>
      <c r="C3808">
        <v>4529386</v>
      </c>
      <c r="E3808" t="s">
        <v>14290</v>
      </c>
      <c r="F3808" t="s">
        <v>23900</v>
      </c>
      <c r="G3808" t="s">
        <v>23901</v>
      </c>
      <c r="H3808">
        <v>93525229</v>
      </c>
      <c r="I3808" t="s">
        <v>14292</v>
      </c>
      <c r="L3808" t="s">
        <v>23902</v>
      </c>
      <c r="M3808">
        <v>595</v>
      </c>
      <c r="N3808" t="s">
        <v>23903</v>
      </c>
    </row>
    <row r="3809" spans="1:14">
      <c r="A3809" t="s">
        <v>9256</v>
      </c>
      <c r="B3809">
        <v>4529483</v>
      </c>
      <c r="C3809">
        <v>4530322</v>
      </c>
      <c r="E3809" t="s">
        <v>14314</v>
      </c>
      <c r="F3809" t="s">
        <v>23904</v>
      </c>
      <c r="H3809">
        <v>93525230</v>
      </c>
      <c r="I3809" t="s">
        <v>14292</v>
      </c>
      <c r="L3809" t="s">
        <v>23905</v>
      </c>
      <c r="M3809">
        <v>279</v>
      </c>
      <c r="N3809" t="s">
        <v>23906</v>
      </c>
    </row>
    <row r="3810" spans="1:14">
      <c r="A3810" t="s">
        <v>9256</v>
      </c>
      <c r="B3810">
        <v>4530519</v>
      </c>
      <c r="C3810">
        <v>4531322</v>
      </c>
      <c r="E3810" t="s">
        <v>14290</v>
      </c>
      <c r="F3810" t="s">
        <v>14381</v>
      </c>
      <c r="H3810">
        <v>93525231</v>
      </c>
      <c r="I3810" t="s">
        <v>14292</v>
      </c>
      <c r="L3810" t="s">
        <v>23907</v>
      </c>
      <c r="M3810">
        <v>267</v>
      </c>
      <c r="N3810" t="s">
        <v>23908</v>
      </c>
    </row>
    <row r="3811" spans="1:14">
      <c r="A3811" t="s">
        <v>9256</v>
      </c>
      <c r="B3811">
        <v>4531331</v>
      </c>
      <c r="C3811">
        <v>4532926</v>
      </c>
      <c r="E3811" t="s">
        <v>14290</v>
      </c>
      <c r="F3811" t="s">
        <v>14384</v>
      </c>
      <c r="H3811">
        <v>93525232</v>
      </c>
      <c r="I3811" t="s">
        <v>14292</v>
      </c>
      <c r="L3811" t="s">
        <v>23909</v>
      </c>
      <c r="M3811">
        <v>531</v>
      </c>
      <c r="N3811" t="s">
        <v>23910</v>
      </c>
    </row>
    <row r="3812" spans="1:14">
      <c r="A3812" t="s">
        <v>9256</v>
      </c>
      <c r="B3812">
        <v>4532946</v>
      </c>
      <c r="C3812">
        <v>4533731</v>
      </c>
      <c r="E3812" t="s">
        <v>14290</v>
      </c>
      <c r="F3812" t="s">
        <v>23911</v>
      </c>
      <c r="H3812">
        <v>93525233</v>
      </c>
      <c r="I3812" t="s">
        <v>14292</v>
      </c>
      <c r="L3812" t="s">
        <v>23912</v>
      </c>
      <c r="M3812">
        <v>261</v>
      </c>
      <c r="N3812" t="s">
        <v>23913</v>
      </c>
    </row>
    <row r="3813" spans="1:14">
      <c r="A3813" t="s">
        <v>9256</v>
      </c>
      <c r="B3813">
        <v>4533731</v>
      </c>
      <c r="C3813">
        <v>4535125</v>
      </c>
      <c r="E3813" t="s">
        <v>14290</v>
      </c>
      <c r="F3813" t="s">
        <v>14326</v>
      </c>
      <c r="H3813">
        <v>93525234</v>
      </c>
      <c r="I3813" t="s">
        <v>14292</v>
      </c>
      <c r="L3813" t="s">
        <v>23914</v>
      </c>
      <c r="M3813">
        <v>464</v>
      </c>
      <c r="N3813" t="s">
        <v>23915</v>
      </c>
    </row>
    <row r="3814" spans="1:14">
      <c r="A3814" t="s">
        <v>9256</v>
      </c>
      <c r="B3814">
        <v>4535133</v>
      </c>
      <c r="C3814">
        <v>4535915</v>
      </c>
      <c r="E3814" t="s">
        <v>14290</v>
      </c>
      <c r="F3814" t="s">
        <v>23916</v>
      </c>
      <c r="H3814">
        <v>93525235</v>
      </c>
      <c r="I3814" t="s">
        <v>14292</v>
      </c>
      <c r="L3814" t="s">
        <v>23917</v>
      </c>
      <c r="M3814">
        <v>260</v>
      </c>
      <c r="N3814" t="s">
        <v>23918</v>
      </c>
    </row>
    <row r="3815" spans="1:14">
      <c r="A3815" t="s">
        <v>9256</v>
      </c>
      <c r="B3815">
        <v>4535920</v>
      </c>
      <c r="C3815">
        <v>4537095</v>
      </c>
      <c r="E3815" t="s">
        <v>14290</v>
      </c>
      <c r="F3815" t="s">
        <v>15077</v>
      </c>
      <c r="G3815" t="s">
        <v>15078</v>
      </c>
      <c r="H3815">
        <v>93525236</v>
      </c>
      <c r="I3815" t="s">
        <v>14292</v>
      </c>
      <c r="L3815" t="s">
        <v>23919</v>
      </c>
      <c r="M3815">
        <v>391</v>
      </c>
      <c r="N3815" t="s">
        <v>23920</v>
      </c>
    </row>
    <row r="3816" spans="1:14">
      <c r="A3816" t="s">
        <v>9256</v>
      </c>
      <c r="B3816">
        <v>4537099</v>
      </c>
      <c r="C3816">
        <v>4538286</v>
      </c>
      <c r="E3816" t="s">
        <v>14290</v>
      </c>
      <c r="F3816" t="s">
        <v>14364</v>
      </c>
      <c r="H3816">
        <v>93525237</v>
      </c>
      <c r="I3816" t="s">
        <v>14292</v>
      </c>
      <c r="L3816" t="s">
        <v>23921</v>
      </c>
      <c r="M3816">
        <v>395</v>
      </c>
      <c r="N3816" t="s">
        <v>23922</v>
      </c>
    </row>
    <row r="3817" spans="1:14">
      <c r="A3817" t="s">
        <v>9256</v>
      </c>
      <c r="B3817">
        <v>4538294</v>
      </c>
      <c r="C3817">
        <v>4539379</v>
      </c>
      <c r="E3817" t="s">
        <v>14314</v>
      </c>
      <c r="F3817" t="s">
        <v>14361</v>
      </c>
      <c r="H3817">
        <v>93525238</v>
      </c>
      <c r="I3817" t="s">
        <v>14292</v>
      </c>
      <c r="L3817" t="s">
        <v>23923</v>
      </c>
      <c r="M3817">
        <v>361</v>
      </c>
      <c r="N3817" t="s">
        <v>23924</v>
      </c>
    </row>
    <row r="3818" spans="1:14">
      <c r="A3818" t="s">
        <v>9256</v>
      </c>
      <c r="B3818">
        <v>4539381</v>
      </c>
      <c r="C3818">
        <v>4540604</v>
      </c>
      <c r="E3818" t="s">
        <v>14314</v>
      </c>
      <c r="F3818" t="s">
        <v>14361</v>
      </c>
      <c r="H3818">
        <v>93525239</v>
      </c>
      <c r="I3818" t="s">
        <v>14292</v>
      </c>
      <c r="L3818" t="s">
        <v>23925</v>
      </c>
      <c r="M3818">
        <v>407</v>
      </c>
      <c r="N3818" t="s">
        <v>23926</v>
      </c>
    </row>
    <row r="3819" spans="1:14">
      <c r="A3819" t="s">
        <v>9256</v>
      </c>
      <c r="B3819">
        <v>4540582</v>
      </c>
      <c r="C3819">
        <v>4541823</v>
      </c>
      <c r="E3819" t="s">
        <v>14314</v>
      </c>
      <c r="F3819" t="s">
        <v>14291</v>
      </c>
      <c r="H3819">
        <v>93525240</v>
      </c>
      <c r="I3819" t="s">
        <v>14292</v>
      </c>
      <c r="L3819" t="s">
        <v>23927</v>
      </c>
      <c r="M3819">
        <v>413</v>
      </c>
      <c r="N3819" t="s">
        <v>23928</v>
      </c>
    </row>
    <row r="3820" spans="1:14">
      <c r="A3820" t="s">
        <v>9256</v>
      </c>
      <c r="B3820">
        <v>4542968</v>
      </c>
      <c r="C3820">
        <v>4544989</v>
      </c>
      <c r="E3820" t="s">
        <v>14314</v>
      </c>
      <c r="F3820" t="s">
        <v>23929</v>
      </c>
      <c r="H3820">
        <v>93525241</v>
      </c>
      <c r="I3820" t="s">
        <v>14292</v>
      </c>
      <c r="L3820" t="s">
        <v>23930</v>
      </c>
      <c r="M3820">
        <v>673</v>
      </c>
      <c r="N3820" t="s">
        <v>23931</v>
      </c>
    </row>
    <row r="3821" spans="1:14">
      <c r="A3821" t="s">
        <v>9256</v>
      </c>
      <c r="B3821">
        <v>4545531</v>
      </c>
      <c r="C3821">
        <v>4546847</v>
      </c>
      <c r="E3821" t="s">
        <v>14290</v>
      </c>
      <c r="F3821" t="s">
        <v>21349</v>
      </c>
      <c r="H3821">
        <v>93525242</v>
      </c>
      <c r="I3821" t="s">
        <v>14292</v>
      </c>
      <c r="L3821" t="s">
        <v>23932</v>
      </c>
      <c r="M3821">
        <v>438</v>
      </c>
      <c r="N3821" t="s">
        <v>23933</v>
      </c>
    </row>
    <row r="3822" spans="1:14">
      <c r="A3822" t="s">
        <v>9256</v>
      </c>
      <c r="B3822">
        <v>4546890</v>
      </c>
      <c r="C3822">
        <v>4547063</v>
      </c>
      <c r="E3822" t="s">
        <v>14314</v>
      </c>
      <c r="F3822" t="s">
        <v>23934</v>
      </c>
      <c r="H3822">
        <v>93525974</v>
      </c>
      <c r="I3822" t="s">
        <v>14292</v>
      </c>
      <c r="L3822" t="s">
        <v>23935</v>
      </c>
      <c r="M3822">
        <v>57</v>
      </c>
      <c r="N3822" t="s">
        <v>23936</v>
      </c>
    </row>
    <row r="3823" spans="1:14">
      <c r="A3823" t="s">
        <v>9256</v>
      </c>
      <c r="B3823">
        <v>4547114</v>
      </c>
      <c r="C3823">
        <v>4549603</v>
      </c>
      <c r="E3823" t="s">
        <v>14314</v>
      </c>
      <c r="F3823" t="s">
        <v>23937</v>
      </c>
      <c r="G3823" t="s">
        <v>23938</v>
      </c>
      <c r="H3823">
        <v>93525243</v>
      </c>
      <c r="I3823" t="s">
        <v>14292</v>
      </c>
      <c r="L3823" t="s">
        <v>23939</v>
      </c>
      <c r="M3823">
        <v>829</v>
      </c>
      <c r="N3823" t="s">
        <v>23940</v>
      </c>
    </row>
    <row r="3824" spans="1:14">
      <c r="A3824" t="s">
        <v>9256</v>
      </c>
      <c r="B3824">
        <v>4549741</v>
      </c>
      <c r="C3824">
        <v>4550226</v>
      </c>
      <c r="E3824" t="s">
        <v>14290</v>
      </c>
      <c r="F3824" t="s">
        <v>14291</v>
      </c>
      <c r="H3824">
        <v>93525244</v>
      </c>
      <c r="I3824" t="s">
        <v>14292</v>
      </c>
      <c r="L3824" t="s">
        <v>23941</v>
      </c>
      <c r="M3824">
        <v>161</v>
      </c>
      <c r="N3824" t="s">
        <v>23942</v>
      </c>
    </row>
    <row r="3825" spans="1:14">
      <c r="A3825" t="s">
        <v>9256</v>
      </c>
      <c r="B3825">
        <v>4550243</v>
      </c>
      <c r="C3825">
        <v>4550653</v>
      </c>
      <c r="E3825" t="s">
        <v>14290</v>
      </c>
      <c r="F3825" t="s">
        <v>16871</v>
      </c>
      <c r="H3825">
        <v>93525245</v>
      </c>
      <c r="I3825" t="s">
        <v>14292</v>
      </c>
      <c r="L3825" t="s">
        <v>23943</v>
      </c>
      <c r="M3825">
        <v>136</v>
      </c>
      <c r="N3825" t="s">
        <v>23944</v>
      </c>
    </row>
    <row r="3826" spans="1:14">
      <c r="A3826" t="s">
        <v>9256</v>
      </c>
      <c r="B3826">
        <v>4550597</v>
      </c>
      <c r="C3826">
        <v>4551610</v>
      </c>
      <c r="E3826" t="s">
        <v>14314</v>
      </c>
      <c r="F3826" t="s">
        <v>14645</v>
      </c>
      <c r="H3826">
        <v>93525246</v>
      </c>
      <c r="I3826" t="s">
        <v>14292</v>
      </c>
      <c r="L3826" t="s">
        <v>23945</v>
      </c>
      <c r="M3826">
        <v>337</v>
      </c>
      <c r="N3826" t="s">
        <v>23946</v>
      </c>
    </row>
    <row r="3827" spans="1:14">
      <c r="A3827" t="s">
        <v>9256</v>
      </c>
      <c r="B3827">
        <v>4551594</v>
      </c>
      <c r="C3827">
        <v>4552727</v>
      </c>
      <c r="E3827" t="s">
        <v>14314</v>
      </c>
      <c r="F3827" t="s">
        <v>14291</v>
      </c>
      <c r="H3827">
        <v>93525247</v>
      </c>
      <c r="I3827" t="s">
        <v>14292</v>
      </c>
      <c r="L3827" t="s">
        <v>23947</v>
      </c>
      <c r="M3827">
        <v>377</v>
      </c>
      <c r="N3827" t="s">
        <v>23948</v>
      </c>
    </row>
    <row r="3828" spans="1:14">
      <c r="A3828" t="s">
        <v>9256</v>
      </c>
      <c r="B3828">
        <v>4552732</v>
      </c>
      <c r="C3828">
        <v>4553967</v>
      </c>
      <c r="E3828" t="s">
        <v>14314</v>
      </c>
      <c r="F3828" t="s">
        <v>14364</v>
      </c>
      <c r="H3828">
        <v>93525248</v>
      </c>
      <c r="I3828" t="s">
        <v>14292</v>
      </c>
      <c r="L3828" t="s">
        <v>23949</v>
      </c>
      <c r="M3828">
        <v>411</v>
      </c>
      <c r="N3828" t="s">
        <v>23950</v>
      </c>
    </row>
    <row r="3829" spans="1:14">
      <c r="A3829" t="s">
        <v>9256</v>
      </c>
      <c r="B3829">
        <v>4553982</v>
      </c>
      <c r="C3829">
        <v>4554617</v>
      </c>
      <c r="E3829" t="s">
        <v>14314</v>
      </c>
      <c r="F3829" t="s">
        <v>20701</v>
      </c>
      <c r="H3829">
        <v>93525249</v>
      </c>
      <c r="I3829" t="s">
        <v>14292</v>
      </c>
      <c r="L3829" t="s">
        <v>23951</v>
      </c>
      <c r="M3829">
        <v>211</v>
      </c>
      <c r="N3829" t="s">
        <v>23952</v>
      </c>
    </row>
    <row r="3830" spans="1:14">
      <c r="A3830" t="s">
        <v>9256</v>
      </c>
      <c r="B3830">
        <v>4554656</v>
      </c>
      <c r="C3830">
        <v>4555963</v>
      </c>
      <c r="E3830" t="s">
        <v>14314</v>
      </c>
      <c r="F3830" t="s">
        <v>18007</v>
      </c>
      <c r="H3830">
        <v>93525250</v>
      </c>
      <c r="I3830" t="s">
        <v>14292</v>
      </c>
      <c r="L3830" t="s">
        <v>23953</v>
      </c>
      <c r="M3830">
        <v>435</v>
      </c>
      <c r="N3830" t="s">
        <v>23954</v>
      </c>
    </row>
    <row r="3831" spans="1:14">
      <c r="A3831" t="s">
        <v>9256</v>
      </c>
      <c r="B3831">
        <v>4555954</v>
      </c>
      <c r="C3831">
        <v>4556907</v>
      </c>
      <c r="E3831" t="s">
        <v>14314</v>
      </c>
      <c r="F3831" t="s">
        <v>14439</v>
      </c>
      <c r="H3831">
        <v>93525251</v>
      </c>
      <c r="I3831" t="s">
        <v>14292</v>
      </c>
      <c r="L3831" t="s">
        <v>23955</v>
      </c>
      <c r="M3831">
        <v>317</v>
      </c>
      <c r="N3831" t="s">
        <v>23956</v>
      </c>
    </row>
    <row r="3832" spans="1:14">
      <c r="A3832" t="s">
        <v>9256</v>
      </c>
      <c r="B3832">
        <v>4556949</v>
      </c>
      <c r="C3832">
        <v>4558001</v>
      </c>
      <c r="E3832" t="s">
        <v>14314</v>
      </c>
      <c r="F3832" t="s">
        <v>23957</v>
      </c>
      <c r="G3832" t="s">
        <v>23958</v>
      </c>
      <c r="H3832">
        <v>93525252</v>
      </c>
      <c r="I3832" t="s">
        <v>14292</v>
      </c>
      <c r="L3832" t="s">
        <v>23959</v>
      </c>
      <c r="M3832">
        <v>350</v>
      </c>
      <c r="N3832" t="s">
        <v>23960</v>
      </c>
    </row>
    <row r="3833" spans="1:14">
      <c r="A3833" t="s">
        <v>9256</v>
      </c>
      <c r="B3833">
        <v>4558011</v>
      </c>
      <c r="C3833">
        <v>4558469</v>
      </c>
      <c r="E3833" t="s">
        <v>14314</v>
      </c>
      <c r="F3833" t="s">
        <v>23961</v>
      </c>
      <c r="G3833" t="s">
        <v>23962</v>
      </c>
      <c r="H3833">
        <v>93525253</v>
      </c>
      <c r="I3833" t="s">
        <v>14292</v>
      </c>
      <c r="L3833" t="s">
        <v>23963</v>
      </c>
      <c r="M3833">
        <v>152</v>
      </c>
      <c r="N3833" t="s">
        <v>23964</v>
      </c>
    </row>
    <row r="3834" spans="1:14">
      <c r="A3834" t="s">
        <v>9256</v>
      </c>
      <c r="B3834">
        <v>4558471</v>
      </c>
      <c r="C3834">
        <v>4559664</v>
      </c>
      <c r="E3834" t="s">
        <v>14314</v>
      </c>
      <c r="F3834" t="s">
        <v>23965</v>
      </c>
      <c r="H3834">
        <v>93525254</v>
      </c>
      <c r="I3834" t="s">
        <v>14292</v>
      </c>
      <c r="L3834" t="s">
        <v>23966</v>
      </c>
      <c r="M3834">
        <v>397</v>
      </c>
      <c r="N3834" t="s">
        <v>23967</v>
      </c>
    </row>
    <row r="3835" spans="1:14">
      <c r="A3835" t="s">
        <v>9256</v>
      </c>
      <c r="B3835">
        <v>4559860</v>
      </c>
      <c r="C3835">
        <v>4562145</v>
      </c>
      <c r="E3835" t="s">
        <v>14290</v>
      </c>
      <c r="F3835" t="s">
        <v>14493</v>
      </c>
      <c r="H3835">
        <v>93525255</v>
      </c>
      <c r="I3835" t="s">
        <v>14292</v>
      </c>
      <c r="L3835" t="s">
        <v>23968</v>
      </c>
      <c r="M3835">
        <v>761</v>
      </c>
      <c r="N3835" t="s">
        <v>23969</v>
      </c>
    </row>
    <row r="3836" spans="1:14">
      <c r="A3836" t="s">
        <v>9256</v>
      </c>
      <c r="B3836">
        <v>4562152</v>
      </c>
      <c r="C3836">
        <v>4563339</v>
      </c>
      <c r="E3836" t="s">
        <v>14290</v>
      </c>
      <c r="F3836" t="s">
        <v>14645</v>
      </c>
      <c r="H3836">
        <v>93525256</v>
      </c>
      <c r="I3836" t="s">
        <v>14292</v>
      </c>
      <c r="L3836" t="s">
        <v>23970</v>
      </c>
      <c r="M3836">
        <v>395</v>
      </c>
      <c r="N3836" t="s">
        <v>23971</v>
      </c>
    </row>
    <row r="3837" spans="1:14">
      <c r="A3837" t="s">
        <v>9256</v>
      </c>
      <c r="B3837">
        <v>4563499</v>
      </c>
      <c r="C3837">
        <v>4564329</v>
      </c>
      <c r="E3837" t="s">
        <v>14314</v>
      </c>
      <c r="F3837" t="s">
        <v>14291</v>
      </c>
      <c r="H3837">
        <v>93525257</v>
      </c>
      <c r="I3837" t="s">
        <v>14292</v>
      </c>
      <c r="L3837" t="s">
        <v>23972</v>
      </c>
      <c r="M3837">
        <v>276</v>
      </c>
      <c r="N3837" t="s">
        <v>23973</v>
      </c>
    </row>
    <row r="3838" spans="1:14">
      <c r="A3838" t="s">
        <v>9256</v>
      </c>
      <c r="B3838">
        <v>4564364</v>
      </c>
      <c r="C3838">
        <v>4567285</v>
      </c>
      <c r="E3838" t="s">
        <v>14314</v>
      </c>
      <c r="F3838" t="s">
        <v>23434</v>
      </c>
      <c r="H3838">
        <v>93525258</v>
      </c>
      <c r="I3838" t="s">
        <v>14292</v>
      </c>
      <c r="L3838" t="s">
        <v>23974</v>
      </c>
      <c r="M3838">
        <v>973</v>
      </c>
      <c r="N3838" t="s">
        <v>23975</v>
      </c>
    </row>
    <row r="3839" spans="1:14">
      <c r="A3839" t="s">
        <v>9256</v>
      </c>
      <c r="B3839">
        <v>4567369</v>
      </c>
      <c r="C3839">
        <v>4569036</v>
      </c>
      <c r="E3839" t="s">
        <v>14314</v>
      </c>
      <c r="F3839" t="s">
        <v>19636</v>
      </c>
      <c r="H3839">
        <v>93525259</v>
      </c>
      <c r="I3839" t="s">
        <v>14292</v>
      </c>
      <c r="L3839" t="s">
        <v>23976</v>
      </c>
      <c r="M3839">
        <v>555</v>
      </c>
      <c r="N3839" t="s">
        <v>23977</v>
      </c>
    </row>
    <row r="3840" spans="1:14">
      <c r="A3840" t="s">
        <v>9256</v>
      </c>
      <c r="B3840">
        <v>4569134</v>
      </c>
      <c r="C3840">
        <v>4569487</v>
      </c>
      <c r="E3840" t="s">
        <v>14290</v>
      </c>
      <c r="F3840" t="s">
        <v>14291</v>
      </c>
      <c r="H3840">
        <v>93525260</v>
      </c>
      <c r="I3840" t="s">
        <v>14292</v>
      </c>
      <c r="L3840" t="s">
        <v>23978</v>
      </c>
      <c r="M3840">
        <v>117</v>
      </c>
      <c r="N3840" t="s">
        <v>23979</v>
      </c>
    </row>
    <row r="3841" spans="1:14">
      <c r="A3841" t="s">
        <v>9256</v>
      </c>
      <c r="B3841">
        <v>4569588</v>
      </c>
      <c r="C3841">
        <v>4571894</v>
      </c>
      <c r="E3841" t="s">
        <v>14290</v>
      </c>
      <c r="F3841" t="s">
        <v>15450</v>
      </c>
      <c r="H3841">
        <v>93525261</v>
      </c>
      <c r="I3841" t="s">
        <v>14292</v>
      </c>
      <c r="L3841" t="s">
        <v>23980</v>
      </c>
      <c r="M3841">
        <v>768</v>
      </c>
      <c r="N3841" t="s">
        <v>23981</v>
      </c>
    </row>
    <row r="3842" spans="1:14">
      <c r="A3842" t="s">
        <v>9256</v>
      </c>
      <c r="B3842">
        <v>4571918</v>
      </c>
      <c r="C3842">
        <v>4573798</v>
      </c>
      <c r="E3842" t="s">
        <v>14314</v>
      </c>
      <c r="F3842" t="s">
        <v>23982</v>
      </c>
      <c r="H3842">
        <v>93525262</v>
      </c>
      <c r="I3842" t="s">
        <v>14292</v>
      </c>
      <c r="L3842" t="s">
        <v>23983</v>
      </c>
      <c r="M3842">
        <v>626</v>
      </c>
      <c r="N3842" t="s">
        <v>23984</v>
      </c>
    </row>
    <row r="3843" spans="1:14">
      <c r="A3843" t="s">
        <v>9256</v>
      </c>
      <c r="B3843">
        <v>4573816</v>
      </c>
      <c r="C3843">
        <v>4574418</v>
      </c>
      <c r="E3843" t="s">
        <v>14314</v>
      </c>
      <c r="F3843" t="s">
        <v>23985</v>
      </c>
      <c r="G3843" t="s">
        <v>23986</v>
      </c>
      <c r="H3843">
        <v>93525263</v>
      </c>
      <c r="I3843" t="s">
        <v>14292</v>
      </c>
      <c r="L3843" t="s">
        <v>23987</v>
      </c>
      <c r="M3843">
        <v>200</v>
      </c>
      <c r="N3843" t="s">
        <v>23988</v>
      </c>
    </row>
    <row r="3844" spans="1:14">
      <c r="A3844" t="s">
        <v>9256</v>
      </c>
      <c r="B3844">
        <v>4574484</v>
      </c>
      <c r="C3844">
        <v>4575947</v>
      </c>
      <c r="E3844" t="s">
        <v>14314</v>
      </c>
      <c r="F3844" t="s">
        <v>23989</v>
      </c>
      <c r="H3844">
        <v>93525264</v>
      </c>
      <c r="I3844" t="s">
        <v>14292</v>
      </c>
      <c r="L3844" t="s">
        <v>23990</v>
      </c>
      <c r="M3844">
        <v>487</v>
      </c>
      <c r="N3844" t="s">
        <v>23991</v>
      </c>
    </row>
    <row r="3845" spans="1:14">
      <c r="A3845" t="s">
        <v>9256</v>
      </c>
      <c r="B3845">
        <v>4575989</v>
      </c>
      <c r="C3845">
        <v>4577572</v>
      </c>
      <c r="E3845" t="s">
        <v>14314</v>
      </c>
      <c r="F3845" t="s">
        <v>23124</v>
      </c>
      <c r="H3845">
        <v>93525265</v>
      </c>
      <c r="I3845" t="s">
        <v>14292</v>
      </c>
      <c r="L3845" t="s">
        <v>23992</v>
      </c>
      <c r="M3845">
        <v>527</v>
      </c>
      <c r="N3845" t="s">
        <v>23993</v>
      </c>
    </row>
    <row r="3846" spans="1:14">
      <c r="A3846" t="s">
        <v>9256</v>
      </c>
      <c r="B3846">
        <v>4577798</v>
      </c>
      <c r="C3846">
        <v>4580176</v>
      </c>
      <c r="E3846" t="s">
        <v>14314</v>
      </c>
      <c r="F3846" t="s">
        <v>14562</v>
      </c>
      <c r="H3846">
        <v>93525266</v>
      </c>
      <c r="I3846" t="s">
        <v>14292</v>
      </c>
      <c r="L3846" t="s">
        <v>23994</v>
      </c>
      <c r="M3846">
        <v>792</v>
      </c>
      <c r="N3846" t="s">
        <v>23995</v>
      </c>
    </row>
    <row r="3847" spans="1:14">
      <c r="A3847" t="s">
        <v>9256</v>
      </c>
      <c r="B3847">
        <v>4580325</v>
      </c>
      <c r="C3847">
        <v>4581638</v>
      </c>
      <c r="E3847" t="s">
        <v>14314</v>
      </c>
      <c r="F3847" t="s">
        <v>23996</v>
      </c>
      <c r="H3847">
        <v>93525267</v>
      </c>
      <c r="I3847" t="s">
        <v>14292</v>
      </c>
      <c r="L3847" t="s">
        <v>23997</v>
      </c>
      <c r="M3847">
        <v>437</v>
      </c>
      <c r="N3847" t="s">
        <v>23998</v>
      </c>
    </row>
    <row r="3848" spans="1:14">
      <c r="A3848" t="s">
        <v>9256</v>
      </c>
      <c r="B3848">
        <v>4581656</v>
      </c>
      <c r="C3848">
        <v>4583653</v>
      </c>
      <c r="E3848" t="s">
        <v>14314</v>
      </c>
      <c r="F3848" t="s">
        <v>23999</v>
      </c>
      <c r="H3848">
        <v>93525268</v>
      </c>
      <c r="I3848" t="s">
        <v>14292</v>
      </c>
      <c r="L3848" t="s">
        <v>24000</v>
      </c>
      <c r="M3848">
        <v>665</v>
      </c>
      <c r="N3848" t="s">
        <v>24001</v>
      </c>
    </row>
    <row r="3849" spans="1:14">
      <c r="A3849" t="s">
        <v>9256</v>
      </c>
      <c r="B3849">
        <v>4584138</v>
      </c>
      <c r="C3849">
        <v>4584764</v>
      </c>
      <c r="E3849" t="s">
        <v>14290</v>
      </c>
      <c r="F3849" t="s">
        <v>24002</v>
      </c>
      <c r="G3849" t="s">
        <v>24003</v>
      </c>
      <c r="H3849">
        <v>93525269</v>
      </c>
      <c r="I3849" t="s">
        <v>14292</v>
      </c>
      <c r="L3849" t="s">
        <v>24004</v>
      </c>
      <c r="M3849">
        <v>208</v>
      </c>
      <c r="N3849" t="s">
        <v>24005</v>
      </c>
    </row>
    <row r="3850" spans="1:14">
      <c r="A3850" t="s">
        <v>9256</v>
      </c>
      <c r="B3850">
        <v>4584791</v>
      </c>
      <c r="C3850">
        <v>4585957</v>
      </c>
      <c r="E3850" t="s">
        <v>14290</v>
      </c>
      <c r="F3850" t="s">
        <v>14335</v>
      </c>
      <c r="H3850">
        <v>93525270</v>
      </c>
      <c r="I3850" t="s">
        <v>14292</v>
      </c>
      <c r="L3850" t="s">
        <v>24006</v>
      </c>
      <c r="M3850">
        <v>388</v>
      </c>
      <c r="N3850" t="s">
        <v>24007</v>
      </c>
    </row>
    <row r="3851" spans="1:14">
      <c r="A3851" t="s">
        <v>9256</v>
      </c>
      <c r="B3851">
        <v>4585975</v>
      </c>
      <c r="C3851">
        <v>4586490</v>
      </c>
      <c r="E3851" t="s">
        <v>14290</v>
      </c>
      <c r="F3851" t="s">
        <v>14439</v>
      </c>
      <c r="H3851">
        <v>93525271</v>
      </c>
      <c r="I3851" t="s">
        <v>14292</v>
      </c>
      <c r="L3851" t="s">
        <v>24008</v>
      </c>
      <c r="M3851">
        <v>171</v>
      </c>
      <c r="N3851" t="s">
        <v>24009</v>
      </c>
    </row>
    <row r="3852" spans="1:14">
      <c r="A3852" t="s">
        <v>9256</v>
      </c>
      <c r="B3852">
        <v>4586482</v>
      </c>
      <c r="C3852">
        <v>4587078</v>
      </c>
      <c r="E3852" t="s">
        <v>14314</v>
      </c>
      <c r="F3852" t="s">
        <v>24010</v>
      </c>
      <c r="H3852">
        <v>93525272</v>
      </c>
      <c r="I3852" t="s">
        <v>14292</v>
      </c>
      <c r="L3852" t="s">
        <v>24011</v>
      </c>
      <c r="M3852">
        <v>198</v>
      </c>
      <c r="N3852" t="s">
        <v>24012</v>
      </c>
    </row>
    <row r="3853" spans="1:14">
      <c r="A3853" t="s">
        <v>9256</v>
      </c>
      <c r="B3853">
        <v>4587199</v>
      </c>
      <c r="C3853">
        <v>4588512</v>
      </c>
      <c r="E3853" t="s">
        <v>14314</v>
      </c>
      <c r="F3853" t="s">
        <v>24013</v>
      </c>
      <c r="H3853">
        <v>93525273</v>
      </c>
      <c r="I3853" t="s">
        <v>14292</v>
      </c>
      <c r="L3853" t="s">
        <v>24014</v>
      </c>
      <c r="M3853">
        <v>437</v>
      </c>
      <c r="N3853" t="s">
        <v>24015</v>
      </c>
    </row>
    <row r="3854" spans="1:14">
      <c r="A3854" t="s">
        <v>9256</v>
      </c>
      <c r="B3854">
        <v>4588657</v>
      </c>
      <c r="C3854">
        <v>4588730</v>
      </c>
      <c r="E3854" t="s">
        <v>14290</v>
      </c>
      <c r="F3854" t="s">
        <v>15723</v>
      </c>
      <c r="H3854">
        <v>93525274</v>
      </c>
      <c r="I3854" t="s">
        <v>13638</v>
      </c>
      <c r="N3854" t="s">
        <v>24016</v>
      </c>
    </row>
    <row r="3855" spans="1:14">
      <c r="A3855" t="s">
        <v>9256</v>
      </c>
      <c r="B3855">
        <v>4588876</v>
      </c>
      <c r="C3855">
        <v>4589778</v>
      </c>
      <c r="E3855" t="s">
        <v>14290</v>
      </c>
      <c r="F3855" t="s">
        <v>14406</v>
      </c>
      <c r="H3855">
        <v>93525275</v>
      </c>
      <c r="I3855" t="s">
        <v>14292</v>
      </c>
      <c r="L3855" t="s">
        <v>24017</v>
      </c>
      <c r="M3855">
        <v>300</v>
      </c>
      <c r="N3855" t="s">
        <v>24018</v>
      </c>
    </row>
    <row r="3856" spans="1:14">
      <c r="A3856" t="s">
        <v>9256</v>
      </c>
      <c r="B3856">
        <v>4589792</v>
      </c>
      <c r="C3856">
        <v>4590355</v>
      </c>
      <c r="E3856" t="s">
        <v>14314</v>
      </c>
      <c r="F3856" t="s">
        <v>21354</v>
      </c>
      <c r="H3856">
        <v>93525276</v>
      </c>
      <c r="I3856" t="s">
        <v>14292</v>
      </c>
      <c r="L3856" t="s">
        <v>24019</v>
      </c>
      <c r="M3856">
        <v>187</v>
      </c>
      <c r="N3856" t="s">
        <v>24020</v>
      </c>
    </row>
    <row r="3857" spans="1:14">
      <c r="A3857" t="s">
        <v>9256</v>
      </c>
      <c r="B3857">
        <v>4590481</v>
      </c>
      <c r="C3857">
        <v>4591725</v>
      </c>
      <c r="E3857" t="s">
        <v>14314</v>
      </c>
      <c r="F3857" t="s">
        <v>18413</v>
      </c>
      <c r="H3857">
        <v>93525277</v>
      </c>
      <c r="I3857" t="s">
        <v>14292</v>
      </c>
      <c r="L3857" t="s">
        <v>24021</v>
      </c>
      <c r="M3857">
        <v>414</v>
      </c>
      <c r="N3857" t="s">
        <v>24022</v>
      </c>
    </row>
    <row r="3858" spans="1:14">
      <c r="A3858" t="s">
        <v>9256</v>
      </c>
      <c r="B3858">
        <v>4591826</v>
      </c>
      <c r="C3858">
        <v>4592323</v>
      </c>
      <c r="E3858" t="s">
        <v>14290</v>
      </c>
      <c r="F3858" t="s">
        <v>14291</v>
      </c>
      <c r="H3858">
        <v>93525278</v>
      </c>
      <c r="I3858" t="s">
        <v>14292</v>
      </c>
      <c r="L3858" t="s">
        <v>24023</v>
      </c>
      <c r="M3858">
        <v>165</v>
      </c>
      <c r="N3858" t="s">
        <v>24024</v>
      </c>
    </row>
    <row r="3859" spans="1:14">
      <c r="A3859" t="s">
        <v>9256</v>
      </c>
      <c r="B3859">
        <v>4592320</v>
      </c>
      <c r="C3859">
        <v>4593231</v>
      </c>
      <c r="E3859" t="s">
        <v>14290</v>
      </c>
      <c r="F3859" t="s">
        <v>22351</v>
      </c>
      <c r="H3859">
        <v>93525279</v>
      </c>
      <c r="I3859" t="s">
        <v>14292</v>
      </c>
      <c r="L3859" t="s">
        <v>24025</v>
      </c>
      <c r="M3859">
        <v>303</v>
      </c>
      <c r="N3859" t="s">
        <v>24026</v>
      </c>
    </row>
    <row r="3860" spans="1:14">
      <c r="A3860" t="s">
        <v>9256</v>
      </c>
      <c r="B3860">
        <v>4593743</v>
      </c>
      <c r="C3860">
        <v>4597423</v>
      </c>
      <c r="E3860" t="s">
        <v>14314</v>
      </c>
      <c r="F3860" t="s">
        <v>24027</v>
      </c>
      <c r="H3860">
        <v>93525280</v>
      </c>
      <c r="I3860" t="s">
        <v>14292</v>
      </c>
      <c r="L3860" t="s">
        <v>24028</v>
      </c>
      <c r="M3860">
        <v>1226</v>
      </c>
      <c r="N3860" t="s">
        <v>24029</v>
      </c>
    </row>
    <row r="3861" spans="1:14">
      <c r="A3861" t="s">
        <v>9256</v>
      </c>
      <c r="B3861">
        <v>4597520</v>
      </c>
      <c r="C3861">
        <v>4600342</v>
      </c>
      <c r="E3861" t="s">
        <v>14314</v>
      </c>
      <c r="F3861" t="s">
        <v>18833</v>
      </c>
      <c r="H3861">
        <v>93525281</v>
      </c>
      <c r="I3861" t="s">
        <v>14292</v>
      </c>
      <c r="L3861" t="s">
        <v>24030</v>
      </c>
      <c r="M3861">
        <v>940</v>
      </c>
      <c r="N3861" t="s">
        <v>24031</v>
      </c>
    </row>
    <row r="3862" spans="1:14">
      <c r="A3862" t="s">
        <v>9256</v>
      </c>
      <c r="B3862">
        <v>4600427</v>
      </c>
      <c r="C3862">
        <v>4601362</v>
      </c>
      <c r="E3862" t="s">
        <v>14290</v>
      </c>
      <c r="F3862" t="s">
        <v>15126</v>
      </c>
      <c r="H3862">
        <v>93525282</v>
      </c>
      <c r="I3862" t="s">
        <v>14292</v>
      </c>
      <c r="L3862" t="s">
        <v>24032</v>
      </c>
      <c r="M3862">
        <v>311</v>
      </c>
      <c r="N3862" t="s">
        <v>24033</v>
      </c>
    </row>
    <row r="3863" spans="1:14">
      <c r="A3863" t="s">
        <v>9256</v>
      </c>
      <c r="B3863">
        <v>4601887</v>
      </c>
      <c r="C3863">
        <v>4602990</v>
      </c>
      <c r="E3863" t="s">
        <v>14290</v>
      </c>
      <c r="F3863" t="s">
        <v>15122</v>
      </c>
      <c r="G3863" t="s">
        <v>15123</v>
      </c>
      <c r="H3863">
        <v>93525283</v>
      </c>
      <c r="I3863" t="s">
        <v>14292</v>
      </c>
      <c r="L3863" t="s">
        <v>24034</v>
      </c>
      <c r="M3863">
        <v>367</v>
      </c>
      <c r="N3863" t="s">
        <v>24035</v>
      </c>
    </row>
    <row r="3864" spans="1:14">
      <c r="A3864" t="s">
        <v>9256</v>
      </c>
      <c r="B3864">
        <v>4603037</v>
      </c>
      <c r="C3864">
        <v>4603426</v>
      </c>
      <c r="E3864" t="s">
        <v>14290</v>
      </c>
      <c r="F3864" t="s">
        <v>14291</v>
      </c>
      <c r="H3864">
        <v>93525284</v>
      </c>
      <c r="I3864" t="s">
        <v>14292</v>
      </c>
      <c r="L3864" t="s">
        <v>24036</v>
      </c>
      <c r="M3864">
        <v>129</v>
      </c>
      <c r="N3864" t="s">
        <v>24037</v>
      </c>
    </row>
    <row r="3865" spans="1:14">
      <c r="A3865" t="s">
        <v>9256</v>
      </c>
      <c r="B3865">
        <v>4603423</v>
      </c>
      <c r="C3865">
        <v>4604565</v>
      </c>
      <c r="E3865" t="s">
        <v>14290</v>
      </c>
      <c r="F3865" t="s">
        <v>15111</v>
      </c>
      <c r="H3865">
        <v>93525285</v>
      </c>
      <c r="I3865" t="s">
        <v>14292</v>
      </c>
      <c r="L3865" t="s">
        <v>24038</v>
      </c>
      <c r="M3865">
        <v>380</v>
      </c>
      <c r="N3865" t="s">
        <v>24039</v>
      </c>
    </row>
    <row r="3866" spans="1:14">
      <c r="A3866" t="s">
        <v>9256</v>
      </c>
      <c r="B3866">
        <v>4604617</v>
      </c>
      <c r="C3866">
        <v>4605375</v>
      </c>
      <c r="E3866" t="s">
        <v>14290</v>
      </c>
      <c r="F3866" t="s">
        <v>15590</v>
      </c>
      <c r="H3866">
        <v>93525286</v>
      </c>
      <c r="I3866" t="s">
        <v>14292</v>
      </c>
      <c r="L3866" t="s">
        <v>24040</v>
      </c>
      <c r="M3866">
        <v>252</v>
      </c>
      <c r="N3866" t="s">
        <v>24041</v>
      </c>
    </row>
    <row r="3867" spans="1:14">
      <c r="A3867" t="s">
        <v>9256</v>
      </c>
      <c r="B3867">
        <v>4605513</v>
      </c>
      <c r="C3867">
        <v>4605854</v>
      </c>
      <c r="E3867" t="s">
        <v>14290</v>
      </c>
      <c r="F3867" t="s">
        <v>14291</v>
      </c>
      <c r="H3867">
        <v>93525287</v>
      </c>
      <c r="I3867" t="s">
        <v>14292</v>
      </c>
      <c r="L3867" t="s">
        <v>24042</v>
      </c>
      <c r="M3867">
        <v>113</v>
      </c>
      <c r="N3867" t="s">
        <v>24043</v>
      </c>
    </row>
    <row r="3868" spans="1:14">
      <c r="A3868" t="s">
        <v>9256</v>
      </c>
      <c r="B3868">
        <v>4606080</v>
      </c>
      <c r="C3868">
        <v>4607891</v>
      </c>
      <c r="E3868" t="s">
        <v>14290</v>
      </c>
      <c r="F3868" t="s">
        <v>24013</v>
      </c>
      <c r="H3868">
        <v>93525288</v>
      </c>
      <c r="I3868" t="s">
        <v>14292</v>
      </c>
      <c r="L3868" t="s">
        <v>24044</v>
      </c>
      <c r="M3868">
        <v>603</v>
      </c>
      <c r="N3868" t="s">
        <v>24045</v>
      </c>
    </row>
    <row r="3869" spans="1:14">
      <c r="A3869" t="s">
        <v>9256</v>
      </c>
      <c r="B3869">
        <v>4607976</v>
      </c>
      <c r="C3869">
        <v>4609226</v>
      </c>
      <c r="E3869" t="s">
        <v>14290</v>
      </c>
      <c r="F3869" t="s">
        <v>22968</v>
      </c>
      <c r="H3869">
        <v>93525289</v>
      </c>
      <c r="I3869" t="s">
        <v>14292</v>
      </c>
      <c r="L3869" t="s">
        <v>24046</v>
      </c>
      <c r="M3869">
        <v>416</v>
      </c>
      <c r="N3869" t="s">
        <v>24047</v>
      </c>
    </row>
    <row r="3870" spans="1:14">
      <c r="A3870" t="s">
        <v>9256</v>
      </c>
      <c r="B3870">
        <v>4609233</v>
      </c>
      <c r="C3870">
        <v>4610192</v>
      </c>
      <c r="E3870" t="s">
        <v>14290</v>
      </c>
      <c r="F3870" t="s">
        <v>23916</v>
      </c>
      <c r="H3870">
        <v>93525290</v>
      </c>
      <c r="I3870" t="s">
        <v>14292</v>
      </c>
      <c r="L3870" t="s">
        <v>24048</v>
      </c>
      <c r="M3870">
        <v>319</v>
      </c>
      <c r="N3870" t="s">
        <v>24049</v>
      </c>
    </row>
    <row r="3871" spans="1:14">
      <c r="A3871" t="s">
        <v>9256</v>
      </c>
      <c r="B3871">
        <v>4610185</v>
      </c>
      <c r="C3871">
        <v>4611150</v>
      </c>
      <c r="E3871" t="s">
        <v>14290</v>
      </c>
      <c r="F3871" t="s">
        <v>14332</v>
      </c>
      <c r="H3871">
        <v>93525291</v>
      </c>
      <c r="I3871" t="s">
        <v>14292</v>
      </c>
      <c r="L3871" t="s">
        <v>24050</v>
      </c>
      <c r="M3871">
        <v>321</v>
      </c>
      <c r="N3871" t="s">
        <v>24051</v>
      </c>
    </row>
    <row r="3872" spans="1:14">
      <c r="A3872" t="s">
        <v>9256</v>
      </c>
      <c r="B3872">
        <v>4611205</v>
      </c>
      <c r="C3872">
        <v>4612182</v>
      </c>
      <c r="E3872" t="s">
        <v>14290</v>
      </c>
      <c r="F3872" t="s">
        <v>14335</v>
      </c>
      <c r="H3872">
        <v>93525292</v>
      </c>
      <c r="I3872" t="s">
        <v>14292</v>
      </c>
      <c r="L3872" t="s">
        <v>24052</v>
      </c>
      <c r="M3872">
        <v>325</v>
      </c>
      <c r="N3872" t="s">
        <v>24053</v>
      </c>
    </row>
    <row r="3873" spans="1:14">
      <c r="A3873" t="s">
        <v>9256</v>
      </c>
      <c r="B3873">
        <v>4612571</v>
      </c>
      <c r="C3873">
        <v>4613473</v>
      </c>
      <c r="E3873" t="s">
        <v>14290</v>
      </c>
      <c r="F3873" t="s">
        <v>14291</v>
      </c>
      <c r="H3873">
        <v>93525293</v>
      </c>
      <c r="I3873" t="s">
        <v>14292</v>
      </c>
      <c r="L3873" t="s">
        <v>24054</v>
      </c>
      <c r="M3873">
        <v>300</v>
      </c>
      <c r="N3873" t="s">
        <v>24055</v>
      </c>
    </row>
    <row r="3874" spans="1:14">
      <c r="A3874" t="s">
        <v>9256</v>
      </c>
      <c r="B3874">
        <v>4613451</v>
      </c>
      <c r="C3874">
        <v>4614608</v>
      </c>
      <c r="E3874" t="s">
        <v>14290</v>
      </c>
      <c r="F3874" t="s">
        <v>14364</v>
      </c>
      <c r="H3874">
        <v>93525294</v>
      </c>
      <c r="I3874" t="s">
        <v>14292</v>
      </c>
      <c r="L3874" t="s">
        <v>24056</v>
      </c>
      <c r="M3874">
        <v>385</v>
      </c>
      <c r="N3874" t="s">
        <v>24057</v>
      </c>
    </row>
    <row r="3875" spans="1:14">
      <c r="A3875" t="s">
        <v>9256</v>
      </c>
      <c r="B3875">
        <v>4614784</v>
      </c>
      <c r="C3875">
        <v>4615275</v>
      </c>
      <c r="E3875" t="s">
        <v>14290</v>
      </c>
      <c r="F3875" t="s">
        <v>16215</v>
      </c>
      <c r="H3875">
        <v>93525295</v>
      </c>
      <c r="I3875" t="s">
        <v>14292</v>
      </c>
      <c r="L3875" t="s">
        <v>24058</v>
      </c>
      <c r="M3875">
        <v>163</v>
      </c>
      <c r="N3875" t="s">
        <v>24059</v>
      </c>
    </row>
    <row r="3876" spans="1:14">
      <c r="A3876" t="s">
        <v>9256</v>
      </c>
      <c r="B3876">
        <v>4615290</v>
      </c>
      <c r="C3876">
        <v>4616222</v>
      </c>
      <c r="E3876" t="s">
        <v>14290</v>
      </c>
      <c r="F3876" t="s">
        <v>14335</v>
      </c>
      <c r="H3876">
        <v>93525296</v>
      </c>
      <c r="I3876" t="s">
        <v>14292</v>
      </c>
      <c r="L3876" t="s">
        <v>24060</v>
      </c>
      <c r="M3876">
        <v>310</v>
      </c>
      <c r="N3876" t="s">
        <v>24061</v>
      </c>
    </row>
    <row r="3877" spans="1:14">
      <c r="A3877" t="s">
        <v>9256</v>
      </c>
      <c r="B3877">
        <v>4616260</v>
      </c>
      <c r="C3877">
        <v>4617351</v>
      </c>
      <c r="E3877" t="s">
        <v>14290</v>
      </c>
      <c r="F3877" t="s">
        <v>22077</v>
      </c>
      <c r="H3877">
        <v>93525297</v>
      </c>
      <c r="I3877" t="s">
        <v>14292</v>
      </c>
      <c r="L3877" t="s">
        <v>24062</v>
      </c>
      <c r="M3877">
        <v>363</v>
      </c>
      <c r="N3877" t="s">
        <v>24063</v>
      </c>
    </row>
    <row r="3878" spans="1:14">
      <c r="A3878" t="s">
        <v>9256</v>
      </c>
      <c r="B3878">
        <v>4617912</v>
      </c>
      <c r="C3878">
        <v>4618205</v>
      </c>
      <c r="E3878" t="s">
        <v>14314</v>
      </c>
      <c r="F3878" t="s">
        <v>15392</v>
      </c>
      <c r="H3878">
        <v>93525298</v>
      </c>
      <c r="I3878" t="s">
        <v>14292</v>
      </c>
      <c r="L3878" t="s">
        <v>24064</v>
      </c>
      <c r="M3878">
        <v>97</v>
      </c>
      <c r="N3878" t="s">
        <v>24065</v>
      </c>
    </row>
    <row r="3879" spans="1:14">
      <c r="A3879" t="s">
        <v>9256</v>
      </c>
      <c r="B3879">
        <v>4618873</v>
      </c>
      <c r="C3879">
        <v>4619046</v>
      </c>
      <c r="E3879" t="s">
        <v>14290</v>
      </c>
      <c r="F3879" t="s">
        <v>14291</v>
      </c>
      <c r="H3879">
        <v>93525299</v>
      </c>
      <c r="I3879" t="s">
        <v>14292</v>
      </c>
      <c r="L3879" t="s">
        <v>24066</v>
      </c>
      <c r="M3879">
        <v>57</v>
      </c>
      <c r="N3879" t="s">
        <v>24067</v>
      </c>
    </row>
    <row r="3880" spans="1:14">
      <c r="A3880" t="s">
        <v>9256</v>
      </c>
      <c r="B3880">
        <v>4619167</v>
      </c>
      <c r="C3880">
        <v>4620924</v>
      </c>
      <c r="E3880" t="s">
        <v>14290</v>
      </c>
      <c r="F3880" t="s">
        <v>24068</v>
      </c>
      <c r="G3880" t="s">
        <v>24069</v>
      </c>
      <c r="H3880">
        <v>93525300</v>
      </c>
      <c r="I3880" t="s">
        <v>14292</v>
      </c>
      <c r="L3880" t="s">
        <v>24070</v>
      </c>
      <c r="M3880">
        <v>585</v>
      </c>
      <c r="N3880" t="s">
        <v>24071</v>
      </c>
    </row>
    <row r="3881" spans="1:14">
      <c r="A3881" t="s">
        <v>9256</v>
      </c>
      <c r="B3881">
        <v>4621036</v>
      </c>
      <c r="C3881">
        <v>4622133</v>
      </c>
      <c r="E3881" t="s">
        <v>14290</v>
      </c>
      <c r="F3881" t="s">
        <v>24072</v>
      </c>
      <c r="H3881">
        <v>93525301</v>
      </c>
      <c r="I3881" t="s">
        <v>14292</v>
      </c>
      <c r="L3881" t="s">
        <v>24073</v>
      </c>
      <c r="M3881">
        <v>365</v>
      </c>
      <c r="N3881" t="s">
        <v>24074</v>
      </c>
    </row>
    <row r="3882" spans="1:14">
      <c r="A3882" t="s">
        <v>9256</v>
      </c>
      <c r="B3882">
        <v>4622135</v>
      </c>
      <c r="C3882">
        <v>4622899</v>
      </c>
      <c r="E3882" t="s">
        <v>14290</v>
      </c>
      <c r="F3882" t="s">
        <v>22777</v>
      </c>
      <c r="H3882">
        <v>93525302</v>
      </c>
      <c r="I3882" t="s">
        <v>14292</v>
      </c>
      <c r="L3882" t="s">
        <v>24075</v>
      </c>
      <c r="M3882">
        <v>254</v>
      </c>
      <c r="N3882" t="s">
        <v>24076</v>
      </c>
    </row>
    <row r="3883" spans="1:14">
      <c r="A3883" t="s">
        <v>9256</v>
      </c>
      <c r="B3883">
        <v>4622973</v>
      </c>
      <c r="C3883">
        <v>4624289</v>
      </c>
      <c r="E3883" t="s">
        <v>14290</v>
      </c>
      <c r="F3883" t="s">
        <v>24077</v>
      </c>
      <c r="G3883" t="s">
        <v>24078</v>
      </c>
      <c r="H3883">
        <v>93525303</v>
      </c>
      <c r="I3883" t="s">
        <v>14292</v>
      </c>
      <c r="L3883" t="s">
        <v>24079</v>
      </c>
      <c r="M3883">
        <v>438</v>
      </c>
      <c r="N3883" t="s">
        <v>24080</v>
      </c>
    </row>
    <row r="3884" spans="1:14">
      <c r="A3884" t="s">
        <v>9256</v>
      </c>
      <c r="B3884">
        <v>4624491</v>
      </c>
      <c r="C3884">
        <v>4626473</v>
      </c>
      <c r="E3884" t="s">
        <v>14290</v>
      </c>
      <c r="F3884" t="s">
        <v>24081</v>
      </c>
      <c r="G3884" t="s">
        <v>24082</v>
      </c>
      <c r="H3884">
        <v>93525304</v>
      </c>
      <c r="I3884" t="s">
        <v>14292</v>
      </c>
      <c r="L3884" t="s">
        <v>24083</v>
      </c>
      <c r="M3884">
        <v>660</v>
      </c>
      <c r="N3884" t="s">
        <v>24084</v>
      </c>
    </row>
    <row r="3885" spans="1:14">
      <c r="A3885" t="s">
        <v>9256</v>
      </c>
      <c r="B3885">
        <v>4626571</v>
      </c>
      <c r="C3885">
        <v>4627851</v>
      </c>
      <c r="E3885" t="s">
        <v>14314</v>
      </c>
      <c r="F3885" t="s">
        <v>18317</v>
      </c>
      <c r="H3885">
        <v>93525305</v>
      </c>
      <c r="I3885" t="s">
        <v>14292</v>
      </c>
      <c r="L3885" t="s">
        <v>24085</v>
      </c>
      <c r="M3885">
        <v>426</v>
      </c>
      <c r="N3885" t="s">
        <v>24086</v>
      </c>
    </row>
    <row r="3886" spans="1:14">
      <c r="A3886" t="s">
        <v>9256</v>
      </c>
      <c r="B3886">
        <v>4627988</v>
      </c>
      <c r="C3886">
        <v>4629856</v>
      </c>
      <c r="E3886" t="s">
        <v>14290</v>
      </c>
      <c r="F3886" t="s">
        <v>14870</v>
      </c>
      <c r="H3886">
        <v>93525306</v>
      </c>
      <c r="I3886" t="s">
        <v>14292</v>
      </c>
      <c r="L3886" t="s">
        <v>24087</v>
      </c>
      <c r="M3886">
        <v>622</v>
      </c>
      <c r="N3886" t="s">
        <v>24088</v>
      </c>
    </row>
    <row r="3887" spans="1:14">
      <c r="A3887" t="s">
        <v>9256</v>
      </c>
      <c r="B3887">
        <v>4629859</v>
      </c>
      <c r="C3887">
        <v>4630683</v>
      </c>
      <c r="E3887" t="s">
        <v>14314</v>
      </c>
      <c r="F3887" t="s">
        <v>24089</v>
      </c>
      <c r="H3887">
        <v>93525307</v>
      </c>
      <c r="I3887" t="s">
        <v>14292</v>
      </c>
      <c r="L3887" t="s">
        <v>24090</v>
      </c>
      <c r="M3887">
        <v>274</v>
      </c>
      <c r="N3887" t="s">
        <v>24091</v>
      </c>
    </row>
    <row r="3888" spans="1:14">
      <c r="A3888" t="s">
        <v>9256</v>
      </c>
      <c r="B3888">
        <v>4630693</v>
      </c>
      <c r="C3888">
        <v>4632774</v>
      </c>
      <c r="E3888" t="s">
        <v>14314</v>
      </c>
      <c r="F3888" t="s">
        <v>24092</v>
      </c>
      <c r="H3888">
        <v>93525308</v>
      </c>
      <c r="I3888" t="s">
        <v>14292</v>
      </c>
      <c r="L3888" t="s">
        <v>24093</v>
      </c>
      <c r="M3888">
        <v>693</v>
      </c>
      <c r="N3888" t="s">
        <v>24094</v>
      </c>
    </row>
    <row r="3889" spans="1:14">
      <c r="A3889" t="s">
        <v>9256</v>
      </c>
      <c r="B3889">
        <v>4632879</v>
      </c>
      <c r="C3889">
        <v>4633421</v>
      </c>
      <c r="E3889" t="s">
        <v>14314</v>
      </c>
      <c r="F3889" t="s">
        <v>24095</v>
      </c>
      <c r="H3889">
        <v>93525309</v>
      </c>
      <c r="I3889" t="s">
        <v>14292</v>
      </c>
      <c r="L3889" t="s">
        <v>24096</v>
      </c>
      <c r="M3889">
        <v>180</v>
      </c>
      <c r="N3889" t="s">
        <v>24097</v>
      </c>
    </row>
    <row r="3890" spans="1:14">
      <c r="A3890" t="s">
        <v>9256</v>
      </c>
      <c r="B3890">
        <v>4633440</v>
      </c>
      <c r="C3890">
        <v>4634204</v>
      </c>
      <c r="E3890" t="s">
        <v>14314</v>
      </c>
      <c r="F3890" t="s">
        <v>23110</v>
      </c>
      <c r="H3890">
        <v>93525310</v>
      </c>
      <c r="I3890" t="s">
        <v>14292</v>
      </c>
      <c r="L3890" t="s">
        <v>24098</v>
      </c>
      <c r="M3890">
        <v>254</v>
      </c>
      <c r="N3890" t="s">
        <v>24099</v>
      </c>
    </row>
    <row r="3891" spans="1:14">
      <c r="A3891" t="s">
        <v>9256</v>
      </c>
      <c r="B3891">
        <v>4634217</v>
      </c>
      <c r="C3891">
        <v>4634387</v>
      </c>
      <c r="E3891" t="s">
        <v>14314</v>
      </c>
      <c r="F3891" t="s">
        <v>14291</v>
      </c>
      <c r="H3891">
        <v>93525311</v>
      </c>
      <c r="I3891" t="s">
        <v>14292</v>
      </c>
      <c r="L3891" t="s">
        <v>24100</v>
      </c>
      <c r="M3891">
        <v>56</v>
      </c>
      <c r="N3891" t="s">
        <v>24101</v>
      </c>
    </row>
    <row r="3892" spans="1:14">
      <c r="A3892" t="s">
        <v>9256</v>
      </c>
      <c r="B3892">
        <v>4634393</v>
      </c>
      <c r="C3892">
        <v>4635472</v>
      </c>
      <c r="E3892" t="s">
        <v>14314</v>
      </c>
      <c r="F3892" t="s">
        <v>24102</v>
      </c>
      <c r="H3892">
        <v>93525312</v>
      </c>
      <c r="I3892" t="s">
        <v>14292</v>
      </c>
      <c r="L3892" t="s">
        <v>24103</v>
      </c>
      <c r="M3892">
        <v>359</v>
      </c>
      <c r="N3892" t="s">
        <v>24104</v>
      </c>
    </row>
    <row r="3893" spans="1:14">
      <c r="A3893" t="s">
        <v>9256</v>
      </c>
      <c r="B3893">
        <v>4635487</v>
      </c>
      <c r="C3893">
        <v>4635714</v>
      </c>
      <c r="E3893" t="s">
        <v>14314</v>
      </c>
      <c r="F3893" t="s">
        <v>14593</v>
      </c>
      <c r="H3893">
        <v>93525313</v>
      </c>
      <c r="I3893" t="s">
        <v>14292</v>
      </c>
      <c r="L3893" t="s">
        <v>24105</v>
      </c>
      <c r="M3893">
        <v>75</v>
      </c>
      <c r="N3893" t="s">
        <v>24106</v>
      </c>
    </row>
    <row r="3894" spans="1:14">
      <c r="A3894" t="s">
        <v>9256</v>
      </c>
      <c r="B3894">
        <v>4635780</v>
      </c>
      <c r="C3894">
        <v>4637147</v>
      </c>
      <c r="E3894" t="s">
        <v>14314</v>
      </c>
      <c r="F3894" t="s">
        <v>14864</v>
      </c>
      <c r="H3894">
        <v>93525314</v>
      </c>
      <c r="I3894" t="s">
        <v>14292</v>
      </c>
      <c r="L3894" t="s">
        <v>24107</v>
      </c>
      <c r="M3894">
        <v>455</v>
      </c>
      <c r="N3894" t="s">
        <v>24108</v>
      </c>
    </row>
    <row r="3895" spans="1:14">
      <c r="A3895" t="s">
        <v>9256</v>
      </c>
      <c r="B3895">
        <v>4637144</v>
      </c>
      <c r="C3895">
        <v>4638394</v>
      </c>
      <c r="E3895" t="s">
        <v>14314</v>
      </c>
      <c r="F3895" t="s">
        <v>24109</v>
      </c>
      <c r="H3895">
        <v>93525315</v>
      </c>
      <c r="I3895" t="s">
        <v>14292</v>
      </c>
      <c r="L3895" t="s">
        <v>24110</v>
      </c>
      <c r="M3895">
        <v>416</v>
      </c>
      <c r="N3895" t="s">
        <v>24111</v>
      </c>
    </row>
    <row r="3896" spans="1:14">
      <c r="A3896" t="s">
        <v>9256</v>
      </c>
      <c r="B3896">
        <v>4638827</v>
      </c>
      <c r="C3896">
        <v>4641151</v>
      </c>
      <c r="E3896" t="s">
        <v>14290</v>
      </c>
      <c r="F3896" t="s">
        <v>14615</v>
      </c>
      <c r="H3896">
        <v>93525316</v>
      </c>
      <c r="I3896" t="s">
        <v>14292</v>
      </c>
      <c r="L3896" t="s">
        <v>24112</v>
      </c>
      <c r="M3896">
        <v>774</v>
      </c>
      <c r="N3896" t="s">
        <v>24113</v>
      </c>
    </row>
    <row r="3897" spans="1:14">
      <c r="A3897" t="s">
        <v>9256</v>
      </c>
      <c r="B3897">
        <v>4641129</v>
      </c>
      <c r="C3897">
        <v>4641878</v>
      </c>
      <c r="E3897" t="s">
        <v>14290</v>
      </c>
      <c r="F3897" t="s">
        <v>14403</v>
      </c>
      <c r="H3897">
        <v>93525317</v>
      </c>
      <c r="I3897" t="s">
        <v>14292</v>
      </c>
      <c r="L3897" t="s">
        <v>24114</v>
      </c>
      <c r="M3897">
        <v>249</v>
      </c>
      <c r="N3897" t="s">
        <v>24115</v>
      </c>
    </row>
    <row r="3898" spans="1:14">
      <c r="A3898" t="s">
        <v>9256</v>
      </c>
      <c r="B3898">
        <v>4641875</v>
      </c>
      <c r="C3898">
        <v>4643464</v>
      </c>
      <c r="E3898" t="s">
        <v>14290</v>
      </c>
      <c r="F3898" t="s">
        <v>24116</v>
      </c>
      <c r="H3898">
        <v>93525318</v>
      </c>
      <c r="I3898" t="s">
        <v>14292</v>
      </c>
      <c r="L3898" t="s">
        <v>24117</v>
      </c>
      <c r="M3898">
        <v>529</v>
      </c>
      <c r="N3898" t="s">
        <v>24118</v>
      </c>
    </row>
    <row r="3899" spans="1:14">
      <c r="A3899" t="s">
        <v>9256</v>
      </c>
      <c r="B3899">
        <v>4643451</v>
      </c>
      <c r="C3899">
        <v>4644854</v>
      </c>
      <c r="E3899" t="s">
        <v>14290</v>
      </c>
      <c r="F3899" t="s">
        <v>24116</v>
      </c>
      <c r="H3899">
        <v>93525319</v>
      </c>
      <c r="I3899" t="s">
        <v>14292</v>
      </c>
      <c r="L3899" t="s">
        <v>24119</v>
      </c>
      <c r="M3899">
        <v>467</v>
      </c>
      <c r="N3899" t="s">
        <v>24120</v>
      </c>
    </row>
    <row r="3900" spans="1:14">
      <c r="A3900" t="s">
        <v>9256</v>
      </c>
      <c r="B3900">
        <v>4644966</v>
      </c>
      <c r="C3900">
        <v>4645883</v>
      </c>
      <c r="E3900" t="s">
        <v>14314</v>
      </c>
      <c r="F3900" t="s">
        <v>24121</v>
      </c>
      <c r="H3900">
        <v>93525320</v>
      </c>
      <c r="I3900" t="s">
        <v>14292</v>
      </c>
      <c r="L3900" t="s">
        <v>24122</v>
      </c>
      <c r="M3900">
        <v>305</v>
      </c>
      <c r="N3900" t="s">
        <v>24123</v>
      </c>
    </row>
    <row r="3901" spans="1:14">
      <c r="A3901" t="s">
        <v>9256</v>
      </c>
      <c r="B3901">
        <v>4645901</v>
      </c>
      <c r="C3901">
        <v>4647358</v>
      </c>
      <c r="E3901" t="s">
        <v>14314</v>
      </c>
      <c r="F3901" t="s">
        <v>14805</v>
      </c>
      <c r="H3901">
        <v>93525321</v>
      </c>
      <c r="I3901" t="s">
        <v>14292</v>
      </c>
      <c r="L3901" t="s">
        <v>24124</v>
      </c>
      <c r="M3901">
        <v>485</v>
      </c>
      <c r="N3901" t="s">
        <v>24125</v>
      </c>
    </row>
    <row r="3902" spans="1:14">
      <c r="A3902" t="s">
        <v>9256</v>
      </c>
      <c r="B3902">
        <v>4647369</v>
      </c>
      <c r="C3902">
        <v>4649108</v>
      </c>
      <c r="E3902" t="s">
        <v>14314</v>
      </c>
      <c r="F3902" t="s">
        <v>24126</v>
      </c>
      <c r="H3902">
        <v>93525322</v>
      </c>
      <c r="I3902" t="s">
        <v>14292</v>
      </c>
      <c r="L3902" t="s">
        <v>24127</v>
      </c>
      <c r="M3902">
        <v>579</v>
      </c>
      <c r="N3902" t="s">
        <v>24128</v>
      </c>
    </row>
    <row r="3903" spans="1:14">
      <c r="A3903" t="s">
        <v>9256</v>
      </c>
      <c r="B3903">
        <v>4649161</v>
      </c>
      <c r="C3903">
        <v>4650414</v>
      </c>
      <c r="E3903" t="s">
        <v>14314</v>
      </c>
      <c r="F3903" t="s">
        <v>24129</v>
      </c>
      <c r="H3903">
        <v>93525323</v>
      </c>
      <c r="I3903" t="s">
        <v>14292</v>
      </c>
      <c r="L3903" t="s">
        <v>24130</v>
      </c>
      <c r="M3903">
        <v>417</v>
      </c>
      <c r="N3903" t="s">
        <v>24131</v>
      </c>
    </row>
    <row r="3904" spans="1:14">
      <c r="A3904" t="s">
        <v>9256</v>
      </c>
      <c r="B3904">
        <v>4650587</v>
      </c>
      <c r="C3904">
        <v>4651906</v>
      </c>
      <c r="E3904" t="s">
        <v>14314</v>
      </c>
      <c r="F3904" t="s">
        <v>14493</v>
      </c>
      <c r="H3904">
        <v>93525324</v>
      </c>
      <c r="I3904" t="s">
        <v>14292</v>
      </c>
      <c r="L3904" t="s">
        <v>24132</v>
      </c>
      <c r="M3904">
        <v>439</v>
      </c>
      <c r="N3904" t="s">
        <v>24133</v>
      </c>
    </row>
    <row r="3905" spans="1:14">
      <c r="A3905" t="s">
        <v>9256</v>
      </c>
      <c r="B3905">
        <v>4651896</v>
      </c>
      <c r="C3905">
        <v>4653245</v>
      </c>
      <c r="E3905" t="s">
        <v>14314</v>
      </c>
      <c r="F3905" t="s">
        <v>14864</v>
      </c>
      <c r="H3905">
        <v>93525325</v>
      </c>
      <c r="I3905" t="s">
        <v>14292</v>
      </c>
      <c r="L3905" t="s">
        <v>24134</v>
      </c>
      <c r="M3905">
        <v>449</v>
      </c>
      <c r="N3905" t="s">
        <v>24135</v>
      </c>
    </row>
    <row r="3906" spans="1:14">
      <c r="A3906" t="s">
        <v>9256</v>
      </c>
      <c r="B3906">
        <v>4653332</v>
      </c>
      <c r="C3906">
        <v>4654729</v>
      </c>
      <c r="E3906" t="s">
        <v>14290</v>
      </c>
      <c r="F3906" t="s">
        <v>14445</v>
      </c>
      <c r="H3906">
        <v>93525326</v>
      </c>
      <c r="I3906" t="s">
        <v>14292</v>
      </c>
      <c r="L3906" t="s">
        <v>24136</v>
      </c>
      <c r="M3906">
        <v>465</v>
      </c>
      <c r="N3906" t="s">
        <v>24137</v>
      </c>
    </row>
    <row r="3907" spans="1:14">
      <c r="A3907" t="s">
        <v>9256</v>
      </c>
      <c r="B3907">
        <v>4654735</v>
      </c>
      <c r="C3907">
        <v>4656081</v>
      </c>
      <c r="E3907" t="s">
        <v>14314</v>
      </c>
      <c r="F3907" t="s">
        <v>16210</v>
      </c>
      <c r="H3907">
        <v>93525327</v>
      </c>
      <c r="I3907" t="s">
        <v>14292</v>
      </c>
      <c r="L3907" t="s">
        <v>24138</v>
      </c>
      <c r="M3907">
        <v>448</v>
      </c>
      <c r="N3907" t="s">
        <v>24139</v>
      </c>
    </row>
    <row r="3908" spans="1:14">
      <c r="A3908" t="s">
        <v>9256</v>
      </c>
      <c r="B3908">
        <v>4656401</v>
      </c>
      <c r="C3908">
        <v>4656964</v>
      </c>
      <c r="E3908" t="s">
        <v>14290</v>
      </c>
      <c r="F3908" t="s">
        <v>15027</v>
      </c>
      <c r="H3908">
        <v>93525328</v>
      </c>
      <c r="I3908" t="s">
        <v>14292</v>
      </c>
      <c r="L3908" t="s">
        <v>24140</v>
      </c>
      <c r="M3908">
        <v>187</v>
      </c>
      <c r="N3908" t="s">
        <v>24141</v>
      </c>
    </row>
    <row r="3909" spans="1:14">
      <c r="A3909" t="s">
        <v>9256</v>
      </c>
      <c r="B3909">
        <v>4657050</v>
      </c>
      <c r="C3909">
        <v>4658429</v>
      </c>
      <c r="E3909" t="s">
        <v>14290</v>
      </c>
      <c r="F3909" t="s">
        <v>16210</v>
      </c>
      <c r="H3909">
        <v>93525329</v>
      </c>
      <c r="I3909" t="s">
        <v>14292</v>
      </c>
      <c r="L3909" t="s">
        <v>24142</v>
      </c>
      <c r="M3909">
        <v>459</v>
      </c>
      <c r="N3909" t="s">
        <v>24143</v>
      </c>
    </row>
    <row r="3910" spans="1:14">
      <c r="A3910" t="s">
        <v>9256</v>
      </c>
      <c r="B3910">
        <v>4658452</v>
      </c>
      <c r="C3910">
        <v>4659225</v>
      </c>
      <c r="E3910" t="s">
        <v>14314</v>
      </c>
      <c r="F3910" t="s">
        <v>24144</v>
      </c>
      <c r="H3910">
        <v>93525330</v>
      </c>
      <c r="I3910" t="s">
        <v>14292</v>
      </c>
      <c r="L3910" t="s">
        <v>24145</v>
      </c>
      <c r="M3910">
        <v>257</v>
      </c>
      <c r="N3910" t="s">
        <v>24146</v>
      </c>
    </row>
    <row r="3911" spans="1:14">
      <c r="A3911" t="s">
        <v>9256</v>
      </c>
      <c r="B3911">
        <v>4659234</v>
      </c>
      <c r="C3911">
        <v>4660304</v>
      </c>
      <c r="E3911" t="s">
        <v>14314</v>
      </c>
      <c r="F3911" t="s">
        <v>24147</v>
      </c>
      <c r="H3911">
        <v>93525331</v>
      </c>
      <c r="I3911" t="s">
        <v>14292</v>
      </c>
      <c r="L3911" t="s">
        <v>24148</v>
      </c>
      <c r="M3911">
        <v>356</v>
      </c>
      <c r="N3911" t="s">
        <v>24149</v>
      </c>
    </row>
    <row r="3912" spans="1:14">
      <c r="A3912" t="s">
        <v>9256</v>
      </c>
      <c r="B3912">
        <v>4660339</v>
      </c>
      <c r="C3912">
        <v>4661517</v>
      </c>
      <c r="E3912" t="s">
        <v>14314</v>
      </c>
      <c r="F3912" t="s">
        <v>15774</v>
      </c>
      <c r="H3912">
        <v>93525332</v>
      </c>
      <c r="I3912" t="s">
        <v>14292</v>
      </c>
      <c r="L3912" t="s">
        <v>24150</v>
      </c>
      <c r="M3912">
        <v>392</v>
      </c>
      <c r="N3912" t="s">
        <v>24151</v>
      </c>
    </row>
    <row r="3913" spans="1:14">
      <c r="A3913" t="s">
        <v>9256</v>
      </c>
      <c r="B3913">
        <v>4661492</v>
      </c>
      <c r="C3913">
        <v>4662337</v>
      </c>
      <c r="E3913" t="s">
        <v>14314</v>
      </c>
      <c r="F3913" t="s">
        <v>24152</v>
      </c>
      <c r="H3913">
        <v>93525333</v>
      </c>
      <c r="I3913" t="s">
        <v>14292</v>
      </c>
      <c r="L3913" t="s">
        <v>24153</v>
      </c>
      <c r="M3913">
        <v>281</v>
      </c>
      <c r="N3913" t="s">
        <v>24154</v>
      </c>
    </row>
    <row r="3914" spans="1:14">
      <c r="A3914" t="s">
        <v>9256</v>
      </c>
      <c r="B3914">
        <v>4662613</v>
      </c>
      <c r="C3914">
        <v>4663449</v>
      </c>
      <c r="E3914" t="s">
        <v>14314</v>
      </c>
      <c r="F3914" t="s">
        <v>14406</v>
      </c>
      <c r="H3914">
        <v>93525334</v>
      </c>
      <c r="I3914" t="s">
        <v>14292</v>
      </c>
      <c r="L3914" t="s">
        <v>24155</v>
      </c>
      <c r="M3914">
        <v>278</v>
      </c>
      <c r="N3914" t="s">
        <v>24156</v>
      </c>
    </row>
    <row r="3915" spans="1:14">
      <c r="A3915" t="s">
        <v>9256</v>
      </c>
      <c r="B3915">
        <v>4663545</v>
      </c>
      <c r="C3915">
        <v>4664126</v>
      </c>
      <c r="E3915" t="s">
        <v>14314</v>
      </c>
      <c r="F3915" t="s">
        <v>22186</v>
      </c>
      <c r="H3915">
        <v>93525335</v>
      </c>
      <c r="I3915" t="s">
        <v>14292</v>
      </c>
      <c r="L3915" t="s">
        <v>24157</v>
      </c>
      <c r="M3915">
        <v>193</v>
      </c>
      <c r="N3915" t="s">
        <v>24158</v>
      </c>
    </row>
    <row r="3916" spans="1:14">
      <c r="A3916" t="s">
        <v>9256</v>
      </c>
      <c r="B3916">
        <v>4664286</v>
      </c>
      <c r="C3916">
        <v>4664690</v>
      </c>
      <c r="E3916" t="s">
        <v>14290</v>
      </c>
      <c r="F3916" t="s">
        <v>24159</v>
      </c>
      <c r="H3916">
        <v>93525336</v>
      </c>
      <c r="I3916" t="s">
        <v>14292</v>
      </c>
      <c r="L3916" t="s">
        <v>24160</v>
      </c>
      <c r="M3916">
        <v>134</v>
      </c>
      <c r="N3916" t="s">
        <v>24161</v>
      </c>
    </row>
    <row r="3917" spans="1:14">
      <c r="A3917" t="s">
        <v>9256</v>
      </c>
      <c r="B3917">
        <v>4664815</v>
      </c>
      <c r="C3917">
        <v>4665297</v>
      </c>
      <c r="E3917" t="s">
        <v>14314</v>
      </c>
      <c r="F3917" t="s">
        <v>24162</v>
      </c>
      <c r="G3917" t="s">
        <v>24163</v>
      </c>
      <c r="H3917">
        <v>93525337</v>
      </c>
      <c r="I3917" t="s">
        <v>14292</v>
      </c>
      <c r="L3917" t="s">
        <v>24164</v>
      </c>
      <c r="M3917">
        <v>160</v>
      </c>
      <c r="N3917" t="s">
        <v>24165</v>
      </c>
    </row>
    <row r="3918" spans="1:14">
      <c r="A3918" t="s">
        <v>9256</v>
      </c>
      <c r="B3918">
        <v>4665301</v>
      </c>
      <c r="C3918">
        <v>4667427</v>
      </c>
      <c r="E3918" t="s">
        <v>14314</v>
      </c>
      <c r="F3918" t="s">
        <v>24166</v>
      </c>
      <c r="H3918">
        <v>93525338</v>
      </c>
      <c r="I3918" t="s">
        <v>14292</v>
      </c>
      <c r="L3918" t="s">
        <v>24167</v>
      </c>
      <c r="M3918">
        <v>708</v>
      </c>
      <c r="N3918" t="s">
        <v>24168</v>
      </c>
    </row>
    <row r="3919" spans="1:14">
      <c r="A3919" t="s">
        <v>9256</v>
      </c>
      <c r="B3919">
        <v>4667580</v>
      </c>
      <c r="C3919">
        <v>4669088</v>
      </c>
      <c r="E3919" t="s">
        <v>14290</v>
      </c>
      <c r="F3919" t="s">
        <v>14493</v>
      </c>
      <c r="H3919">
        <v>93525339</v>
      </c>
      <c r="I3919" t="s">
        <v>14292</v>
      </c>
      <c r="L3919" t="s">
        <v>24169</v>
      </c>
      <c r="M3919">
        <v>502</v>
      </c>
      <c r="N3919" t="s">
        <v>24170</v>
      </c>
    </row>
    <row r="3920" spans="1:14">
      <c r="A3920" t="s">
        <v>9256</v>
      </c>
      <c r="B3920">
        <v>4669111</v>
      </c>
      <c r="C3920">
        <v>4670469</v>
      </c>
      <c r="E3920" t="s">
        <v>14314</v>
      </c>
      <c r="F3920" t="s">
        <v>23434</v>
      </c>
      <c r="H3920">
        <v>93525340</v>
      </c>
      <c r="I3920" t="s">
        <v>14292</v>
      </c>
      <c r="L3920" t="s">
        <v>24171</v>
      </c>
      <c r="M3920">
        <v>452</v>
      </c>
      <c r="N3920" t="s">
        <v>24172</v>
      </c>
    </row>
    <row r="3921" spans="1:14">
      <c r="A3921" t="s">
        <v>9256</v>
      </c>
      <c r="B3921">
        <v>4670466</v>
      </c>
      <c r="C3921">
        <v>4671374</v>
      </c>
      <c r="E3921" t="s">
        <v>14314</v>
      </c>
      <c r="F3921" t="s">
        <v>19643</v>
      </c>
      <c r="H3921">
        <v>93525341</v>
      </c>
      <c r="I3921" t="s">
        <v>14292</v>
      </c>
      <c r="L3921" t="s">
        <v>24173</v>
      </c>
      <c r="M3921">
        <v>302</v>
      </c>
      <c r="N3921" t="s">
        <v>24174</v>
      </c>
    </row>
    <row r="3922" spans="1:14">
      <c r="A3922" t="s">
        <v>9256</v>
      </c>
      <c r="B3922">
        <v>4671545</v>
      </c>
      <c r="C3922">
        <v>4673098</v>
      </c>
      <c r="E3922" t="s">
        <v>14314</v>
      </c>
      <c r="F3922" t="s">
        <v>19288</v>
      </c>
      <c r="H3922">
        <v>93525342</v>
      </c>
      <c r="I3922" t="s">
        <v>14292</v>
      </c>
      <c r="L3922" t="s">
        <v>24175</v>
      </c>
      <c r="M3922">
        <v>517</v>
      </c>
      <c r="N3922" t="s">
        <v>24176</v>
      </c>
    </row>
    <row r="3923" spans="1:14">
      <c r="A3923" t="s">
        <v>9256</v>
      </c>
      <c r="B3923">
        <v>4673095</v>
      </c>
      <c r="C3923">
        <v>4673238</v>
      </c>
      <c r="E3923" t="s">
        <v>14314</v>
      </c>
      <c r="F3923" t="s">
        <v>24177</v>
      </c>
      <c r="H3923">
        <v>93526001</v>
      </c>
      <c r="I3923" t="s">
        <v>14292</v>
      </c>
      <c r="L3923" t="s">
        <v>24178</v>
      </c>
      <c r="M3923">
        <v>47</v>
      </c>
      <c r="N3923" t="s">
        <v>24179</v>
      </c>
    </row>
    <row r="3924" spans="1:14">
      <c r="A3924" t="s">
        <v>9256</v>
      </c>
      <c r="B3924">
        <v>4673252</v>
      </c>
      <c r="C3924">
        <v>4673677</v>
      </c>
      <c r="E3924" t="s">
        <v>14314</v>
      </c>
      <c r="F3924" t="s">
        <v>14291</v>
      </c>
      <c r="H3924">
        <v>93525343</v>
      </c>
      <c r="I3924" t="s">
        <v>14292</v>
      </c>
      <c r="L3924" t="s">
        <v>24180</v>
      </c>
      <c r="M3924">
        <v>141</v>
      </c>
      <c r="N3924" t="s">
        <v>24181</v>
      </c>
    </row>
    <row r="3925" spans="1:14">
      <c r="A3925" t="s">
        <v>9256</v>
      </c>
      <c r="B3925">
        <v>4673701</v>
      </c>
      <c r="C3925">
        <v>4675002</v>
      </c>
      <c r="E3925" t="s">
        <v>14314</v>
      </c>
      <c r="F3925" t="s">
        <v>24182</v>
      </c>
      <c r="H3925">
        <v>93525344</v>
      </c>
      <c r="I3925" t="s">
        <v>14292</v>
      </c>
      <c r="L3925" t="s">
        <v>24183</v>
      </c>
      <c r="M3925">
        <v>433</v>
      </c>
      <c r="N3925" t="s">
        <v>24184</v>
      </c>
    </row>
    <row r="3926" spans="1:14">
      <c r="A3926" t="s">
        <v>9256</v>
      </c>
      <c r="B3926">
        <v>4675201</v>
      </c>
      <c r="C3926">
        <v>4676472</v>
      </c>
      <c r="E3926" t="s">
        <v>14290</v>
      </c>
      <c r="F3926" t="s">
        <v>21487</v>
      </c>
      <c r="H3926">
        <v>93525345</v>
      </c>
      <c r="I3926" t="s">
        <v>14292</v>
      </c>
      <c r="L3926" t="s">
        <v>24185</v>
      </c>
      <c r="M3926">
        <v>423</v>
      </c>
      <c r="N3926" t="s">
        <v>24186</v>
      </c>
    </row>
    <row r="3927" spans="1:14">
      <c r="A3927" t="s">
        <v>9256</v>
      </c>
      <c r="B3927">
        <v>4676484</v>
      </c>
      <c r="C3927">
        <v>4677056</v>
      </c>
      <c r="E3927" t="s">
        <v>14290</v>
      </c>
      <c r="F3927" t="s">
        <v>23703</v>
      </c>
      <c r="H3927">
        <v>93525346</v>
      </c>
      <c r="I3927" t="s">
        <v>14292</v>
      </c>
      <c r="L3927" t="s">
        <v>24187</v>
      </c>
      <c r="M3927">
        <v>190</v>
      </c>
      <c r="N3927" t="s">
        <v>24188</v>
      </c>
    </row>
    <row r="3928" spans="1:14">
      <c r="A3928" t="s">
        <v>9256</v>
      </c>
      <c r="B3928">
        <v>4677145</v>
      </c>
      <c r="C3928">
        <v>4677654</v>
      </c>
      <c r="E3928" t="s">
        <v>14314</v>
      </c>
      <c r="F3928" t="s">
        <v>19884</v>
      </c>
      <c r="H3928">
        <v>93525347</v>
      </c>
      <c r="I3928" t="s">
        <v>14292</v>
      </c>
      <c r="L3928" t="s">
        <v>24189</v>
      </c>
      <c r="M3928">
        <v>169</v>
      </c>
      <c r="N3928" t="s">
        <v>24190</v>
      </c>
    </row>
    <row r="3929" spans="1:14">
      <c r="A3929" t="s">
        <v>9256</v>
      </c>
      <c r="B3929">
        <v>4677763</v>
      </c>
      <c r="C3929">
        <v>4679085</v>
      </c>
      <c r="E3929" t="s">
        <v>14314</v>
      </c>
      <c r="F3929" t="s">
        <v>15836</v>
      </c>
      <c r="H3929">
        <v>93525348</v>
      </c>
      <c r="I3929" t="s">
        <v>14292</v>
      </c>
      <c r="L3929" t="s">
        <v>24191</v>
      </c>
      <c r="M3929">
        <v>440</v>
      </c>
      <c r="N3929" t="s">
        <v>24192</v>
      </c>
    </row>
    <row r="3930" spans="1:14">
      <c r="A3930" t="s">
        <v>9256</v>
      </c>
      <c r="B3930">
        <v>4679090</v>
      </c>
      <c r="C3930">
        <v>4680580</v>
      </c>
      <c r="E3930" t="s">
        <v>14314</v>
      </c>
      <c r="F3930" t="s">
        <v>24193</v>
      </c>
      <c r="H3930">
        <v>93525349</v>
      </c>
      <c r="I3930" t="s">
        <v>14292</v>
      </c>
      <c r="L3930" t="s">
        <v>24194</v>
      </c>
      <c r="M3930">
        <v>496</v>
      </c>
      <c r="N3930" t="s">
        <v>24195</v>
      </c>
    </row>
    <row r="3931" spans="1:14">
      <c r="A3931" t="s">
        <v>9256</v>
      </c>
      <c r="B3931">
        <v>4680647</v>
      </c>
      <c r="C3931">
        <v>4681582</v>
      </c>
      <c r="E3931" t="s">
        <v>14290</v>
      </c>
      <c r="F3931" t="s">
        <v>15126</v>
      </c>
      <c r="H3931">
        <v>93525350</v>
      </c>
      <c r="I3931" t="s">
        <v>14292</v>
      </c>
      <c r="L3931" t="s">
        <v>24032</v>
      </c>
      <c r="M3931">
        <v>311</v>
      </c>
      <c r="N3931" t="s">
        <v>24196</v>
      </c>
    </row>
    <row r="3932" spans="1:14">
      <c r="A3932" t="s">
        <v>9256</v>
      </c>
      <c r="B3932">
        <v>4682108</v>
      </c>
      <c r="C3932">
        <v>4683220</v>
      </c>
      <c r="E3932" t="s">
        <v>14290</v>
      </c>
      <c r="F3932" t="s">
        <v>15122</v>
      </c>
      <c r="G3932" t="s">
        <v>15123</v>
      </c>
      <c r="H3932">
        <v>93525351</v>
      </c>
      <c r="I3932" t="s">
        <v>14292</v>
      </c>
      <c r="L3932" t="s">
        <v>24197</v>
      </c>
      <c r="M3932">
        <v>370</v>
      </c>
      <c r="N3932" t="s">
        <v>24198</v>
      </c>
    </row>
    <row r="3933" spans="1:14">
      <c r="A3933" t="s">
        <v>9256</v>
      </c>
      <c r="B3933">
        <v>4683261</v>
      </c>
      <c r="C3933">
        <v>4683650</v>
      </c>
      <c r="E3933" t="s">
        <v>14290</v>
      </c>
      <c r="F3933" t="s">
        <v>14291</v>
      </c>
      <c r="H3933">
        <v>93525352</v>
      </c>
      <c r="I3933" t="s">
        <v>14292</v>
      </c>
      <c r="L3933" t="s">
        <v>24199</v>
      </c>
      <c r="M3933">
        <v>129</v>
      </c>
      <c r="N3933" t="s">
        <v>24200</v>
      </c>
    </row>
    <row r="3934" spans="1:14">
      <c r="A3934" t="s">
        <v>9256</v>
      </c>
      <c r="B3934">
        <v>4684206</v>
      </c>
      <c r="C3934">
        <v>4684352</v>
      </c>
      <c r="E3934" t="s">
        <v>14290</v>
      </c>
      <c r="F3934" t="s">
        <v>14291</v>
      </c>
      <c r="H3934">
        <v>93525353</v>
      </c>
      <c r="I3934" t="s">
        <v>14292</v>
      </c>
      <c r="L3934" t="s">
        <v>24201</v>
      </c>
      <c r="M3934">
        <v>48</v>
      </c>
      <c r="N3934" t="s">
        <v>24202</v>
      </c>
    </row>
    <row r="3935" spans="1:14">
      <c r="A3935" t="s">
        <v>9256</v>
      </c>
      <c r="B3935">
        <v>4684425</v>
      </c>
      <c r="C3935">
        <v>4685069</v>
      </c>
      <c r="E3935" t="s">
        <v>14290</v>
      </c>
      <c r="F3935" t="s">
        <v>14369</v>
      </c>
      <c r="H3935">
        <v>93525354</v>
      </c>
      <c r="I3935" t="s">
        <v>14292</v>
      </c>
      <c r="L3935" t="s">
        <v>24203</v>
      </c>
      <c r="M3935">
        <v>214</v>
      </c>
      <c r="N3935" t="s">
        <v>24204</v>
      </c>
    </row>
    <row r="3936" spans="1:14">
      <c r="A3936" t="s">
        <v>9256</v>
      </c>
      <c r="B3936">
        <v>4685120</v>
      </c>
      <c r="C3936">
        <v>4685230</v>
      </c>
      <c r="E3936" t="s">
        <v>14290</v>
      </c>
      <c r="F3936" t="s">
        <v>14414</v>
      </c>
      <c r="H3936">
        <v>93525975</v>
      </c>
      <c r="I3936" t="s">
        <v>14415</v>
      </c>
      <c r="N3936" t="s">
        <v>24205</v>
      </c>
    </row>
    <row r="3937" spans="1:14">
      <c r="A3937" t="s">
        <v>9256</v>
      </c>
      <c r="B3937">
        <v>4685531</v>
      </c>
      <c r="C3937">
        <v>4686970</v>
      </c>
      <c r="E3937" t="s">
        <v>14290</v>
      </c>
      <c r="F3937" t="s">
        <v>14326</v>
      </c>
      <c r="H3937">
        <v>93525355</v>
      </c>
      <c r="I3937" t="s">
        <v>14292</v>
      </c>
      <c r="L3937" t="s">
        <v>24206</v>
      </c>
      <c r="M3937">
        <v>479</v>
      </c>
      <c r="N3937" t="s">
        <v>24207</v>
      </c>
    </row>
    <row r="3938" spans="1:14">
      <c r="A3938" t="s">
        <v>9256</v>
      </c>
      <c r="B3938">
        <v>4687013</v>
      </c>
      <c r="C3938">
        <v>4688935</v>
      </c>
      <c r="E3938" t="s">
        <v>14290</v>
      </c>
      <c r="F3938" t="s">
        <v>14291</v>
      </c>
      <c r="H3938">
        <v>93525356</v>
      </c>
      <c r="I3938" t="s">
        <v>14292</v>
      </c>
      <c r="L3938" t="s">
        <v>24208</v>
      </c>
      <c r="M3938">
        <v>640</v>
      </c>
      <c r="N3938" t="s">
        <v>24209</v>
      </c>
    </row>
    <row r="3939" spans="1:14">
      <c r="A3939" t="s">
        <v>9256</v>
      </c>
      <c r="B3939">
        <v>4688974</v>
      </c>
      <c r="C3939">
        <v>4689795</v>
      </c>
      <c r="E3939" t="s">
        <v>14290</v>
      </c>
      <c r="F3939" t="s">
        <v>14335</v>
      </c>
      <c r="H3939">
        <v>93525357</v>
      </c>
      <c r="I3939" t="s">
        <v>14292</v>
      </c>
      <c r="L3939" t="s">
        <v>24210</v>
      </c>
      <c r="M3939">
        <v>273</v>
      </c>
      <c r="N3939" t="s">
        <v>24211</v>
      </c>
    </row>
    <row r="3940" spans="1:14">
      <c r="A3940" t="s">
        <v>9256</v>
      </c>
      <c r="B3940">
        <v>4689795</v>
      </c>
      <c r="C3940">
        <v>4690826</v>
      </c>
      <c r="E3940" t="s">
        <v>14290</v>
      </c>
      <c r="F3940" t="s">
        <v>21332</v>
      </c>
      <c r="H3940">
        <v>93525358</v>
      </c>
      <c r="I3940" t="s">
        <v>14292</v>
      </c>
      <c r="L3940" t="s">
        <v>24212</v>
      </c>
      <c r="M3940">
        <v>343</v>
      </c>
      <c r="N3940" t="s">
        <v>24213</v>
      </c>
    </row>
    <row r="3941" spans="1:14">
      <c r="A3941" t="s">
        <v>9256</v>
      </c>
      <c r="B3941">
        <v>4690840</v>
      </c>
      <c r="C3941">
        <v>4691958</v>
      </c>
      <c r="E3941" t="s">
        <v>14290</v>
      </c>
      <c r="F3941" t="s">
        <v>14361</v>
      </c>
      <c r="H3941">
        <v>93525359</v>
      </c>
      <c r="I3941" t="s">
        <v>14292</v>
      </c>
      <c r="L3941" t="s">
        <v>24214</v>
      </c>
      <c r="M3941">
        <v>372</v>
      </c>
      <c r="N3941" t="s">
        <v>24215</v>
      </c>
    </row>
    <row r="3942" spans="1:14">
      <c r="A3942" t="s">
        <v>9256</v>
      </c>
      <c r="B3942">
        <v>4691992</v>
      </c>
      <c r="C3942">
        <v>4693449</v>
      </c>
      <c r="E3942" t="s">
        <v>14290</v>
      </c>
      <c r="F3942" t="s">
        <v>23982</v>
      </c>
      <c r="H3942">
        <v>93525360</v>
      </c>
      <c r="I3942" t="s">
        <v>14292</v>
      </c>
      <c r="L3942" t="s">
        <v>24216</v>
      </c>
      <c r="M3942">
        <v>485</v>
      </c>
      <c r="N3942" t="s">
        <v>24217</v>
      </c>
    </row>
    <row r="3943" spans="1:14">
      <c r="A3943" t="s">
        <v>9256</v>
      </c>
      <c r="B3943">
        <v>4693465</v>
      </c>
      <c r="C3943">
        <v>4694217</v>
      </c>
      <c r="E3943" t="s">
        <v>14290</v>
      </c>
      <c r="F3943" t="s">
        <v>14335</v>
      </c>
      <c r="H3943">
        <v>93525361</v>
      </c>
      <c r="I3943" t="s">
        <v>14292</v>
      </c>
      <c r="L3943" t="s">
        <v>24218</v>
      </c>
      <c r="M3943">
        <v>250</v>
      </c>
      <c r="N3943" t="s">
        <v>24219</v>
      </c>
    </row>
    <row r="3944" spans="1:14">
      <c r="A3944" t="s">
        <v>9256</v>
      </c>
      <c r="B3944">
        <v>4694448</v>
      </c>
      <c r="C3944">
        <v>4694627</v>
      </c>
      <c r="E3944" t="s">
        <v>14290</v>
      </c>
      <c r="F3944" t="s">
        <v>14414</v>
      </c>
      <c r="H3944">
        <v>93525362</v>
      </c>
      <c r="I3944" t="s">
        <v>14415</v>
      </c>
      <c r="N3944" t="s">
        <v>24220</v>
      </c>
    </row>
    <row r="3945" spans="1:14">
      <c r="A3945" t="s">
        <v>9256</v>
      </c>
      <c r="B3945">
        <v>4694813</v>
      </c>
      <c r="C3945">
        <v>4695931</v>
      </c>
      <c r="E3945" t="s">
        <v>14290</v>
      </c>
      <c r="F3945" t="s">
        <v>14338</v>
      </c>
      <c r="H3945">
        <v>93525363</v>
      </c>
      <c r="I3945" t="s">
        <v>14292</v>
      </c>
      <c r="L3945" t="s">
        <v>24221</v>
      </c>
      <c r="M3945">
        <v>372</v>
      </c>
      <c r="N3945" t="s">
        <v>24222</v>
      </c>
    </row>
    <row r="3946" spans="1:14">
      <c r="A3946" t="s">
        <v>9256</v>
      </c>
      <c r="B3946">
        <v>4695939</v>
      </c>
      <c r="C3946">
        <v>4697075</v>
      </c>
      <c r="E3946" t="s">
        <v>14290</v>
      </c>
      <c r="F3946" t="s">
        <v>14338</v>
      </c>
      <c r="H3946">
        <v>93525364</v>
      </c>
      <c r="I3946" t="s">
        <v>14292</v>
      </c>
      <c r="L3946" t="s">
        <v>24223</v>
      </c>
      <c r="M3946">
        <v>378</v>
      </c>
      <c r="N3946" t="s">
        <v>24224</v>
      </c>
    </row>
    <row r="3947" spans="1:14">
      <c r="A3947" t="s">
        <v>9256</v>
      </c>
      <c r="B3947">
        <v>4697103</v>
      </c>
      <c r="C3947">
        <v>4698314</v>
      </c>
      <c r="E3947" t="s">
        <v>14290</v>
      </c>
      <c r="F3947" t="s">
        <v>24225</v>
      </c>
      <c r="H3947">
        <v>93525365</v>
      </c>
      <c r="I3947" t="s">
        <v>14292</v>
      </c>
      <c r="L3947" t="s">
        <v>24226</v>
      </c>
      <c r="M3947">
        <v>403</v>
      </c>
      <c r="N3947" t="s">
        <v>24227</v>
      </c>
    </row>
    <row r="3948" spans="1:14">
      <c r="A3948" t="s">
        <v>9256</v>
      </c>
      <c r="B3948">
        <v>4698354</v>
      </c>
      <c r="C3948">
        <v>4699358</v>
      </c>
      <c r="E3948" t="s">
        <v>14290</v>
      </c>
      <c r="F3948" t="s">
        <v>16857</v>
      </c>
      <c r="H3948">
        <v>93525366</v>
      </c>
      <c r="I3948" t="s">
        <v>14292</v>
      </c>
      <c r="L3948" t="s">
        <v>24228</v>
      </c>
      <c r="M3948">
        <v>334</v>
      </c>
      <c r="N3948" t="s">
        <v>24229</v>
      </c>
    </row>
    <row r="3949" spans="1:14">
      <c r="A3949" t="s">
        <v>9256</v>
      </c>
      <c r="B3949">
        <v>4699491</v>
      </c>
      <c r="C3949">
        <v>4700120</v>
      </c>
      <c r="E3949" t="s">
        <v>14290</v>
      </c>
      <c r="F3949" t="s">
        <v>19399</v>
      </c>
      <c r="H3949">
        <v>93525367</v>
      </c>
      <c r="I3949" t="s">
        <v>14292</v>
      </c>
      <c r="L3949" t="s">
        <v>24230</v>
      </c>
      <c r="M3949">
        <v>209</v>
      </c>
      <c r="N3949" t="s">
        <v>24231</v>
      </c>
    </row>
    <row r="3950" spans="1:14">
      <c r="A3950" t="s">
        <v>9256</v>
      </c>
      <c r="B3950">
        <v>4700158</v>
      </c>
      <c r="C3950">
        <v>4701444</v>
      </c>
      <c r="E3950" t="s">
        <v>14290</v>
      </c>
      <c r="F3950" t="s">
        <v>14545</v>
      </c>
      <c r="H3950">
        <v>93525368</v>
      </c>
      <c r="I3950" t="s">
        <v>14292</v>
      </c>
      <c r="L3950" t="s">
        <v>24232</v>
      </c>
      <c r="M3950">
        <v>428</v>
      </c>
      <c r="N3950" t="s">
        <v>24233</v>
      </c>
    </row>
    <row r="3951" spans="1:14">
      <c r="A3951" t="s">
        <v>9256</v>
      </c>
      <c r="B3951">
        <v>4701472</v>
      </c>
      <c r="C3951">
        <v>4702362</v>
      </c>
      <c r="E3951" t="s">
        <v>14290</v>
      </c>
      <c r="F3951" t="s">
        <v>14736</v>
      </c>
      <c r="H3951">
        <v>93525369</v>
      </c>
      <c r="I3951" t="s">
        <v>14292</v>
      </c>
      <c r="L3951" t="s">
        <v>24234</v>
      </c>
      <c r="M3951">
        <v>296</v>
      </c>
      <c r="N3951" t="s">
        <v>24235</v>
      </c>
    </row>
    <row r="3952" spans="1:14">
      <c r="A3952" t="s">
        <v>9256</v>
      </c>
      <c r="B3952">
        <v>4702340</v>
      </c>
      <c r="C3952">
        <v>4703260</v>
      </c>
      <c r="E3952" t="s">
        <v>14290</v>
      </c>
      <c r="F3952" t="s">
        <v>14403</v>
      </c>
      <c r="H3952">
        <v>93525370</v>
      </c>
      <c r="I3952" t="s">
        <v>14292</v>
      </c>
      <c r="L3952" t="s">
        <v>24236</v>
      </c>
      <c r="M3952">
        <v>306</v>
      </c>
      <c r="N3952" t="s">
        <v>24237</v>
      </c>
    </row>
    <row r="3953" spans="1:14">
      <c r="A3953" t="s">
        <v>9256</v>
      </c>
      <c r="B3953">
        <v>4703305</v>
      </c>
      <c r="C3953">
        <v>4704039</v>
      </c>
      <c r="E3953" t="s">
        <v>14290</v>
      </c>
      <c r="F3953" t="s">
        <v>14403</v>
      </c>
      <c r="H3953">
        <v>93525371</v>
      </c>
      <c r="I3953" t="s">
        <v>14292</v>
      </c>
      <c r="L3953" t="s">
        <v>24238</v>
      </c>
      <c r="M3953">
        <v>244</v>
      </c>
      <c r="N3953" t="s">
        <v>24239</v>
      </c>
    </row>
    <row r="3954" spans="1:14">
      <c r="A3954" t="s">
        <v>9256</v>
      </c>
      <c r="B3954">
        <v>4704043</v>
      </c>
      <c r="C3954">
        <v>4705128</v>
      </c>
      <c r="E3954" t="s">
        <v>14290</v>
      </c>
      <c r="F3954" t="s">
        <v>14562</v>
      </c>
      <c r="H3954">
        <v>93525372</v>
      </c>
      <c r="I3954" t="s">
        <v>14292</v>
      </c>
      <c r="L3954" t="s">
        <v>24240</v>
      </c>
      <c r="M3954">
        <v>361</v>
      </c>
      <c r="N3954" t="s">
        <v>24241</v>
      </c>
    </row>
    <row r="3955" spans="1:14">
      <c r="A3955" t="s">
        <v>9256</v>
      </c>
      <c r="B3955">
        <v>4705132</v>
      </c>
      <c r="C3955">
        <v>4706223</v>
      </c>
      <c r="E3955" t="s">
        <v>14290</v>
      </c>
      <c r="F3955" t="s">
        <v>14562</v>
      </c>
      <c r="H3955">
        <v>93525373</v>
      </c>
      <c r="I3955" t="s">
        <v>14292</v>
      </c>
      <c r="L3955" t="s">
        <v>24242</v>
      </c>
      <c r="M3955">
        <v>363</v>
      </c>
      <c r="N3955" t="s">
        <v>24243</v>
      </c>
    </row>
    <row r="3956" spans="1:14">
      <c r="A3956" t="s">
        <v>9256</v>
      </c>
      <c r="B3956">
        <v>4706287</v>
      </c>
      <c r="C3956">
        <v>4707606</v>
      </c>
      <c r="E3956" t="s">
        <v>14290</v>
      </c>
      <c r="F3956" t="s">
        <v>24244</v>
      </c>
      <c r="H3956">
        <v>93525374</v>
      </c>
      <c r="I3956" t="s">
        <v>14292</v>
      </c>
      <c r="L3956" t="s">
        <v>24245</v>
      </c>
      <c r="M3956">
        <v>439</v>
      </c>
      <c r="N3956" t="s">
        <v>24246</v>
      </c>
    </row>
    <row r="3957" spans="1:14">
      <c r="A3957" t="s">
        <v>9256</v>
      </c>
      <c r="B3957">
        <v>4707625</v>
      </c>
      <c r="C3957">
        <v>4708146</v>
      </c>
      <c r="E3957" t="s">
        <v>14290</v>
      </c>
      <c r="F3957" t="s">
        <v>24247</v>
      </c>
      <c r="H3957">
        <v>93525375</v>
      </c>
      <c r="I3957" t="s">
        <v>14292</v>
      </c>
      <c r="L3957" t="s">
        <v>24248</v>
      </c>
      <c r="M3957">
        <v>173</v>
      </c>
      <c r="N3957" t="s">
        <v>24249</v>
      </c>
    </row>
    <row r="3958" spans="1:14">
      <c r="A3958" t="s">
        <v>9256</v>
      </c>
      <c r="B3958">
        <v>4708187</v>
      </c>
      <c r="C3958">
        <v>4708660</v>
      </c>
      <c r="E3958" t="s">
        <v>14290</v>
      </c>
      <c r="F3958" t="s">
        <v>14659</v>
      </c>
      <c r="H3958">
        <v>93525376</v>
      </c>
      <c r="I3958" t="s">
        <v>14292</v>
      </c>
      <c r="L3958" t="s">
        <v>24250</v>
      </c>
      <c r="M3958">
        <v>157</v>
      </c>
      <c r="N3958" t="s">
        <v>24251</v>
      </c>
    </row>
    <row r="3959" spans="1:14">
      <c r="A3959" t="s">
        <v>9256</v>
      </c>
      <c r="B3959">
        <v>4708664</v>
      </c>
      <c r="C3959">
        <v>4709767</v>
      </c>
      <c r="E3959" t="s">
        <v>14290</v>
      </c>
      <c r="F3959" t="s">
        <v>24252</v>
      </c>
      <c r="H3959">
        <v>93525377</v>
      </c>
      <c r="I3959" t="s">
        <v>14292</v>
      </c>
      <c r="L3959" t="s">
        <v>24253</v>
      </c>
      <c r="M3959">
        <v>367</v>
      </c>
      <c r="N3959" t="s">
        <v>24254</v>
      </c>
    </row>
    <row r="3960" spans="1:14">
      <c r="A3960" t="s">
        <v>9256</v>
      </c>
      <c r="B3960">
        <v>4709815</v>
      </c>
      <c r="C3960">
        <v>4710897</v>
      </c>
      <c r="E3960" t="s">
        <v>14290</v>
      </c>
      <c r="F3960" t="s">
        <v>18322</v>
      </c>
      <c r="H3960">
        <v>93525378</v>
      </c>
      <c r="I3960" t="s">
        <v>14292</v>
      </c>
      <c r="L3960" t="s">
        <v>24255</v>
      </c>
      <c r="M3960">
        <v>360</v>
      </c>
      <c r="N3960" t="s">
        <v>24256</v>
      </c>
    </row>
    <row r="3961" spans="1:14">
      <c r="A3961" t="s">
        <v>9256</v>
      </c>
      <c r="B3961">
        <v>4710969</v>
      </c>
      <c r="C3961">
        <v>4712513</v>
      </c>
      <c r="E3961" t="s">
        <v>14314</v>
      </c>
      <c r="F3961" t="s">
        <v>14493</v>
      </c>
      <c r="H3961">
        <v>93525379</v>
      </c>
      <c r="I3961" t="s">
        <v>14292</v>
      </c>
      <c r="L3961" t="s">
        <v>24257</v>
      </c>
      <c r="M3961">
        <v>514</v>
      </c>
      <c r="N3961" t="s">
        <v>24258</v>
      </c>
    </row>
    <row r="3962" spans="1:14">
      <c r="A3962" t="s">
        <v>9256</v>
      </c>
      <c r="B3962">
        <v>4712710</v>
      </c>
      <c r="C3962">
        <v>4714581</v>
      </c>
      <c r="E3962" t="s">
        <v>14290</v>
      </c>
      <c r="F3962" t="s">
        <v>19304</v>
      </c>
      <c r="H3962">
        <v>93525380</v>
      </c>
      <c r="I3962" t="s">
        <v>14292</v>
      </c>
      <c r="L3962" t="s">
        <v>24259</v>
      </c>
      <c r="M3962">
        <v>623</v>
      </c>
      <c r="N3962" t="s">
        <v>24260</v>
      </c>
    </row>
    <row r="3963" spans="1:14">
      <c r="A3963" t="s">
        <v>9256</v>
      </c>
      <c r="B3963">
        <v>4714597</v>
      </c>
      <c r="C3963">
        <v>4715484</v>
      </c>
      <c r="E3963" t="s">
        <v>14314</v>
      </c>
      <c r="F3963" t="s">
        <v>15711</v>
      </c>
      <c r="H3963">
        <v>93525381</v>
      </c>
      <c r="I3963" t="s">
        <v>14292</v>
      </c>
      <c r="L3963" t="s">
        <v>24261</v>
      </c>
      <c r="M3963">
        <v>295</v>
      </c>
      <c r="N3963" t="s">
        <v>24262</v>
      </c>
    </row>
    <row r="3964" spans="1:14">
      <c r="A3964" t="s">
        <v>9256</v>
      </c>
      <c r="B3964">
        <v>4715579</v>
      </c>
      <c r="C3964">
        <v>4717000</v>
      </c>
      <c r="E3964" t="s">
        <v>14290</v>
      </c>
      <c r="F3964" t="s">
        <v>24263</v>
      </c>
      <c r="H3964">
        <v>93525382</v>
      </c>
      <c r="I3964" t="s">
        <v>14292</v>
      </c>
      <c r="L3964" t="s">
        <v>24264</v>
      </c>
      <c r="M3964">
        <v>473</v>
      </c>
      <c r="N3964" t="s">
        <v>24265</v>
      </c>
    </row>
    <row r="3965" spans="1:14">
      <c r="A3965" t="s">
        <v>9256</v>
      </c>
      <c r="B3965">
        <v>4717039</v>
      </c>
      <c r="C3965">
        <v>4718298</v>
      </c>
      <c r="E3965" t="s">
        <v>14290</v>
      </c>
      <c r="F3965" t="s">
        <v>24266</v>
      </c>
      <c r="H3965">
        <v>93525383</v>
      </c>
      <c r="I3965" t="s">
        <v>14292</v>
      </c>
      <c r="L3965" t="s">
        <v>24267</v>
      </c>
      <c r="M3965">
        <v>419</v>
      </c>
      <c r="N3965" t="s">
        <v>24268</v>
      </c>
    </row>
    <row r="3966" spans="1:14">
      <c r="A3966" t="s">
        <v>9256</v>
      </c>
      <c r="B3966">
        <v>4718298</v>
      </c>
      <c r="C3966">
        <v>4719323</v>
      </c>
      <c r="E3966" t="s">
        <v>14290</v>
      </c>
      <c r="F3966" t="s">
        <v>24269</v>
      </c>
      <c r="G3966" t="s">
        <v>24270</v>
      </c>
      <c r="H3966">
        <v>93525384</v>
      </c>
      <c r="I3966" t="s">
        <v>14292</v>
      </c>
      <c r="L3966" t="s">
        <v>24271</v>
      </c>
      <c r="M3966">
        <v>341</v>
      </c>
      <c r="N3966" t="s">
        <v>24272</v>
      </c>
    </row>
    <row r="3967" spans="1:14">
      <c r="A3967" t="s">
        <v>9256</v>
      </c>
      <c r="B3967">
        <v>4719335</v>
      </c>
      <c r="C3967">
        <v>4720135</v>
      </c>
      <c r="E3967" t="s">
        <v>14290</v>
      </c>
      <c r="F3967" t="s">
        <v>24273</v>
      </c>
      <c r="G3967" t="s">
        <v>24274</v>
      </c>
      <c r="H3967">
        <v>93525385</v>
      </c>
      <c r="I3967" t="s">
        <v>14292</v>
      </c>
      <c r="L3967" t="s">
        <v>24275</v>
      </c>
      <c r="M3967">
        <v>266</v>
      </c>
      <c r="N3967" t="s">
        <v>24276</v>
      </c>
    </row>
    <row r="3968" spans="1:14">
      <c r="A3968" t="s">
        <v>9256</v>
      </c>
      <c r="B3968">
        <v>4720139</v>
      </c>
      <c r="C3968">
        <v>4721887</v>
      </c>
      <c r="E3968" t="s">
        <v>14290</v>
      </c>
      <c r="F3968" t="s">
        <v>24277</v>
      </c>
      <c r="H3968">
        <v>93525386</v>
      </c>
      <c r="I3968" t="s">
        <v>14292</v>
      </c>
      <c r="L3968" t="s">
        <v>24278</v>
      </c>
      <c r="M3968">
        <v>582</v>
      </c>
      <c r="N3968" t="s">
        <v>24279</v>
      </c>
    </row>
    <row r="3969" spans="1:14">
      <c r="A3969" t="s">
        <v>9256</v>
      </c>
      <c r="B3969">
        <v>4721908</v>
      </c>
      <c r="C3969">
        <v>4724505</v>
      </c>
      <c r="E3969" t="s">
        <v>14290</v>
      </c>
      <c r="F3969" t="s">
        <v>18811</v>
      </c>
      <c r="H3969">
        <v>93525387</v>
      </c>
      <c r="I3969" t="s">
        <v>14292</v>
      </c>
      <c r="L3969" t="s">
        <v>24280</v>
      </c>
      <c r="M3969">
        <v>865</v>
      </c>
      <c r="N3969" t="s">
        <v>24281</v>
      </c>
    </row>
    <row r="3970" spans="1:14">
      <c r="A3970" t="s">
        <v>9256</v>
      </c>
      <c r="B3970">
        <v>4724648</v>
      </c>
      <c r="C3970">
        <v>4726867</v>
      </c>
      <c r="E3970" t="s">
        <v>14290</v>
      </c>
      <c r="F3970" t="s">
        <v>24277</v>
      </c>
      <c r="H3970">
        <v>93525388</v>
      </c>
      <c r="I3970" t="s">
        <v>14292</v>
      </c>
      <c r="L3970" t="s">
        <v>24282</v>
      </c>
      <c r="M3970">
        <v>739</v>
      </c>
      <c r="N3970" t="s">
        <v>24283</v>
      </c>
    </row>
    <row r="3971" spans="1:14">
      <c r="A3971" t="s">
        <v>9256</v>
      </c>
      <c r="B3971">
        <v>4726864</v>
      </c>
      <c r="C3971">
        <v>4727505</v>
      </c>
      <c r="E3971" t="s">
        <v>14314</v>
      </c>
      <c r="F3971" t="s">
        <v>15103</v>
      </c>
      <c r="H3971">
        <v>93525389</v>
      </c>
      <c r="I3971" t="s">
        <v>14292</v>
      </c>
      <c r="L3971" t="s">
        <v>24284</v>
      </c>
      <c r="M3971">
        <v>213</v>
      </c>
      <c r="N3971" t="s">
        <v>24285</v>
      </c>
    </row>
    <row r="3972" spans="1:14">
      <c r="A3972" t="s">
        <v>9256</v>
      </c>
      <c r="B3972">
        <v>4727917</v>
      </c>
      <c r="C3972">
        <v>4729197</v>
      </c>
      <c r="E3972" t="s">
        <v>14290</v>
      </c>
      <c r="F3972" t="s">
        <v>14870</v>
      </c>
      <c r="H3972">
        <v>93525390</v>
      </c>
      <c r="I3972" t="s">
        <v>14292</v>
      </c>
      <c r="L3972" t="s">
        <v>24286</v>
      </c>
      <c r="M3972">
        <v>426</v>
      </c>
      <c r="N3972" t="s">
        <v>24287</v>
      </c>
    </row>
    <row r="3973" spans="1:14">
      <c r="A3973" t="s">
        <v>9256</v>
      </c>
      <c r="B3973">
        <v>4729270</v>
      </c>
      <c r="C3973">
        <v>4729683</v>
      </c>
      <c r="E3973" t="s">
        <v>14314</v>
      </c>
      <c r="F3973" t="s">
        <v>14291</v>
      </c>
      <c r="H3973">
        <v>93525391</v>
      </c>
      <c r="I3973" t="s">
        <v>14292</v>
      </c>
      <c r="L3973" t="s">
        <v>24288</v>
      </c>
      <c r="M3973">
        <v>137</v>
      </c>
      <c r="N3973" t="s">
        <v>24289</v>
      </c>
    </row>
    <row r="3974" spans="1:14">
      <c r="A3974" t="s">
        <v>9256</v>
      </c>
      <c r="B3974">
        <v>4730023</v>
      </c>
      <c r="C3974">
        <v>4733379</v>
      </c>
      <c r="E3974" t="s">
        <v>14290</v>
      </c>
      <c r="F3974" t="s">
        <v>14291</v>
      </c>
      <c r="H3974">
        <v>93525392</v>
      </c>
      <c r="I3974" t="s">
        <v>14292</v>
      </c>
      <c r="L3974" t="s">
        <v>24290</v>
      </c>
      <c r="M3974">
        <v>1118</v>
      </c>
      <c r="N3974" t="s">
        <v>24291</v>
      </c>
    </row>
    <row r="3975" spans="1:14">
      <c r="A3975" t="s">
        <v>9256</v>
      </c>
      <c r="B3975">
        <v>4733504</v>
      </c>
      <c r="C3975">
        <v>4734529</v>
      </c>
      <c r="E3975" t="s">
        <v>14290</v>
      </c>
      <c r="F3975" t="s">
        <v>24292</v>
      </c>
      <c r="H3975">
        <v>93525393</v>
      </c>
      <c r="I3975" t="s">
        <v>14292</v>
      </c>
      <c r="L3975" t="s">
        <v>24293</v>
      </c>
      <c r="M3975">
        <v>341</v>
      </c>
      <c r="N3975" t="s">
        <v>24294</v>
      </c>
    </row>
    <row r="3976" spans="1:14">
      <c r="A3976" t="s">
        <v>9256</v>
      </c>
      <c r="B3976">
        <v>4734707</v>
      </c>
      <c r="C3976">
        <v>4735765</v>
      </c>
      <c r="E3976" t="s">
        <v>14314</v>
      </c>
      <c r="F3976" t="s">
        <v>24295</v>
      </c>
      <c r="H3976">
        <v>93525394</v>
      </c>
      <c r="I3976" t="s">
        <v>14292</v>
      </c>
      <c r="L3976" t="s">
        <v>24296</v>
      </c>
      <c r="M3976">
        <v>352</v>
      </c>
      <c r="N3976" t="s">
        <v>24297</v>
      </c>
    </row>
    <row r="3977" spans="1:14">
      <c r="A3977" t="s">
        <v>9256</v>
      </c>
      <c r="B3977">
        <v>4736002</v>
      </c>
      <c r="C3977">
        <v>4737015</v>
      </c>
      <c r="E3977" t="s">
        <v>14290</v>
      </c>
      <c r="F3977" t="s">
        <v>24298</v>
      </c>
      <c r="H3977">
        <v>93525395</v>
      </c>
      <c r="I3977" t="s">
        <v>14292</v>
      </c>
      <c r="L3977" t="s">
        <v>24299</v>
      </c>
      <c r="M3977">
        <v>337</v>
      </c>
      <c r="N3977" t="s">
        <v>24300</v>
      </c>
    </row>
    <row r="3978" spans="1:14">
      <c r="A3978" t="s">
        <v>9256</v>
      </c>
      <c r="B3978">
        <v>4737109</v>
      </c>
      <c r="C3978">
        <v>4738158</v>
      </c>
      <c r="E3978" t="s">
        <v>14290</v>
      </c>
      <c r="F3978" t="s">
        <v>14503</v>
      </c>
      <c r="H3978">
        <v>93525396</v>
      </c>
      <c r="I3978" t="s">
        <v>14292</v>
      </c>
      <c r="L3978" t="s">
        <v>24301</v>
      </c>
      <c r="M3978">
        <v>349</v>
      </c>
      <c r="N3978" t="s">
        <v>24302</v>
      </c>
    </row>
    <row r="3979" spans="1:14">
      <c r="A3979" t="s">
        <v>9256</v>
      </c>
      <c r="B3979">
        <v>4738169</v>
      </c>
      <c r="C3979">
        <v>4741213</v>
      </c>
      <c r="E3979" t="s">
        <v>14290</v>
      </c>
      <c r="F3979" t="s">
        <v>14548</v>
      </c>
      <c r="H3979">
        <v>93525397</v>
      </c>
      <c r="I3979" t="s">
        <v>14292</v>
      </c>
      <c r="L3979" t="s">
        <v>24303</v>
      </c>
      <c r="M3979">
        <v>1014</v>
      </c>
      <c r="N3979" t="s">
        <v>24304</v>
      </c>
    </row>
    <row r="3980" spans="1:14">
      <c r="A3980" t="s">
        <v>9256</v>
      </c>
      <c r="B3980">
        <v>4741219</v>
      </c>
      <c r="C3980">
        <v>4742511</v>
      </c>
      <c r="E3980" t="s">
        <v>14290</v>
      </c>
      <c r="F3980" t="s">
        <v>14545</v>
      </c>
      <c r="H3980">
        <v>93525398</v>
      </c>
      <c r="I3980" t="s">
        <v>14292</v>
      </c>
      <c r="L3980" t="s">
        <v>24305</v>
      </c>
      <c r="M3980">
        <v>430</v>
      </c>
      <c r="N3980" t="s">
        <v>24306</v>
      </c>
    </row>
    <row r="3981" spans="1:14">
      <c r="A3981" t="s">
        <v>9256</v>
      </c>
      <c r="B3981">
        <v>4742701</v>
      </c>
      <c r="C3981">
        <v>4743990</v>
      </c>
      <c r="E3981" t="s">
        <v>14290</v>
      </c>
      <c r="F3981" t="s">
        <v>24307</v>
      </c>
      <c r="H3981">
        <v>93525399</v>
      </c>
      <c r="I3981" t="s">
        <v>14292</v>
      </c>
      <c r="L3981" t="s">
        <v>24308</v>
      </c>
      <c r="M3981">
        <v>429</v>
      </c>
      <c r="N3981" t="s">
        <v>24309</v>
      </c>
    </row>
    <row r="3982" spans="1:14">
      <c r="A3982" t="s">
        <v>9256</v>
      </c>
      <c r="B3982">
        <v>4744202</v>
      </c>
      <c r="C3982">
        <v>4745758</v>
      </c>
      <c r="E3982" t="s">
        <v>14314</v>
      </c>
      <c r="F3982" t="s">
        <v>24310</v>
      </c>
      <c r="H3982">
        <v>93525400</v>
      </c>
      <c r="I3982" t="s">
        <v>14292</v>
      </c>
      <c r="L3982" t="s">
        <v>24311</v>
      </c>
      <c r="M3982">
        <v>518</v>
      </c>
      <c r="N3982" t="s">
        <v>24312</v>
      </c>
    </row>
    <row r="3983" spans="1:14">
      <c r="A3983" t="s">
        <v>9256</v>
      </c>
      <c r="B3983">
        <v>4745737</v>
      </c>
      <c r="C3983">
        <v>4746588</v>
      </c>
      <c r="E3983" t="s">
        <v>14314</v>
      </c>
      <c r="F3983" t="s">
        <v>14972</v>
      </c>
      <c r="H3983">
        <v>93525401</v>
      </c>
      <c r="I3983" t="s">
        <v>14292</v>
      </c>
      <c r="L3983" t="s">
        <v>24313</v>
      </c>
      <c r="M3983">
        <v>283</v>
      </c>
      <c r="N3983" t="s">
        <v>24314</v>
      </c>
    </row>
    <row r="3984" spans="1:14">
      <c r="A3984" t="s">
        <v>9256</v>
      </c>
      <c r="B3984">
        <v>4746594</v>
      </c>
      <c r="C3984">
        <v>4747133</v>
      </c>
      <c r="E3984" t="s">
        <v>14314</v>
      </c>
      <c r="F3984" t="s">
        <v>14982</v>
      </c>
      <c r="H3984">
        <v>93525402</v>
      </c>
      <c r="I3984" t="s">
        <v>14292</v>
      </c>
      <c r="L3984" t="s">
        <v>24315</v>
      </c>
      <c r="M3984">
        <v>179</v>
      </c>
      <c r="N3984" t="s">
        <v>24316</v>
      </c>
    </row>
    <row r="3985" spans="1:14">
      <c r="A3985" t="s">
        <v>9256</v>
      </c>
      <c r="B3985">
        <v>4747216</v>
      </c>
      <c r="C3985">
        <v>4748481</v>
      </c>
      <c r="E3985" t="s">
        <v>14314</v>
      </c>
      <c r="F3985" t="s">
        <v>17137</v>
      </c>
      <c r="H3985">
        <v>93525403</v>
      </c>
      <c r="I3985" t="s">
        <v>14292</v>
      </c>
      <c r="L3985" t="s">
        <v>24317</v>
      </c>
      <c r="M3985">
        <v>421</v>
      </c>
      <c r="N3985" t="s">
        <v>24318</v>
      </c>
    </row>
    <row r="3986" spans="1:14">
      <c r="A3986" t="s">
        <v>9256</v>
      </c>
      <c r="B3986">
        <v>4748568</v>
      </c>
      <c r="C3986">
        <v>4749494</v>
      </c>
      <c r="E3986" t="s">
        <v>14314</v>
      </c>
      <c r="F3986" t="s">
        <v>24319</v>
      </c>
      <c r="H3986">
        <v>93525404</v>
      </c>
      <c r="I3986" t="s">
        <v>14292</v>
      </c>
      <c r="L3986" t="s">
        <v>24320</v>
      </c>
      <c r="M3986">
        <v>308</v>
      </c>
      <c r="N3986" t="s">
        <v>24321</v>
      </c>
    </row>
    <row r="3987" spans="1:14">
      <c r="A3987" t="s">
        <v>9256</v>
      </c>
      <c r="B3987">
        <v>4749786</v>
      </c>
      <c r="C3987">
        <v>4750535</v>
      </c>
      <c r="E3987" t="s">
        <v>14290</v>
      </c>
      <c r="F3987" t="s">
        <v>24322</v>
      </c>
      <c r="H3987">
        <v>93525405</v>
      </c>
      <c r="I3987" t="s">
        <v>14292</v>
      </c>
      <c r="L3987" t="s">
        <v>24323</v>
      </c>
      <c r="M3987">
        <v>249</v>
      </c>
      <c r="N3987" t="s">
        <v>24324</v>
      </c>
    </row>
    <row r="3988" spans="1:14">
      <c r="A3988" t="s">
        <v>9256</v>
      </c>
      <c r="B3988">
        <v>4750575</v>
      </c>
      <c r="C3988">
        <v>4751921</v>
      </c>
      <c r="E3988" t="s">
        <v>14290</v>
      </c>
      <c r="F3988" t="s">
        <v>24325</v>
      </c>
      <c r="H3988">
        <v>93525406</v>
      </c>
      <c r="I3988" t="s">
        <v>14292</v>
      </c>
      <c r="L3988" t="s">
        <v>24326</v>
      </c>
      <c r="M3988">
        <v>448</v>
      </c>
      <c r="N3988" t="s">
        <v>24327</v>
      </c>
    </row>
    <row r="3989" spans="1:14">
      <c r="A3989" t="s">
        <v>9256</v>
      </c>
      <c r="B3989">
        <v>4751958</v>
      </c>
      <c r="C3989">
        <v>4752503</v>
      </c>
      <c r="E3989" t="s">
        <v>14314</v>
      </c>
      <c r="F3989" t="s">
        <v>24328</v>
      </c>
      <c r="H3989">
        <v>93525407</v>
      </c>
      <c r="I3989" t="s">
        <v>14292</v>
      </c>
      <c r="L3989" t="s">
        <v>24329</v>
      </c>
      <c r="M3989">
        <v>181</v>
      </c>
      <c r="N3989" t="s">
        <v>24330</v>
      </c>
    </row>
    <row r="3990" spans="1:14">
      <c r="A3990" t="s">
        <v>9256</v>
      </c>
      <c r="B3990">
        <v>4752490</v>
      </c>
      <c r="C3990">
        <v>4752822</v>
      </c>
      <c r="E3990" t="s">
        <v>14314</v>
      </c>
      <c r="F3990" t="s">
        <v>24331</v>
      </c>
      <c r="H3990">
        <v>93525408</v>
      </c>
      <c r="I3990" t="s">
        <v>14292</v>
      </c>
      <c r="L3990" t="s">
        <v>24332</v>
      </c>
      <c r="M3990">
        <v>110</v>
      </c>
      <c r="N3990" t="s">
        <v>24333</v>
      </c>
    </row>
    <row r="3991" spans="1:14">
      <c r="A3991" t="s">
        <v>9256</v>
      </c>
      <c r="B3991">
        <v>4752983</v>
      </c>
      <c r="C3991">
        <v>4754107</v>
      </c>
      <c r="E3991" t="s">
        <v>14314</v>
      </c>
      <c r="F3991" t="s">
        <v>14621</v>
      </c>
      <c r="H3991">
        <v>93525409</v>
      </c>
      <c r="I3991" t="s">
        <v>14292</v>
      </c>
      <c r="L3991" t="s">
        <v>24334</v>
      </c>
      <c r="M3991">
        <v>374</v>
      </c>
      <c r="N3991" t="s">
        <v>24335</v>
      </c>
    </row>
    <row r="3992" spans="1:14">
      <c r="A3992" t="s">
        <v>9256</v>
      </c>
      <c r="B3992">
        <v>4754220</v>
      </c>
      <c r="C3992">
        <v>4755407</v>
      </c>
      <c r="E3992" t="s">
        <v>14314</v>
      </c>
      <c r="F3992" t="s">
        <v>14335</v>
      </c>
      <c r="H3992">
        <v>93525410</v>
      </c>
      <c r="I3992" t="s">
        <v>14292</v>
      </c>
      <c r="L3992" t="s">
        <v>24336</v>
      </c>
      <c r="M3992">
        <v>395</v>
      </c>
      <c r="N3992" t="s">
        <v>24337</v>
      </c>
    </row>
    <row r="3993" spans="1:14">
      <c r="A3993" t="s">
        <v>9256</v>
      </c>
      <c r="B3993">
        <v>4755417</v>
      </c>
      <c r="C3993">
        <v>4756472</v>
      </c>
      <c r="E3993" t="s">
        <v>14314</v>
      </c>
      <c r="F3993" t="s">
        <v>14335</v>
      </c>
      <c r="H3993">
        <v>93525411</v>
      </c>
      <c r="I3993" t="s">
        <v>14292</v>
      </c>
      <c r="L3993" t="s">
        <v>24338</v>
      </c>
      <c r="M3993">
        <v>351</v>
      </c>
      <c r="N3993" t="s">
        <v>24339</v>
      </c>
    </row>
    <row r="3994" spans="1:14">
      <c r="A3994" t="s">
        <v>9256</v>
      </c>
      <c r="B3994">
        <v>4756480</v>
      </c>
      <c r="C3994">
        <v>4757379</v>
      </c>
      <c r="E3994" t="s">
        <v>14314</v>
      </c>
      <c r="F3994" t="s">
        <v>14335</v>
      </c>
      <c r="H3994">
        <v>93525412</v>
      </c>
      <c r="I3994" t="s">
        <v>14292</v>
      </c>
      <c r="L3994" t="s">
        <v>24340</v>
      </c>
      <c r="M3994">
        <v>299</v>
      </c>
      <c r="N3994" t="s">
        <v>24341</v>
      </c>
    </row>
    <row r="3995" spans="1:14">
      <c r="A3995" t="s">
        <v>9256</v>
      </c>
      <c r="B3995">
        <v>4757372</v>
      </c>
      <c r="C3995">
        <v>4758556</v>
      </c>
      <c r="E3995" t="s">
        <v>14314</v>
      </c>
      <c r="F3995" t="s">
        <v>14364</v>
      </c>
      <c r="H3995">
        <v>93525413</v>
      </c>
      <c r="I3995" t="s">
        <v>14292</v>
      </c>
      <c r="L3995" t="s">
        <v>24342</v>
      </c>
      <c r="M3995">
        <v>394</v>
      </c>
      <c r="N3995" t="s">
        <v>24343</v>
      </c>
    </row>
    <row r="3996" spans="1:14">
      <c r="A3996" t="s">
        <v>9256</v>
      </c>
      <c r="B3996">
        <v>4758965</v>
      </c>
      <c r="C3996">
        <v>4759432</v>
      </c>
      <c r="E3996" t="s">
        <v>14314</v>
      </c>
      <c r="F3996" t="s">
        <v>15987</v>
      </c>
      <c r="H3996">
        <v>93525414</v>
      </c>
      <c r="I3996" t="s">
        <v>14292</v>
      </c>
      <c r="L3996" t="s">
        <v>24344</v>
      </c>
      <c r="M3996">
        <v>155</v>
      </c>
      <c r="N3996" t="s">
        <v>24345</v>
      </c>
    </row>
    <row r="3997" spans="1:14">
      <c r="A3997" t="s">
        <v>9256</v>
      </c>
      <c r="B3997">
        <v>4759524</v>
      </c>
      <c r="C3997">
        <v>4759748</v>
      </c>
      <c r="E3997" t="s">
        <v>14290</v>
      </c>
      <c r="F3997" t="s">
        <v>15100</v>
      </c>
      <c r="H3997">
        <v>93525415</v>
      </c>
      <c r="I3997" t="s">
        <v>14292</v>
      </c>
      <c r="L3997" t="s">
        <v>24346</v>
      </c>
      <c r="M3997">
        <v>74</v>
      </c>
      <c r="N3997" t="s">
        <v>24347</v>
      </c>
    </row>
    <row r="3998" spans="1:14">
      <c r="A3998" t="s">
        <v>9256</v>
      </c>
      <c r="B3998">
        <v>4759750</v>
      </c>
      <c r="C3998">
        <v>4760190</v>
      </c>
      <c r="E3998" t="s">
        <v>14314</v>
      </c>
      <c r="F3998" t="s">
        <v>15103</v>
      </c>
      <c r="H3998">
        <v>93525416</v>
      </c>
      <c r="I3998" t="s">
        <v>14292</v>
      </c>
      <c r="L3998" t="s">
        <v>24348</v>
      </c>
      <c r="M3998">
        <v>146</v>
      </c>
      <c r="N3998" t="s">
        <v>24349</v>
      </c>
    </row>
    <row r="3999" spans="1:14">
      <c r="A3999" t="s">
        <v>9256</v>
      </c>
      <c r="B3999">
        <v>4760389</v>
      </c>
      <c r="C3999">
        <v>4760613</v>
      </c>
      <c r="E3999" t="s">
        <v>14290</v>
      </c>
      <c r="F3999" t="s">
        <v>16913</v>
      </c>
      <c r="H3999">
        <v>93525417</v>
      </c>
      <c r="I3999" t="s">
        <v>14292</v>
      </c>
      <c r="L3999" t="s">
        <v>24350</v>
      </c>
      <c r="M3999">
        <v>74</v>
      </c>
      <c r="N3999" t="s">
        <v>24351</v>
      </c>
    </row>
    <row r="4000" spans="1:14">
      <c r="A4000" t="s">
        <v>9256</v>
      </c>
      <c r="B4000">
        <v>4760864</v>
      </c>
      <c r="C4000">
        <v>4762585</v>
      </c>
      <c r="E4000" t="s">
        <v>14314</v>
      </c>
      <c r="F4000" t="s">
        <v>22935</v>
      </c>
      <c r="H4000">
        <v>93525418</v>
      </c>
      <c r="I4000" t="s">
        <v>14292</v>
      </c>
      <c r="L4000" t="s">
        <v>24352</v>
      </c>
      <c r="M4000">
        <v>573</v>
      </c>
      <c r="N4000" t="s">
        <v>24353</v>
      </c>
    </row>
    <row r="4001" spans="1:14">
      <c r="A4001" t="s">
        <v>9256</v>
      </c>
      <c r="B4001">
        <v>4762579</v>
      </c>
      <c r="C4001">
        <v>4764036</v>
      </c>
      <c r="E4001" t="s">
        <v>14314</v>
      </c>
      <c r="F4001" t="s">
        <v>14770</v>
      </c>
      <c r="H4001">
        <v>93525419</v>
      </c>
      <c r="I4001" t="s">
        <v>14292</v>
      </c>
      <c r="L4001" t="s">
        <v>24354</v>
      </c>
      <c r="M4001">
        <v>485</v>
      </c>
      <c r="N4001" t="s">
        <v>24355</v>
      </c>
    </row>
    <row r="4002" spans="1:14">
      <c r="A4002" t="s">
        <v>9256</v>
      </c>
      <c r="B4002">
        <v>4764026</v>
      </c>
      <c r="C4002">
        <v>4764418</v>
      </c>
      <c r="E4002" t="s">
        <v>14314</v>
      </c>
      <c r="F4002" t="s">
        <v>14291</v>
      </c>
      <c r="H4002">
        <v>93525420</v>
      </c>
      <c r="I4002" t="s">
        <v>14292</v>
      </c>
      <c r="L4002" t="s">
        <v>24356</v>
      </c>
      <c r="M4002">
        <v>130</v>
      </c>
      <c r="N4002" t="s">
        <v>24357</v>
      </c>
    </row>
    <row r="4003" spans="1:14">
      <c r="A4003" t="s">
        <v>9256</v>
      </c>
      <c r="B4003">
        <v>4765101</v>
      </c>
      <c r="C4003">
        <v>4766219</v>
      </c>
      <c r="E4003" t="s">
        <v>14314</v>
      </c>
      <c r="F4003" t="s">
        <v>24358</v>
      </c>
      <c r="H4003">
        <v>93525421</v>
      </c>
      <c r="I4003" t="s">
        <v>14292</v>
      </c>
      <c r="L4003" t="s">
        <v>24359</v>
      </c>
      <c r="M4003">
        <v>372</v>
      </c>
      <c r="N4003" t="s">
        <v>24360</v>
      </c>
    </row>
    <row r="4004" spans="1:14">
      <c r="A4004" t="s">
        <v>9256</v>
      </c>
      <c r="B4004">
        <v>4766216</v>
      </c>
      <c r="C4004">
        <v>4767661</v>
      </c>
      <c r="E4004" t="s">
        <v>14314</v>
      </c>
      <c r="F4004" t="s">
        <v>14326</v>
      </c>
      <c r="H4004">
        <v>93525422</v>
      </c>
      <c r="I4004" t="s">
        <v>14292</v>
      </c>
      <c r="L4004" t="s">
        <v>24361</v>
      </c>
      <c r="M4004">
        <v>481</v>
      </c>
      <c r="N4004" t="s">
        <v>24362</v>
      </c>
    </row>
    <row r="4005" spans="1:14">
      <c r="A4005" t="s">
        <v>9256</v>
      </c>
      <c r="B4005">
        <v>4767676</v>
      </c>
      <c r="C4005">
        <v>4768602</v>
      </c>
      <c r="E4005" t="s">
        <v>14314</v>
      </c>
      <c r="F4005" t="s">
        <v>14364</v>
      </c>
      <c r="H4005">
        <v>93525423</v>
      </c>
      <c r="I4005" t="s">
        <v>14292</v>
      </c>
      <c r="L4005" t="s">
        <v>24363</v>
      </c>
      <c r="M4005">
        <v>308</v>
      </c>
      <c r="N4005" t="s">
        <v>24364</v>
      </c>
    </row>
    <row r="4006" spans="1:14">
      <c r="A4006" t="s">
        <v>9256</v>
      </c>
      <c r="B4006">
        <v>4768587</v>
      </c>
      <c r="C4006">
        <v>4769213</v>
      </c>
      <c r="E4006" t="s">
        <v>14314</v>
      </c>
      <c r="F4006" t="s">
        <v>16215</v>
      </c>
      <c r="H4006">
        <v>93525424</v>
      </c>
      <c r="I4006" t="s">
        <v>14292</v>
      </c>
      <c r="L4006" t="s">
        <v>24365</v>
      </c>
      <c r="M4006">
        <v>208</v>
      </c>
      <c r="N4006" t="s">
        <v>24366</v>
      </c>
    </row>
    <row r="4007" spans="1:14">
      <c r="A4007" t="s">
        <v>9256</v>
      </c>
      <c r="B4007">
        <v>4769226</v>
      </c>
      <c r="C4007">
        <v>4770338</v>
      </c>
      <c r="E4007" t="s">
        <v>14314</v>
      </c>
      <c r="F4007" t="s">
        <v>14361</v>
      </c>
      <c r="H4007">
        <v>93525425</v>
      </c>
      <c r="I4007" t="s">
        <v>14292</v>
      </c>
      <c r="L4007" t="s">
        <v>24367</v>
      </c>
      <c r="M4007">
        <v>370</v>
      </c>
      <c r="N4007" t="s">
        <v>24368</v>
      </c>
    </row>
    <row r="4008" spans="1:14">
      <c r="A4008" t="s">
        <v>9256</v>
      </c>
      <c r="B4008">
        <v>4770335</v>
      </c>
      <c r="C4008">
        <v>4771546</v>
      </c>
      <c r="E4008" t="s">
        <v>14314</v>
      </c>
      <c r="F4008" t="s">
        <v>14364</v>
      </c>
      <c r="H4008">
        <v>93525426</v>
      </c>
      <c r="I4008" t="s">
        <v>14292</v>
      </c>
      <c r="L4008" t="s">
        <v>24369</v>
      </c>
      <c r="M4008">
        <v>403</v>
      </c>
      <c r="N4008" t="s">
        <v>24370</v>
      </c>
    </row>
    <row r="4009" spans="1:14">
      <c r="A4009" t="s">
        <v>9256</v>
      </c>
      <c r="B4009">
        <v>4771555</v>
      </c>
      <c r="C4009">
        <v>4772733</v>
      </c>
      <c r="E4009" t="s">
        <v>14314</v>
      </c>
      <c r="F4009" t="s">
        <v>15071</v>
      </c>
      <c r="H4009">
        <v>93525427</v>
      </c>
      <c r="I4009" t="s">
        <v>14292</v>
      </c>
      <c r="L4009" t="s">
        <v>24371</v>
      </c>
      <c r="M4009">
        <v>392</v>
      </c>
      <c r="N4009" t="s">
        <v>24372</v>
      </c>
    </row>
    <row r="4010" spans="1:14">
      <c r="A4010" t="s">
        <v>9256</v>
      </c>
      <c r="B4010">
        <v>4773025</v>
      </c>
      <c r="C4010">
        <v>4775184</v>
      </c>
      <c r="E4010" t="s">
        <v>14314</v>
      </c>
      <c r="F4010" t="s">
        <v>14384</v>
      </c>
      <c r="H4010">
        <v>93525428</v>
      </c>
      <c r="I4010" t="s">
        <v>14292</v>
      </c>
      <c r="L4010" t="s">
        <v>24373</v>
      </c>
      <c r="M4010">
        <v>719</v>
      </c>
      <c r="N4010" t="s">
        <v>24374</v>
      </c>
    </row>
    <row r="4011" spans="1:14">
      <c r="A4011" t="s">
        <v>9256</v>
      </c>
      <c r="B4011">
        <v>4775188</v>
      </c>
      <c r="C4011">
        <v>4775964</v>
      </c>
      <c r="E4011" t="s">
        <v>14314</v>
      </c>
      <c r="F4011" t="s">
        <v>14545</v>
      </c>
      <c r="H4011">
        <v>93525429</v>
      </c>
      <c r="I4011" t="s">
        <v>14292</v>
      </c>
      <c r="L4011" t="s">
        <v>24375</v>
      </c>
      <c r="M4011">
        <v>258</v>
      </c>
      <c r="N4011" t="s">
        <v>24376</v>
      </c>
    </row>
    <row r="4012" spans="1:14">
      <c r="A4012" t="s">
        <v>9256</v>
      </c>
      <c r="B4012">
        <v>4775997</v>
      </c>
      <c r="C4012">
        <v>4777172</v>
      </c>
      <c r="E4012" t="s">
        <v>14314</v>
      </c>
      <c r="F4012" t="s">
        <v>14369</v>
      </c>
      <c r="H4012">
        <v>93525430</v>
      </c>
      <c r="I4012" t="s">
        <v>14292</v>
      </c>
      <c r="L4012" t="s">
        <v>24377</v>
      </c>
      <c r="M4012">
        <v>391</v>
      </c>
      <c r="N4012" t="s">
        <v>24378</v>
      </c>
    </row>
    <row r="4013" spans="1:14">
      <c r="A4013" t="s">
        <v>9256</v>
      </c>
      <c r="B4013">
        <v>4777172</v>
      </c>
      <c r="C4013">
        <v>4777537</v>
      </c>
      <c r="E4013" t="s">
        <v>14314</v>
      </c>
      <c r="F4013" t="s">
        <v>14952</v>
      </c>
      <c r="H4013">
        <v>93525431</v>
      </c>
      <c r="I4013" t="s">
        <v>14292</v>
      </c>
      <c r="L4013" t="s">
        <v>24379</v>
      </c>
      <c r="M4013">
        <v>121</v>
      </c>
      <c r="N4013" t="s">
        <v>24380</v>
      </c>
    </row>
    <row r="4014" spans="1:14">
      <c r="A4014" t="s">
        <v>9256</v>
      </c>
      <c r="B4014">
        <v>4777717</v>
      </c>
      <c r="C4014">
        <v>4780206</v>
      </c>
      <c r="E4014" t="s">
        <v>14290</v>
      </c>
      <c r="F4014" t="s">
        <v>15535</v>
      </c>
      <c r="H4014">
        <v>93525432</v>
      </c>
      <c r="I4014" t="s">
        <v>14292</v>
      </c>
      <c r="L4014" t="s">
        <v>24381</v>
      </c>
      <c r="M4014">
        <v>829</v>
      </c>
      <c r="N4014" t="s">
        <v>24382</v>
      </c>
    </row>
    <row r="4015" spans="1:14">
      <c r="A4015" t="s">
        <v>9256</v>
      </c>
      <c r="B4015">
        <v>4780287</v>
      </c>
      <c r="C4015">
        <v>4781822</v>
      </c>
      <c r="E4015" t="s">
        <v>14290</v>
      </c>
      <c r="F4015" t="s">
        <v>24383</v>
      </c>
      <c r="H4015">
        <v>93525433</v>
      </c>
      <c r="I4015" t="s">
        <v>14292</v>
      </c>
      <c r="L4015" t="s">
        <v>24384</v>
      </c>
      <c r="M4015">
        <v>511</v>
      </c>
      <c r="N4015" t="s">
        <v>24385</v>
      </c>
    </row>
    <row r="4016" spans="1:14">
      <c r="A4016" t="s">
        <v>9256</v>
      </c>
      <c r="B4016">
        <v>4782028</v>
      </c>
      <c r="C4016">
        <v>4784379</v>
      </c>
      <c r="E4016" t="s">
        <v>14314</v>
      </c>
      <c r="F4016" t="s">
        <v>18413</v>
      </c>
      <c r="H4016">
        <v>93525434</v>
      </c>
      <c r="I4016" t="s">
        <v>14292</v>
      </c>
      <c r="L4016" t="s">
        <v>24386</v>
      </c>
      <c r="M4016">
        <v>783</v>
      </c>
      <c r="N4016" t="s">
        <v>24387</v>
      </c>
    </row>
    <row r="4017" spans="1:14">
      <c r="A4017" t="s">
        <v>9256</v>
      </c>
      <c r="B4017">
        <v>4784509</v>
      </c>
      <c r="C4017">
        <v>4785789</v>
      </c>
      <c r="E4017" t="s">
        <v>14314</v>
      </c>
      <c r="F4017" t="s">
        <v>24388</v>
      </c>
      <c r="G4017" t="s">
        <v>24389</v>
      </c>
      <c r="H4017">
        <v>93525435</v>
      </c>
      <c r="I4017" t="s">
        <v>14292</v>
      </c>
      <c r="L4017" t="s">
        <v>24390</v>
      </c>
      <c r="M4017">
        <v>426</v>
      </c>
      <c r="N4017" t="s">
        <v>24391</v>
      </c>
    </row>
    <row r="4018" spans="1:14">
      <c r="A4018" t="s">
        <v>9256</v>
      </c>
      <c r="B4018">
        <v>4785921</v>
      </c>
      <c r="C4018">
        <v>4786574</v>
      </c>
      <c r="E4018" t="s">
        <v>14314</v>
      </c>
      <c r="F4018" t="s">
        <v>15435</v>
      </c>
      <c r="H4018">
        <v>93525436</v>
      </c>
      <c r="I4018" t="s">
        <v>14292</v>
      </c>
      <c r="L4018" t="s">
        <v>24392</v>
      </c>
      <c r="M4018">
        <v>217</v>
      </c>
      <c r="N4018" t="s">
        <v>24393</v>
      </c>
    </row>
    <row r="4019" spans="1:14">
      <c r="A4019" t="s">
        <v>9256</v>
      </c>
      <c r="B4019">
        <v>4786601</v>
      </c>
      <c r="C4019">
        <v>4788289</v>
      </c>
      <c r="E4019" t="s">
        <v>14314</v>
      </c>
      <c r="F4019" t="s">
        <v>24394</v>
      </c>
      <c r="G4019" t="s">
        <v>24395</v>
      </c>
      <c r="H4019">
        <v>93525437</v>
      </c>
      <c r="I4019" t="s">
        <v>14292</v>
      </c>
      <c r="L4019" t="s">
        <v>24396</v>
      </c>
      <c r="M4019">
        <v>562</v>
      </c>
      <c r="N4019" t="s">
        <v>24397</v>
      </c>
    </row>
    <row r="4020" spans="1:14">
      <c r="A4020" t="s">
        <v>9256</v>
      </c>
      <c r="B4020">
        <v>4788785</v>
      </c>
      <c r="C4020">
        <v>4788857</v>
      </c>
      <c r="E4020" t="s">
        <v>14290</v>
      </c>
      <c r="F4020" t="s">
        <v>19380</v>
      </c>
      <c r="H4020">
        <v>93525438</v>
      </c>
      <c r="I4020" t="s">
        <v>13638</v>
      </c>
      <c r="N4020" t="s">
        <v>24398</v>
      </c>
    </row>
    <row r="4021" spans="1:14">
      <c r="A4021" t="s">
        <v>9256</v>
      </c>
      <c r="B4021">
        <v>4789100</v>
      </c>
      <c r="C4021">
        <v>4790320</v>
      </c>
      <c r="E4021" t="s">
        <v>14290</v>
      </c>
      <c r="F4021" t="s">
        <v>15333</v>
      </c>
      <c r="H4021">
        <v>93525439</v>
      </c>
      <c r="I4021" t="s">
        <v>14292</v>
      </c>
      <c r="L4021" t="s">
        <v>24399</v>
      </c>
      <c r="M4021">
        <v>406</v>
      </c>
      <c r="N4021" t="s">
        <v>24400</v>
      </c>
    </row>
    <row r="4022" spans="1:14">
      <c r="A4022" t="s">
        <v>9256</v>
      </c>
      <c r="B4022">
        <v>4790468</v>
      </c>
      <c r="C4022">
        <v>4792360</v>
      </c>
      <c r="E4022" t="s">
        <v>14314</v>
      </c>
      <c r="F4022" t="s">
        <v>15317</v>
      </c>
      <c r="H4022">
        <v>93525440</v>
      </c>
      <c r="I4022" t="s">
        <v>14292</v>
      </c>
      <c r="L4022" t="s">
        <v>24401</v>
      </c>
      <c r="M4022">
        <v>630</v>
      </c>
      <c r="N4022" t="s">
        <v>24402</v>
      </c>
    </row>
    <row r="4023" spans="1:14">
      <c r="A4023" t="s">
        <v>9256</v>
      </c>
      <c r="B4023">
        <v>4792570</v>
      </c>
      <c r="C4023">
        <v>4793442</v>
      </c>
      <c r="E4023" t="s">
        <v>14314</v>
      </c>
      <c r="F4023" t="s">
        <v>14291</v>
      </c>
      <c r="H4023">
        <v>93525441</v>
      </c>
      <c r="I4023" t="s">
        <v>14292</v>
      </c>
      <c r="L4023" t="s">
        <v>24403</v>
      </c>
      <c r="M4023">
        <v>290</v>
      </c>
      <c r="N4023" t="s">
        <v>24404</v>
      </c>
    </row>
    <row r="4024" spans="1:14">
      <c r="A4024" t="s">
        <v>9256</v>
      </c>
      <c r="B4024">
        <v>4793442</v>
      </c>
      <c r="C4024">
        <v>4794647</v>
      </c>
      <c r="E4024" t="s">
        <v>14314</v>
      </c>
      <c r="F4024" t="s">
        <v>24405</v>
      </c>
      <c r="H4024">
        <v>93525442</v>
      </c>
      <c r="I4024" t="s">
        <v>14292</v>
      </c>
      <c r="L4024" t="s">
        <v>24406</v>
      </c>
      <c r="M4024">
        <v>401</v>
      </c>
      <c r="N4024" t="s">
        <v>24407</v>
      </c>
    </row>
    <row r="4025" spans="1:14">
      <c r="A4025" t="s">
        <v>9256</v>
      </c>
      <c r="B4025">
        <v>4794659</v>
      </c>
      <c r="C4025">
        <v>4796425</v>
      </c>
      <c r="E4025" t="s">
        <v>14314</v>
      </c>
      <c r="F4025" t="s">
        <v>24405</v>
      </c>
      <c r="H4025">
        <v>93525443</v>
      </c>
      <c r="I4025" t="s">
        <v>14292</v>
      </c>
      <c r="L4025" t="s">
        <v>24408</v>
      </c>
      <c r="M4025">
        <v>588</v>
      </c>
      <c r="N4025" t="s">
        <v>24409</v>
      </c>
    </row>
    <row r="4026" spans="1:14">
      <c r="A4026" t="s">
        <v>9256</v>
      </c>
      <c r="B4026">
        <v>4796447</v>
      </c>
      <c r="C4026">
        <v>4797541</v>
      </c>
      <c r="E4026" t="s">
        <v>14314</v>
      </c>
      <c r="F4026" t="s">
        <v>24405</v>
      </c>
      <c r="H4026">
        <v>93525444</v>
      </c>
      <c r="I4026" t="s">
        <v>14292</v>
      </c>
      <c r="L4026" t="s">
        <v>24410</v>
      </c>
      <c r="M4026">
        <v>364</v>
      </c>
      <c r="N4026" t="s">
        <v>24411</v>
      </c>
    </row>
    <row r="4027" spans="1:14">
      <c r="A4027" t="s">
        <v>9256</v>
      </c>
      <c r="B4027">
        <v>4797714</v>
      </c>
      <c r="C4027">
        <v>4797875</v>
      </c>
      <c r="E4027" t="s">
        <v>14314</v>
      </c>
      <c r="F4027" t="s">
        <v>14291</v>
      </c>
      <c r="H4027">
        <v>93525956</v>
      </c>
      <c r="I4027" t="s">
        <v>14292</v>
      </c>
      <c r="L4027" t="s">
        <v>24412</v>
      </c>
      <c r="M4027">
        <v>53</v>
      </c>
      <c r="N4027" t="s">
        <v>24413</v>
      </c>
    </row>
    <row r="4028" spans="1:14">
      <c r="A4028" t="s">
        <v>9256</v>
      </c>
      <c r="B4028">
        <v>4797887</v>
      </c>
      <c r="C4028">
        <v>4799350</v>
      </c>
      <c r="E4028" t="s">
        <v>14314</v>
      </c>
      <c r="F4028" t="s">
        <v>24405</v>
      </c>
      <c r="H4028">
        <v>93525445</v>
      </c>
      <c r="I4028" t="s">
        <v>14292</v>
      </c>
      <c r="L4028" t="s">
        <v>24414</v>
      </c>
      <c r="M4028">
        <v>487</v>
      </c>
      <c r="N4028" t="s">
        <v>24415</v>
      </c>
    </row>
    <row r="4029" spans="1:14">
      <c r="A4029" t="s">
        <v>9256</v>
      </c>
      <c r="B4029">
        <v>4799355</v>
      </c>
      <c r="C4029">
        <v>4800170</v>
      </c>
      <c r="E4029" t="s">
        <v>14314</v>
      </c>
      <c r="F4029" t="s">
        <v>24405</v>
      </c>
      <c r="H4029">
        <v>93525446</v>
      </c>
      <c r="I4029" t="s">
        <v>14292</v>
      </c>
      <c r="L4029" t="s">
        <v>24416</v>
      </c>
      <c r="M4029">
        <v>271</v>
      </c>
      <c r="N4029" t="s">
        <v>24417</v>
      </c>
    </row>
    <row r="4030" spans="1:14">
      <c r="A4030" t="s">
        <v>9256</v>
      </c>
      <c r="B4030">
        <v>4800175</v>
      </c>
      <c r="C4030">
        <v>4801599</v>
      </c>
      <c r="E4030" t="s">
        <v>14314</v>
      </c>
      <c r="F4030" t="s">
        <v>24405</v>
      </c>
      <c r="H4030">
        <v>93525447</v>
      </c>
      <c r="I4030" t="s">
        <v>14292</v>
      </c>
      <c r="L4030" t="s">
        <v>24418</v>
      </c>
      <c r="M4030">
        <v>474</v>
      </c>
      <c r="N4030" t="s">
        <v>24419</v>
      </c>
    </row>
    <row r="4031" spans="1:14">
      <c r="A4031" t="s">
        <v>9256</v>
      </c>
      <c r="B4031">
        <v>4801604</v>
      </c>
      <c r="C4031">
        <v>4802746</v>
      </c>
      <c r="E4031" t="s">
        <v>14314</v>
      </c>
      <c r="F4031" t="s">
        <v>15320</v>
      </c>
      <c r="H4031">
        <v>93525448</v>
      </c>
      <c r="I4031" t="s">
        <v>14292</v>
      </c>
      <c r="L4031" t="s">
        <v>24420</v>
      </c>
      <c r="M4031">
        <v>380</v>
      </c>
      <c r="N4031" t="s">
        <v>24421</v>
      </c>
    </row>
    <row r="4032" spans="1:14">
      <c r="A4032" t="s">
        <v>9256</v>
      </c>
      <c r="B4032">
        <v>4802821</v>
      </c>
      <c r="C4032">
        <v>4802952</v>
      </c>
      <c r="E4032" t="s">
        <v>14290</v>
      </c>
      <c r="F4032" t="s">
        <v>14291</v>
      </c>
      <c r="H4032">
        <v>93525976</v>
      </c>
      <c r="I4032" t="s">
        <v>14292</v>
      </c>
      <c r="L4032" t="s">
        <v>24422</v>
      </c>
      <c r="M4032">
        <v>43</v>
      </c>
      <c r="N4032" t="s">
        <v>24423</v>
      </c>
    </row>
    <row r="4033" spans="1:14">
      <c r="A4033" t="s">
        <v>9256</v>
      </c>
      <c r="B4033">
        <v>4803070</v>
      </c>
      <c r="C4033">
        <v>4803429</v>
      </c>
      <c r="E4033" t="s">
        <v>14290</v>
      </c>
      <c r="F4033" t="s">
        <v>15974</v>
      </c>
      <c r="H4033">
        <v>93525449</v>
      </c>
      <c r="I4033" t="s">
        <v>14292</v>
      </c>
      <c r="L4033" t="s">
        <v>24424</v>
      </c>
      <c r="M4033">
        <v>119</v>
      </c>
      <c r="N4033" t="s">
        <v>24425</v>
      </c>
    </row>
    <row r="4034" spans="1:14">
      <c r="A4034" t="s">
        <v>9256</v>
      </c>
      <c r="B4034">
        <v>4803446</v>
      </c>
      <c r="C4034">
        <v>4803604</v>
      </c>
      <c r="E4034" t="s">
        <v>14290</v>
      </c>
      <c r="F4034" t="s">
        <v>14291</v>
      </c>
      <c r="H4034">
        <v>93525450</v>
      </c>
      <c r="I4034" t="s">
        <v>14292</v>
      </c>
      <c r="L4034" t="s">
        <v>24426</v>
      </c>
      <c r="M4034">
        <v>52</v>
      </c>
      <c r="N4034" t="s">
        <v>24427</v>
      </c>
    </row>
    <row r="4035" spans="1:14">
      <c r="A4035" t="s">
        <v>9256</v>
      </c>
      <c r="B4035">
        <v>4803650</v>
      </c>
      <c r="C4035">
        <v>4804375</v>
      </c>
      <c r="E4035" t="s">
        <v>14290</v>
      </c>
      <c r="F4035" t="s">
        <v>15216</v>
      </c>
      <c r="H4035">
        <v>93525451</v>
      </c>
      <c r="I4035" t="s">
        <v>14292</v>
      </c>
      <c r="L4035" t="s">
        <v>24428</v>
      </c>
      <c r="M4035">
        <v>241</v>
      </c>
      <c r="N4035" t="s">
        <v>24429</v>
      </c>
    </row>
    <row r="4036" spans="1:14">
      <c r="A4036" t="s">
        <v>9256</v>
      </c>
      <c r="B4036">
        <v>4804489</v>
      </c>
      <c r="C4036">
        <v>4804650</v>
      </c>
      <c r="E4036" t="s">
        <v>14314</v>
      </c>
      <c r="F4036" t="s">
        <v>14291</v>
      </c>
      <c r="H4036">
        <v>93525452</v>
      </c>
      <c r="I4036" t="s">
        <v>14292</v>
      </c>
      <c r="L4036" t="s">
        <v>24430</v>
      </c>
      <c r="M4036">
        <v>53</v>
      </c>
      <c r="N4036" t="s">
        <v>24431</v>
      </c>
    </row>
    <row r="4037" spans="1:14">
      <c r="A4037" t="s">
        <v>9256</v>
      </c>
      <c r="B4037">
        <v>4804651</v>
      </c>
      <c r="C4037">
        <v>4805397</v>
      </c>
      <c r="E4037" t="s">
        <v>14314</v>
      </c>
      <c r="F4037" t="s">
        <v>14414</v>
      </c>
      <c r="H4037">
        <v>93525453</v>
      </c>
      <c r="I4037" t="s">
        <v>14415</v>
      </c>
      <c r="N4037" t="s">
        <v>24432</v>
      </c>
    </row>
    <row r="4038" spans="1:14">
      <c r="A4038" t="s">
        <v>9256</v>
      </c>
      <c r="B4038">
        <v>4805436</v>
      </c>
      <c r="C4038">
        <v>4807448</v>
      </c>
      <c r="E4038" t="s">
        <v>14314</v>
      </c>
      <c r="F4038" t="s">
        <v>14414</v>
      </c>
      <c r="G4038" t="s">
        <v>15279</v>
      </c>
      <c r="H4038">
        <v>93525454</v>
      </c>
      <c r="I4038" t="s">
        <v>14415</v>
      </c>
      <c r="N4038" t="s">
        <v>24433</v>
      </c>
    </row>
    <row r="4039" spans="1:14">
      <c r="A4039" t="s">
        <v>9256</v>
      </c>
      <c r="B4039">
        <v>4807482</v>
      </c>
      <c r="C4039">
        <v>4808603</v>
      </c>
      <c r="E4039" t="s">
        <v>14314</v>
      </c>
      <c r="F4039" t="s">
        <v>15274</v>
      </c>
      <c r="G4039" t="s">
        <v>15275</v>
      </c>
      <c r="H4039">
        <v>93525455</v>
      </c>
      <c r="I4039" t="s">
        <v>14292</v>
      </c>
      <c r="L4039" t="s">
        <v>24434</v>
      </c>
      <c r="M4039">
        <v>373</v>
      </c>
      <c r="N4039" t="s">
        <v>24435</v>
      </c>
    </row>
    <row r="4040" spans="1:14">
      <c r="A4040" t="s">
        <v>9256</v>
      </c>
      <c r="B4040">
        <v>4808693</v>
      </c>
      <c r="C4040">
        <v>4809037</v>
      </c>
      <c r="E4040" t="s">
        <v>14314</v>
      </c>
      <c r="F4040" t="s">
        <v>14291</v>
      </c>
      <c r="H4040">
        <v>93525456</v>
      </c>
      <c r="I4040" t="s">
        <v>14292</v>
      </c>
      <c r="L4040" t="s">
        <v>24436</v>
      </c>
      <c r="M4040">
        <v>114</v>
      </c>
      <c r="N4040" t="s">
        <v>24437</v>
      </c>
    </row>
    <row r="4041" spans="1:14">
      <c r="A4041" t="s">
        <v>9256</v>
      </c>
      <c r="B4041">
        <v>4809280</v>
      </c>
      <c r="C4041">
        <v>4809906</v>
      </c>
      <c r="E4041" t="s">
        <v>14314</v>
      </c>
      <c r="F4041" t="s">
        <v>15286</v>
      </c>
      <c r="H4041">
        <v>93525457</v>
      </c>
      <c r="I4041" t="s">
        <v>14292</v>
      </c>
      <c r="L4041" t="s">
        <v>24438</v>
      </c>
      <c r="M4041">
        <v>208</v>
      </c>
      <c r="N4041" t="s">
        <v>24439</v>
      </c>
    </row>
    <row r="4042" spans="1:14">
      <c r="A4042" t="s">
        <v>9256</v>
      </c>
      <c r="B4042">
        <v>4810135</v>
      </c>
      <c r="C4042">
        <v>4810530</v>
      </c>
      <c r="E4042" t="s">
        <v>14314</v>
      </c>
      <c r="F4042" t="s">
        <v>14291</v>
      </c>
      <c r="H4042">
        <v>93525458</v>
      </c>
      <c r="I4042" t="s">
        <v>14292</v>
      </c>
      <c r="L4042" t="s">
        <v>24440</v>
      </c>
      <c r="M4042">
        <v>131</v>
      </c>
      <c r="N4042" t="s">
        <v>24441</v>
      </c>
    </row>
    <row r="4043" spans="1:14">
      <c r="A4043" t="s">
        <v>9256</v>
      </c>
      <c r="B4043">
        <v>4810626</v>
      </c>
      <c r="C4043">
        <v>4811933</v>
      </c>
      <c r="E4043" t="s">
        <v>14314</v>
      </c>
      <c r="F4043" t="s">
        <v>14864</v>
      </c>
      <c r="H4043">
        <v>93525459</v>
      </c>
      <c r="I4043" t="s">
        <v>14292</v>
      </c>
      <c r="L4043" t="s">
        <v>24442</v>
      </c>
      <c r="M4043">
        <v>435</v>
      </c>
      <c r="N4043" t="s">
        <v>24443</v>
      </c>
    </row>
    <row r="4044" spans="1:14">
      <c r="A4044" t="s">
        <v>9256</v>
      </c>
      <c r="B4044">
        <v>4811930</v>
      </c>
      <c r="C4044">
        <v>4814341</v>
      </c>
      <c r="E4044" t="s">
        <v>14314</v>
      </c>
      <c r="F4044" t="s">
        <v>24444</v>
      </c>
      <c r="H4044">
        <v>93525460</v>
      </c>
      <c r="I4044" t="s">
        <v>14292</v>
      </c>
      <c r="L4044" t="s">
        <v>24445</v>
      </c>
      <c r="M4044">
        <v>803</v>
      </c>
      <c r="N4044" t="s">
        <v>24446</v>
      </c>
    </row>
    <row r="4045" spans="1:14">
      <c r="A4045" t="s">
        <v>9256</v>
      </c>
      <c r="B4045">
        <v>4814553</v>
      </c>
      <c r="C4045">
        <v>4815203</v>
      </c>
      <c r="E4045" t="s">
        <v>14314</v>
      </c>
      <c r="F4045" t="s">
        <v>19390</v>
      </c>
      <c r="H4045">
        <v>93525461</v>
      </c>
      <c r="I4045" t="s">
        <v>14292</v>
      </c>
      <c r="L4045" t="s">
        <v>24447</v>
      </c>
      <c r="M4045">
        <v>216</v>
      </c>
      <c r="N4045" t="s">
        <v>24448</v>
      </c>
    </row>
    <row r="4046" spans="1:14">
      <c r="A4046" t="s">
        <v>9256</v>
      </c>
      <c r="B4046">
        <v>4815361</v>
      </c>
      <c r="C4046">
        <v>4815849</v>
      </c>
      <c r="E4046" t="s">
        <v>14314</v>
      </c>
      <c r="F4046" t="s">
        <v>14439</v>
      </c>
      <c r="H4046">
        <v>93525462</v>
      </c>
      <c r="I4046" t="s">
        <v>14292</v>
      </c>
      <c r="L4046" t="s">
        <v>24449</v>
      </c>
      <c r="M4046">
        <v>162</v>
      </c>
      <c r="N4046" t="s">
        <v>24450</v>
      </c>
    </row>
    <row r="4047" spans="1:14">
      <c r="A4047" t="s">
        <v>9256</v>
      </c>
      <c r="B4047">
        <v>4816143</v>
      </c>
      <c r="C4047">
        <v>4817315</v>
      </c>
      <c r="E4047" t="s">
        <v>14290</v>
      </c>
      <c r="F4047" t="s">
        <v>24451</v>
      </c>
      <c r="H4047">
        <v>93525463</v>
      </c>
      <c r="I4047" t="s">
        <v>14292</v>
      </c>
      <c r="L4047" t="s">
        <v>24452</v>
      </c>
      <c r="M4047">
        <v>390</v>
      </c>
      <c r="N4047" t="s">
        <v>24453</v>
      </c>
    </row>
    <row r="4048" spans="1:14">
      <c r="A4048" t="s">
        <v>9256</v>
      </c>
      <c r="B4048">
        <v>4817354</v>
      </c>
      <c r="C4048">
        <v>4818532</v>
      </c>
      <c r="E4048" t="s">
        <v>14290</v>
      </c>
      <c r="F4048" t="s">
        <v>15927</v>
      </c>
      <c r="H4048">
        <v>93525464</v>
      </c>
      <c r="I4048" t="s">
        <v>14292</v>
      </c>
      <c r="L4048" t="s">
        <v>24454</v>
      </c>
      <c r="M4048">
        <v>392</v>
      </c>
      <c r="N4048" t="s">
        <v>24455</v>
      </c>
    </row>
    <row r="4049" spans="1:14">
      <c r="A4049" t="s">
        <v>9256</v>
      </c>
      <c r="B4049">
        <v>4818558</v>
      </c>
      <c r="C4049">
        <v>4819028</v>
      </c>
      <c r="E4049" t="s">
        <v>14290</v>
      </c>
      <c r="F4049" t="s">
        <v>17257</v>
      </c>
      <c r="H4049">
        <v>93525465</v>
      </c>
      <c r="I4049" t="s">
        <v>14292</v>
      </c>
      <c r="L4049" t="s">
        <v>24456</v>
      </c>
      <c r="M4049">
        <v>156</v>
      </c>
      <c r="N4049" t="s">
        <v>24457</v>
      </c>
    </row>
    <row r="4050" spans="1:14">
      <c r="A4050" t="s">
        <v>9256</v>
      </c>
      <c r="B4050">
        <v>4819217</v>
      </c>
      <c r="C4050">
        <v>4820185</v>
      </c>
      <c r="E4050" t="s">
        <v>14290</v>
      </c>
      <c r="F4050" t="s">
        <v>15465</v>
      </c>
      <c r="G4050" t="s">
        <v>15466</v>
      </c>
      <c r="H4050">
        <v>93525466</v>
      </c>
      <c r="I4050" t="s">
        <v>14292</v>
      </c>
      <c r="L4050" t="s">
        <v>24458</v>
      </c>
      <c r="M4050">
        <v>322</v>
      </c>
      <c r="N4050" t="s">
        <v>24459</v>
      </c>
    </row>
    <row r="4051" spans="1:14">
      <c r="A4051" t="s">
        <v>9256</v>
      </c>
      <c r="B4051">
        <v>4820215</v>
      </c>
      <c r="C4051">
        <v>4821033</v>
      </c>
      <c r="E4051" t="s">
        <v>14290</v>
      </c>
      <c r="F4051" t="s">
        <v>24460</v>
      </c>
      <c r="H4051">
        <v>93525467</v>
      </c>
      <c r="I4051" t="s">
        <v>14292</v>
      </c>
      <c r="L4051" t="s">
        <v>24461</v>
      </c>
      <c r="M4051">
        <v>272</v>
      </c>
      <c r="N4051" t="s">
        <v>24462</v>
      </c>
    </row>
    <row r="4052" spans="1:14">
      <c r="A4052" t="s">
        <v>9256</v>
      </c>
      <c r="B4052">
        <v>4821071</v>
      </c>
      <c r="C4052">
        <v>4821586</v>
      </c>
      <c r="E4052" t="s">
        <v>14290</v>
      </c>
      <c r="F4052" t="s">
        <v>24463</v>
      </c>
      <c r="H4052">
        <v>93525468</v>
      </c>
      <c r="I4052" t="s">
        <v>14292</v>
      </c>
      <c r="L4052" t="s">
        <v>24464</v>
      </c>
      <c r="M4052">
        <v>171</v>
      </c>
      <c r="N4052" t="s">
        <v>24465</v>
      </c>
    </row>
    <row r="4053" spans="1:14">
      <c r="A4053" t="s">
        <v>9256</v>
      </c>
      <c r="B4053">
        <v>4821605</v>
      </c>
      <c r="C4053">
        <v>4821826</v>
      </c>
      <c r="E4053" t="s">
        <v>14290</v>
      </c>
      <c r="F4053" t="s">
        <v>24466</v>
      </c>
      <c r="H4053">
        <v>93525469</v>
      </c>
      <c r="I4053" t="s">
        <v>14292</v>
      </c>
      <c r="L4053" t="s">
        <v>24467</v>
      </c>
      <c r="M4053">
        <v>73</v>
      </c>
      <c r="N4053" t="s">
        <v>24468</v>
      </c>
    </row>
    <row r="4054" spans="1:14">
      <c r="A4054" t="s">
        <v>9256</v>
      </c>
      <c r="B4054">
        <v>4822232</v>
      </c>
      <c r="C4054">
        <v>4822879</v>
      </c>
      <c r="E4054" t="s">
        <v>14290</v>
      </c>
      <c r="F4054" t="s">
        <v>14291</v>
      </c>
      <c r="H4054">
        <v>93525470</v>
      </c>
      <c r="I4054" t="s">
        <v>14292</v>
      </c>
      <c r="L4054" t="s">
        <v>24469</v>
      </c>
      <c r="M4054">
        <v>215</v>
      </c>
      <c r="N4054" t="s">
        <v>24470</v>
      </c>
    </row>
    <row r="4055" spans="1:14">
      <c r="A4055" t="s">
        <v>9256</v>
      </c>
      <c r="B4055">
        <v>4822995</v>
      </c>
      <c r="C4055">
        <v>4823975</v>
      </c>
      <c r="E4055" t="s">
        <v>14290</v>
      </c>
      <c r="F4055" t="s">
        <v>15696</v>
      </c>
      <c r="H4055">
        <v>93525471</v>
      </c>
      <c r="I4055" t="s">
        <v>14292</v>
      </c>
      <c r="L4055" t="s">
        <v>15697</v>
      </c>
      <c r="M4055">
        <v>326</v>
      </c>
      <c r="N4055" t="s">
        <v>24471</v>
      </c>
    </row>
    <row r="4056" spans="1:14">
      <c r="A4056" t="s">
        <v>9256</v>
      </c>
      <c r="B4056">
        <v>4823972</v>
      </c>
      <c r="C4056">
        <v>4824322</v>
      </c>
      <c r="E4056" t="s">
        <v>14290</v>
      </c>
      <c r="F4056" t="s">
        <v>14291</v>
      </c>
      <c r="H4056">
        <v>93525472</v>
      </c>
      <c r="I4056" t="s">
        <v>14292</v>
      </c>
      <c r="L4056" t="s">
        <v>24472</v>
      </c>
      <c r="M4056">
        <v>116</v>
      </c>
      <c r="N4056" t="s">
        <v>24473</v>
      </c>
    </row>
    <row r="4057" spans="1:14">
      <c r="A4057" t="s">
        <v>9256</v>
      </c>
      <c r="B4057">
        <v>4824373</v>
      </c>
      <c r="C4057">
        <v>4827471</v>
      </c>
      <c r="E4057" t="s">
        <v>14290</v>
      </c>
      <c r="F4057" t="s">
        <v>14965</v>
      </c>
      <c r="H4057">
        <v>93525473</v>
      </c>
      <c r="I4057" t="s">
        <v>14292</v>
      </c>
      <c r="L4057" t="s">
        <v>24474</v>
      </c>
      <c r="M4057">
        <v>1032</v>
      </c>
      <c r="N4057" t="s">
        <v>24475</v>
      </c>
    </row>
    <row r="4058" spans="1:14">
      <c r="A4058" t="s">
        <v>9256</v>
      </c>
      <c r="B4058">
        <v>4827518</v>
      </c>
      <c r="C4058">
        <v>4829038</v>
      </c>
      <c r="E4058" t="s">
        <v>14290</v>
      </c>
      <c r="F4058" t="s">
        <v>15179</v>
      </c>
      <c r="H4058">
        <v>93525474</v>
      </c>
      <c r="I4058" t="s">
        <v>14292</v>
      </c>
      <c r="L4058" t="s">
        <v>24476</v>
      </c>
      <c r="M4058">
        <v>506</v>
      </c>
      <c r="N4058" t="s">
        <v>24477</v>
      </c>
    </row>
    <row r="4059" spans="1:14">
      <c r="A4059" t="s">
        <v>9256</v>
      </c>
      <c r="B4059">
        <v>4829100</v>
      </c>
      <c r="C4059">
        <v>4829732</v>
      </c>
      <c r="E4059" t="s">
        <v>14290</v>
      </c>
      <c r="F4059" t="s">
        <v>14291</v>
      </c>
      <c r="H4059">
        <v>93525475</v>
      </c>
      <c r="I4059" t="s">
        <v>14292</v>
      </c>
      <c r="L4059" t="s">
        <v>24478</v>
      </c>
      <c r="M4059">
        <v>210</v>
      </c>
      <c r="N4059" t="s">
        <v>24479</v>
      </c>
    </row>
    <row r="4060" spans="1:14">
      <c r="A4060" t="s">
        <v>9256</v>
      </c>
      <c r="B4060">
        <v>4829768</v>
      </c>
      <c r="C4060">
        <v>4831234</v>
      </c>
      <c r="E4060" t="s">
        <v>14290</v>
      </c>
      <c r="F4060" t="s">
        <v>15688</v>
      </c>
      <c r="H4060">
        <v>93525476</v>
      </c>
      <c r="I4060" t="s">
        <v>14292</v>
      </c>
      <c r="L4060" t="s">
        <v>24480</v>
      </c>
      <c r="M4060">
        <v>488</v>
      </c>
      <c r="N4060" t="s">
        <v>24481</v>
      </c>
    </row>
    <row r="4061" spans="1:14">
      <c r="A4061" t="s">
        <v>9256</v>
      </c>
      <c r="B4061">
        <v>4831409</v>
      </c>
      <c r="C4061">
        <v>4832269</v>
      </c>
      <c r="E4061" t="s">
        <v>14290</v>
      </c>
      <c r="F4061" t="s">
        <v>15759</v>
      </c>
      <c r="H4061">
        <v>93525477</v>
      </c>
      <c r="I4061" t="s">
        <v>14292</v>
      </c>
      <c r="L4061" t="s">
        <v>24482</v>
      </c>
      <c r="M4061">
        <v>286</v>
      </c>
      <c r="N4061" t="s">
        <v>24483</v>
      </c>
    </row>
    <row r="4062" spans="1:14">
      <c r="A4062" t="s">
        <v>9256</v>
      </c>
      <c r="B4062">
        <v>4832332</v>
      </c>
      <c r="C4062">
        <v>4833363</v>
      </c>
      <c r="E4062" t="s">
        <v>14290</v>
      </c>
      <c r="F4062" t="s">
        <v>24484</v>
      </c>
      <c r="H4062">
        <v>93525478</v>
      </c>
      <c r="I4062" t="s">
        <v>14292</v>
      </c>
      <c r="L4062" t="s">
        <v>24485</v>
      </c>
      <c r="M4062">
        <v>343</v>
      </c>
      <c r="N4062" t="s">
        <v>24486</v>
      </c>
    </row>
    <row r="4063" spans="1:14">
      <c r="A4063" t="s">
        <v>9256</v>
      </c>
      <c r="B4063">
        <v>4833375</v>
      </c>
      <c r="C4063">
        <v>4834538</v>
      </c>
      <c r="E4063" t="s">
        <v>14290</v>
      </c>
      <c r="F4063" t="s">
        <v>17774</v>
      </c>
      <c r="H4063">
        <v>93525479</v>
      </c>
      <c r="I4063" t="s">
        <v>14292</v>
      </c>
      <c r="L4063" t="s">
        <v>24487</v>
      </c>
      <c r="M4063">
        <v>387</v>
      </c>
      <c r="N4063" t="s">
        <v>24488</v>
      </c>
    </row>
    <row r="4064" spans="1:14">
      <c r="A4064" t="s">
        <v>9256</v>
      </c>
      <c r="B4064">
        <v>4835363</v>
      </c>
      <c r="C4064">
        <v>4836313</v>
      </c>
      <c r="E4064" t="s">
        <v>14290</v>
      </c>
      <c r="F4064" t="s">
        <v>24489</v>
      </c>
      <c r="H4064">
        <v>93525480</v>
      </c>
      <c r="I4064" t="s">
        <v>14292</v>
      </c>
      <c r="L4064" t="s">
        <v>24490</v>
      </c>
      <c r="M4064">
        <v>316</v>
      </c>
      <c r="N4064" t="s">
        <v>24491</v>
      </c>
    </row>
    <row r="4065" spans="1:14">
      <c r="A4065" t="s">
        <v>9256</v>
      </c>
      <c r="B4065">
        <v>4836310</v>
      </c>
      <c r="C4065">
        <v>4836543</v>
      </c>
      <c r="E4065" t="s">
        <v>14290</v>
      </c>
      <c r="F4065" t="s">
        <v>14291</v>
      </c>
      <c r="H4065">
        <v>93525481</v>
      </c>
      <c r="I4065" t="s">
        <v>14292</v>
      </c>
      <c r="L4065" t="s">
        <v>24492</v>
      </c>
      <c r="M4065">
        <v>77</v>
      </c>
      <c r="N4065" t="s">
        <v>24493</v>
      </c>
    </row>
    <row r="4066" spans="1:14">
      <c r="A4066" t="s">
        <v>9256</v>
      </c>
      <c r="B4066">
        <v>4836769</v>
      </c>
      <c r="C4066">
        <v>4837548</v>
      </c>
      <c r="E4066" t="s">
        <v>14290</v>
      </c>
      <c r="F4066" t="s">
        <v>15265</v>
      </c>
      <c r="H4066">
        <v>93525482</v>
      </c>
      <c r="I4066" t="s">
        <v>14292</v>
      </c>
      <c r="L4066" t="s">
        <v>24494</v>
      </c>
      <c r="M4066">
        <v>259</v>
      </c>
      <c r="N4066" t="s">
        <v>24495</v>
      </c>
    </row>
    <row r="4067" spans="1:14">
      <c r="A4067" t="s">
        <v>9256</v>
      </c>
      <c r="B4067">
        <v>4837562</v>
      </c>
      <c r="C4067">
        <v>4837981</v>
      </c>
      <c r="E4067" t="s">
        <v>14290</v>
      </c>
      <c r="F4067" t="s">
        <v>15260</v>
      </c>
      <c r="H4067">
        <v>93525483</v>
      </c>
      <c r="I4067" t="s">
        <v>14292</v>
      </c>
      <c r="L4067" t="s">
        <v>24496</v>
      </c>
      <c r="M4067">
        <v>139</v>
      </c>
      <c r="N4067" t="s">
        <v>24497</v>
      </c>
    </row>
    <row r="4068" spans="1:14">
      <c r="A4068" t="s">
        <v>9256</v>
      </c>
      <c r="B4068">
        <v>4837986</v>
      </c>
      <c r="C4068">
        <v>4838741</v>
      </c>
      <c r="E4068" t="s">
        <v>14290</v>
      </c>
      <c r="F4068" t="s">
        <v>14291</v>
      </c>
      <c r="H4068">
        <v>93525484</v>
      </c>
      <c r="I4068" t="s">
        <v>14292</v>
      </c>
      <c r="L4068" t="s">
        <v>24498</v>
      </c>
      <c r="M4068">
        <v>251</v>
      </c>
      <c r="N4068" t="s">
        <v>24499</v>
      </c>
    </row>
    <row r="4069" spans="1:14">
      <c r="A4069" t="s">
        <v>9256</v>
      </c>
      <c r="B4069">
        <v>4839180</v>
      </c>
      <c r="C4069">
        <v>4839446</v>
      </c>
      <c r="E4069" t="s">
        <v>14290</v>
      </c>
      <c r="F4069" t="s">
        <v>15255</v>
      </c>
      <c r="H4069">
        <v>93525485</v>
      </c>
      <c r="I4069" t="s">
        <v>14292</v>
      </c>
      <c r="L4069" t="s">
        <v>24500</v>
      </c>
      <c r="M4069">
        <v>88</v>
      </c>
      <c r="N4069" t="s">
        <v>24501</v>
      </c>
    </row>
    <row r="4070" spans="1:14">
      <c r="A4070" t="s">
        <v>9256</v>
      </c>
      <c r="B4070">
        <v>4839458</v>
      </c>
      <c r="C4070">
        <v>4839808</v>
      </c>
      <c r="E4070" t="s">
        <v>14290</v>
      </c>
      <c r="F4070" t="s">
        <v>15252</v>
      </c>
      <c r="H4070">
        <v>93525486</v>
      </c>
      <c r="I4070" t="s">
        <v>14292</v>
      </c>
      <c r="L4070" t="s">
        <v>24502</v>
      </c>
      <c r="M4070">
        <v>116</v>
      </c>
      <c r="N4070" t="s">
        <v>24503</v>
      </c>
    </row>
    <row r="4071" spans="1:14">
      <c r="A4071" t="s">
        <v>9256</v>
      </c>
      <c r="B4071">
        <v>4839771</v>
      </c>
      <c r="C4071">
        <v>4842272</v>
      </c>
      <c r="E4071" t="s">
        <v>14290</v>
      </c>
      <c r="F4071" t="s">
        <v>14414</v>
      </c>
      <c r="H4071">
        <v>93525487</v>
      </c>
      <c r="I4071" t="s">
        <v>14415</v>
      </c>
      <c r="N4071" t="s">
        <v>24504</v>
      </c>
    </row>
    <row r="4072" spans="1:14">
      <c r="A4072" t="s">
        <v>9256</v>
      </c>
      <c r="B4072">
        <v>4842293</v>
      </c>
      <c r="C4072">
        <v>4842925</v>
      </c>
      <c r="E4072" t="s">
        <v>14290</v>
      </c>
      <c r="F4072" t="s">
        <v>15241</v>
      </c>
      <c r="H4072">
        <v>93525488</v>
      </c>
      <c r="I4072" t="s">
        <v>14292</v>
      </c>
      <c r="L4072" t="s">
        <v>24505</v>
      </c>
      <c r="M4072">
        <v>210</v>
      </c>
      <c r="N4072" t="s">
        <v>24506</v>
      </c>
    </row>
    <row r="4073" spans="1:14">
      <c r="A4073" t="s">
        <v>9256</v>
      </c>
      <c r="B4073">
        <v>4842950</v>
      </c>
      <c r="C4073">
        <v>4843969</v>
      </c>
      <c r="E4073" t="s">
        <v>14290</v>
      </c>
      <c r="F4073" t="s">
        <v>15237</v>
      </c>
      <c r="G4073" t="s">
        <v>15238</v>
      </c>
      <c r="H4073">
        <v>93525489</v>
      </c>
      <c r="I4073" t="s">
        <v>14292</v>
      </c>
      <c r="L4073" t="s">
        <v>24507</v>
      </c>
      <c r="M4073">
        <v>339</v>
      </c>
      <c r="N4073" t="s">
        <v>24508</v>
      </c>
    </row>
    <row r="4074" spans="1:14">
      <c r="A4074" t="s">
        <v>9256</v>
      </c>
      <c r="B4074">
        <v>4843993</v>
      </c>
      <c r="C4074">
        <v>4844616</v>
      </c>
      <c r="E4074" t="s">
        <v>14290</v>
      </c>
      <c r="F4074" t="s">
        <v>14414</v>
      </c>
      <c r="G4074" t="s">
        <v>15234</v>
      </c>
      <c r="H4074">
        <v>93525490</v>
      </c>
      <c r="I4074" t="s">
        <v>14415</v>
      </c>
      <c r="N4074" t="s">
        <v>24509</v>
      </c>
    </row>
    <row r="4075" spans="1:14">
      <c r="A4075" t="s">
        <v>9256</v>
      </c>
      <c r="B4075">
        <v>4844630</v>
      </c>
      <c r="C4075">
        <v>4844905</v>
      </c>
      <c r="E4075" t="s">
        <v>14290</v>
      </c>
      <c r="F4075" t="s">
        <v>14291</v>
      </c>
      <c r="H4075">
        <v>93525491</v>
      </c>
      <c r="I4075" t="s">
        <v>14292</v>
      </c>
      <c r="L4075" t="s">
        <v>24510</v>
      </c>
      <c r="M4075">
        <v>91</v>
      </c>
      <c r="N4075" t="s">
        <v>24511</v>
      </c>
    </row>
    <row r="4076" spans="1:14">
      <c r="A4076" t="s">
        <v>9256</v>
      </c>
      <c r="B4076">
        <v>4844895</v>
      </c>
      <c r="C4076">
        <v>4845083</v>
      </c>
      <c r="E4076" t="s">
        <v>14290</v>
      </c>
      <c r="F4076" t="s">
        <v>14291</v>
      </c>
      <c r="H4076">
        <v>93525492</v>
      </c>
      <c r="I4076" t="s">
        <v>14292</v>
      </c>
      <c r="L4076" t="s">
        <v>24512</v>
      </c>
      <c r="M4076">
        <v>62</v>
      </c>
      <c r="N4076" t="s">
        <v>24513</v>
      </c>
    </row>
    <row r="4077" spans="1:14">
      <c r="A4077" t="s">
        <v>9256</v>
      </c>
      <c r="B4077">
        <v>4845084</v>
      </c>
      <c r="C4077">
        <v>4846196</v>
      </c>
      <c r="E4077" t="s">
        <v>14290</v>
      </c>
      <c r="F4077" t="s">
        <v>15226</v>
      </c>
      <c r="G4077" t="s">
        <v>15227</v>
      </c>
      <c r="H4077">
        <v>93525493</v>
      </c>
      <c r="I4077" t="s">
        <v>14292</v>
      </c>
      <c r="L4077" t="s">
        <v>24514</v>
      </c>
      <c r="M4077">
        <v>370</v>
      </c>
      <c r="N4077" t="s">
        <v>24515</v>
      </c>
    </row>
    <row r="4078" spans="1:14">
      <c r="A4078" t="s">
        <v>9256</v>
      </c>
      <c r="B4078">
        <v>4846230</v>
      </c>
      <c r="C4078">
        <v>4847129</v>
      </c>
      <c r="E4078" t="s">
        <v>14290</v>
      </c>
      <c r="F4078" t="s">
        <v>15222</v>
      </c>
      <c r="G4078" t="s">
        <v>15223</v>
      </c>
      <c r="H4078">
        <v>93525494</v>
      </c>
      <c r="I4078" t="s">
        <v>14292</v>
      </c>
      <c r="L4078" t="s">
        <v>24516</v>
      </c>
      <c r="M4078">
        <v>299</v>
      </c>
      <c r="N4078" t="s">
        <v>24517</v>
      </c>
    </row>
    <row r="4079" spans="1:14">
      <c r="A4079" t="s">
        <v>9256</v>
      </c>
      <c r="B4079">
        <v>4847132</v>
      </c>
      <c r="C4079">
        <v>4847716</v>
      </c>
      <c r="E4079" t="s">
        <v>14290</v>
      </c>
      <c r="F4079" t="s">
        <v>15219</v>
      </c>
      <c r="H4079">
        <v>93525495</v>
      </c>
      <c r="I4079" t="s">
        <v>14292</v>
      </c>
      <c r="L4079" t="s">
        <v>24518</v>
      </c>
      <c r="M4079">
        <v>194</v>
      </c>
      <c r="N4079" t="s">
        <v>24519</v>
      </c>
    </row>
    <row r="4080" spans="1:14">
      <c r="A4080" t="s">
        <v>9256</v>
      </c>
      <c r="B4080">
        <v>4847724</v>
      </c>
      <c r="C4080">
        <v>4848206</v>
      </c>
      <c r="E4080" t="s">
        <v>14290</v>
      </c>
      <c r="F4080" t="s">
        <v>14291</v>
      </c>
      <c r="H4080">
        <v>93525496</v>
      </c>
      <c r="I4080" t="s">
        <v>14292</v>
      </c>
      <c r="L4080" t="s">
        <v>24520</v>
      </c>
      <c r="M4080">
        <v>160</v>
      </c>
      <c r="N4080" t="s">
        <v>24521</v>
      </c>
    </row>
    <row r="4081" spans="1:14">
      <c r="A4081" t="s">
        <v>9256</v>
      </c>
      <c r="B4081">
        <v>4848256</v>
      </c>
      <c r="C4081">
        <v>4848714</v>
      </c>
      <c r="E4081" t="s">
        <v>14290</v>
      </c>
      <c r="F4081" t="s">
        <v>24522</v>
      </c>
      <c r="H4081">
        <v>93525497</v>
      </c>
      <c r="I4081" t="s">
        <v>14292</v>
      </c>
      <c r="L4081" t="s">
        <v>24523</v>
      </c>
      <c r="M4081">
        <v>152</v>
      </c>
      <c r="N4081" t="s">
        <v>24524</v>
      </c>
    </row>
    <row r="4082" spans="1:14">
      <c r="A4082" t="s">
        <v>9256</v>
      </c>
      <c r="B4082">
        <v>4848726</v>
      </c>
      <c r="C4082">
        <v>4848950</v>
      </c>
      <c r="E4082" t="s">
        <v>14290</v>
      </c>
      <c r="F4082" t="s">
        <v>14291</v>
      </c>
      <c r="H4082">
        <v>93525957</v>
      </c>
      <c r="I4082" t="s">
        <v>14292</v>
      </c>
      <c r="L4082" t="s">
        <v>24525</v>
      </c>
      <c r="M4082">
        <v>74</v>
      </c>
      <c r="N4082" t="s">
        <v>24526</v>
      </c>
    </row>
    <row r="4083" spans="1:14">
      <c r="A4083" t="s">
        <v>9256</v>
      </c>
      <c r="B4083">
        <v>4849277</v>
      </c>
      <c r="C4083">
        <v>4850065</v>
      </c>
      <c r="E4083" t="s">
        <v>14314</v>
      </c>
      <c r="F4083" t="s">
        <v>24527</v>
      </c>
      <c r="H4083">
        <v>93525498</v>
      </c>
      <c r="I4083" t="s">
        <v>14292</v>
      </c>
      <c r="L4083" t="s">
        <v>24528</v>
      </c>
      <c r="M4083">
        <v>262</v>
      </c>
      <c r="N4083" t="s">
        <v>24529</v>
      </c>
    </row>
    <row r="4084" spans="1:14">
      <c r="A4084" t="s">
        <v>9256</v>
      </c>
      <c r="B4084">
        <v>4850163</v>
      </c>
      <c r="C4084">
        <v>4851104</v>
      </c>
      <c r="E4084" t="s">
        <v>14314</v>
      </c>
      <c r="F4084" t="s">
        <v>18518</v>
      </c>
      <c r="H4084">
        <v>93525499</v>
      </c>
      <c r="I4084" t="s">
        <v>14292</v>
      </c>
      <c r="L4084" t="s">
        <v>24530</v>
      </c>
      <c r="M4084">
        <v>313</v>
      </c>
      <c r="N4084" t="s">
        <v>24531</v>
      </c>
    </row>
    <row r="4085" spans="1:14">
      <c r="A4085" t="s">
        <v>9256</v>
      </c>
      <c r="B4085">
        <v>4851332</v>
      </c>
      <c r="C4085">
        <v>4851679</v>
      </c>
      <c r="E4085" t="s">
        <v>14314</v>
      </c>
      <c r="F4085" t="s">
        <v>14291</v>
      </c>
      <c r="H4085">
        <v>93525500</v>
      </c>
      <c r="I4085" t="s">
        <v>14292</v>
      </c>
      <c r="L4085" t="s">
        <v>24532</v>
      </c>
      <c r="M4085">
        <v>115</v>
      </c>
      <c r="N4085" t="s">
        <v>24533</v>
      </c>
    </row>
    <row r="4086" spans="1:14">
      <c r="A4086" t="s">
        <v>9256</v>
      </c>
      <c r="B4086">
        <v>4851692</v>
      </c>
      <c r="C4086">
        <v>4852012</v>
      </c>
      <c r="E4086" t="s">
        <v>14314</v>
      </c>
      <c r="F4086" t="s">
        <v>14406</v>
      </c>
      <c r="H4086">
        <v>93525501</v>
      </c>
      <c r="I4086" t="s">
        <v>14292</v>
      </c>
      <c r="L4086" t="s">
        <v>24534</v>
      </c>
      <c r="M4086">
        <v>106</v>
      </c>
      <c r="N4086" t="s">
        <v>24535</v>
      </c>
    </row>
    <row r="4087" spans="1:14">
      <c r="A4087" t="s">
        <v>9256</v>
      </c>
      <c r="B4087">
        <v>4852639</v>
      </c>
      <c r="C4087">
        <v>4852752</v>
      </c>
      <c r="E4087" t="s">
        <v>14290</v>
      </c>
      <c r="F4087" t="s">
        <v>14406</v>
      </c>
      <c r="H4087">
        <v>93525502</v>
      </c>
      <c r="I4087" t="s">
        <v>14292</v>
      </c>
      <c r="L4087" t="s">
        <v>24536</v>
      </c>
      <c r="M4087">
        <v>37</v>
      </c>
      <c r="N4087" t="s">
        <v>24537</v>
      </c>
    </row>
    <row r="4088" spans="1:14">
      <c r="A4088" t="s">
        <v>9256</v>
      </c>
      <c r="B4088">
        <v>4852854</v>
      </c>
      <c r="C4088">
        <v>4854299</v>
      </c>
      <c r="E4088" t="s">
        <v>14314</v>
      </c>
      <c r="F4088" t="s">
        <v>18530</v>
      </c>
      <c r="H4088">
        <v>93525503</v>
      </c>
      <c r="I4088" t="s">
        <v>14292</v>
      </c>
      <c r="L4088" t="s">
        <v>18531</v>
      </c>
      <c r="M4088">
        <v>481</v>
      </c>
      <c r="N4088" t="s">
        <v>24538</v>
      </c>
    </row>
    <row r="4089" spans="1:14">
      <c r="A4089" t="s">
        <v>9256</v>
      </c>
      <c r="B4089">
        <v>4854646</v>
      </c>
      <c r="C4089">
        <v>4857723</v>
      </c>
      <c r="E4089" t="s">
        <v>14290</v>
      </c>
      <c r="F4089" t="s">
        <v>24539</v>
      </c>
      <c r="H4089">
        <v>93525504</v>
      </c>
      <c r="I4089" t="s">
        <v>14292</v>
      </c>
      <c r="L4089" t="s">
        <v>24540</v>
      </c>
      <c r="M4089">
        <v>1025</v>
      </c>
      <c r="N4089" t="s">
        <v>24541</v>
      </c>
    </row>
    <row r="4090" spans="1:14">
      <c r="A4090" t="s">
        <v>9256</v>
      </c>
      <c r="B4090">
        <v>4857713</v>
      </c>
      <c r="C4090">
        <v>4859377</v>
      </c>
      <c r="E4090" t="s">
        <v>14290</v>
      </c>
      <c r="F4090" t="s">
        <v>15311</v>
      </c>
      <c r="H4090">
        <v>93525505</v>
      </c>
      <c r="I4090" t="s">
        <v>14292</v>
      </c>
      <c r="L4090" t="s">
        <v>24542</v>
      </c>
      <c r="M4090">
        <v>554</v>
      </c>
      <c r="N4090" t="s">
        <v>24543</v>
      </c>
    </row>
    <row r="4091" spans="1:14">
      <c r="A4091" t="s">
        <v>9256</v>
      </c>
      <c r="B4091">
        <v>4859394</v>
      </c>
      <c r="C4091">
        <v>4861598</v>
      </c>
      <c r="E4091" t="s">
        <v>14290</v>
      </c>
      <c r="F4091" t="s">
        <v>24544</v>
      </c>
      <c r="H4091">
        <v>93525506</v>
      </c>
      <c r="I4091" t="s">
        <v>14292</v>
      </c>
      <c r="L4091" t="s">
        <v>24545</v>
      </c>
      <c r="M4091">
        <v>734</v>
      </c>
      <c r="N4091" t="s">
        <v>24546</v>
      </c>
    </row>
    <row r="4092" spans="1:14">
      <c r="A4092" t="s">
        <v>9256</v>
      </c>
      <c r="B4092">
        <v>4861595</v>
      </c>
      <c r="C4092">
        <v>4863493</v>
      </c>
      <c r="E4092" t="s">
        <v>14290</v>
      </c>
      <c r="F4092" t="s">
        <v>17349</v>
      </c>
      <c r="H4092">
        <v>93525507</v>
      </c>
      <c r="I4092" t="s">
        <v>14292</v>
      </c>
      <c r="L4092" t="s">
        <v>24547</v>
      </c>
      <c r="M4092">
        <v>632</v>
      </c>
      <c r="N4092" t="s">
        <v>24548</v>
      </c>
    </row>
    <row r="4093" spans="1:14">
      <c r="A4093" t="s">
        <v>9256</v>
      </c>
      <c r="B4093">
        <v>4863596</v>
      </c>
      <c r="C4093">
        <v>4864213</v>
      </c>
      <c r="E4093" t="s">
        <v>14314</v>
      </c>
      <c r="F4093" t="s">
        <v>21363</v>
      </c>
      <c r="H4093">
        <v>93525508</v>
      </c>
      <c r="I4093" t="s">
        <v>14292</v>
      </c>
      <c r="L4093" t="s">
        <v>24549</v>
      </c>
      <c r="M4093">
        <v>205</v>
      </c>
      <c r="N4093" t="s">
        <v>24550</v>
      </c>
    </row>
    <row r="4094" spans="1:14">
      <c r="A4094" t="s">
        <v>9256</v>
      </c>
      <c r="B4094">
        <v>4864223</v>
      </c>
      <c r="C4094">
        <v>4865410</v>
      </c>
      <c r="E4094" t="s">
        <v>14314</v>
      </c>
      <c r="F4094" t="s">
        <v>15166</v>
      </c>
      <c r="H4094">
        <v>93525509</v>
      </c>
      <c r="I4094" t="s">
        <v>14292</v>
      </c>
      <c r="L4094" t="s">
        <v>24551</v>
      </c>
      <c r="M4094">
        <v>395</v>
      </c>
      <c r="N4094" t="s">
        <v>24552</v>
      </c>
    </row>
    <row r="4095" spans="1:14">
      <c r="A4095" t="s">
        <v>9256</v>
      </c>
      <c r="B4095">
        <v>4865779</v>
      </c>
      <c r="C4095">
        <v>4865976</v>
      </c>
      <c r="E4095" t="s">
        <v>14290</v>
      </c>
      <c r="F4095" t="s">
        <v>14406</v>
      </c>
      <c r="H4095">
        <v>93525510</v>
      </c>
      <c r="I4095" t="s">
        <v>14292</v>
      </c>
      <c r="L4095" t="s">
        <v>24553</v>
      </c>
      <c r="M4095">
        <v>65</v>
      </c>
      <c r="N4095" t="s">
        <v>24554</v>
      </c>
    </row>
    <row r="4096" spans="1:14">
      <c r="A4096" t="s">
        <v>9256</v>
      </c>
      <c r="B4096">
        <v>4865980</v>
      </c>
      <c r="C4096">
        <v>4866276</v>
      </c>
      <c r="E4096" t="s">
        <v>14290</v>
      </c>
      <c r="F4096" t="s">
        <v>14414</v>
      </c>
      <c r="H4096">
        <v>93525511</v>
      </c>
      <c r="I4096" t="s">
        <v>14415</v>
      </c>
      <c r="N4096" t="s">
        <v>24555</v>
      </c>
    </row>
    <row r="4097" spans="1:14">
      <c r="A4097" t="s">
        <v>9256</v>
      </c>
      <c r="B4097">
        <v>4866975</v>
      </c>
      <c r="C4097">
        <v>4868396</v>
      </c>
      <c r="E4097" t="s">
        <v>14290</v>
      </c>
      <c r="F4097" t="s">
        <v>24556</v>
      </c>
      <c r="H4097">
        <v>93525512</v>
      </c>
      <c r="I4097" t="s">
        <v>14292</v>
      </c>
      <c r="L4097" t="s">
        <v>24557</v>
      </c>
      <c r="M4097">
        <v>473</v>
      </c>
      <c r="N4097" t="s">
        <v>24558</v>
      </c>
    </row>
    <row r="4098" spans="1:14">
      <c r="A4098" t="s">
        <v>9256</v>
      </c>
      <c r="B4098">
        <v>4868384</v>
      </c>
      <c r="C4098">
        <v>4869580</v>
      </c>
      <c r="E4098" t="s">
        <v>14314</v>
      </c>
      <c r="F4098" t="s">
        <v>24556</v>
      </c>
      <c r="H4098">
        <v>93525513</v>
      </c>
      <c r="I4098" t="s">
        <v>14292</v>
      </c>
      <c r="L4098" t="s">
        <v>24559</v>
      </c>
      <c r="M4098">
        <v>398</v>
      </c>
      <c r="N4098" t="s">
        <v>24560</v>
      </c>
    </row>
    <row r="4099" spans="1:14">
      <c r="A4099" t="s">
        <v>9256</v>
      </c>
      <c r="B4099">
        <v>4869698</v>
      </c>
      <c r="C4099">
        <v>4869981</v>
      </c>
      <c r="E4099" t="s">
        <v>14290</v>
      </c>
      <c r="F4099" t="s">
        <v>14414</v>
      </c>
      <c r="H4099">
        <v>93526002</v>
      </c>
      <c r="I4099" t="s">
        <v>14415</v>
      </c>
      <c r="N4099" t="s">
        <v>24561</v>
      </c>
    </row>
    <row r="4100" spans="1:14">
      <c r="A4100" t="s">
        <v>9256</v>
      </c>
      <c r="B4100">
        <v>4870205</v>
      </c>
      <c r="C4100">
        <v>4871413</v>
      </c>
      <c r="E4100" t="s">
        <v>14314</v>
      </c>
      <c r="F4100" t="s">
        <v>24562</v>
      </c>
      <c r="H4100">
        <v>93525514</v>
      </c>
      <c r="I4100" t="s">
        <v>14292</v>
      </c>
      <c r="L4100" t="s">
        <v>24563</v>
      </c>
      <c r="M4100">
        <v>402</v>
      </c>
      <c r="N4100" t="s">
        <v>24564</v>
      </c>
    </row>
    <row r="4101" spans="1:14">
      <c r="A4101" t="s">
        <v>9256</v>
      </c>
      <c r="B4101">
        <v>4871629</v>
      </c>
      <c r="C4101">
        <v>4871802</v>
      </c>
      <c r="E4101" t="s">
        <v>14290</v>
      </c>
      <c r="F4101" t="s">
        <v>14291</v>
      </c>
      <c r="H4101">
        <v>93525515</v>
      </c>
      <c r="I4101" t="s">
        <v>14292</v>
      </c>
      <c r="L4101" t="s">
        <v>24565</v>
      </c>
      <c r="M4101">
        <v>57</v>
      </c>
      <c r="N4101" t="s">
        <v>24566</v>
      </c>
    </row>
    <row r="4102" spans="1:14">
      <c r="A4102" t="s">
        <v>9256</v>
      </c>
      <c r="B4102">
        <v>4872005</v>
      </c>
      <c r="C4102">
        <v>4872523</v>
      </c>
      <c r="E4102" t="s">
        <v>14314</v>
      </c>
      <c r="F4102" t="s">
        <v>16364</v>
      </c>
      <c r="H4102">
        <v>93525516</v>
      </c>
      <c r="I4102" t="s">
        <v>14292</v>
      </c>
      <c r="L4102" t="s">
        <v>24567</v>
      </c>
      <c r="M4102">
        <v>172</v>
      </c>
      <c r="N4102" t="s">
        <v>24568</v>
      </c>
    </row>
    <row r="4103" spans="1:14">
      <c r="A4103" t="s">
        <v>9256</v>
      </c>
      <c r="B4103">
        <v>4872724</v>
      </c>
      <c r="C4103">
        <v>4873566</v>
      </c>
      <c r="E4103" t="s">
        <v>14290</v>
      </c>
      <c r="F4103" t="s">
        <v>15711</v>
      </c>
      <c r="H4103">
        <v>93525517</v>
      </c>
      <c r="I4103" t="s">
        <v>14292</v>
      </c>
      <c r="L4103" t="s">
        <v>24569</v>
      </c>
      <c r="M4103">
        <v>280</v>
      </c>
      <c r="N4103" t="s">
        <v>24570</v>
      </c>
    </row>
    <row r="4104" spans="1:14">
      <c r="A4104" t="s">
        <v>9256</v>
      </c>
      <c r="B4104">
        <v>4873573</v>
      </c>
      <c r="C4104">
        <v>4873848</v>
      </c>
      <c r="E4104" t="s">
        <v>14290</v>
      </c>
      <c r="F4104" t="s">
        <v>22777</v>
      </c>
      <c r="H4104">
        <v>93525518</v>
      </c>
      <c r="I4104" t="s">
        <v>14292</v>
      </c>
      <c r="L4104" t="s">
        <v>24571</v>
      </c>
      <c r="M4104">
        <v>91</v>
      </c>
      <c r="N4104" t="s">
        <v>24572</v>
      </c>
    </row>
    <row r="4105" spans="1:14">
      <c r="A4105" t="s">
        <v>9256</v>
      </c>
      <c r="B4105">
        <v>4873810</v>
      </c>
      <c r="C4105">
        <v>4874898</v>
      </c>
      <c r="E4105" t="s">
        <v>14314</v>
      </c>
      <c r="F4105" t="s">
        <v>24573</v>
      </c>
      <c r="H4105">
        <v>93525519</v>
      </c>
      <c r="I4105" t="s">
        <v>14292</v>
      </c>
      <c r="L4105" t="s">
        <v>24574</v>
      </c>
      <c r="M4105">
        <v>362</v>
      </c>
      <c r="N4105" t="s">
        <v>24575</v>
      </c>
    </row>
    <row r="4106" spans="1:14">
      <c r="A4106" t="s">
        <v>9256</v>
      </c>
      <c r="B4106">
        <v>4875010</v>
      </c>
      <c r="C4106">
        <v>4875609</v>
      </c>
      <c r="E4106" t="s">
        <v>14290</v>
      </c>
      <c r="F4106" t="s">
        <v>23102</v>
      </c>
      <c r="H4106">
        <v>93525520</v>
      </c>
      <c r="I4106" t="s">
        <v>14292</v>
      </c>
      <c r="L4106" t="s">
        <v>24576</v>
      </c>
      <c r="M4106">
        <v>199</v>
      </c>
      <c r="N4106" t="s">
        <v>24577</v>
      </c>
    </row>
    <row r="4107" spans="1:14">
      <c r="A4107" t="s">
        <v>9256</v>
      </c>
      <c r="B4107">
        <v>4875619</v>
      </c>
      <c r="C4107">
        <v>4876695</v>
      </c>
      <c r="E4107" t="s">
        <v>14314</v>
      </c>
      <c r="F4107" t="s">
        <v>24578</v>
      </c>
      <c r="G4107" t="s">
        <v>24579</v>
      </c>
      <c r="H4107">
        <v>93525521</v>
      </c>
      <c r="I4107" t="s">
        <v>14292</v>
      </c>
      <c r="L4107" t="s">
        <v>24580</v>
      </c>
      <c r="M4107">
        <v>358</v>
      </c>
      <c r="N4107" t="s">
        <v>24581</v>
      </c>
    </row>
    <row r="4108" spans="1:14">
      <c r="A4108" t="s">
        <v>9256</v>
      </c>
      <c r="B4108">
        <v>4876711</v>
      </c>
      <c r="C4108">
        <v>4879179</v>
      </c>
      <c r="E4108" t="s">
        <v>14314</v>
      </c>
      <c r="F4108" t="s">
        <v>24582</v>
      </c>
      <c r="H4108">
        <v>93525522</v>
      </c>
      <c r="I4108" t="s">
        <v>14292</v>
      </c>
      <c r="L4108" t="s">
        <v>24583</v>
      </c>
      <c r="M4108">
        <v>822</v>
      </c>
      <c r="N4108" t="s">
        <v>24584</v>
      </c>
    </row>
    <row r="4109" spans="1:14">
      <c r="A4109" t="s">
        <v>9256</v>
      </c>
      <c r="B4109">
        <v>4879195</v>
      </c>
      <c r="C4109">
        <v>4880625</v>
      </c>
      <c r="E4109" t="s">
        <v>14314</v>
      </c>
      <c r="F4109" t="s">
        <v>24585</v>
      </c>
      <c r="H4109">
        <v>93525523</v>
      </c>
      <c r="I4109" t="s">
        <v>14292</v>
      </c>
      <c r="L4109" t="s">
        <v>24586</v>
      </c>
      <c r="M4109">
        <v>476</v>
      </c>
      <c r="N4109" t="s">
        <v>24587</v>
      </c>
    </row>
    <row r="4110" spans="1:14">
      <c r="A4110" t="s">
        <v>9256</v>
      </c>
      <c r="B4110">
        <v>4880842</v>
      </c>
      <c r="C4110">
        <v>4881426</v>
      </c>
      <c r="E4110" t="s">
        <v>14290</v>
      </c>
      <c r="F4110" t="s">
        <v>24588</v>
      </c>
      <c r="H4110">
        <v>93525524</v>
      </c>
      <c r="I4110" t="s">
        <v>14292</v>
      </c>
      <c r="L4110" t="s">
        <v>24589</v>
      </c>
      <c r="M4110">
        <v>194</v>
      </c>
      <c r="N4110" t="s">
        <v>24590</v>
      </c>
    </row>
    <row r="4111" spans="1:14">
      <c r="A4111" t="s">
        <v>9256</v>
      </c>
      <c r="B4111">
        <v>4881457</v>
      </c>
      <c r="C4111">
        <v>4882611</v>
      </c>
      <c r="E4111" t="s">
        <v>14290</v>
      </c>
      <c r="F4111" t="s">
        <v>24591</v>
      </c>
      <c r="G4111" t="s">
        <v>24592</v>
      </c>
      <c r="H4111">
        <v>93525525</v>
      </c>
      <c r="I4111" t="s">
        <v>14292</v>
      </c>
      <c r="L4111" t="s">
        <v>24593</v>
      </c>
      <c r="M4111">
        <v>384</v>
      </c>
      <c r="N4111" t="s">
        <v>24594</v>
      </c>
    </row>
    <row r="4112" spans="1:14">
      <c r="A4112" t="s">
        <v>9256</v>
      </c>
      <c r="B4112">
        <v>4882752</v>
      </c>
      <c r="C4112">
        <v>4883324</v>
      </c>
      <c r="E4112" t="s">
        <v>14290</v>
      </c>
      <c r="F4112" t="s">
        <v>19275</v>
      </c>
      <c r="H4112">
        <v>93525526</v>
      </c>
      <c r="I4112" t="s">
        <v>14292</v>
      </c>
      <c r="L4112" t="s">
        <v>24595</v>
      </c>
      <c r="M4112">
        <v>190</v>
      </c>
      <c r="N4112" t="s">
        <v>24596</v>
      </c>
    </row>
    <row r="4113" spans="1:14">
      <c r="A4113" t="s">
        <v>9256</v>
      </c>
      <c r="B4113">
        <v>4883321</v>
      </c>
      <c r="C4113">
        <v>4884166</v>
      </c>
      <c r="E4113" t="s">
        <v>14314</v>
      </c>
      <c r="F4113" t="s">
        <v>24597</v>
      </c>
      <c r="H4113">
        <v>93525527</v>
      </c>
      <c r="I4113" t="s">
        <v>14292</v>
      </c>
      <c r="L4113" t="s">
        <v>24598</v>
      </c>
      <c r="M4113">
        <v>281</v>
      </c>
      <c r="N4113" t="s">
        <v>24599</v>
      </c>
    </row>
    <row r="4114" spans="1:14">
      <c r="A4114" t="s">
        <v>9256</v>
      </c>
      <c r="B4114">
        <v>4884245</v>
      </c>
      <c r="C4114">
        <v>4885435</v>
      </c>
      <c r="E4114" t="s">
        <v>14314</v>
      </c>
      <c r="F4114" t="s">
        <v>24600</v>
      </c>
      <c r="G4114" t="s">
        <v>24601</v>
      </c>
      <c r="H4114">
        <v>93525528</v>
      </c>
      <c r="I4114" t="s">
        <v>14292</v>
      </c>
      <c r="L4114" t="s">
        <v>24602</v>
      </c>
      <c r="M4114">
        <v>396</v>
      </c>
      <c r="N4114" t="s">
        <v>24603</v>
      </c>
    </row>
    <row r="4115" spans="1:14">
      <c r="A4115" t="s">
        <v>9256</v>
      </c>
      <c r="B4115">
        <v>4885615</v>
      </c>
      <c r="C4115">
        <v>4886568</v>
      </c>
      <c r="E4115" t="s">
        <v>14290</v>
      </c>
      <c r="F4115" t="s">
        <v>15066</v>
      </c>
      <c r="H4115">
        <v>93525529</v>
      </c>
      <c r="I4115" t="s">
        <v>14292</v>
      </c>
      <c r="L4115" t="s">
        <v>24604</v>
      </c>
      <c r="M4115">
        <v>317</v>
      </c>
      <c r="N4115" t="s">
        <v>24605</v>
      </c>
    </row>
    <row r="4116" spans="1:14">
      <c r="A4116" t="s">
        <v>9256</v>
      </c>
      <c r="B4116">
        <v>4886657</v>
      </c>
      <c r="C4116">
        <v>4887331</v>
      </c>
      <c r="E4116" t="s">
        <v>14314</v>
      </c>
      <c r="F4116" t="s">
        <v>24606</v>
      </c>
      <c r="G4116" t="s">
        <v>24607</v>
      </c>
      <c r="H4116">
        <v>93525530</v>
      </c>
      <c r="I4116" t="s">
        <v>14292</v>
      </c>
      <c r="L4116" t="s">
        <v>24608</v>
      </c>
      <c r="M4116">
        <v>224</v>
      </c>
      <c r="N4116" t="s">
        <v>24609</v>
      </c>
    </row>
    <row r="4117" spans="1:14">
      <c r="A4117" t="s">
        <v>9256</v>
      </c>
      <c r="B4117">
        <v>4887586</v>
      </c>
      <c r="C4117">
        <v>4890048</v>
      </c>
      <c r="E4117" t="s">
        <v>14290</v>
      </c>
      <c r="F4117" t="s">
        <v>24610</v>
      </c>
      <c r="G4117" t="s">
        <v>24611</v>
      </c>
      <c r="H4117">
        <v>93525531</v>
      </c>
      <c r="I4117" t="s">
        <v>14292</v>
      </c>
      <c r="L4117" t="s">
        <v>24612</v>
      </c>
      <c r="M4117">
        <v>820</v>
      </c>
      <c r="N4117" t="s">
        <v>24613</v>
      </c>
    </row>
    <row r="4118" spans="1:14">
      <c r="A4118" t="s">
        <v>9256</v>
      </c>
      <c r="B4118">
        <v>4890088</v>
      </c>
      <c r="C4118">
        <v>4890819</v>
      </c>
      <c r="E4118" t="s">
        <v>14290</v>
      </c>
      <c r="F4118" t="s">
        <v>24614</v>
      </c>
      <c r="H4118">
        <v>93525532</v>
      </c>
      <c r="I4118" t="s">
        <v>14292</v>
      </c>
      <c r="L4118" t="s">
        <v>24615</v>
      </c>
      <c r="M4118">
        <v>243</v>
      </c>
      <c r="N4118" t="s">
        <v>24616</v>
      </c>
    </row>
    <row r="4119" spans="1:14">
      <c r="A4119" t="s">
        <v>9256</v>
      </c>
      <c r="B4119">
        <v>4890966</v>
      </c>
      <c r="C4119">
        <v>4891730</v>
      </c>
      <c r="E4119" t="s">
        <v>14290</v>
      </c>
      <c r="F4119" t="s">
        <v>14291</v>
      </c>
      <c r="H4119">
        <v>93525533</v>
      </c>
      <c r="I4119" t="s">
        <v>14292</v>
      </c>
      <c r="L4119" t="s">
        <v>24617</v>
      </c>
      <c r="M4119">
        <v>254</v>
      </c>
      <c r="N4119" t="s">
        <v>24618</v>
      </c>
    </row>
    <row r="4120" spans="1:14">
      <c r="A4120" t="s">
        <v>9256</v>
      </c>
      <c r="B4120">
        <v>4891863</v>
      </c>
      <c r="C4120">
        <v>4892921</v>
      </c>
      <c r="E4120" t="s">
        <v>14290</v>
      </c>
      <c r="F4120" t="s">
        <v>24619</v>
      </c>
      <c r="H4120">
        <v>93525534</v>
      </c>
      <c r="I4120" t="s">
        <v>14292</v>
      </c>
      <c r="L4120" t="s">
        <v>24620</v>
      </c>
      <c r="M4120">
        <v>352</v>
      </c>
      <c r="N4120" t="s">
        <v>24621</v>
      </c>
    </row>
    <row r="4121" spans="1:14">
      <c r="A4121" t="s">
        <v>9256</v>
      </c>
      <c r="B4121">
        <v>4892958</v>
      </c>
      <c r="C4121">
        <v>4894364</v>
      </c>
      <c r="E4121" t="s">
        <v>14290</v>
      </c>
      <c r="F4121" t="s">
        <v>24622</v>
      </c>
      <c r="H4121">
        <v>93525535</v>
      </c>
      <c r="I4121" t="s">
        <v>14292</v>
      </c>
      <c r="L4121" t="s">
        <v>24623</v>
      </c>
      <c r="M4121">
        <v>468</v>
      </c>
      <c r="N4121" t="s">
        <v>24624</v>
      </c>
    </row>
    <row r="4122" spans="1:14">
      <c r="A4122" t="s">
        <v>9256</v>
      </c>
      <c r="B4122">
        <v>4894506</v>
      </c>
      <c r="C4122">
        <v>4895690</v>
      </c>
      <c r="E4122" t="s">
        <v>14290</v>
      </c>
      <c r="F4122" t="s">
        <v>18002</v>
      </c>
      <c r="H4122">
        <v>93525536</v>
      </c>
      <c r="I4122" t="s">
        <v>14292</v>
      </c>
      <c r="L4122" t="s">
        <v>24625</v>
      </c>
      <c r="M4122">
        <v>394</v>
      </c>
      <c r="N4122" t="s">
        <v>24626</v>
      </c>
    </row>
    <row r="4123" spans="1:14">
      <c r="A4123" t="s">
        <v>9256</v>
      </c>
      <c r="B4123">
        <v>4895781</v>
      </c>
      <c r="C4123">
        <v>4899023</v>
      </c>
      <c r="E4123" t="s">
        <v>14314</v>
      </c>
      <c r="F4123" t="s">
        <v>17779</v>
      </c>
      <c r="H4123">
        <v>93525537</v>
      </c>
      <c r="I4123" t="s">
        <v>14292</v>
      </c>
      <c r="L4123" t="s">
        <v>24627</v>
      </c>
      <c r="M4123">
        <v>1080</v>
      </c>
      <c r="N4123" t="s">
        <v>24628</v>
      </c>
    </row>
    <row r="4124" spans="1:14">
      <c r="A4124" t="s">
        <v>9256</v>
      </c>
      <c r="B4124">
        <v>4899109</v>
      </c>
      <c r="C4124">
        <v>4900179</v>
      </c>
      <c r="E4124" t="s">
        <v>14314</v>
      </c>
      <c r="F4124" t="s">
        <v>18341</v>
      </c>
      <c r="H4124">
        <v>93525538</v>
      </c>
      <c r="I4124" t="s">
        <v>14292</v>
      </c>
      <c r="L4124" t="s">
        <v>24629</v>
      </c>
      <c r="M4124">
        <v>356</v>
      </c>
      <c r="N4124" t="s">
        <v>24630</v>
      </c>
    </row>
    <row r="4125" spans="1:14">
      <c r="A4125" t="s">
        <v>9256</v>
      </c>
      <c r="B4125">
        <v>4900277</v>
      </c>
      <c r="C4125">
        <v>4901041</v>
      </c>
      <c r="E4125" t="s">
        <v>14314</v>
      </c>
      <c r="F4125" t="s">
        <v>24631</v>
      </c>
      <c r="G4125" t="s">
        <v>24632</v>
      </c>
      <c r="H4125">
        <v>93525539</v>
      </c>
      <c r="I4125" t="s">
        <v>14292</v>
      </c>
      <c r="L4125" t="s">
        <v>24633</v>
      </c>
      <c r="M4125">
        <v>254</v>
      </c>
      <c r="N4125" t="s">
        <v>24634</v>
      </c>
    </row>
    <row r="4126" spans="1:14">
      <c r="A4126" t="s">
        <v>9256</v>
      </c>
      <c r="B4126">
        <v>4901193</v>
      </c>
      <c r="C4126">
        <v>4901825</v>
      </c>
      <c r="E4126" t="s">
        <v>14290</v>
      </c>
      <c r="F4126" t="s">
        <v>19776</v>
      </c>
      <c r="H4126">
        <v>93525540</v>
      </c>
      <c r="I4126" t="s">
        <v>14292</v>
      </c>
      <c r="L4126" t="s">
        <v>24635</v>
      </c>
      <c r="M4126">
        <v>210</v>
      </c>
      <c r="N4126" t="s">
        <v>24636</v>
      </c>
    </row>
    <row r="4127" spans="1:14">
      <c r="A4127" t="s">
        <v>9256</v>
      </c>
      <c r="B4127">
        <v>4902166</v>
      </c>
      <c r="C4127">
        <v>4904754</v>
      </c>
      <c r="E4127" t="s">
        <v>14290</v>
      </c>
      <c r="F4127" t="s">
        <v>24637</v>
      </c>
      <c r="G4127" t="s">
        <v>24638</v>
      </c>
      <c r="H4127">
        <v>93525541</v>
      </c>
      <c r="I4127" t="s">
        <v>14292</v>
      </c>
      <c r="L4127" t="s">
        <v>24639</v>
      </c>
      <c r="M4127">
        <v>862</v>
      </c>
      <c r="N4127" t="s">
        <v>24640</v>
      </c>
    </row>
    <row r="4128" spans="1:14">
      <c r="A4128" t="s">
        <v>9256</v>
      </c>
      <c r="B4128">
        <v>4904877</v>
      </c>
      <c r="C4128">
        <v>4905959</v>
      </c>
      <c r="E4128" t="s">
        <v>14314</v>
      </c>
      <c r="F4128" t="s">
        <v>14493</v>
      </c>
      <c r="H4128">
        <v>93525542</v>
      </c>
      <c r="I4128" t="s">
        <v>14292</v>
      </c>
      <c r="L4128" t="s">
        <v>24641</v>
      </c>
      <c r="M4128">
        <v>360</v>
      </c>
      <c r="N4128" t="s">
        <v>24642</v>
      </c>
    </row>
    <row r="4129" spans="1:14">
      <c r="A4129" t="s">
        <v>9256</v>
      </c>
      <c r="B4129">
        <v>4906390</v>
      </c>
      <c r="C4129">
        <v>4906713</v>
      </c>
      <c r="E4129" t="s">
        <v>14290</v>
      </c>
      <c r="F4129" t="s">
        <v>14291</v>
      </c>
      <c r="H4129">
        <v>93525543</v>
      </c>
      <c r="I4129" t="s">
        <v>14292</v>
      </c>
      <c r="L4129" t="s">
        <v>24643</v>
      </c>
      <c r="M4129">
        <v>107</v>
      </c>
      <c r="N4129" t="s">
        <v>24644</v>
      </c>
    </row>
    <row r="4130" spans="1:14">
      <c r="A4130" t="s">
        <v>9256</v>
      </c>
      <c r="B4130">
        <v>4906760</v>
      </c>
      <c r="C4130">
        <v>4907440</v>
      </c>
      <c r="E4130" t="s">
        <v>14290</v>
      </c>
      <c r="F4130" t="s">
        <v>14397</v>
      </c>
      <c r="H4130">
        <v>93525544</v>
      </c>
      <c r="I4130" t="s">
        <v>14292</v>
      </c>
      <c r="L4130" t="s">
        <v>24645</v>
      </c>
      <c r="M4130">
        <v>226</v>
      </c>
      <c r="N4130" t="s">
        <v>24646</v>
      </c>
    </row>
    <row r="4131" spans="1:14">
      <c r="A4131" t="s">
        <v>9256</v>
      </c>
      <c r="B4131">
        <v>4907548</v>
      </c>
      <c r="C4131">
        <v>4908609</v>
      </c>
      <c r="E4131" t="s">
        <v>14290</v>
      </c>
      <c r="F4131" t="s">
        <v>15336</v>
      </c>
      <c r="H4131">
        <v>93525545</v>
      </c>
      <c r="I4131" t="s">
        <v>14292</v>
      </c>
      <c r="L4131" t="s">
        <v>24647</v>
      </c>
      <c r="M4131">
        <v>353</v>
      </c>
      <c r="N4131" t="s">
        <v>24648</v>
      </c>
    </row>
    <row r="4132" spans="1:14">
      <c r="A4132" t="s">
        <v>9256</v>
      </c>
      <c r="B4132">
        <v>4908718</v>
      </c>
      <c r="C4132">
        <v>4909368</v>
      </c>
      <c r="E4132" t="s">
        <v>14290</v>
      </c>
      <c r="F4132" t="s">
        <v>24585</v>
      </c>
      <c r="H4132">
        <v>93525546</v>
      </c>
      <c r="I4132" t="s">
        <v>14292</v>
      </c>
      <c r="L4132" t="s">
        <v>24649</v>
      </c>
      <c r="M4132">
        <v>216</v>
      </c>
      <c r="N4132" t="s">
        <v>24650</v>
      </c>
    </row>
    <row r="4133" spans="1:14">
      <c r="A4133" t="s">
        <v>9256</v>
      </c>
      <c r="B4133">
        <v>4909399</v>
      </c>
      <c r="C4133">
        <v>4910019</v>
      </c>
      <c r="E4133" t="s">
        <v>14290</v>
      </c>
      <c r="F4133" t="s">
        <v>14919</v>
      </c>
      <c r="H4133">
        <v>93525547</v>
      </c>
      <c r="I4133" t="s">
        <v>14292</v>
      </c>
      <c r="L4133" t="s">
        <v>24651</v>
      </c>
      <c r="M4133">
        <v>206</v>
      </c>
      <c r="N4133" t="s">
        <v>24652</v>
      </c>
    </row>
    <row r="4134" spans="1:14">
      <c r="A4134" t="s">
        <v>9256</v>
      </c>
      <c r="B4134">
        <v>4910098</v>
      </c>
      <c r="C4134">
        <v>4910724</v>
      </c>
      <c r="E4134" t="s">
        <v>14314</v>
      </c>
      <c r="F4134" t="s">
        <v>14291</v>
      </c>
      <c r="H4134">
        <v>93525548</v>
      </c>
      <c r="I4134" t="s">
        <v>14292</v>
      </c>
      <c r="L4134" t="s">
        <v>24653</v>
      </c>
      <c r="M4134">
        <v>208</v>
      </c>
      <c r="N4134" t="s">
        <v>24654</v>
      </c>
    </row>
    <row r="4135" spans="1:14">
      <c r="A4135" t="s">
        <v>9256</v>
      </c>
      <c r="B4135">
        <v>4910705</v>
      </c>
      <c r="C4135">
        <v>4911511</v>
      </c>
      <c r="E4135" t="s">
        <v>14314</v>
      </c>
      <c r="F4135" t="s">
        <v>16232</v>
      </c>
      <c r="H4135">
        <v>93525549</v>
      </c>
      <c r="I4135" t="s">
        <v>14292</v>
      </c>
      <c r="L4135" t="s">
        <v>24655</v>
      </c>
      <c r="M4135">
        <v>268</v>
      </c>
      <c r="N4135" t="s">
        <v>24656</v>
      </c>
    </row>
    <row r="4136" spans="1:14">
      <c r="A4136" t="s">
        <v>9256</v>
      </c>
      <c r="B4136">
        <v>4911602</v>
      </c>
      <c r="C4136">
        <v>4912324</v>
      </c>
      <c r="E4136" t="s">
        <v>14314</v>
      </c>
      <c r="F4136" t="s">
        <v>17493</v>
      </c>
      <c r="H4136">
        <v>93525550</v>
      </c>
      <c r="I4136" t="s">
        <v>14292</v>
      </c>
      <c r="L4136" t="s">
        <v>24657</v>
      </c>
      <c r="M4136">
        <v>240</v>
      </c>
      <c r="N4136" t="s">
        <v>24658</v>
      </c>
    </row>
    <row r="4137" spans="1:14">
      <c r="A4137" t="s">
        <v>9256</v>
      </c>
      <c r="B4137">
        <v>4912347</v>
      </c>
      <c r="C4137">
        <v>4913252</v>
      </c>
      <c r="E4137" t="s">
        <v>14314</v>
      </c>
      <c r="F4137" t="s">
        <v>17343</v>
      </c>
      <c r="H4137">
        <v>93525551</v>
      </c>
      <c r="I4137" t="s">
        <v>14292</v>
      </c>
      <c r="L4137" t="s">
        <v>24659</v>
      </c>
      <c r="M4137">
        <v>301</v>
      </c>
      <c r="N4137" t="s">
        <v>24660</v>
      </c>
    </row>
    <row r="4138" spans="1:14">
      <c r="A4138" t="s">
        <v>9256</v>
      </c>
      <c r="B4138">
        <v>4913274</v>
      </c>
      <c r="C4138">
        <v>4914137</v>
      </c>
      <c r="E4138" t="s">
        <v>14314</v>
      </c>
      <c r="F4138" t="s">
        <v>14291</v>
      </c>
      <c r="H4138">
        <v>93525552</v>
      </c>
      <c r="I4138" t="s">
        <v>14292</v>
      </c>
      <c r="L4138" t="s">
        <v>24661</v>
      </c>
      <c r="M4138">
        <v>287</v>
      </c>
      <c r="N4138" t="s">
        <v>24662</v>
      </c>
    </row>
    <row r="4139" spans="1:14">
      <c r="A4139" t="s">
        <v>9256</v>
      </c>
      <c r="B4139">
        <v>4914154</v>
      </c>
      <c r="C4139">
        <v>4914852</v>
      </c>
      <c r="E4139" t="s">
        <v>14314</v>
      </c>
      <c r="F4139" t="s">
        <v>15392</v>
      </c>
      <c r="H4139">
        <v>93525553</v>
      </c>
      <c r="I4139" t="s">
        <v>14292</v>
      </c>
      <c r="L4139" t="s">
        <v>24663</v>
      </c>
      <c r="M4139">
        <v>232</v>
      </c>
      <c r="N4139" t="s">
        <v>24664</v>
      </c>
    </row>
    <row r="4140" spans="1:14">
      <c r="A4140" t="s">
        <v>9256</v>
      </c>
      <c r="B4140">
        <v>4915202</v>
      </c>
      <c r="C4140">
        <v>4915447</v>
      </c>
      <c r="E4140" t="s">
        <v>14290</v>
      </c>
      <c r="F4140" t="s">
        <v>14786</v>
      </c>
      <c r="H4140">
        <v>93525554</v>
      </c>
      <c r="I4140" t="s">
        <v>14292</v>
      </c>
      <c r="L4140" t="s">
        <v>24665</v>
      </c>
      <c r="M4140">
        <v>81</v>
      </c>
      <c r="N4140" t="s">
        <v>24666</v>
      </c>
    </row>
    <row r="4141" spans="1:14">
      <c r="A4141" t="s">
        <v>9256</v>
      </c>
      <c r="B4141">
        <v>4915571</v>
      </c>
      <c r="C4141">
        <v>4916809</v>
      </c>
      <c r="E4141" t="s">
        <v>14290</v>
      </c>
      <c r="F4141" t="s">
        <v>14291</v>
      </c>
      <c r="H4141">
        <v>93525555</v>
      </c>
      <c r="I4141" t="s">
        <v>14292</v>
      </c>
      <c r="L4141" t="s">
        <v>24667</v>
      </c>
      <c r="M4141">
        <v>412</v>
      </c>
      <c r="N4141" t="s">
        <v>24668</v>
      </c>
    </row>
    <row r="4142" spans="1:14">
      <c r="A4142" t="s">
        <v>9256</v>
      </c>
      <c r="B4142">
        <v>4916909</v>
      </c>
      <c r="C4142">
        <v>4919515</v>
      </c>
      <c r="E4142" t="s">
        <v>14314</v>
      </c>
      <c r="F4142" t="s">
        <v>24669</v>
      </c>
      <c r="G4142" t="s">
        <v>24670</v>
      </c>
      <c r="H4142">
        <v>93525556</v>
      </c>
      <c r="I4142" t="s">
        <v>14292</v>
      </c>
      <c r="L4142" t="s">
        <v>24671</v>
      </c>
      <c r="M4142">
        <v>868</v>
      </c>
      <c r="N4142" t="s">
        <v>24672</v>
      </c>
    </row>
    <row r="4143" spans="1:14">
      <c r="A4143" t="s">
        <v>9256</v>
      </c>
      <c r="B4143">
        <v>4919721</v>
      </c>
      <c r="C4143">
        <v>4920551</v>
      </c>
      <c r="E4143" t="s">
        <v>14290</v>
      </c>
      <c r="F4143" t="s">
        <v>24673</v>
      </c>
      <c r="H4143">
        <v>93525557</v>
      </c>
      <c r="I4143" t="s">
        <v>14292</v>
      </c>
      <c r="L4143" t="s">
        <v>24674</v>
      </c>
      <c r="M4143">
        <v>276</v>
      </c>
      <c r="N4143" t="s">
        <v>24675</v>
      </c>
    </row>
    <row r="4144" spans="1:14">
      <c r="A4144" t="s">
        <v>9256</v>
      </c>
      <c r="B4144">
        <v>4920678</v>
      </c>
      <c r="C4144">
        <v>4921433</v>
      </c>
      <c r="E4144" t="s">
        <v>14290</v>
      </c>
      <c r="F4144" t="s">
        <v>17533</v>
      </c>
      <c r="H4144">
        <v>93525558</v>
      </c>
      <c r="I4144" t="s">
        <v>14292</v>
      </c>
      <c r="L4144" t="s">
        <v>24676</v>
      </c>
      <c r="M4144">
        <v>251</v>
      </c>
      <c r="N4144" t="s">
        <v>24677</v>
      </c>
    </row>
    <row r="4145" spans="1:14">
      <c r="A4145" t="s">
        <v>9256</v>
      </c>
      <c r="B4145">
        <v>4921576</v>
      </c>
      <c r="C4145">
        <v>4921658</v>
      </c>
      <c r="E4145" t="s">
        <v>14314</v>
      </c>
      <c r="F4145" t="s">
        <v>16486</v>
      </c>
      <c r="H4145">
        <v>93525559</v>
      </c>
      <c r="I4145" t="s">
        <v>13638</v>
      </c>
      <c r="N4145" t="s">
        <v>24678</v>
      </c>
    </row>
    <row r="4146" spans="1:14">
      <c r="A4146" t="s">
        <v>9256</v>
      </c>
      <c r="B4146">
        <v>4921678</v>
      </c>
      <c r="C4146">
        <v>4921751</v>
      </c>
      <c r="E4146" t="s">
        <v>14314</v>
      </c>
      <c r="F4146" t="s">
        <v>16482</v>
      </c>
      <c r="H4146">
        <v>93525560</v>
      </c>
      <c r="I4146" t="s">
        <v>13638</v>
      </c>
      <c r="N4146" t="s">
        <v>24679</v>
      </c>
    </row>
    <row r="4147" spans="1:14">
      <c r="A4147" t="s">
        <v>9256</v>
      </c>
      <c r="B4147">
        <v>4921900</v>
      </c>
      <c r="C4147">
        <v>4922547</v>
      </c>
      <c r="E4147" t="s">
        <v>14314</v>
      </c>
      <c r="F4147" t="s">
        <v>24680</v>
      </c>
      <c r="H4147">
        <v>93525561</v>
      </c>
      <c r="I4147" t="s">
        <v>14292</v>
      </c>
      <c r="L4147" t="s">
        <v>24681</v>
      </c>
      <c r="M4147">
        <v>215</v>
      </c>
      <c r="N4147" t="s">
        <v>24682</v>
      </c>
    </row>
    <row r="4148" spans="1:14">
      <c r="A4148" t="s">
        <v>9256</v>
      </c>
      <c r="B4148">
        <v>4922744</v>
      </c>
      <c r="C4148">
        <v>4923283</v>
      </c>
      <c r="E4148" t="s">
        <v>14290</v>
      </c>
      <c r="F4148" t="s">
        <v>24683</v>
      </c>
      <c r="H4148">
        <v>93525562</v>
      </c>
      <c r="I4148" t="s">
        <v>14292</v>
      </c>
      <c r="L4148" t="s">
        <v>24684</v>
      </c>
      <c r="M4148">
        <v>179</v>
      </c>
      <c r="N4148" t="s">
        <v>24685</v>
      </c>
    </row>
    <row r="4149" spans="1:14">
      <c r="A4149" t="s">
        <v>9256</v>
      </c>
      <c r="B4149">
        <v>4923390</v>
      </c>
      <c r="C4149">
        <v>4923866</v>
      </c>
      <c r="E4149" t="s">
        <v>14290</v>
      </c>
      <c r="F4149" t="s">
        <v>18081</v>
      </c>
      <c r="H4149">
        <v>93525563</v>
      </c>
      <c r="I4149" t="s">
        <v>14292</v>
      </c>
      <c r="L4149" t="s">
        <v>24686</v>
      </c>
      <c r="M4149">
        <v>158</v>
      </c>
      <c r="N4149" t="s">
        <v>24687</v>
      </c>
    </row>
    <row r="4150" spans="1:14">
      <c r="A4150" t="s">
        <v>9256</v>
      </c>
      <c r="B4150">
        <v>4923895</v>
      </c>
      <c r="C4150">
        <v>4924740</v>
      </c>
      <c r="E4150" t="s">
        <v>14290</v>
      </c>
      <c r="F4150" t="s">
        <v>24688</v>
      </c>
      <c r="G4150" t="s">
        <v>24689</v>
      </c>
      <c r="H4150">
        <v>93525564</v>
      </c>
      <c r="I4150" t="s">
        <v>14292</v>
      </c>
      <c r="L4150" t="s">
        <v>24690</v>
      </c>
      <c r="M4150">
        <v>281</v>
      </c>
      <c r="N4150" t="s">
        <v>24691</v>
      </c>
    </row>
    <row r="4151" spans="1:14">
      <c r="A4151" t="s">
        <v>9256</v>
      </c>
      <c r="B4151">
        <v>4924745</v>
      </c>
      <c r="C4151">
        <v>4926154</v>
      </c>
      <c r="E4151" t="s">
        <v>14290</v>
      </c>
      <c r="F4151" t="s">
        <v>21442</v>
      </c>
      <c r="G4151" t="s">
        <v>21443</v>
      </c>
      <c r="H4151">
        <v>93525565</v>
      </c>
      <c r="I4151" t="s">
        <v>14292</v>
      </c>
      <c r="L4151" t="s">
        <v>24692</v>
      </c>
      <c r="M4151">
        <v>469</v>
      </c>
      <c r="N4151" t="s">
        <v>24693</v>
      </c>
    </row>
    <row r="4152" spans="1:14">
      <c r="A4152" t="s">
        <v>9256</v>
      </c>
      <c r="B4152">
        <v>4926167</v>
      </c>
      <c r="C4152">
        <v>4927807</v>
      </c>
      <c r="E4152" t="s">
        <v>14290</v>
      </c>
      <c r="F4152" t="s">
        <v>18322</v>
      </c>
      <c r="H4152">
        <v>93525566</v>
      </c>
      <c r="I4152" t="s">
        <v>14292</v>
      </c>
      <c r="L4152" t="s">
        <v>24694</v>
      </c>
      <c r="M4152">
        <v>546</v>
      </c>
      <c r="N4152" t="s">
        <v>24695</v>
      </c>
    </row>
    <row r="4153" spans="1:14">
      <c r="A4153" t="s">
        <v>9256</v>
      </c>
      <c r="B4153">
        <v>4927851</v>
      </c>
      <c r="C4153">
        <v>4928333</v>
      </c>
      <c r="E4153" t="s">
        <v>14290</v>
      </c>
      <c r="F4153" t="s">
        <v>14464</v>
      </c>
      <c r="H4153">
        <v>93525567</v>
      </c>
      <c r="I4153" t="s">
        <v>14292</v>
      </c>
      <c r="L4153" t="s">
        <v>24696</v>
      </c>
      <c r="M4153">
        <v>160</v>
      </c>
      <c r="N4153" t="s">
        <v>24697</v>
      </c>
    </row>
    <row r="4154" spans="1:14">
      <c r="A4154" t="s">
        <v>9256</v>
      </c>
      <c r="B4154">
        <v>4928574</v>
      </c>
      <c r="C4154">
        <v>4929212</v>
      </c>
      <c r="E4154" t="s">
        <v>14314</v>
      </c>
      <c r="F4154" t="s">
        <v>17493</v>
      </c>
      <c r="H4154">
        <v>93525568</v>
      </c>
      <c r="I4154" t="s">
        <v>14292</v>
      </c>
      <c r="L4154" t="s">
        <v>24698</v>
      </c>
      <c r="M4154">
        <v>212</v>
      </c>
      <c r="N4154" t="s">
        <v>24699</v>
      </c>
    </row>
    <row r="4155" spans="1:14">
      <c r="A4155" t="s">
        <v>9256</v>
      </c>
      <c r="B4155">
        <v>4929327</v>
      </c>
      <c r="C4155">
        <v>4930136</v>
      </c>
      <c r="E4155" t="s">
        <v>14290</v>
      </c>
      <c r="F4155" t="s">
        <v>15435</v>
      </c>
      <c r="H4155">
        <v>93525569</v>
      </c>
      <c r="I4155" t="s">
        <v>14292</v>
      </c>
      <c r="L4155" t="s">
        <v>24700</v>
      </c>
      <c r="M4155">
        <v>269</v>
      </c>
      <c r="N4155" t="s">
        <v>24701</v>
      </c>
    </row>
    <row r="4156" spans="1:14">
      <c r="A4156" t="s">
        <v>9256</v>
      </c>
      <c r="B4156">
        <v>4930243</v>
      </c>
      <c r="C4156">
        <v>4931544</v>
      </c>
      <c r="E4156" t="s">
        <v>14290</v>
      </c>
      <c r="F4156" t="s">
        <v>24182</v>
      </c>
      <c r="H4156">
        <v>93525570</v>
      </c>
      <c r="I4156" t="s">
        <v>14292</v>
      </c>
      <c r="L4156" t="s">
        <v>24702</v>
      </c>
      <c r="M4156">
        <v>433</v>
      </c>
      <c r="N4156" t="s">
        <v>24703</v>
      </c>
    </row>
    <row r="4157" spans="1:14">
      <c r="A4157" t="s">
        <v>9256</v>
      </c>
      <c r="B4157">
        <v>4931565</v>
      </c>
      <c r="C4157">
        <v>4931990</v>
      </c>
      <c r="E4157" t="s">
        <v>14290</v>
      </c>
      <c r="F4157" t="s">
        <v>14291</v>
      </c>
      <c r="H4157">
        <v>93525571</v>
      </c>
      <c r="I4157" t="s">
        <v>14292</v>
      </c>
      <c r="L4157" t="s">
        <v>24704</v>
      </c>
      <c r="M4157">
        <v>141</v>
      </c>
      <c r="N4157" t="s">
        <v>24705</v>
      </c>
    </row>
    <row r="4158" spans="1:14">
      <c r="A4158" t="s">
        <v>9256</v>
      </c>
      <c r="B4158">
        <v>4932057</v>
      </c>
      <c r="C4158">
        <v>4932866</v>
      </c>
      <c r="E4158" t="s">
        <v>14290</v>
      </c>
      <c r="F4158" t="s">
        <v>24706</v>
      </c>
      <c r="H4158">
        <v>93525572</v>
      </c>
      <c r="I4158" t="s">
        <v>14292</v>
      </c>
      <c r="L4158" t="s">
        <v>24707</v>
      </c>
      <c r="M4158">
        <v>269</v>
      </c>
      <c r="N4158" t="s">
        <v>24708</v>
      </c>
    </row>
    <row r="4159" spans="1:14">
      <c r="A4159" t="s">
        <v>9256</v>
      </c>
      <c r="B4159">
        <v>4932891</v>
      </c>
      <c r="C4159">
        <v>4933223</v>
      </c>
      <c r="E4159" t="s">
        <v>14290</v>
      </c>
      <c r="F4159" t="s">
        <v>24709</v>
      </c>
      <c r="H4159">
        <v>93525573</v>
      </c>
      <c r="I4159" t="s">
        <v>14292</v>
      </c>
      <c r="L4159" t="s">
        <v>24710</v>
      </c>
      <c r="M4159">
        <v>110</v>
      </c>
      <c r="N4159" t="s">
        <v>24711</v>
      </c>
    </row>
    <row r="4160" spans="1:14">
      <c r="A4160" t="s">
        <v>9256</v>
      </c>
      <c r="B4160">
        <v>4933300</v>
      </c>
      <c r="C4160">
        <v>4933761</v>
      </c>
      <c r="E4160" t="s">
        <v>14290</v>
      </c>
      <c r="F4160" t="s">
        <v>24712</v>
      </c>
      <c r="H4160">
        <v>93525574</v>
      </c>
      <c r="I4160" t="s">
        <v>14292</v>
      </c>
      <c r="L4160" t="s">
        <v>24713</v>
      </c>
      <c r="M4160">
        <v>153</v>
      </c>
      <c r="N4160" t="s">
        <v>24714</v>
      </c>
    </row>
    <row r="4161" spans="1:14">
      <c r="A4161" t="s">
        <v>9256</v>
      </c>
      <c r="B4161">
        <v>4933943</v>
      </c>
      <c r="C4161">
        <v>4935478</v>
      </c>
      <c r="E4161" t="s">
        <v>14290</v>
      </c>
      <c r="F4161" t="s">
        <v>24715</v>
      </c>
      <c r="H4161">
        <v>93525575</v>
      </c>
      <c r="I4161" t="s">
        <v>14292</v>
      </c>
      <c r="L4161" t="s">
        <v>24716</v>
      </c>
      <c r="M4161">
        <v>511</v>
      </c>
      <c r="N4161" t="s">
        <v>24717</v>
      </c>
    </row>
    <row r="4162" spans="1:14">
      <c r="A4162" t="s">
        <v>9256</v>
      </c>
      <c r="B4162">
        <v>4935498</v>
      </c>
      <c r="C4162">
        <v>4936490</v>
      </c>
      <c r="E4162" t="s">
        <v>14290</v>
      </c>
      <c r="F4162" t="s">
        <v>24718</v>
      </c>
      <c r="G4162" t="s">
        <v>24719</v>
      </c>
      <c r="H4162">
        <v>93525576</v>
      </c>
      <c r="I4162" t="s">
        <v>14292</v>
      </c>
      <c r="L4162" t="s">
        <v>24720</v>
      </c>
      <c r="M4162">
        <v>330</v>
      </c>
      <c r="N4162" t="s">
        <v>24721</v>
      </c>
    </row>
    <row r="4163" spans="1:14">
      <c r="A4163" t="s">
        <v>9256</v>
      </c>
      <c r="B4163">
        <v>4936560</v>
      </c>
      <c r="C4163">
        <v>4939439</v>
      </c>
      <c r="E4163" t="s">
        <v>14290</v>
      </c>
      <c r="F4163" t="s">
        <v>24722</v>
      </c>
      <c r="H4163">
        <v>93525577</v>
      </c>
      <c r="I4163" t="s">
        <v>14292</v>
      </c>
      <c r="L4163" t="s">
        <v>24723</v>
      </c>
      <c r="M4163">
        <v>959</v>
      </c>
      <c r="N4163" t="s">
        <v>24724</v>
      </c>
    </row>
    <row r="4164" spans="1:14">
      <c r="A4164" t="s">
        <v>9256</v>
      </c>
      <c r="B4164">
        <v>4939591</v>
      </c>
      <c r="C4164">
        <v>4940067</v>
      </c>
      <c r="E4164" t="s">
        <v>14314</v>
      </c>
      <c r="F4164" t="s">
        <v>24725</v>
      </c>
      <c r="H4164">
        <v>93525578</v>
      </c>
      <c r="I4164" t="s">
        <v>14292</v>
      </c>
      <c r="L4164" t="s">
        <v>24726</v>
      </c>
      <c r="M4164">
        <v>158</v>
      </c>
      <c r="N4164" t="s">
        <v>24727</v>
      </c>
    </row>
    <row r="4165" spans="1:14">
      <c r="A4165" t="s">
        <v>9256</v>
      </c>
      <c r="B4165">
        <v>4940129</v>
      </c>
      <c r="C4165">
        <v>4941478</v>
      </c>
      <c r="E4165" t="s">
        <v>14290</v>
      </c>
      <c r="F4165" t="s">
        <v>16210</v>
      </c>
      <c r="H4165">
        <v>93525579</v>
      </c>
      <c r="I4165" t="s">
        <v>14292</v>
      </c>
      <c r="L4165" t="s">
        <v>24728</v>
      </c>
      <c r="M4165">
        <v>449</v>
      </c>
      <c r="N4165" t="s">
        <v>24729</v>
      </c>
    </row>
    <row r="4166" spans="1:14">
      <c r="A4166" t="s">
        <v>9256</v>
      </c>
      <c r="B4166">
        <v>4941468</v>
      </c>
      <c r="C4166">
        <v>4942496</v>
      </c>
      <c r="E4166" t="s">
        <v>14290</v>
      </c>
      <c r="F4166" t="s">
        <v>24730</v>
      </c>
      <c r="H4166">
        <v>93525580</v>
      </c>
      <c r="I4166" t="s">
        <v>14292</v>
      </c>
      <c r="L4166" t="s">
        <v>24731</v>
      </c>
      <c r="M4166">
        <v>342</v>
      </c>
      <c r="N4166" t="s">
        <v>24732</v>
      </c>
    </row>
    <row r="4167" spans="1:14">
      <c r="A4167" t="s">
        <v>9256</v>
      </c>
      <c r="B4167">
        <v>4942516</v>
      </c>
      <c r="C4167">
        <v>4943391</v>
      </c>
      <c r="E4167" t="s">
        <v>14290</v>
      </c>
      <c r="F4167" t="s">
        <v>24733</v>
      </c>
      <c r="H4167">
        <v>93525581</v>
      </c>
      <c r="I4167" t="s">
        <v>14292</v>
      </c>
      <c r="L4167" t="s">
        <v>24734</v>
      </c>
      <c r="M4167">
        <v>291</v>
      </c>
      <c r="N4167" t="s">
        <v>24735</v>
      </c>
    </row>
    <row r="4168" spans="1:14">
      <c r="A4168" t="s">
        <v>9256</v>
      </c>
      <c r="B4168">
        <v>4943391</v>
      </c>
      <c r="C4168">
        <v>4944398</v>
      </c>
      <c r="E4168" t="s">
        <v>14290</v>
      </c>
      <c r="F4168" t="s">
        <v>24736</v>
      </c>
      <c r="H4168">
        <v>93525582</v>
      </c>
      <c r="I4168" t="s">
        <v>14292</v>
      </c>
      <c r="L4168" t="s">
        <v>24737</v>
      </c>
      <c r="M4168">
        <v>335</v>
      </c>
      <c r="N4168" t="s">
        <v>24738</v>
      </c>
    </row>
    <row r="4169" spans="1:14">
      <c r="A4169" t="s">
        <v>9256</v>
      </c>
      <c r="B4169">
        <v>4944382</v>
      </c>
      <c r="C4169">
        <v>4944996</v>
      </c>
      <c r="E4169" t="s">
        <v>14290</v>
      </c>
      <c r="F4169" t="s">
        <v>24739</v>
      </c>
      <c r="H4169">
        <v>93525583</v>
      </c>
      <c r="I4169" t="s">
        <v>14292</v>
      </c>
      <c r="L4169" t="s">
        <v>24740</v>
      </c>
      <c r="M4169">
        <v>204</v>
      </c>
      <c r="N4169" t="s">
        <v>24741</v>
      </c>
    </row>
    <row r="4170" spans="1:14">
      <c r="A4170" t="s">
        <v>9256</v>
      </c>
      <c r="B4170">
        <v>4945098</v>
      </c>
      <c r="C4170">
        <v>4946939</v>
      </c>
      <c r="E4170" t="s">
        <v>14314</v>
      </c>
      <c r="F4170" t="s">
        <v>14291</v>
      </c>
      <c r="H4170">
        <v>93525584</v>
      </c>
      <c r="I4170" t="s">
        <v>14292</v>
      </c>
      <c r="L4170" t="s">
        <v>24742</v>
      </c>
      <c r="M4170">
        <v>613</v>
      </c>
      <c r="N4170" t="s">
        <v>24743</v>
      </c>
    </row>
    <row r="4171" spans="1:14">
      <c r="A4171" t="s">
        <v>9256</v>
      </c>
      <c r="B4171">
        <v>4946958</v>
      </c>
      <c r="C4171">
        <v>4949093</v>
      </c>
      <c r="E4171" t="s">
        <v>14314</v>
      </c>
      <c r="F4171" t="s">
        <v>22007</v>
      </c>
      <c r="H4171">
        <v>93525585</v>
      </c>
      <c r="I4171" t="s">
        <v>14292</v>
      </c>
      <c r="L4171" t="s">
        <v>24744</v>
      </c>
      <c r="M4171">
        <v>711</v>
      </c>
      <c r="N4171" t="s">
        <v>24745</v>
      </c>
    </row>
    <row r="4172" spans="1:14">
      <c r="A4172" t="s">
        <v>9256</v>
      </c>
      <c r="B4172">
        <v>4949098</v>
      </c>
      <c r="C4172">
        <v>4950591</v>
      </c>
      <c r="E4172" t="s">
        <v>14314</v>
      </c>
      <c r="F4172" t="s">
        <v>24746</v>
      </c>
      <c r="G4172" t="s">
        <v>24747</v>
      </c>
      <c r="H4172">
        <v>93525586</v>
      </c>
      <c r="I4172" t="s">
        <v>14292</v>
      </c>
      <c r="L4172" t="s">
        <v>24748</v>
      </c>
      <c r="M4172">
        <v>497</v>
      </c>
      <c r="N4172" t="s">
        <v>24749</v>
      </c>
    </row>
    <row r="4173" spans="1:14">
      <c r="A4173" t="s">
        <v>9256</v>
      </c>
      <c r="B4173">
        <v>4950606</v>
      </c>
      <c r="C4173">
        <v>4953122</v>
      </c>
      <c r="E4173" t="s">
        <v>14314</v>
      </c>
      <c r="F4173" t="s">
        <v>14291</v>
      </c>
      <c r="H4173">
        <v>93525587</v>
      </c>
      <c r="I4173" t="s">
        <v>14292</v>
      </c>
      <c r="L4173" t="s">
        <v>24750</v>
      </c>
      <c r="M4173">
        <v>838</v>
      </c>
      <c r="N4173" t="s">
        <v>24751</v>
      </c>
    </row>
    <row r="4174" spans="1:14">
      <c r="A4174" t="s">
        <v>9256</v>
      </c>
      <c r="B4174">
        <v>4953144</v>
      </c>
      <c r="C4174">
        <v>4953998</v>
      </c>
      <c r="E4174" t="s">
        <v>14314</v>
      </c>
      <c r="F4174" t="s">
        <v>14291</v>
      </c>
      <c r="H4174">
        <v>93525588</v>
      </c>
      <c r="I4174" t="s">
        <v>14292</v>
      </c>
      <c r="L4174" t="s">
        <v>24752</v>
      </c>
      <c r="M4174">
        <v>284</v>
      </c>
      <c r="N4174" t="s">
        <v>24753</v>
      </c>
    </row>
    <row r="4175" spans="1:14">
      <c r="A4175" t="s">
        <v>9256</v>
      </c>
      <c r="B4175">
        <v>4954007</v>
      </c>
      <c r="C4175">
        <v>4954396</v>
      </c>
      <c r="E4175" t="s">
        <v>14314</v>
      </c>
      <c r="F4175" t="s">
        <v>14406</v>
      </c>
      <c r="H4175">
        <v>93525589</v>
      </c>
      <c r="I4175" t="s">
        <v>14292</v>
      </c>
      <c r="L4175" t="s">
        <v>24754</v>
      </c>
      <c r="M4175">
        <v>129</v>
      </c>
      <c r="N4175" t="s">
        <v>24755</v>
      </c>
    </row>
    <row r="4176" spans="1:14">
      <c r="A4176" t="s">
        <v>9256</v>
      </c>
      <c r="B4176">
        <v>4954577</v>
      </c>
      <c r="C4176">
        <v>4956181</v>
      </c>
      <c r="E4176" t="s">
        <v>14314</v>
      </c>
      <c r="F4176" t="s">
        <v>15711</v>
      </c>
      <c r="H4176">
        <v>93525590</v>
      </c>
      <c r="I4176" t="s">
        <v>14292</v>
      </c>
      <c r="L4176" t="s">
        <v>24756</v>
      </c>
      <c r="M4176">
        <v>534</v>
      </c>
      <c r="N4176" t="s">
        <v>24757</v>
      </c>
    </row>
    <row r="4177" spans="1:14">
      <c r="A4177" t="s">
        <v>9256</v>
      </c>
      <c r="B4177">
        <v>4956186</v>
      </c>
      <c r="C4177">
        <v>4958675</v>
      </c>
      <c r="E4177" t="s">
        <v>14314</v>
      </c>
      <c r="F4177" t="s">
        <v>14955</v>
      </c>
      <c r="H4177">
        <v>93525591</v>
      </c>
      <c r="I4177" t="s">
        <v>14292</v>
      </c>
      <c r="L4177" t="s">
        <v>24758</v>
      </c>
      <c r="M4177">
        <v>829</v>
      </c>
      <c r="N4177" t="s">
        <v>24759</v>
      </c>
    </row>
    <row r="4178" spans="1:14">
      <c r="A4178" t="s">
        <v>9256</v>
      </c>
      <c r="B4178">
        <v>4958690</v>
      </c>
      <c r="C4178">
        <v>4960207</v>
      </c>
      <c r="E4178" t="s">
        <v>14314</v>
      </c>
      <c r="F4178" t="s">
        <v>24760</v>
      </c>
      <c r="H4178">
        <v>93525592</v>
      </c>
      <c r="I4178" t="s">
        <v>14292</v>
      </c>
      <c r="L4178" t="s">
        <v>24761</v>
      </c>
      <c r="M4178">
        <v>505</v>
      </c>
      <c r="N4178" t="s">
        <v>24762</v>
      </c>
    </row>
    <row r="4179" spans="1:14">
      <c r="A4179" t="s">
        <v>9256</v>
      </c>
      <c r="B4179">
        <v>4960214</v>
      </c>
      <c r="C4179">
        <v>4961392</v>
      </c>
      <c r="E4179" t="s">
        <v>14314</v>
      </c>
      <c r="F4179" t="s">
        <v>24763</v>
      </c>
      <c r="H4179">
        <v>93525593</v>
      </c>
      <c r="I4179" t="s">
        <v>14292</v>
      </c>
      <c r="L4179" t="s">
        <v>24764</v>
      </c>
      <c r="M4179">
        <v>392</v>
      </c>
      <c r="N4179" t="s">
        <v>24765</v>
      </c>
    </row>
    <row r="4180" spans="1:14">
      <c r="A4180" t="s">
        <v>9256</v>
      </c>
      <c r="B4180">
        <v>4961487</v>
      </c>
      <c r="C4180">
        <v>4963322</v>
      </c>
      <c r="E4180" t="s">
        <v>14314</v>
      </c>
      <c r="F4180" t="s">
        <v>16834</v>
      </c>
      <c r="G4180" t="s">
        <v>16835</v>
      </c>
      <c r="H4180">
        <v>93525594</v>
      </c>
      <c r="I4180" t="s">
        <v>14292</v>
      </c>
      <c r="L4180" t="s">
        <v>24766</v>
      </c>
      <c r="M4180">
        <v>611</v>
      </c>
      <c r="N4180" t="s">
        <v>24767</v>
      </c>
    </row>
    <row r="4181" spans="1:14">
      <c r="A4181" t="s">
        <v>9256</v>
      </c>
      <c r="B4181">
        <v>4963431</v>
      </c>
      <c r="C4181">
        <v>4964696</v>
      </c>
      <c r="E4181" t="s">
        <v>14290</v>
      </c>
      <c r="F4181" t="s">
        <v>18317</v>
      </c>
      <c r="H4181">
        <v>93525595</v>
      </c>
      <c r="I4181" t="s">
        <v>14292</v>
      </c>
      <c r="L4181" t="s">
        <v>24768</v>
      </c>
      <c r="M4181">
        <v>421</v>
      </c>
      <c r="N4181" t="s">
        <v>24769</v>
      </c>
    </row>
    <row r="4182" spans="1:14">
      <c r="A4182" t="s">
        <v>9256</v>
      </c>
      <c r="B4182">
        <v>4964981</v>
      </c>
      <c r="C4182">
        <v>4965583</v>
      </c>
      <c r="E4182" t="s">
        <v>14290</v>
      </c>
      <c r="F4182" t="s">
        <v>14982</v>
      </c>
      <c r="H4182">
        <v>93525596</v>
      </c>
      <c r="I4182" t="s">
        <v>14292</v>
      </c>
      <c r="L4182" t="s">
        <v>24770</v>
      </c>
      <c r="M4182">
        <v>200</v>
      </c>
      <c r="N4182" t="s">
        <v>24771</v>
      </c>
    </row>
    <row r="4183" spans="1:14">
      <c r="A4183" t="s">
        <v>9256</v>
      </c>
      <c r="B4183">
        <v>4965665</v>
      </c>
      <c r="C4183">
        <v>4966687</v>
      </c>
      <c r="E4183" t="s">
        <v>14290</v>
      </c>
      <c r="F4183" t="s">
        <v>14972</v>
      </c>
      <c r="H4183">
        <v>93525597</v>
      </c>
      <c r="I4183" t="s">
        <v>14292</v>
      </c>
      <c r="L4183" t="s">
        <v>24772</v>
      </c>
      <c r="M4183">
        <v>340</v>
      </c>
      <c r="N4183" t="s">
        <v>24773</v>
      </c>
    </row>
    <row r="4184" spans="1:14">
      <c r="A4184" t="s">
        <v>9256</v>
      </c>
      <c r="B4184">
        <v>4966765</v>
      </c>
      <c r="C4184">
        <v>4970067</v>
      </c>
      <c r="E4184" t="s">
        <v>14290</v>
      </c>
      <c r="F4184" t="s">
        <v>14965</v>
      </c>
      <c r="H4184">
        <v>93525598</v>
      </c>
      <c r="I4184" t="s">
        <v>14292</v>
      </c>
      <c r="L4184" t="s">
        <v>24774</v>
      </c>
      <c r="M4184">
        <v>1100</v>
      </c>
      <c r="N4184" t="s">
        <v>24775</v>
      </c>
    </row>
    <row r="4185" spans="1:14">
      <c r="A4185" t="s">
        <v>9256</v>
      </c>
      <c r="B4185">
        <v>4970082</v>
      </c>
      <c r="C4185">
        <v>4971773</v>
      </c>
      <c r="E4185" t="s">
        <v>14290</v>
      </c>
      <c r="F4185" t="s">
        <v>15179</v>
      </c>
      <c r="H4185">
        <v>93525599</v>
      </c>
      <c r="I4185" t="s">
        <v>14292</v>
      </c>
      <c r="L4185" t="s">
        <v>24776</v>
      </c>
      <c r="M4185">
        <v>563</v>
      </c>
      <c r="N4185" t="s">
        <v>24777</v>
      </c>
    </row>
    <row r="4186" spans="1:14">
      <c r="A4186" t="s">
        <v>9256</v>
      </c>
      <c r="B4186">
        <v>4971780</v>
      </c>
      <c r="C4186">
        <v>4973306</v>
      </c>
      <c r="E4186" t="s">
        <v>14290</v>
      </c>
      <c r="F4186" t="s">
        <v>16589</v>
      </c>
      <c r="H4186">
        <v>93525600</v>
      </c>
      <c r="I4186" t="s">
        <v>14292</v>
      </c>
      <c r="L4186" t="s">
        <v>24778</v>
      </c>
      <c r="M4186">
        <v>508</v>
      </c>
      <c r="N4186" t="s">
        <v>24779</v>
      </c>
    </row>
    <row r="4187" spans="1:14">
      <c r="A4187" t="s">
        <v>9256</v>
      </c>
      <c r="B4187">
        <v>4973407</v>
      </c>
      <c r="C4187">
        <v>4974807</v>
      </c>
      <c r="E4187" t="s">
        <v>14290</v>
      </c>
      <c r="F4187" t="s">
        <v>15836</v>
      </c>
      <c r="H4187">
        <v>93525601</v>
      </c>
      <c r="I4187" t="s">
        <v>14292</v>
      </c>
      <c r="L4187" t="s">
        <v>24780</v>
      </c>
      <c r="M4187">
        <v>466</v>
      </c>
      <c r="N4187" t="s">
        <v>24781</v>
      </c>
    </row>
    <row r="4188" spans="1:14">
      <c r="A4188" t="s">
        <v>9256</v>
      </c>
      <c r="B4188">
        <v>4974953</v>
      </c>
      <c r="C4188">
        <v>4976209</v>
      </c>
      <c r="E4188" t="s">
        <v>14290</v>
      </c>
      <c r="F4188" t="s">
        <v>15339</v>
      </c>
      <c r="H4188">
        <v>93525602</v>
      </c>
      <c r="I4188" t="s">
        <v>14292</v>
      </c>
      <c r="L4188" t="s">
        <v>24782</v>
      </c>
      <c r="M4188">
        <v>418</v>
      </c>
      <c r="N4188" t="s">
        <v>24783</v>
      </c>
    </row>
    <row r="4189" spans="1:14">
      <c r="A4189" t="s">
        <v>9256</v>
      </c>
      <c r="B4189">
        <v>4976222</v>
      </c>
      <c r="C4189">
        <v>4979689</v>
      </c>
      <c r="E4189" t="s">
        <v>14290</v>
      </c>
      <c r="F4189" t="s">
        <v>21641</v>
      </c>
      <c r="H4189">
        <v>93525603</v>
      </c>
      <c r="I4189" t="s">
        <v>14292</v>
      </c>
      <c r="L4189" t="s">
        <v>24784</v>
      </c>
      <c r="M4189">
        <v>1155</v>
      </c>
      <c r="N4189" t="s">
        <v>24785</v>
      </c>
    </row>
    <row r="4190" spans="1:14">
      <c r="A4190" t="s">
        <v>9256</v>
      </c>
      <c r="B4190">
        <v>4979828</v>
      </c>
      <c r="C4190">
        <v>4981726</v>
      </c>
      <c r="E4190" t="s">
        <v>14290</v>
      </c>
      <c r="F4190" t="s">
        <v>21487</v>
      </c>
      <c r="H4190">
        <v>93525604</v>
      </c>
      <c r="I4190" t="s">
        <v>14292</v>
      </c>
      <c r="L4190" t="s">
        <v>24786</v>
      </c>
      <c r="M4190">
        <v>632</v>
      </c>
      <c r="N4190" t="s">
        <v>24787</v>
      </c>
    </row>
    <row r="4191" spans="1:14">
      <c r="A4191" t="s">
        <v>9256</v>
      </c>
      <c r="B4191">
        <v>4981669</v>
      </c>
      <c r="C4191">
        <v>4982322</v>
      </c>
      <c r="E4191" t="s">
        <v>14314</v>
      </c>
      <c r="F4191" t="s">
        <v>24788</v>
      </c>
      <c r="G4191" t="s">
        <v>24789</v>
      </c>
      <c r="H4191">
        <v>93525605</v>
      </c>
      <c r="I4191" t="s">
        <v>14292</v>
      </c>
      <c r="L4191" t="s">
        <v>24790</v>
      </c>
      <c r="M4191">
        <v>217</v>
      </c>
      <c r="N4191" t="s">
        <v>24791</v>
      </c>
    </row>
    <row r="4192" spans="1:14">
      <c r="A4192" t="s">
        <v>9256</v>
      </c>
      <c r="B4192">
        <v>4982475</v>
      </c>
      <c r="C4192">
        <v>4982759</v>
      </c>
      <c r="E4192" t="s">
        <v>14314</v>
      </c>
      <c r="F4192" t="s">
        <v>15103</v>
      </c>
      <c r="H4192">
        <v>93525606</v>
      </c>
      <c r="I4192" t="s">
        <v>14292</v>
      </c>
      <c r="L4192" t="s">
        <v>24792</v>
      </c>
      <c r="M4192">
        <v>94</v>
      </c>
      <c r="N4192" t="s">
        <v>24793</v>
      </c>
    </row>
    <row r="4193" spans="1:14">
      <c r="A4193" t="s">
        <v>9256</v>
      </c>
      <c r="B4193">
        <v>4982942</v>
      </c>
      <c r="C4193">
        <v>4983778</v>
      </c>
      <c r="E4193" t="s">
        <v>14314</v>
      </c>
      <c r="F4193" t="s">
        <v>14291</v>
      </c>
      <c r="H4193">
        <v>93525607</v>
      </c>
      <c r="I4193" t="s">
        <v>14292</v>
      </c>
      <c r="L4193" t="s">
        <v>24794</v>
      </c>
      <c r="M4193">
        <v>278</v>
      </c>
      <c r="N4193" t="s">
        <v>24795</v>
      </c>
    </row>
    <row r="4194" spans="1:14">
      <c r="A4194" t="s">
        <v>9256</v>
      </c>
      <c r="B4194">
        <v>4983879</v>
      </c>
      <c r="C4194">
        <v>4984892</v>
      </c>
      <c r="E4194" t="s">
        <v>14290</v>
      </c>
      <c r="F4194" t="s">
        <v>24796</v>
      </c>
      <c r="G4194" t="s">
        <v>24797</v>
      </c>
      <c r="H4194">
        <v>93525608</v>
      </c>
      <c r="I4194" t="s">
        <v>14292</v>
      </c>
      <c r="L4194" t="s">
        <v>24798</v>
      </c>
      <c r="M4194">
        <v>337</v>
      </c>
      <c r="N4194" t="s">
        <v>24799</v>
      </c>
    </row>
    <row r="4195" spans="1:14">
      <c r="A4195" t="s">
        <v>9256</v>
      </c>
      <c r="B4195">
        <v>4984892</v>
      </c>
      <c r="C4195">
        <v>4985647</v>
      </c>
      <c r="E4195" t="s">
        <v>14290</v>
      </c>
      <c r="F4195" t="s">
        <v>17196</v>
      </c>
      <c r="H4195">
        <v>93525609</v>
      </c>
      <c r="I4195" t="s">
        <v>14292</v>
      </c>
      <c r="L4195" t="s">
        <v>24800</v>
      </c>
      <c r="M4195">
        <v>251</v>
      </c>
      <c r="N4195" t="s">
        <v>24801</v>
      </c>
    </row>
    <row r="4196" spans="1:14">
      <c r="A4196" t="s">
        <v>9256</v>
      </c>
      <c r="B4196">
        <v>4985765</v>
      </c>
      <c r="C4196">
        <v>4988143</v>
      </c>
      <c r="E4196" t="s">
        <v>14290</v>
      </c>
      <c r="F4196" t="s">
        <v>24802</v>
      </c>
      <c r="H4196">
        <v>93525610</v>
      </c>
      <c r="I4196" t="s">
        <v>14292</v>
      </c>
      <c r="L4196" t="s">
        <v>24803</v>
      </c>
      <c r="M4196">
        <v>792</v>
      </c>
      <c r="N4196" t="s">
        <v>24804</v>
      </c>
    </row>
    <row r="4197" spans="1:14">
      <c r="A4197" t="s">
        <v>9256</v>
      </c>
      <c r="B4197">
        <v>4988150</v>
      </c>
      <c r="C4197">
        <v>4989256</v>
      </c>
      <c r="E4197" t="s">
        <v>14290</v>
      </c>
      <c r="F4197" t="s">
        <v>24805</v>
      </c>
      <c r="H4197">
        <v>93525611</v>
      </c>
      <c r="I4197" t="s">
        <v>14292</v>
      </c>
      <c r="L4197" t="s">
        <v>24806</v>
      </c>
      <c r="M4197">
        <v>368</v>
      </c>
      <c r="N4197" t="s">
        <v>24807</v>
      </c>
    </row>
    <row r="4198" spans="1:14">
      <c r="A4198" t="s">
        <v>9256</v>
      </c>
      <c r="B4198">
        <v>4989253</v>
      </c>
      <c r="C4198">
        <v>4990110</v>
      </c>
      <c r="E4198" t="s">
        <v>14314</v>
      </c>
      <c r="F4198" t="s">
        <v>14291</v>
      </c>
      <c r="H4198">
        <v>93525612</v>
      </c>
      <c r="I4198" t="s">
        <v>14292</v>
      </c>
      <c r="L4198" t="s">
        <v>24808</v>
      </c>
      <c r="M4198">
        <v>285</v>
      </c>
      <c r="N4198" t="s">
        <v>24809</v>
      </c>
    </row>
    <row r="4199" spans="1:14">
      <c r="A4199" t="s">
        <v>9256</v>
      </c>
      <c r="B4199">
        <v>4990131</v>
      </c>
      <c r="C4199">
        <v>4990769</v>
      </c>
      <c r="E4199" t="s">
        <v>14314</v>
      </c>
      <c r="F4199" t="s">
        <v>24810</v>
      </c>
      <c r="G4199" t="s">
        <v>24811</v>
      </c>
      <c r="H4199">
        <v>93525613</v>
      </c>
      <c r="I4199" t="s">
        <v>14292</v>
      </c>
      <c r="L4199" t="s">
        <v>24812</v>
      </c>
      <c r="M4199">
        <v>212</v>
      </c>
      <c r="N4199" t="s">
        <v>24813</v>
      </c>
    </row>
    <row r="4200" spans="1:14">
      <c r="A4200" t="s">
        <v>9256</v>
      </c>
      <c r="B4200">
        <v>4990938</v>
      </c>
      <c r="C4200">
        <v>4993451</v>
      </c>
      <c r="E4200" t="s">
        <v>14314</v>
      </c>
      <c r="F4200" t="s">
        <v>24814</v>
      </c>
      <c r="H4200">
        <v>93525614</v>
      </c>
      <c r="I4200" t="s">
        <v>14292</v>
      </c>
      <c r="L4200" t="s">
        <v>24815</v>
      </c>
      <c r="M4200">
        <v>837</v>
      </c>
      <c r="N4200" t="s">
        <v>24816</v>
      </c>
    </row>
    <row r="4201" spans="1:14">
      <c r="A4201" t="s">
        <v>9256</v>
      </c>
      <c r="B4201">
        <v>4993554</v>
      </c>
      <c r="C4201">
        <v>4995137</v>
      </c>
      <c r="E4201" t="s">
        <v>14314</v>
      </c>
      <c r="F4201" t="s">
        <v>24817</v>
      </c>
      <c r="H4201">
        <v>93525615</v>
      </c>
      <c r="I4201" t="s">
        <v>14292</v>
      </c>
      <c r="L4201" t="s">
        <v>24818</v>
      </c>
      <c r="M4201">
        <v>527</v>
      </c>
      <c r="N4201" t="s">
        <v>24819</v>
      </c>
    </row>
    <row r="4202" spans="1:14">
      <c r="A4202" t="s">
        <v>9256</v>
      </c>
      <c r="B4202">
        <v>4995151</v>
      </c>
      <c r="C4202">
        <v>4997112</v>
      </c>
      <c r="E4202" t="s">
        <v>14314</v>
      </c>
      <c r="F4202" t="s">
        <v>24820</v>
      </c>
      <c r="H4202">
        <v>93525616</v>
      </c>
      <c r="I4202" t="s">
        <v>14292</v>
      </c>
      <c r="L4202" t="s">
        <v>24821</v>
      </c>
      <c r="M4202">
        <v>653</v>
      </c>
      <c r="N4202" t="s">
        <v>24822</v>
      </c>
    </row>
    <row r="4203" spans="1:14">
      <c r="A4203" t="s">
        <v>9256</v>
      </c>
      <c r="B4203">
        <v>4997115</v>
      </c>
      <c r="C4203">
        <v>4998113</v>
      </c>
      <c r="E4203" t="s">
        <v>14314</v>
      </c>
      <c r="F4203" t="s">
        <v>16424</v>
      </c>
      <c r="H4203">
        <v>93525617</v>
      </c>
      <c r="I4203" t="s">
        <v>14292</v>
      </c>
      <c r="L4203" t="s">
        <v>24823</v>
      </c>
      <c r="M4203">
        <v>332</v>
      </c>
      <c r="N4203" t="s">
        <v>24824</v>
      </c>
    </row>
    <row r="4204" spans="1:14">
      <c r="A4204" t="s">
        <v>9256</v>
      </c>
      <c r="B4204">
        <v>4998117</v>
      </c>
      <c r="C4204">
        <v>4999169</v>
      </c>
      <c r="E4204" t="s">
        <v>14314</v>
      </c>
      <c r="F4204" t="s">
        <v>24825</v>
      </c>
      <c r="H4204">
        <v>93525618</v>
      </c>
      <c r="I4204" t="s">
        <v>14292</v>
      </c>
      <c r="L4204" t="s">
        <v>24826</v>
      </c>
      <c r="M4204">
        <v>350</v>
      </c>
      <c r="N4204" t="s">
        <v>24827</v>
      </c>
    </row>
    <row r="4205" spans="1:14">
      <c r="A4205" t="s">
        <v>9256</v>
      </c>
      <c r="B4205">
        <v>4999197</v>
      </c>
      <c r="C4205">
        <v>5000021</v>
      </c>
      <c r="E4205" t="s">
        <v>14314</v>
      </c>
      <c r="F4205" t="s">
        <v>24828</v>
      </c>
      <c r="G4205" t="s">
        <v>24829</v>
      </c>
      <c r="H4205">
        <v>93525619</v>
      </c>
      <c r="I4205" t="s">
        <v>14292</v>
      </c>
      <c r="L4205" t="s">
        <v>24830</v>
      </c>
      <c r="M4205">
        <v>274</v>
      </c>
      <c r="N4205" t="s">
        <v>24831</v>
      </c>
    </row>
    <row r="4206" spans="1:14">
      <c r="A4206" t="s">
        <v>9256</v>
      </c>
      <c r="B4206">
        <v>5000025</v>
      </c>
      <c r="C4206">
        <v>5001713</v>
      </c>
      <c r="E4206" t="s">
        <v>14314</v>
      </c>
      <c r="F4206" t="s">
        <v>24832</v>
      </c>
      <c r="G4206" t="s">
        <v>24833</v>
      </c>
      <c r="H4206">
        <v>93525620</v>
      </c>
      <c r="I4206" t="s">
        <v>14292</v>
      </c>
      <c r="L4206" t="s">
        <v>24834</v>
      </c>
      <c r="M4206">
        <v>562</v>
      </c>
      <c r="N4206" t="s">
        <v>24835</v>
      </c>
    </row>
    <row r="4207" spans="1:14">
      <c r="A4207" t="s">
        <v>9256</v>
      </c>
      <c r="B4207">
        <v>5001728</v>
      </c>
      <c r="C4207">
        <v>5002825</v>
      </c>
      <c r="E4207" t="s">
        <v>14314</v>
      </c>
      <c r="F4207" t="s">
        <v>24836</v>
      </c>
      <c r="H4207">
        <v>93525621</v>
      </c>
      <c r="I4207" t="s">
        <v>14292</v>
      </c>
      <c r="L4207" t="s">
        <v>24837</v>
      </c>
      <c r="M4207">
        <v>365</v>
      </c>
      <c r="N4207" t="s">
        <v>24838</v>
      </c>
    </row>
    <row r="4208" spans="1:14">
      <c r="A4208" t="s">
        <v>9256</v>
      </c>
      <c r="B4208">
        <v>5002822</v>
      </c>
      <c r="C4208">
        <v>5004054</v>
      </c>
      <c r="E4208" t="s">
        <v>14314</v>
      </c>
      <c r="F4208" t="s">
        <v>22286</v>
      </c>
      <c r="H4208">
        <v>93525622</v>
      </c>
      <c r="I4208" t="s">
        <v>14292</v>
      </c>
      <c r="L4208" t="s">
        <v>24839</v>
      </c>
      <c r="M4208">
        <v>410</v>
      </c>
      <c r="N4208" t="s">
        <v>24840</v>
      </c>
    </row>
    <row r="4209" spans="1:14">
      <c r="A4209" t="s">
        <v>9256</v>
      </c>
      <c r="B4209">
        <v>5004366</v>
      </c>
      <c r="C4209">
        <v>5005121</v>
      </c>
      <c r="E4209" t="s">
        <v>14314</v>
      </c>
      <c r="F4209" t="s">
        <v>22286</v>
      </c>
      <c r="H4209">
        <v>93525623</v>
      </c>
      <c r="I4209" t="s">
        <v>14292</v>
      </c>
      <c r="L4209" t="s">
        <v>24841</v>
      </c>
      <c r="M4209">
        <v>251</v>
      </c>
      <c r="N4209" t="s">
        <v>24842</v>
      </c>
    </row>
    <row r="4210" spans="1:14">
      <c r="A4210" t="s">
        <v>9256</v>
      </c>
      <c r="B4210">
        <v>5005111</v>
      </c>
      <c r="C4210">
        <v>5007033</v>
      </c>
      <c r="E4210" t="s">
        <v>14314</v>
      </c>
      <c r="F4210" t="s">
        <v>24843</v>
      </c>
      <c r="H4210">
        <v>93525624</v>
      </c>
      <c r="I4210" t="s">
        <v>14292</v>
      </c>
      <c r="L4210" t="s">
        <v>24844</v>
      </c>
      <c r="M4210">
        <v>640</v>
      </c>
      <c r="N4210" t="s">
        <v>24845</v>
      </c>
    </row>
    <row r="4211" spans="1:14">
      <c r="A4211" t="s">
        <v>9256</v>
      </c>
      <c r="B4211">
        <v>5007219</v>
      </c>
      <c r="C4211">
        <v>5007590</v>
      </c>
      <c r="E4211" t="s">
        <v>14290</v>
      </c>
      <c r="F4211" t="s">
        <v>24846</v>
      </c>
      <c r="H4211">
        <v>93525625</v>
      </c>
      <c r="I4211" t="s">
        <v>14292</v>
      </c>
      <c r="L4211" t="s">
        <v>24847</v>
      </c>
      <c r="M4211">
        <v>123</v>
      </c>
      <c r="N4211" t="s">
        <v>24848</v>
      </c>
    </row>
    <row r="4212" spans="1:14">
      <c r="A4212" t="s">
        <v>9256</v>
      </c>
      <c r="B4212">
        <v>5007635</v>
      </c>
      <c r="C4212">
        <v>5008927</v>
      </c>
      <c r="E4212" t="s">
        <v>14290</v>
      </c>
      <c r="F4212" t="s">
        <v>24849</v>
      </c>
      <c r="H4212">
        <v>93525626</v>
      </c>
      <c r="I4212" t="s">
        <v>14292</v>
      </c>
      <c r="L4212" t="s">
        <v>24850</v>
      </c>
      <c r="M4212">
        <v>430</v>
      </c>
      <c r="N4212" t="s">
        <v>24851</v>
      </c>
    </row>
    <row r="4213" spans="1:14">
      <c r="A4213" t="s">
        <v>9256</v>
      </c>
      <c r="B4213">
        <v>5008937</v>
      </c>
      <c r="C4213">
        <v>5009839</v>
      </c>
      <c r="E4213" t="s">
        <v>14290</v>
      </c>
      <c r="F4213" t="s">
        <v>24852</v>
      </c>
      <c r="H4213">
        <v>93525627</v>
      </c>
      <c r="I4213" t="s">
        <v>14292</v>
      </c>
      <c r="L4213" t="s">
        <v>24853</v>
      </c>
      <c r="M4213">
        <v>300</v>
      </c>
      <c r="N4213" t="s">
        <v>24854</v>
      </c>
    </row>
    <row r="4214" spans="1:14">
      <c r="A4214" t="s">
        <v>9256</v>
      </c>
      <c r="B4214">
        <v>5009852</v>
      </c>
      <c r="C4214">
        <v>5011192</v>
      </c>
      <c r="E4214" t="s">
        <v>14290</v>
      </c>
      <c r="F4214" t="s">
        <v>24855</v>
      </c>
      <c r="G4214" t="s">
        <v>24856</v>
      </c>
      <c r="H4214">
        <v>93525628</v>
      </c>
      <c r="I4214" t="s">
        <v>14292</v>
      </c>
      <c r="L4214" t="s">
        <v>24857</v>
      </c>
      <c r="M4214">
        <v>446</v>
      </c>
      <c r="N4214" t="s">
        <v>24858</v>
      </c>
    </row>
    <row r="4215" spans="1:14">
      <c r="A4215" t="s">
        <v>9256</v>
      </c>
      <c r="B4215">
        <v>5011157</v>
      </c>
      <c r="C4215">
        <v>5012125</v>
      </c>
      <c r="E4215" t="s">
        <v>14314</v>
      </c>
      <c r="F4215" t="s">
        <v>17288</v>
      </c>
      <c r="H4215">
        <v>93525629</v>
      </c>
      <c r="I4215" t="s">
        <v>14292</v>
      </c>
      <c r="L4215" t="s">
        <v>24859</v>
      </c>
      <c r="M4215">
        <v>322</v>
      </c>
      <c r="N4215" t="s">
        <v>24860</v>
      </c>
    </row>
    <row r="4216" spans="1:14">
      <c r="A4216" t="s">
        <v>9256</v>
      </c>
      <c r="B4216">
        <v>5012170</v>
      </c>
      <c r="C4216">
        <v>5013438</v>
      </c>
      <c r="E4216" t="s">
        <v>14314</v>
      </c>
      <c r="F4216" t="s">
        <v>24861</v>
      </c>
      <c r="H4216">
        <v>93525630</v>
      </c>
      <c r="I4216" t="s">
        <v>14292</v>
      </c>
      <c r="L4216" t="s">
        <v>24862</v>
      </c>
      <c r="M4216">
        <v>422</v>
      </c>
      <c r="N4216" t="s">
        <v>24863</v>
      </c>
    </row>
    <row r="4217" spans="1:14">
      <c r="A4217" t="s">
        <v>9256</v>
      </c>
      <c r="B4217">
        <v>5013571</v>
      </c>
      <c r="C4217">
        <v>5014917</v>
      </c>
      <c r="E4217" t="s">
        <v>14290</v>
      </c>
      <c r="F4217" t="s">
        <v>24864</v>
      </c>
      <c r="H4217">
        <v>93525631</v>
      </c>
      <c r="I4217" t="s">
        <v>14292</v>
      </c>
      <c r="L4217" t="s">
        <v>24865</v>
      </c>
      <c r="M4217">
        <v>448</v>
      </c>
      <c r="N4217" t="s">
        <v>24866</v>
      </c>
    </row>
    <row r="4218" spans="1:14">
      <c r="A4218" t="s">
        <v>9256</v>
      </c>
      <c r="B4218">
        <v>5014941</v>
      </c>
      <c r="C4218">
        <v>5016143</v>
      </c>
      <c r="E4218" t="s">
        <v>14290</v>
      </c>
      <c r="F4218" t="s">
        <v>24867</v>
      </c>
      <c r="H4218">
        <v>93525632</v>
      </c>
      <c r="I4218" t="s">
        <v>14292</v>
      </c>
      <c r="L4218" t="s">
        <v>24868</v>
      </c>
      <c r="M4218">
        <v>400</v>
      </c>
      <c r="N4218" t="s">
        <v>24869</v>
      </c>
    </row>
    <row r="4219" spans="1:14">
      <c r="A4219" t="s">
        <v>9256</v>
      </c>
      <c r="B4219">
        <v>5016157</v>
      </c>
      <c r="C4219">
        <v>5016969</v>
      </c>
      <c r="E4219" t="s">
        <v>14290</v>
      </c>
      <c r="F4219" t="s">
        <v>24870</v>
      </c>
      <c r="G4219" t="s">
        <v>24871</v>
      </c>
      <c r="H4219">
        <v>93525633</v>
      </c>
      <c r="I4219" t="s">
        <v>14292</v>
      </c>
      <c r="L4219" t="s">
        <v>24872</v>
      </c>
      <c r="M4219">
        <v>270</v>
      </c>
      <c r="N4219" t="s">
        <v>24873</v>
      </c>
    </row>
    <row r="4220" spans="1:14">
      <c r="A4220" t="s">
        <v>9256</v>
      </c>
      <c r="B4220">
        <v>5016977</v>
      </c>
      <c r="C4220">
        <v>5017606</v>
      </c>
      <c r="E4220" t="s">
        <v>14290</v>
      </c>
      <c r="F4220" t="s">
        <v>24874</v>
      </c>
      <c r="H4220">
        <v>93525634</v>
      </c>
      <c r="I4220" t="s">
        <v>14292</v>
      </c>
      <c r="L4220" t="s">
        <v>24875</v>
      </c>
      <c r="M4220">
        <v>209</v>
      </c>
      <c r="N4220" t="s">
        <v>24876</v>
      </c>
    </row>
    <row r="4221" spans="1:14">
      <c r="A4221" t="s">
        <v>9256</v>
      </c>
      <c r="B4221">
        <v>5017632</v>
      </c>
      <c r="C4221">
        <v>5018249</v>
      </c>
      <c r="E4221" t="s">
        <v>14290</v>
      </c>
      <c r="F4221" t="s">
        <v>24877</v>
      </c>
      <c r="G4221" t="s">
        <v>24878</v>
      </c>
      <c r="H4221">
        <v>93525635</v>
      </c>
      <c r="I4221" t="s">
        <v>14292</v>
      </c>
      <c r="L4221" t="s">
        <v>24879</v>
      </c>
      <c r="M4221">
        <v>205</v>
      </c>
      <c r="N4221" t="s">
        <v>24880</v>
      </c>
    </row>
    <row r="4222" spans="1:14">
      <c r="A4222" t="s">
        <v>9256</v>
      </c>
      <c r="B4222">
        <v>5018290</v>
      </c>
      <c r="C4222">
        <v>5019564</v>
      </c>
      <c r="E4222" t="s">
        <v>14290</v>
      </c>
      <c r="F4222" t="s">
        <v>24881</v>
      </c>
      <c r="G4222" t="s">
        <v>24882</v>
      </c>
      <c r="H4222">
        <v>93525636</v>
      </c>
      <c r="I4222" t="s">
        <v>14292</v>
      </c>
      <c r="L4222" t="s">
        <v>24883</v>
      </c>
      <c r="M4222">
        <v>424</v>
      </c>
      <c r="N4222" t="s">
        <v>24884</v>
      </c>
    </row>
    <row r="4223" spans="1:14">
      <c r="A4223" t="s">
        <v>9256</v>
      </c>
      <c r="B4223">
        <v>5019684</v>
      </c>
      <c r="C4223">
        <v>5020091</v>
      </c>
      <c r="E4223" t="s">
        <v>14290</v>
      </c>
      <c r="F4223" t="s">
        <v>15759</v>
      </c>
      <c r="H4223">
        <v>93525637</v>
      </c>
      <c r="I4223" t="s">
        <v>14292</v>
      </c>
      <c r="L4223" t="s">
        <v>15760</v>
      </c>
      <c r="M4223">
        <v>135</v>
      </c>
      <c r="N4223" t="s">
        <v>24885</v>
      </c>
    </row>
    <row r="4224" spans="1:14">
      <c r="A4224" t="s">
        <v>9256</v>
      </c>
      <c r="B4224">
        <v>5020124</v>
      </c>
      <c r="C4224">
        <v>5020951</v>
      </c>
      <c r="E4224" t="s">
        <v>14290</v>
      </c>
      <c r="F4224" t="s">
        <v>15762</v>
      </c>
      <c r="H4224">
        <v>93525638</v>
      </c>
      <c r="I4224" t="s">
        <v>14292</v>
      </c>
      <c r="L4224" t="s">
        <v>15763</v>
      </c>
      <c r="M4224">
        <v>275</v>
      </c>
      <c r="N4224" t="s">
        <v>24886</v>
      </c>
    </row>
    <row r="4225" spans="1:14">
      <c r="A4225" t="s">
        <v>9256</v>
      </c>
      <c r="B4225">
        <v>5021377</v>
      </c>
      <c r="C4225">
        <v>5021604</v>
      </c>
      <c r="E4225" t="s">
        <v>14290</v>
      </c>
      <c r="F4225" t="s">
        <v>14291</v>
      </c>
      <c r="H4225">
        <v>93525639</v>
      </c>
      <c r="I4225" t="s">
        <v>14292</v>
      </c>
      <c r="L4225" t="s">
        <v>24887</v>
      </c>
      <c r="M4225">
        <v>75</v>
      </c>
      <c r="N4225" t="s">
        <v>24888</v>
      </c>
    </row>
    <row r="4226" spans="1:14">
      <c r="A4226" t="s">
        <v>9256</v>
      </c>
      <c r="B4226">
        <v>5021682</v>
      </c>
      <c r="C4226">
        <v>5021933</v>
      </c>
      <c r="E4226" t="s">
        <v>14290</v>
      </c>
      <c r="F4226" t="s">
        <v>14291</v>
      </c>
      <c r="H4226">
        <v>93525640</v>
      </c>
      <c r="I4226" t="s">
        <v>14292</v>
      </c>
      <c r="L4226" t="s">
        <v>24889</v>
      </c>
      <c r="M4226">
        <v>83</v>
      </c>
      <c r="N4226" t="s">
        <v>24890</v>
      </c>
    </row>
    <row r="4227" spans="1:14">
      <c r="A4227" t="s">
        <v>9256</v>
      </c>
      <c r="B4227">
        <v>5021995</v>
      </c>
      <c r="C4227">
        <v>5022456</v>
      </c>
      <c r="E4227" t="s">
        <v>14314</v>
      </c>
      <c r="F4227" t="s">
        <v>24891</v>
      </c>
      <c r="H4227">
        <v>93525641</v>
      </c>
      <c r="I4227" t="s">
        <v>14292</v>
      </c>
      <c r="L4227" t="s">
        <v>24892</v>
      </c>
      <c r="M4227">
        <v>153</v>
      </c>
      <c r="N4227" t="s">
        <v>24893</v>
      </c>
    </row>
    <row r="4228" spans="1:14">
      <c r="A4228" t="s">
        <v>9256</v>
      </c>
      <c r="B4228">
        <v>5022513</v>
      </c>
      <c r="C4228">
        <v>5023289</v>
      </c>
      <c r="E4228" t="s">
        <v>14290</v>
      </c>
      <c r="F4228" t="s">
        <v>24894</v>
      </c>
      <c r="H4228">
        <v>93525642</v>
      </c>
      <c r="I4228" t="s">
        <v>14292</v>
      </c>
      <c r="L4228" t="s">
        <v>24895</v>
      </c>
      <c r="M4228">
        <v>258</v>
      </c>
      <c r="N4228" t="s">
        <v>24896</v>
      </c>
    </row>
    <row r="4229" spans="1:14">
      <c r="A4229" t="s">
        <v>9256</v>
      </c>
      <c r="B4229">
        <v>5023309</v>
      </c>
      <c r="C4229">
        <v>5024331</v>
      </c>
      <c r="E4229" t="s">
        <v>14290</v>
      </c>
      <c r="F4229" t="s">
        <v>24897</v>
      </c>
      <c r="G4229" t="s">
        <v>24898</v>
      </c>
      <c r="H4229">
        <v>93525643</v>
      </c>
      <c r="I4229" t="s">
        <v>14292</v>
      </c>
      <c r="L4229" t="s">
        <v>24899</v>
      </c>
      <c r="M4229">
        <v>340</v>
      </c>
      <c r="N4229" t="s">
        <v>24900</v>
      </c>
    </row>
    <row r="4230" spans="1:14">
      <c r="A4230" t="s">
        <v>9256</v>
      </c>
      <c r="B4230">
        <v>5025173</v>
      </c>
      <c r="C4230">
        <v>5025622</v>
      </c>
      <c r="E4230" t="s">
        <v>14290</v>
      </c>
      <c r="F4230" t="s">
        <v>14406</v>
      </c>
      <c r="H4230">
        <v>93525644</v>
      </c>
      <c r="I4230" t="s">
        <v>14292</v>
      </c>
      <c r="L4230" t="s">
        <v>24901</v>
      </c>
      <c r="M4230">
        <v>149</v>
      </c>
      <c r="N4230" t="s">
        <v>24902</v>
      </c>
    </row>
    <row r="4231" spans="1:14">
      <c r="A4231" t="s">
        <v>9256</v>
      </c>
      <c r="B4231">
        <v>5025688</v>
      </c>
      <c r="C4231">
        <v>5026473</v>
      </c>
      <c r="E4231" t="s">
        <v>14290</v>
      </c>
      <c r="F4231" t="s">
        <v>24903</v>
      </c>
      <c r="H4231">
        <v>93525645</v>
      </c>
      <c r="I4231" t="s">
        <v>14292</v>
      </c>
      <c r="L4231" t="s">
        <v>24904</v>
      </c>
      <c r="M4231">
        <v>261</v>
      </c>
      <c r="N4231" t="s">
        <v>24905</v>
      </c>
    </row>
    <row r="4232" spans="1:14">
      <c r="A4232" t="s">
        <v>9256</v>
      </c>
      <c r="B4232">
        <v>5026461</v>
      </c>
      <c r="C4232">
        <v>5027378</v>
      </c>
      <c r="E4232" t="s">
        <v>14290</v>
      </c>
      <c r="F4232" t="s">
        <v>24906</v>
      </c>
      <c r="H4232">
        <v>93525646</v>
      </c>
      <c r="I4232" t="s">
        <v>14292</v>
      </c>
      <c r="L4232" t="s">
        <v>24907</v>
      </c>
      <c r="M4232">
        <v>305</v>
      </c>
      <c r="N4232" t="s">
        <v>24908</v>
      </c>
    </row>
    <row r="4233" spans="1:14">
      <c r="A4233" t="s">
        <v>9256</v>
      </c>
      <c r="B4233">
        <v>5027480</v>
      </c>
      <c r="C4233">
        <v>5028241</v>
      </c>
      <c r="E4233" t="s">
        <v>14314</v>
      </c>
      <c r="F4233" t="s">
        <v>24909</v>
      </c>
      <c r="H4233">
        <v>93525647</v>
      </c>
      <c r="I4233" t="s">
        <v>14292</v>
      </c>
      <c r="L4233" t="s">
        <v>24910</v>
      </c>
      <c r="M4233">
        <v>253</v>
      </c>
      <c r="N4233" t="s">
        <v>24911</v>
      </c>
    </row>
    <row r="4234" spans="1:14">
      <c r="A4234" t="s">
        <v>9256</v>
      </c>
      <c r="B4234">
        <v>5028378</v>
      </c>
      <c r="C4234">
        <v>5029082</v>
      </c>
      <c r="E4234" t="s">
        <v>14290</v>
      </c>
      <c r="F4234" t="s">
        <v>21453</v>
      </c>
      <c r="H4234">
        <v>93525648</v>
      </c>
      <c r="I4234" t="s">
        <v>14292</v>
      </c>
      <c r="L4234" t="s">
        <v>24912</v>
      </c>
      <c r="M4234">
        <v>234</v>
      </c>
      <c r="N4234" t="s">
        <v>24913</v>
      </c>
    </row>
    <row r="4235" spans="1:14">
      <c r="A4235" t="s">
        <v>9256</v>
      </c>
      <c r="B4235">
        <v>5029092</v>
      </c>
      <c r="C4235">
        <v>5029562</v>
      </c>
      <c r="E4235" t="s">
        <v>14314</v>
      </c>
      <c r="F4235" t="s">
        <v>24914</v>
      </c>
      <c r="H4235">
        <v>93525649</v>
      </c>
      <c r="I4235" t="s">
        <v>14292</v>
      </c>
      <c r="L4235" t="s">
        <v>24915</v>
      </c>
      <c r="M4235">
        <v>156</v>
      </c>
      <c r="N4235" t="s">
        <v>24916</v>
      </c>
    </row>
    <row r="4236" spans="1:14">
      <c r="A4236" t="s">
        <v>9256</v>
      </c>
      <c r="B4236">
        <v>5029549</v>
      </c>
      <c r="C4236">
        <v>5029854</v>
      </c>
      <c r="E4236" t="s">
        <v>14314</v>
      </c>
      <c r="F4236" t="s">
        <v>15560</v>
      </c>
      <c r="H4236">
        <v>93525650</v>
      </c>
      <c r="I4236" t="s">
        <v>14292</v>
      </c>
      <c r="L4236" t="s">
        <v>24917</v>
      </c>
      <c r="M4236">
        <v>101</v>
      </c>
      <c r="N4236" t="s">
        <v>24918</v>
      </c>
    </row>
    <row r="4237" spans="1:14">
      <c r="A4237" t="s">
        <v>9256</v>
      </c>
      <c r="B4237">
        <v>5029880</v>
      </c>
      <c r="C4237">
        <v>5031106</v>
      </c>
      <c r="E4237" t="s">
        <v>14314</v>
      </c>
      <c r="F4237" t="s">
        <v>24919</v>
      </c>
      <c r="G4237" t="s">
        <v>24920</v>
      </c>
      <c r="H4237">
        <v>93525651</v>
      </c>
      <c r="I4237" t="s">
        <v>14292</v>
      </c>
      <c r="L4237" t="s">
        <v>24921</v>
      </c>
      <c r="M4237">
        <v>408</v>
      </c>
      <c r="N4237" t="s">
        <v>24922</v>
      </c>
    </row>
    <row r="4238" spans="1:14">
      <c r="A4238" t="s">
        <v>9256</v>
      </c>
      <c r="B4238">
        <v>5031208</v>
      </c>
      <c r="C4238">
        <v>5031801</v>
      </c>
      <c r="E4238" t="s">
        <v>14290</v>
      </c>
      <c r="F4238" t="s">
        <v>14291</v>
      </c>
      <c r="H4238">
        <v>93525652</v>
      </c>
      <c r="I4238" t="s">
        <v>14292</v>
      </c>
      <c r="L4238" t="s">
        <v>24923</v>
      </c>
      <c r="M4238">
        <v>197</v>
      </c>
      <c r="N4238" t="s">
        <v>24924</v>
      </c>
    </row>
    <row r="4239" spans="1:14">
      <c r="A4239" t="s">
        <v>9256</v>
      </c>
      <c r="B4239">
        <v>5031826</v>
      </c>
      <c r="C4239">
        <v>5034135</v>
      </c>
      <c r="E4239" t="s">
        <v>14314</v>
      </c>
      <c r="F4239" t="s">
        <v>14919</v>
      </c>
      <c r="H4239">
        <v>93525653</v>
      </c>
      <c r="I4239" t="s">
        <v>14292</v>
      </c>
      <c r="L4239" t="s">
        <v>24925</v>
      </c>
      <c r="M4239">
        <v>769</v>
      </c>
      <c r="N4239" t="s">
        <v>24926</v>
      </c>
    </row>
    <row r="4240" spans="1:14">
      <c r="A4240" t="s">
        <v>9256</v>
      </c>
      <c r="B4240">
        <v>5034181</v>
      </c>
      <c r="C4240">
        <v>5034588</v>
      </c>
      <c r="E4240" t="s">
        <v>14314</v>
      </c>
      <c r="F4240" t="s">
        <v>14291</v>
      </c>
      <c r="H4240">
        <v>93525654</v>
      </c>
      <c r="I4240" t="s">
        <v>14292</v>
      </c>
      <c r="L4240" t="s">
        <v>24927</v>
      </c>
      <c r="M4240">
        <v>135</v>
      </c>
      <c r="N4240" t="s">
        <v>24928</v>
      </c>
    </row>
    <row r="4241" spans="1:14">
      <c r="A4241" t="s">
        <v>9256</v>
      </c>
      <c r="B4241">
        <v>5034597</v>
      </c>
      <c r="C4241">
        <v>5034965</v>
      </c>
      <c r="E4241" t="s">
        <v>14314</v>
      </c>
      <c r="F4241" t="s">
        <v>24929</v>
      </c>
      <c r="H4241">
        <v>93525655</v>
      </c>
      <c r="I4241" t="s">
        <v>14292</v>
      </c>
      <c r="L4241" t="s">
        <v>24930</v>
      </c>
      <c r="M4241">
        <v>122</v>
      </c>
      <c r="N4241" t="s">
        <v>24931</v>
      </c>
    </row>
    <row r="4242" spans="1:14">
      <c r="A4242" t="s">
        <v>9256</v>
      </c>
      <c r="B4242">
        <v>5034962</v>
      </c>
      <c r="C4242">
        <v>5035678</v>
      </c>
      <c r="E4242" t="s">
        <v>14314</v>
      </c>
      <c r="F4242" t="s">
        <v>14291</v>
      </c>
      <c r="H4242">
        <v>93525656</v>
      </c>
      <c r="I4242" t="s">
        <v>14292</v>
      </c>
      <c r="L4242" t="s">
        <v>24932</v>
      </c>
      <c r="M4242">
        <v>238</v>
      </c>
      <c r="N4242" t="s">
        <v>24933</v>
      </c>
    </row>
    <row r="4243" spans="1:14">
      <c r="A4243" t="s">
        <v>9256</v>
      </c>
      <c r="B4243">
        <v>5035691</v>
      </c>
      <c r="C4243">
        <v>5036518</v>
      </c>
      <c r="E4243" t="s">
        <v>14314</v>
      </c>
      <c r="F4243" t="s">
        <v>23434</v>
      </c>
      <c r="H4243">
        <v>93525657</v>
      </c>
      <c r="I4243" t="s">
        <v>14292</v>
      </c>
      <c r="L4243" t="s">
        <v>24934</v>
      </c>
      <c r="M4243">
        <v>275</v>
      </c>
      <c r="N4243" t="s">
        <v>24935</v>
      </c>
    </row>
    <row r="4244" spans="1:14">
      <c r="A4244" t="s">
        <v>9256</v>
      </c>
      <c r="B4244">
        <v>5037176</v>
      </c>
      <c r="C4244">
        <v>5037676</v>
      </c>
      <c r="E4244" t="s">
        <v>14290</v>
      </c>
      <c r="F4244" t="s">
        <v>14745</v>
      </c>
      <c r="H4244">
        <v>93525658</v>
      </c>
      <c r="I4244" t="s">
        <v>14292</v>
      </c>
      <c r="L4244" t="s">
        <v>24936</v>
      </c>
      <c r="M4244">
        <v>166</v>
      </c>
      <c r="N4244" t="s">
        <v>24937</v>
      </c>
    </row>
    <row r="4245" spans="1:14">
      <c r="A4245" t="s">
        <v>9256</v>
      </c>
      <c r="B4245">
        <v>5037919</v>
      </c>
      <c r="C4245">
        <v>5038599</v>
      </c>
      <c r="E4245" t="s">
        <v>14290</v>
      </c>
      <c r="F4245" t="s">
        <v>14291</v>
      </c>
      <c r="H4245">
        <v>93525659</v>
      </c>
      <c r="I4245" t="s">
        <v>14292</v>
      </c>
      <c r="L4245" t="s">
        <v>24938</v>
      </c>
      <c r="M4245">
        <v>226</v>
      </c>
      <c r="N4245" t="s">
        <v>24939</v>
      </c>
    </row>
    <row r="4246" spans="1:14">
      <c r="A4246" t="s">
        <v>9256</v>
      </c>
      <c r="B4246">
        <v>5038699</v>
      </c>
      <c r="C4246">
        <v>5040072</v>
      </c>
      <c r="E4246" t="s">
        <v>14314</v>
      </c>
      <c r="F4246" t="s">
        <v>16507</v>
      </c>
      <c r="H4246">
        <v>93525660</v>
      </c>
      <c r="I4246" t="s">
        <v>14292</v>
      </c>
      <c r="L4246" t="s">
        <v>24940</v>
      </c>
      <c r="M4246">
        <v>457</v>
      </c>
      <c r="N4246" t="s">
        <v>24941</v>
      </c>
    </row>
    <row r="4247" spans="1:14">
      <c r="A4247" t="s">
        <v>9256</v>
      </c>
      <c r="B4247">
        <v>5040185</v>
      </c>
      <c r="C4247">
        <v>5040529</v>
      </c>
      <c r="E4247" t="s">
        <v>14290</v>
      </c>
      <c r="F4247" t="s">
        <v>14291</v>
      </c>
      <c r="H4247">
        <v>93525661</v>
      </c>
      <c r="I4247" t="s">
        <v>14292</v>
      </c>
      <c r="L4247" t="s">
        <v>24942</v>
      </c>
      <c r="M4247">
        <v>114</v>
      </c>
      <c r="N4247" t="s">
        <v>24943</v>
      </c>
    </row>
    <row r="4248" spans="1:14">
      <c r="A4248" t="s">
        <v>9256</v>
      </c>
      <c r="B4248">
        <v>5040548</v>
      </c>
      <c r="C4248">
        <v>5040973</v>
      </c>
      <c r="E4248" t="s">
        <v>14290</v>
      </c>
      <c r="F4248" t="s">
        <v>14870</v>
      </c>
      <c r="H4248">
        <v>93525662</v>
      </c>
      <c r="I4248" t="s">
        <v>14292</v>
      </c>
      <c r="L4248" t="s">
        <v>24944</v>
      </c>
      <c r="M4248">
        <v>141</v>
      </c>
      <c r="N4248" t="s">
        <v>24945</v>
      </c>
    </row>
    <row r="4249" spans="1:14">
      <c r="A4249" t="s">
        <v>9256</v>
      </c>
      <c r="B4249">
        <v>5040977</v>
      </c>
      <c r="C4249">
        <v>5042356</v>
      </c>
      <c r="E4249" t="s">
        <v>14290</v>
      </c>
      <c r="F4249" t="s">
        <v>24946</v>
      </c>
      <c r="H4249">
        <v>93525663</v>
      </c>
      <c r="I4249" t="s">
        <v>14292</v>
      </c>
      <c r="L4249" t="s">
        <v>24947</v>
      </c>
      <c r="M4249">
        <v>459</v>
      </c>
      <c r="N4249" t="s">
        <v>24948</v>
      </c>
    </row>
    <row r="4250" spans="1:14">
      <c r="A4250" t="s">
        <v>9256</v>
      </c>
      <c r="B4250">
        <v>5042343</v>
      </c>
      <c r="C4250">
        <v>5042687</v>
      </c>
      <c r="E4250" t="s">
        <v>14290</v>
      </c>
      <c r="F4250" t="s">
        <v>24949</v>
      </c>
      <c r="H4250">
        <v>93525664</v>
      </c>
      <c r="I4250" t="s">
        <v>14292</v>
      </c>
      <c r="L4250" t="s">
        <v>24950</v>
      </c>
      <c r="M4250">
        <v>114</v>
      </c>
      <c r="N4250" t="s">
        <v>24951</v>
      </c>
    </row>
    <row r="4251" spans="1:14">
      <c r="A4251" t="s">
        <v>9256</v>
      </c>
      <c r="B4251">
        <v>5042684</v>
      </c>
      <c r="C4251">
        <v>5043430</v>
      </c>
      <c r="E4251" t="s">
        <v>14290</v>
      </c>
      <c r="F4251" t="s">
        <v>19573</v>
      </c>
      <c r="H4251">
        <v>93525665</v>
      </c>
      <c r="I4251" t="s">
        <v>14292</v>
      </c>
      <c r="L4251" t="s">
        <v>24952</v>
      </c>
      <c r="M4251">
        <v>248</v>
      </c>
      <c r="N4251" t="s">
        <v>24953</v>
      </c>
    </row>
    <row r="4252" spans="1:14">
      <c r="A4252" t="s">
        <v>9256</v>
      </c>
      <c r="B4252">
        <v>5043423</v>
      </c>
      <c r="C4252">
        <v>5043956</v>
      </c>
      <c r="E4252" t="s">
        <v>14290</v>
      </c>
      <c r="F4252" t="s">
        <v>14870</v>
      </c>
      <c r="H4252">
        <v>93525666</v>
      </c>
      <c r="I4252" t="s">
        <v>14292</v>
      </c>
      <c r="L4252" t="s">
        <v>24954</v>
      </c>
      <c r="M4252">
        <v>177</v>
      </c>
      <c r="N4252" t="s">
        <v>24955</v>
      </c>
    </row>
    <row r="4253" spans="1:14">
      <c r="A4253" t="s">
        <v>9256</v>
      </c>
      <c r="B4253">
        <v>5044256</v>
      </c>
      <c r="C4253">
        <v>5045473</v>
      </c>
      <c r="E4253" t="s">
        <v>14314</v>
      </c>
      <c r="F4253" t="s">
        <v>14805</v>
      </c>
      <c r="H4253">
        <v>93525667</v>
      </c>
      <c r="I4253" t="s">
        <v>14292</v>
      </c>
      <c r="L4253" t="s">
        <v>24956</v>
      </c>
      <c r="M4253">
        <v>405</v>
      </c>
      <c r="N4253" t="s">
        <v>24957</v>
      </c>
    </row>
    <row r="4254" spans="1:14">
      <c r="A4254" t="s">
        <v>9256</v>
      </c>
      <c r="B4254">
        <v>5045516</v>
      </c>
      <c r="C4254">
        <v>5048128</v>
      </c>
      <c r="E4254" t="s">
        <v>14314</v>
      </c>
      <c r="F4254" t="s">
        <v>24958</v>
      </c>
      <c r="G4254" t="s">
        <v>24959</v>
      </c>
      <c r="H4254">
        <v>93525668</v>
      </c>
      <c r="I4254" t="s">
        <v>14292</v>
      </c>
      <c r="L4254" t="s">
        <v>24960</v>
      </c>
      <c r="M4254">
        <v>870</v>
      </c>
      <c r="N4254" t="s">
        <v>24961</v>
      </c>
    </row>
    <row r="4255" spans="1:14">
      <c r="A4255" t="s">
        <v>9256</v>
      </c>
      <c r="B4255">
        <v>5048333</v>
      </c>
      <c r="C4255">
        <v>5050891</v>
      </c>
      <c r="E4255" t="s">
        <v>14290</v>
      </c>
      <c r="F4255" t="s">
        <v>20875</v>
      </c>
      <c r="H4255">
        <v>93525669</v>
      </c>
      <c r="I4255" t="s">
        <v>14292</v>
      </c>
      <c r="L4255" t="s">
        <v>24962</v>
      </c>
      <c r="M4255">
        <v>852</v>
      </c>
      <c r="N4255" t="s">
        <v>24963</v>
      </c>
    </row>
    <row r="4256" spans="1:14">
      <c r="A4256" t="s">
        <v>9256</v>
      </c>
      <c r="B4256">
        <v>5051031</v>
      </c>
      <c r="C4256">
        <v>5051114</v>
      </c>
      <c r="E4256" t="s">
        <v>14314</v>
      </c>
      <c r="F4256" t="s">
        <v>19044</v>
      </c>
      <c r="H4256">
        <v>93525670</v>
      </c>
      <c r="I4256" t="s">
        <v>13638</v>
      </c>
      <c r="N4256" t="s">
        <v>24964</v>
      </c>
    </row>
    <row r="4257" spans="1:14">
      <c r="A4257" t="s">
        <v>9256</v>
      </c>
      <c r="B4257">
        <v>5051128</v>
      </c>
      <c r="C4257">
        <v>5051211</v>
      </c>
      <c r="E4257" t="s">
        <v>14314</v>
      </c>
      <c r="F4257" t="s">
        <v>19044</v>
      </c>
      <c r="H4257">
        <v>93525671</v>
      </c>
      <c r="I4257" t="s">
        <v>13638</v>
      </c>
      <c r="N4257" t="s">
        <v>24965</v>
      </c>
    </row>
    <row r="4258" spans="1:14">
      <c r="A4258" t="s">
        <v>9256</v>
      </c>
      <c r="B4258">
        <v>5051228</v>
      </c>
      <c r="C4258">
        <v>5051300</v>
      </c>
      <c r="E4258" t="s">
        <v>14314</v>
      </c>
      <c r="F4258" t="s">
        <v>16484</v>
      </c>
      <c r="H4258">
        <v>93525672</v>
      </c>
      <c r="I4258" t="s">
        <v>13638</v>
      </c>
      <c r="N4258" t="s">
        <v>24966</v>
      </c>
    </row>
    <row r="4259" spans="1:14">
      <c r="A4259" t="s">
        <v>9256</v>
      </c>
      <c r="B4259">
        <v>5051380</v>
      </c>
      <c r="C4259">
        <v>5052207</v>
      </c>
      <c r="E4259" t="s">
        <v>14314</v>
      </c>
      <c r="F4259" t="s">
        <v>24967</v>
      </c>
      <c r="H4259">
        <v>93525673</v>
      </c>
      <c r="I4259" t="s">
        <v>14292</v>
      </c>
      <c r="L4259" t="s">
        <v>24968</v>
      </c>
      <c r="M4259">
        <v>275</v>
      </c>
      <c r="N4259" t="s">
        <v>24969</v>
      </c>
    </row>
    <row r="4260" spans="1:14">
      <c r="A4260" t="s">
        <v>9256</v>
      </c>
      <c r="B4260">
        <v>5052219</v>
      </c>
      <c r="C4260">
        <v>5053475</v>
      </c>
      <c r="E4260" t="s">
        <v>14314</v>
      </c>
      <c r="F4260" t="s">
        <v>15688</v>
      </c>
      <c r="H4260">
        <v>93525674</v>
      </c>
      <c r="I4260" t="s">
        <v>14292</v>
      </c>
      <c r="L4260" t="s">
        <v>24970</v>
      </c>
      <c r="M4260">
        <v>418</v>
      </c>
      <c r="N4260" t="s">
        <v>24971</v>
      </c>
    </row>
    <row r="4261" spans="1:14">
      <c r="A4261" t="s">
        <v>9256</v>
      </c>
      <c r="B4261">
        <v>5053487</v>
      </c>
      <c r="C4261">
        <v>5054842</v>
      </c>
      <c r="E4261" t="s">
        <v>14314</v>
      </c>
      <c r="F4261" t="s">
        <v>18322</v>
      </c>
      <c r="H4261">
        <v>93525675</v>
      </c>
      <c r="I4261" t="s">
        <v>14292</v>
      </c>
      <c r="L4261" t="s">
        <v>24972</v>
      </c>
      <c r="M4261">
        <v>451</v>
      </c>
      <c r="N4261" t="s">
        <v>24973</v>
      </c>
    </row>
    <row r="4262" spans="1:14">
      <c r="A4262" t="s">
        <v>9256</v>
      </c>
      <c r="B4262">
        <v>5055092</v>
      </c>
      <c r="C4262">
        <v>5055823</v>
      </c>
      <c r="E4262" t="s">
        <v>14290</v>
      </c>
      <c r="F4262" t="s">
        <v>16178</v>
      </c>
      <c r="H4262">
        <v>93525676</v>
      </c>
      <c r="I4262" t="s">
        <v>14292</v>
      </c>
      <c r="L4262" t="s">
        <v>24974</v>
      </c>
      <c r="M4262">
        <v>243</v>
      </c>
      <c r="N4262" t="s">
        <v>24975</v>
      </c>
    </row>
    <row r="4263" spans="1:14">
      <c r="A4263" t="s">
        <v>9256</v>
      </c>
      <c r="B4263">
        <v>5055858</v>
      </c>
      <c r="C4263">
        <v>5056190</v>
      </c>
      <c r="E4263" t="s">
        <v>14314</v>
      </c>
      <c r="F4263" t="s">
        <v>22791</v>
      </c>
      <c r="H4263">
        <v>93525677</v>
      </c>
      <c r="I4263" t="s">
        <v>14292</v>
      </c>
      <c r="L4263" t="s">
        <v>24976</v>
      </c>
      <c r="M4263">
        <v>110</v>
      </c>
      <c r="N4263" t="s">
        <v>24977</v>
      </c>
    </row>
    <row r="4264" spans="1:14">
      <c r="A4264" t="s">
        <v>9256</v>
      </c>
      <c r="B4264">
        <v>5056305</v>
      </c>
      <c r="C4264">
        <v>5057963</v>
      </c>
      <c r="E4264" t="s">
        <v>14290</v>
      </c>
      <c r="F4264" t="s">
        <v>24978</v>
      </c>
      <c r="H4264">
        <v>93525678</v>
      </c>
      <c r="I4264" t="s">
        <v>14292</v>
      </c>
      <c r="L4264" t="s">
        <v>24979</v>
      </c>
      <c r="M4264">
        <v>552</v>
      </c>
      <c r="N4264" t="s">
        <v>24980</v>
      </c>
    </row>
    <row r="4265" spans="1:14">
      <c r="A4265" t="s">
        <v>9256</v>
      </c>
      <c r="B4265">
        <v>5058110</v>
      </c>
      <c r="C4265">
        <v>5058490</v>
      </c>
      <c r="E4265" t="s">
        <v>14314</v>
      </c>
      <c r="F4265" t="s">
        <v>22673</v>
      </c>
      <c r="H4265">
        <v>93525679</v>
      </c>
      <c r="I4265" t="s">
        <v>14292</v>
      </c>
      <c r="L4265" t="s">
        <v>24981</v>
      </c>
      <c r="M4265">
        <v>126</v>
      </c>
      <c r="N4265" t="s">
        <v>24982</v>
      </c>
    </row>
    <row r="4266" spans="1:14">
      <c r="A4266" t="s">
        <v>9256</v>
      </c>
      <c r="B4266">
        <v>5058592</v>
      </c>
      <c r="C4266">
        <v>5058867</v>
      </c>
      <c r="E4266" t="s">
        <v>14290</v>
      </c>
      <c r="F4266" t="s">
        <v>14606</v>
      </c>
      <c r="H4266">
        <v>93525680</v>
      </c>
      <c r="I4266" t="s">
        <v>14292</v>
      </c>
      <c r="L4266" t="s">
        <v>24983</v>
      </c>
      <c r="M4266">
        <v>91</v>
      </c>
      <c r="N4266" t="s">
        <v>24984</v>
      </c>
    </row>
    <row r="4267" spans="1:14">
      <c r="A4267" t="s">
        <v>9256</v>
      </c>
      <c r="B4267">
        <v>5058981</v>
      </c>
      <c r="C4267">
        <v>5060324</v>
      </c>
      <c r="E4267" t="s">
        <v>14314</v>
      </c>
      <c r="F4267" t="s">
        <v>24985</v>
      </c>
      <c r="H4267">
        <v>93525681</v>
      </c>
      <c r="I4267" t="s">
        <v>14292</v>
      </c>
      <c r="L4267" t="s">
        <v>24986</v>
      </c>
      <c r="M4267">
        <v>447</v>
      </c>
      <c r="N4267" t="s">
        <v>24987</v>
      </c>
    </row>
    <row r="4268" spans="1:14">
      <c r="A4268" t="s">
        <v>9256</v>
      </c>
      <c r="B4268">
        <v>5060330</v>
      </c>
      <c r="C4268">
        <v>5061607</v>
      </c>
      <c r="E4268" t="s">
        <v>14314</v>
      </c>
      <c r="F4268" t="s">
        <v>24988</v>
      </c>
      <c r="G4268" t="s">
        <v>24989</v>
      </c>
      <c r="H4268">
        <v>93525682</v>
      </c>
      <c r="I4268" t="s">
        <v>14292</v>
      </c>
      <c r="L4268" t="s">
        <v>24990</v>
      </c>
      <c r="M4268">
        <v>425</v>
      </c>
      <c r="N4268" t="s">
        <v>24991</v>
      </c>
    </row>
    <row r="4269" spans="1:14">
      <c r="A4269" t="s">
        <v>9256</v>
      </c>
      <c r="B4269">
        <v>5061631</v>
      </c>
      <c r="C4269">
        <v>5063880</v>
      </c>
      <c r="E4269" t="s">
        <v>14314</v>
      </c>
      <c r="F4269" t="s">
        <v>24992</v>
      </c>
      <c r="H4269">
        <v>93525683</v>
      </c>
      <c r="I4269" t="s">
        <v>14292</v>
      </c>
      <c r="L4269" t="s">
        <v>24993</v>
      </c>
      <c r="M4269">
        <v>749</v>
      </c>
      <c r="N4269" t="s">
        <v>24994</v>
      </c>
    </row>
    <row r="4270" spans="1:14">
      <c r="A4270" t="s">
        <v>9256</v>
      </c>
      <c r="B4270">
        <v>5064151</v>
      </c>
      <c r="C4270">
        <v>5065800</v>
      </c>
      <c r="E4270" t="s">
        <v>14314</v>
      </c>
      <c r="F4270" t="s">
        <v>24995</v>
      </c>
      <c r="H4270">
        <v>93525684</v>
      </c>
      <c r="I4270" t="s">
        <v>14292</v>
      </c>
      <c r="L4270" t="s">
        <v>24996</v>
      </c>
      <c r="M4270">
        <v>549</v>
      </c>
      <c r="N4270" t="s">
        <v>24997</v>
      </c>
    </row>
    <row r="4271" spans="1:14">
      <c r="A4271" t="s">
        <v>9256</v>
      </c>
      <c r="B4271">
        <v>5065813</v>
      </c>
      <c r="C4271">
        <v>5067510</v>
      </c>
      <c r="E4271" t="s">
        <v>14314</v>
      </c>
      <c r="F4271" t="s">
        <v>24998</v>
      </c>
      <c r="G4271" t="s">
        <v>24999</v>
      </c>
      <c r="H4271">
        <v>93525685</v>
      </c>
      <c r="I4271" t="s">
        <v>14292</v>
      </c>
      <c r="L4271" t="s">
        <v>25000</v>
      </c>
      <c r="M4271">
        <v>565</v>
      </c>
      <c r="N4271" t="s">
        <v>25001</v>
      </c>
    </row>
    <row r="4272" spans="1:14">
      <c r="A4272" t="s">
        <v>9256</v>
      </c>
      <c r="B4272">
        <v>5067922</v>
      </c>
      <c r="C4272">
        <v>5068839</v>
      </c>
      <c r="E4272" t="s">
        <v>14290</v>
      </c>
      <c r="F4272" t="s">
        <v>19612</v>
      </c>
      <c r="H4272">
        <v>93525686</v>
      </c>
      <c r="I4272" t="s">
        <v>14292</v>
      </c>
      <c r="L4272" t="s">
        <v>25002</v>
      </c>
      <c r="M4272">
        <v>305</v>
      </c>
      <c r="N4272" t="s">
        <v>25003</v>
      </c>
    </row>
    <row r="4273" spans="1:14">
      <c r="A4273" t="s">
        <v>9256</v>
      </c>
      <c r="B4273">
        <v>5068986</v>
      </c>
      <c r="C4273">
        <v>5071367</v>
      </c>
      <c r="E4273" t="s">
        <v>14290</v>
      </c>
      <c r="F4273" t="s">
        <v>15450</v>
      </c>
      <c r="H4273">
        <v>93525687</v>
      </c>
      <c r="I4273" t="s">
        <v>14292</v>
      </c>
      <c r="L4273" t="s">
        <v>25004</v>
      </c>
      <c r="M4273">
        <v>793</v>
      </c>
      <c r="N4273" t="s">
        <v>25005</v>
      </c>
    </row>
    <row r="4274" spans="1:14">
      <c r="A4274" t="s">
        <v>9256</v>
      </c>
      <c r="B4274">
        <v>5071386</v>
      </c>
      <c r="C4274">
        <v>5072849</v>
      </c>
      <c r="E4274" t="s">
        <v>14290</v>
      </c>
      <c r="F4274" t="s">
        <v>25006</v>
      </c>
      <c r="H4274">
        <v>93525688</v>
      </c>
      <c r="I4274" t="s">
        <v>14292</v>
      </c>
      <c r="L4274" t="s">
        <v>25007</v>
      </c>
      <c r="M4274">
        <v>487</v>
      </c>
      <c r="N4274" t="s">
        <v>25008</v>
      </c>
    </row>
    <row r="4275" spans="1:14">
      <c r="A4275" t="s">
        <v>9256</v>
      </c>
      <c r="B4275">
        <v>5072906</v>
      </c>
      <c r="C4275">
        <v>5074318</v>
      </c>
      <c r="E4275" t="s">
        <v>14290</v>
      </c>
      <c r="F4275" t="s">
        <v>25009</v>
      </c>
      <c r="G4275" t="s">
        <v>25010</v>
      </c>
      <c r="H4275">
        <v>93525689</v>
      </c>
      <c r="I4275" t="s">
        <v>14292</v>
      </c>
      <c r="L4275" t="s">
        <v>25011</v>
      </c>
      <c r="M4275">
        <v>470</v>
      </c>
      <c r="N4275" t="s">
        <v>25012</v>
      </c>
    </row>
    <row r="4276" spans="1:14">
      <c r="A4276" t="s">
        <v>9256</v>
      </c>
      <c r="B4276">
        <v>5074315</v>
      </c>
      <c r="C4276">
        <v>5075514</v>
      </c>
      <c r="E4276" t="s">
        <v>14290</v>
      </c>
      <c r="F4276" t="s">
        <v>25013</v>
      </c>
      <c r="H4276">
        <v>93525690</v>
      </c>
      <c r="I4276" t="s">
        <v>14292</v>
      </c>
      <c r="L4276" t="s">
        <v>25014</v>
      </c>
      <c r="M4276">
        <v>399</v>
      </c>
      <c r="N4276" t="s">
        <v>25015</v>
      </c>
    </row>
    <row r="4277" spans="1:14">
      <c r="A4277" t="s">
        <v>9256</v>
      </c>
      <c r="B4277">
        <v>5075511</v>
      </c>
      <c r="C4277">
        <v>5077292</v>
      </c>
      <c r="E4277" t="s">
        <v>14290</v>
      </c>
      <c r="F4277" t="s">
        <v>25016</v>
      </c>
      <c r="G4277" t="s">
        <v>25017</v>
      </c>
      <c r="H4277">
        <v>93525691</v>
      </c>
      <c r="I4277" t="s">
        <v>14292</v>
      </c>
      <c r="L4277" t="s">
        <v>25018</v>
      </c>
      <c r="M4277">
        <v>593</v>
      </c>
      <c r="N4277" t="s">
        <v>25019</v>
      </c>
    </row>
    <row r="4278" spans="1:14">
      <c r="A4278" t="s">
        <v>9256</v>
      </c>
      <c r="B4278">
        <v>5077292</v>
      </c>
      <c r="C4278">
        <v>5079226</v>
      </c>
      <c r="E4278" t="s">
        <v>14290</v>
      </c>
      <c r="F4278" t="s">
        <v>25020</v>
      </c>
      <c r="G4278" t="s">
        <v>25021</v>
      </c>
      <c r="H4278">
        <v>93525692</v>
      </c>
      <c r="I4278" t="s">
        <v>14292</v>
      </c>
      <c r="L4278" t="s">
        <v>25022</v>
      </c>
      <c r="M4278">
        <v>644</v>
      </c>
      <c r="N4278" t="s">
        <v>25023</v>
      </c>
    </row>
    <row r="4279" spans="1:14">
      <c r="A4279" t="s">
        <v>9256</v>
      </c>
      <c r="B4279">
        <v>5079292</v>
      </c>
      <c r="C4279">
        <v>5080521</v>
      </c>
      <c r="E4279" t="s">
        <v>14290</v>
      </c>
      <c r="F4279" t="s">
        <v>17624</v>
      </c>
      <c r="H4279">
        <v>93525693</v>
      </c>
      <c r="I4279" t="s">
        <v>14292</v>
      </c>
      <c r="L4279" t="s">
        <v>25024</v>
      </c>
      <c r="M4279">
        <v>409</v>
      </c>
      <c r="N4279" t="s">
        <v>25025</v>
      </c>
    </row>
    <row r="4280" spans="1:14">
      <c r="A4280" t="s">
        <v>9256</v>
      </c>
      <c r="B4280">
        <v>5080717</v>
      </c>
      <c r="C4280">
        <v>5081565</v>
      </c>
      <c r="E4280" t="s">
        <v>14290</v>
      </c>
      <c r="F4280" t="s">
        <v>25026</v>
      </c>
      <c r="G4280" t="s">
        <v>25027</v>
      </c>
      <c r="H4280">
        <v>93525694</v>
      </c>
      <c r="I4280" t="s">
        <v>14292</v>
      </c>
      <c r="L4280" t="s">
        <v>25028</v>
      </c>
      <c r="M4280">
        <v>282</v>
      </c>
      <c r="N4280" t="s">
        <v>25029</v>
      </c>
    </row>
    <row r="4281" spans="1:14">
      <c r="A4281" t="s">
        <v>9256</v>
      </c>
      <c r="B4281">
        <v>5081558</v>
      </c>
      <c r="C4281">
        <v>5082154</v>
      </c>
      <c r="E4281" t="s">
        <v>14290</v>
      </c>
      <c r="F4281" t="s">
        <v>25030</v>
      </c>
      <c r="H4281">
        <v>93525695</v>
      </c>
      <c r="I4281" t="s">
        <v>14292</v>
      </c>
      <c r="L4281" t="s">
        <v>25031</v>
      </c>
      <c r="M4281">
        <v>198</v>
      </c>
      <c r="N4281" t="s">
        <v>25032</v>
      </c>
    </row>
    <row r="4282" spans="1:14">
      <c r="A4282" t="s">
        <v>9256</v>
      </c>
      <c r="B4282">
        <v>5082145</v>
      </c>
      <c r="C4282">
        <v>5082873</v>
      </c>
      <c r="E4282" t="s">
        <v>14290</v>
      </c>
      <c r="F4282" t="s">
        <v>25030</v>
      </c>
      <c r="H4282">
        <v>93525696</v>
      </c>
      <c r="I4282" t="s">
        <v>14292</v>
      </c>
      <c r="L4282" t="s">
        <v>25033</v>
      </c>
      <c r="M4282">
        <v>242</v>
      </c>
      <c r="N4282" t="s">
        <v>25034</v>
      </c>
    </row>
    <row r="4283" spans="1:14">
      <c r="A4283" t="s">
        <v>9256</v>
      </c>
      <c r="B4283">
        <v>5082885</v>
      </c>
      <c r="C4283">
        <v>5084582</v>
      </c>
      <c r="E4283" t="s">
        <v>14290</v>
      </c>
      <c r="F4283" t="s">
        <v>25035</v>
      </c>
      <c r="G4283" t="s">
        <v>25036</v>
      </c>
      <c r="H4283">
        <v>93525697</v>
      </c>
      <c r="I4283" t="s">
        <v>14292</v>
      </c>
      <c r="L4283" t="s">
        <v>25037</v>
      </c>
      <c r="M4283">
        <v>565</v>
      </c>
      <c r="N4283" t="s">
        <v>25038</v>
      </c>
    </row>
    <row r="4284" spans="1:14">
      <c r="A4284" t="s">
        <v>9256</v>
      </c>
      <c r="B4284">
        <v>5084623</v>
      </c>
      <c r="C4284">
        <v>5085459</v>
      </c>
      <c r="E4284" t="s">
        <v>14314</v>
      </c>
      <c r="F4284" t="s">
        <v>14748</v>
      </c>
      <c r="H4284">
        <v>93525698</v>
      </c>
      <c r="I4284" t="s">
        <v>14292</v>
      </c>
      <c r="L4284" t="s">
        <v>25039</v>
      </c>
      <c r="M4284">
        <v>278</v>
      </c>
      <c r="N4284" t="s">
        <v>25040</v>
      </c>
    </row>
    <row r="4285" spans="1:14">
      <c r="A4285" t="s">
        <v>9256</v>
      </c>
      <c r="B4285">
        <v>5085561</v>
      </c>
      <c r="C4285">
        <v>5086559</v>
      </c>
      <c r="E4285" t="s">
        <v>14314</v>
      </c>
      <c r="F4285" t="s">
        <v>25041</v>
      </c>
      <c r="H4285">
        <v>93525699</v>
      </c>
      <c r="I4285" t="s">
        <v>14292</v>
      </c>
      <c r="L4285" t="s">
        <v>25042</v>
      </c>
      <c r="M4285">
        <v>332</v>
      </c>
      <c r="N4285" t="s">
        <v>25043</v>
      </c>
    </row>
    <row r="4286" spans="1:14">
      <c r="A4286" t="s">
        <v>9256</v>
      </c>
      <c r="B4286">
        <v>5086672</v>
      </c>
      <c r="C4286">
        <v>5088630</v>
      </c>
      <c r="E4286" t="s">
        <v>14290</v>
      </c>
      <c r="F4286" t="s">
        <v>25044</v>
      </c>
      <c r="H4286">
        <v>93525700</v>
      </c>
      <c r="I4286" t="s">
        <v>14292</v>
      </c>
      <c r="L4286" t="s">
        <v>25045</v>
      </c>
      <c r="M4286">
        <v>652</v>
      </c>
      <c r="N4286" t="s">
        <v>25046</v>
      </c>
    </row>
    <row r="4287" spans="1:14">
      <c r="A4287" t="s">
        <v>9256</v>
      </c>
      <c r="B4287">
        <v>5088581</v>
      </c>
      <c r="C4287">
        <v>5089756</v>
      </c>
      <c r="E4287" t="s">
        <v>14314</v>
      </c>
      <c r="F4287" t="s">
        <v>14493</v>
      </c>
      <c r="H4287">
        <v>93525701</v>
      </c>
      <c r="I4287" t="s">
        <v>14292</v>
      </c>
      <c r="L4287" t="s">
        <v>25047</v>
      </c>
      <c r="M4287">
        <v>391</v>
      </c>
      <c r="N4287" t="s">
        <v>25048</v>
      </c>
    </row>
    <row r="4288" spans="1:14">
      <c r="A4288" t="s">
        <v>9256</v>
      </c>
      <c r="B4288">
        <v>5089753</v>
      </c>
      <c r="C4288">
        <v>5090430</v>
      </c>
      <c r="E4288" t="s">
        <v>14314</v>
      </c>
      <c r="F4288" t="s">
        <v>14490</v>
      </c>
      <c r="H4288">
        <v>93525702</v>
      </c>
      <c r="I4288" t="s">
        <v>14292</v>
      </c>
      <c r="L4288" t="s">
        <v>25049</v>
      </c>
      <c r="M4288">
        <v>225</v>
      </c>
      <c r="N4288" t="s">
        <v>25050</v>
      </c>
    </row>
    <row r="4289" spans="1:14">
      <c r="A4289" t="s">
        <v>9256</v>
      </c>
      <c r="B4289">
        <v>5090661</v>
      </c>
      <c r="C4289">
        <v>5093786</v>
      </c>
      <c r="E4289" t="s">
        <v>14314</v>
      </c>
      <c r="F4289" t="s">
        <v>14548</v>
      </c>
      <c r="H4289">
        <v>93525703</v>
      </c>
      <c r="I4289" t="s">
        <v>14292</v>
      </c>
      <c r="L4289" t="s">
        <v>25051</v>
      </c>
      <c r="M4289">
        <v>1041</v>
      </c>
      <c r="N4289" t="s">
        <v>25052</v>
      </c>
    </row>
    <row r="4290" spans="1:14">
      <c r="A4290" t="s">
        <v>9256</v>
      </c>
      <c r="B4290">
        <v>5093796</v>
      </c>
      <c r="C4290">
        <v>5094881</v>
      </c>
      <c r="E4290" t="s">
        <v>14314</v>
      </c>
      <c r="F4290" t="s">
        <v>14503</v>
      </c>
      <c r="H4290">
        <v>93525704</v>
      </c>
      <c r="I4290" t="s">
        <v>14292</v>
      </c>
      <c r="L4290" t="s">
        <v>25053</v>
      </c>
      <c r="M4290">
        <v>361</v>
      </c>
      <c r="N4290" t="s">
        <v>25054</v>
      </c>
    </row>
    <row r="4291" spans="1:14">
      <c r="A4291" t="s">
        <v>9256</v>
      </c>
      <c r="B4291">
        <v>5094898</v>
      </c>
      <c r="C4291">
        <v>5096157</v>
      </c>
      <c r="E4291" t="s">
        <v>14314</v>
      </c>
      <c r="F4291" t="s">
        <v>14545</v>
      </c>
      <c r="H4291">
        <v>93525705</v>
      </c>
      <c r="I4291" t="s">
        <v>14292</v>
      </c>
      <c r="L4291" t="s">
        <v>25055</v>
      </c>
      <c r="M4291">
        <v>419</v>
      </c>
      <c r="N4291" t="s">
        <v>25056</v>
      </c>
    </row>
    <row r="4292" spans="1:14">
      <c r="A4292" t="s">
        <v>9256</v>
      </c>
      <c r="B4292">
        <v>5096248</v>
      </c>
      <c r="C4292">
        <v>5097180</v>
      </c>
      <c r="E4292" t="s">
        <v>14314</v>
      </c>
      <c r="F4292" t="s">
        <v>25057</v>
      </c>
      <c r="H4292">
        <v>93525706</v>
      </c>
      <c r="I4292" t="s">
        <v>14292</v>
      </c>
      <c r="L4292" t="s">
        <v>25058</v>
      </c>
      <c r="M4292">
        <v>310</v>
      </c>
      <c r="N4292" t="s">
        <v>25059</v>
      </c>
    </row>
    <row r="4293" spans="1:14">
      <c r="A4293" t="s">
        <v>9256</v>
      </c>
      <c r="B4293">
        <v>5097191</v>
      </c>
      <c r="C4293">
        <v>5097652</v>
      </c>
      <c r="E4293" t="s">
        <v>14314</v>
      </c>
      <c r="F4293" t="s">
        <v>25060</v>
      </c>
      <c r="H4293">
        <v>93525707</v>
      </c>
      <c r="I4293" t="s">
        <v>14292</v>
      </c>
      <c r="L4293" t="s">
        <v>25061</v>
      </c>
      <c r="M4293">
        <v>153</v>
      </c>
      <c r="N4293" t="s">
        <v>25062</v>
      </c>
    </row>
    <row r="4294" spans="1:14">
      <c r="A4294" t="s">
        <v>9256</v>
      </c>
      <c r="B4294">
        <v>5097670</v>
      </c>
      <c r="C4294">
        <v>5099049</v>
      </c>
      <c r="E4294" t="s">
        <v>14314</v>
      </c>
      <c r="F4294" t="s">
        <v>25063</v>
      </c>
      <c r="H4294">
        <v>93525708</v>
      </c>
      <c r="I4294" t="s">
        <v>14292</v>
      </c>
      <c r="L4294" t="s">
        <v>25064</v>
      </c>
      <c r="M4294">
        <v>459</v>
      </c>
      <c r="N4294" t="s">
        <v>25065</v>
      </c>
    </row>
    <row r="4295" spans="1:14">
      <c r="A4295" t="s">
        <v>9256</v>
      </c>
      <c r="B4295">
        <v>5099378</v>
      </c>
      <c r="C4295">
        <v>5099965</v>
      </c>
      <c r="E4295" t="s">
        <v>14290</v>
      </c>
      <c r="F4295" t="s">
        <v>25066</v>
      </c>
      <c r="H4295">
        <v>93525709</v>
      </c>
      <c r="I4295" t="s">
        <v>14292</v>
      </c>
      <c r="L4295" t="s">
        <v>25067</v>
      </c>
      <c r="M4295">
        <v>195</v>
      </c>
      <c r="N4295" t="s">
        <v>25068</v>
      </c>
    </row>
    <row r="4296" spans="1:14">
      <c r="A4296" t="s">
        <v>9256</v>
      </c>
      <c r="B4296">
        <v>5099980</v>
      </c>
      <c r="C4296">
        <v>5100951</v>
      </c>
      <c r="E4296" t="s">
        <v>14290</v>
      </c>
      <c r="F4296" t="s">
        <v>25069</v>
      </c>
      <c r="H4296">
        <v>93525710</v>
      </c>
      <c r="I4296" t="s">
        <v>14292</v>
      </c>
      <c r="L4296" t="s">
        <v>25070</v>
      </c>
      <c r="M4296">
        <v>323</v>
      </c>
      <c r="N4296" t="s">
        <v>25071</v>
      </c>
    </row>
    <row r="4297" spans="1:14">
      <c r="A4297" t="s">
        <v>9256</v>
      </c>
      <c r="B4297">
        <v>5101025</v>
      </c>
      <c r="C4297">
        <v>5101513</v>
      </c>
      <c r="E4297" t="s">
        <v>14314</v>
      </c>
      <c r="F4297" t="s">
        <v>25072</v>
      </c>
      <c r="H4297">
        <v>93525711</v>
      </c>
      <c r="I4297" t="s">
        <v>14292</v>
      </c>
      <c r="L4297" t="s">
        <v>25073</v>
      </c>
      <c r="M4297">
        <v>162</v>
      </c>
      <c r="N4297" t="s">
        <v>25074</v>
      </c>
    </row>
    <row r="4298" spans="1:14">
      <c r="A4298" t="s">
        <v>9256</v>
      </c>
      <c r="B4298">
        <v>5101517</v>
      </c>
      <c r="C4298">
        <v>5103307</v>
      </c>
      <c r="E4298" t="s">
        <v>14314</v>
      </c>
      <c r="F4298" t="s">
        <v>25075</v>
      </c>
      <c r="H4298">
        <v>93525712</v>
      </c>
      <c r="I4298" t="s">
        <v>14292</v>
      </c>
      <c r="L4298" t="s">
        <v>25076</v>
      </c>
      <c r="M4298">
        <v>596</v>
      </c>
      <c r="N4298" t="s">
        <v>25077</v>
      </c>
    </row>
    <row r="4299" spans="1:14">
      <c r="A4299" t="s">
        <v>9256</v>
      </c>
      <c r="B4299">
        <v>5103322</v>
      </c>
      <c r="C4299">
        <v>5105112</v>
      </c>
      <c r="E4299" t="s">
        <v>14314</v>
      </c>
      <c r="F4299" t="s">
        <v>25078</v>
      </c>
      <c r="H4299">
        <v>93525713</v>
      </c>
      <c r="I4299" t="s">
        <v>14292</v>
      </c>
      <c r="L4299" t="s">
        <v>25079</v>
      </c>
      <c r="M4299">
        <v>596</v>
      </c>
      <c r="N4299" t="s">
        <v>25080</v>
      </c>
    </row>
    <row r="4300" spans="1:14">
      <c r="A4300" t="s">
        <v>9256</v>
      </c>
      <c r="B4300">
        <v>5105134</v>
      </c>
      <c r="C4300">
        <v>5105532</v>
      </c>
      <c r="E4300" t="s">
        <v>14314</v>
      </c>
      <c r="F4300" t="s">
        <v>25081</v>
      </c>
      <c r="H4300">
        <v>93525714</v>
      </c>
      <c r="I4300" t="s">
        <v>14292</v>
      </c>
      <c r="L4300" t="s">
        <v>25082</v>
      </c>
      <c r="M4300">
        <v>132</v>
      </c>
      <c r="N4300" t="s">
        <v>25083</v>
      </c>
    </row>
    <row r="4301" spans="1:14">
      <c r="A4301" t="s">
        <v>9256</v>
      </c>
      <c r="B4301">
        <v>5105607</v>
      </c>
      <c r="C4301">
        <v>5106503</v>
      </c>
      <c r="E4301" t="s">
        <v>14314</v>
      </c>
      <c r="F4301" t="s">
        <v>15081</v>
      </c>
      <c r="H4301">
        <v>93525715</v>
      </c>
      <c r="I4301" t="s">
        <v>14292</v>
      </c>
      <c r="L4301" t="s">
        <v>25084</v>
      </c>
      <c r="M4301">
        <v>298</v>
      </c>
      <c r="N4301" t="s">
        <v>25085</v>
      </c>
    </row>
    <row r="4302" spans="1:14">
      <c r="A4302" t="s">
        <v>9256</v>
      </c>
      <c r="B4302">
        <v>5106506</v>
      </c>
      <c r="C4302">
        <v>5108668</v>
      </c>
      <c r="E4302" t="s">
        <v>14314</v>
      </c>
      <c r="F4302" t="s">
        <v>16663</v>
      </c>
      <c r="H4302">
        <v>93525716</v>
      </c>
      <c r="I4302" t="s">
        <v>14292</v>
      </c>
      <c r="L4302" t="s">
        <v>25086</v>
      </c>
      <c r="M4302">
        <v>720</v>
      </c>
      <c r="N4302" t="s">
        <v>25087</v>
      </c>
    </row>
    <row r="4303" spans="1:14">
      <c r="A4303" t="s">
        <v>9256</v>
      </c>
      <c r="B4303">
        <v>5108681</v>
      </c>
      <c r="C4303">
        <v>5109637</v>
      </c>
      <c r="E4303" t="s">
        <v>14314</v>
      </c>
      <c r="F4303" t="s">
        <v>14291</v>
      </c>
      <c r="H4303">
        <v>93525717</v>
      </c>
      <c r="I4303" t="s">
        <v>14292</v>
      </c>
      <c r="L4303" t="s">
        <v>25088</v>
      </c>
      <c r="M4303">
        <v>318</v>
      </c>
      <c r="N4303" t="s">
        <v>25089</v>
      </c>
    </row>
    <row r="4304" spans="1:14">
      <c r="A4304" t="s">
        <v>9256</v>
      </c>
      <c r="B4304">
        <v>5109679</v>
      </c>
      <c r="C4304">
        <v>5111472</v>
      </c>
      <c r="E4304" t="s">
        <v>14314</v>
      </c>
      <c r="F4304" t="s">
        <v>25090</v>
      </c>
      <c r="H4304">
        <v>93525718</v>
      </c>
      <c r="I4304" t="s">
        <v>14292</v>
      </c>
      <c r="L4304" t="s">
        <v>25091</v>
      </c>
      <c r="M4304">
        <v>597</v>
      </c>
      <c r="N4304" t="s">
        <v>25092</v>
      </c>
    </row>
    <row r="4305" spans="1:14">
      <c r="A4305" t="s">
        <v>9256</v>
      </c>
      <c r="B4305">
        <v>5111514</v>
      </c>
      <c r="C4305">
        <v>5112317</v>
      </c>
      <c r="E4305" t="s">
        <v>14314</v>
      </c>
      <c r="F4305" t="s">
        <v>20125</v>
      </c>
      <c r="H4305">
        <v>93525719</v>
      </c>
      <c r="I4305" t="s">
        <v>14292</v>
      </c>
      <c r="L4305" t="s">
        <v>25093</v>
      </c>
      <c r="M4305">
        <v>267</v>
      </c>
      <c r="N4305" t="s">
        <v>25094</v>
      </c>
    </row>
    <row r="4306" spans="1:14">
      <c r="A4306" t="s">
        <v>9256</v>
      </c>
      <c r="B4306">
        <v>5112330</v>
      </c>
      <c r="C4306">
        <v>5112845</v>
      </c>
      <c r="E4306" t="s">
        <v>14314</v>
      </c>
      <c r="F4306" t="s">
        <v>23730</v>
      </c>
      <c r="H4306">
        <v>93525720</v>
      </c>
      <c r="I4306" t="s">
        <v>14292</v>
      </c>
      <c r="L4306" t="s">
        <v>25095</v>
      </c>
      <c r="M4306">
        <v>171</v>
      </c>
      <c r="N4306" t="s">
        <v>25096</v>
      </c>
    </row>
    <row r="4307" spans="1:14">
      <c r="A4307" t="s">
        <v>9256</v>
      </c>
      <c r="B4307">
        <v>5112842</v>
      </c>
      <c r="C4307">
        <v>5113096</v>
      </c>
      <c r="E4307" t="s">
        <v>14314</v>
      </c>
      <c r="F4307" t="s">
        <v>14291</v>
      </c>
      <c r="H4307">
        <v>93525721</v>
      </c>
      <c r="I4307" t="s">
        <v>14292</v>
      </c>
      <c r="L4307" t="s">
        <v>25097</v>
      </c>
      <c r="M4307">
        <v>84</v>
      </c>
      <c r="N4307" t="s">
        <v>25098</v>
      </c>
    </row>
    <row r="4308" spans="1:14">
      <c r="A4308" t="s">
        <v>9256</v>
      </c>
      <c r="B4308">
        <v>5113239</v>
      </c>
      <c r="C4308">
        <v>5113892</v>
      </c>
      <c r="E4308" t="s">
        <v>14314</v>
      </c>
      <c r="F4308" t="s">
        <v>23730</v>
      </c>
      <c r="H4308">
        <v>93525722</v>
      </c>
      <c r="I4308" t="s">
        <v>14292</v>
      </c>
      <c r="L4308" t="s">
        <v>25099</v>
      </c>
      <c r="M4308">
        <v>217</v>
      </c>
      <c r="N4308" t="s">
        <v>25100</v>
      </c>
    </row>
    <row r="4309" spans="1:14">
      <c r="A4309" t="s">
        <v>9256</v>
      </c>
      <c r="B4309">
        <v>5113897</v>
      </c>
      <c r="C4309">
        <v>5114286</v>
      </c>
      <c r="E4309" t="s">
        <v>14314</v>
      </c>
      <c r="F4309" t="s">
        <v>18361</v>
      </c>
      <c r="H4309">
        <v>93525723</v>
      </c>
      <c r="I4309" t="s">
        <v>14292</v>
      </c>
      <c r="L4309" t="s">
        <v>25101</v>
      </c>
      <c r="M4309">
        <v>129</v>
      </c>
      <c r="N4309" t="s">
        <v>25102</v>
      </c>
    </row>
    <row r="4310" spans="1:14">
      <c r="A4310" t="s">
        <v>9256</v>
      </c>
      <c r="B4310">
        <v>5114345</v>
      </c>
      <c r="C4310">
        <v>5115439</v>
      </c>
      <c r="E4310" t="s">
        <v>14314</v>
      </c>
      <c r="F4310" t="s">
        <v>21487</v>
      </c>
      <c r="H4310">
        <v>93525724</v>
      </c>
      <c r="I4310" t="s">
        <v>14292</v>
      </c>
      <c r="L4310" t="s">
        <v>25103</v>
      </c>
      <c r="M4310">
        <v>364</v>
      </c>
      <c r="N4310" t="s">
        <v>25104</v>
      </c>
    </row>
    <row r="4311" spans="1:14">
      <c r="A4311" t="s">
        <v>9256</v>
      </c>
      <c r="B4311">
        <v>5115652</v>
      </c>
      <c r="C4311">
        <v>5118372</v>
      </c>
      <c r="E4311" t="s">
        <v>14314</v>
      </c>
      <c r="F4311" t="s">
        <v>25105</v>
      </c>
      <c r="G4311" t="s">
        <v>25106</v>
      </c>
      <c r="H4311">
        <v>93525725</v>
      </c>
      <c r="I4311" t="s">
        <v>14292</v>
      </c>
      <c r="L4311" t="s">
        <v>25107</v>
      </c>
      <c r="M4311">
        <v>906</v>
      </c>
      <c r="N4311" t="s">
        <v>25108</v>
      </c>
    </row>
    <row r="4312" spans="1:14">
      <c r="A4312" t="s">
        <v>9256</v>
      </c>
      <c r="B4312">
        <v>5118978</v>
      </c>
      <c r="C4312">
        <v>5120390</v>
      </c>
      <c r="E4312" t="s">
        <v>14290</v>
      </c>
      <c r="F4312" t="s">
        <v>25109</v>
      </c>
      <c r="G4312" t="s">
        <v>25110</v>
      </c>
      <c r="H4312">
        <v>93525726</v>
      </c>
      <c r="I4312" t="s">
        <v>14292</v>
      </c>
      <c r="L4312" t="s">
        <v>25111</v>
      </c>
      <c r="M4312">
        <v>470</v>
      </c>
      <c r="N4312" t="s">
        <v>25112</v>
      </c>
    </row>
    <row r="4313" spans="1:14">
      <c r="A4313" t="s">
        <v>9256</v>
      </c>
      <c r="B4313">
        <v>5120403</v>
      </c>
      <c r="C4313">
        <v>5121788</v>
      </c>
      <c r="E4313" t="s">
        <v>14290</v>
      </c>
      <c r="F4313" t="s">
        <v>25113</v>
      </c>
      <c r="H4313">
        <v>93525727</v>
      </c>
      <c r="I4313" t="s">
        <v>14292</v>
      </c>
      <c r="L4313" t="s">
        <v>25114</v>
      </c>
      <c r="M4313">
        <v>461</v>
      </c>
      <c r="N4313" t="s">
        <v>25115</v>
      </c>
    </row>
    <row r="4314" spans="1:14">
      <c r="A4314" t="s">
        <v>9256</v>
      </c>
      <c r="B4314">
        <v>5121857</v>
      </c>
      <c r="C4314">
        <v>5122738</v>
      </c>
      <c r="E4314" t="s">
        <v>14314</v>
      </c>
      <c r="F4314" t="s">
        <v>23501</v>
      </c>
      <c r="H4314">
        <v>93525728</v>
      </c>
      <c r="I4314" t="s">
        <v>14292</v>
      </c>
      <c r="L4314" t="s">
        <v>25116</v>
      </c>
      <c r="M4314">
        <v>293</v>
      </c>
      <c r="N4314" t="s">
        <v>25117</v>
      </c>
    </row>
    <row r="4315" spans="1:14">
      <c r="A4315" t="s">
        <v>9256</v>
      </c>
      <c r="B4315">
        <v>5122904</v>
      </c>
      <c r="C4315">
        <v>5123137</v>
      </c>
      <c r="E4315" t="s">
        <v>14290</v>
      </c>
      <c r="F4315" t="s">
        <v>25118</v>
      </c>
      <c r="H4315">
        <v>93525729</v>
      </c>
      <c r="I4315" t="s">
        <v>14292</v>
      </c>
      <c r="L4315" t="s">
        <v>25119</v>
      </c>
      <c r="M4315">
        <v>77</v>
      </c>
      <c r="N4315" t="s">
        <v>25120</v>
      </c>
    </row>
    <row r="4316" spans="1:14">
      <c r="A4316" t="s">
        <v>9256</v>
      </c>
      <c r="B4316">
        <v>5123231</v>
      </c>
      <c r="C4316">
        <v>5123494</v>
      </c>
      <c r="E4316" t="s">
        <v>14314</v>
      </c>
      <c r="F4316" t="s">
        <v>14291</v>
      </c>
      <c r="H4316">
        <v>93525730</v>
      </c>
      <c r="I4316" t="s">
        <v>14292</v>
      </c>
      <c r="L4316" t="s">
        <v>25121</v>
      </c>
      <c r="M4316">
        <v>87</v>
      </c>
      <c r="N4316" t="s">
        <v>25122</v>
      </c>
    </row>
    <row r="4317" spans="1:14">
      <c r="A4317" t="s">
        <v>9256</v>
      </c>
      <c r="B4317">
        <v>5123595</v>
      </c>
      <c r="C4317">
        <v>5123666</v>
      </c>
      <c r="E4317" t="s">
        <v>14290</v>
      </c>
      <c r="F4317" t="s">
        <v>14291</v>
      </c>
      <c r="H4317">
        <v>301046732</v>
      </c>
      <c r="I4317" t="s">
        <v>14292</v>
      </c>
      <c r="L4317" t="s">
        <v>25123</v>
      </c>
      <c r="M4317">
        <v>23</v>
      </c>
      <c r="N4317" t="s">
        <v>25124</v>
      </c>
    </row>
    <row r="4318" spans="1:14">
      <c r="A4318" t="s">
        <v>9256</v>
      </c>
      <c r="B4318">
        <v>5123998</v>
      </c>
      <c r="C4318">
        <v>5124348</v>
      </c>
      <c r="E4318" t="s">
        <v>14290</v>
      </c>
      <c r="F4318" t="s">
        <v>25125</v>
      </c>
      <c r="H4318">
        <v>93525731</v>
      </c>
      <c r="I4318" t="s">
        <v>14292</v>
      </c>
      <c r="L4318" t="s">
        <v>25126</v>
      </c>
      <c r="M4318">
        <v>116</v>
      </c>
      <c r="N4318" t="s">
        <v>25127</v>
      </c>
    </row>
    <row r="4319" spans="1:14">
      <c r="A4319" t="s">
        <v>9256</v>
      </c>
      <c r="B4319">
        <v>5124705</v>
      </c>
      <c r="C4319">
        <v>5124926</v>
      </c>
      <c r="E4319" t="s">
        <v>14314</v>
      </c>
      <c r="F4319" t="s">
        <v>14406</v>
      </c>
      <c r="H4319">
        <v>93525732</v>
      </c>
      <c r="I4319" t="s">
        <v>14292</v>
      </c>
      <c r="L4319" t="s">
        <v>25128</v>
      </c>
      <c r="M4319">
        <v>73</v>
      </c>
      <c r="N4319" t="s">
        <v>25129</v>
      </c>
    </row>
    <row r="4320" spans="1:14">
      <c r="A4320" t="s">
        <v>9256</v>
      </c>
      <c r="B4320">
        <v>5124929</v>
      </c>
      <c r="C4320">
        <v>5125225</v>
      </c>
      <c r="E4320" t="s">
        <v>14314</v>
      </c>
      <c r="F4320" t="s">
        <v>25130</v>
      </c>
      <c r="H4320">
        <v>93525958</v>
      </c>
      <c r="I4320" t="s">
        <v>14292</v>
      </c>
      <c r="L4320" t="s">
        <v>25131</v>
      </c>
      <c r="M4320">
        <v>98</v>
      </c>
      <c r="N4320" t="s">
        <v>25132</v>
      </c>
    </row>
    <row r="4321" spans="1:14">
      <c r="A4321" t="s">
        <v>9256</v>
      </c>
      <c r="B4321">
        <v>5126573</v>
      </c>
      <c r="C4321">
        <v>5129809</v>
      </c>
      <c r="E4321" t="s">
        <v>14290</v>
      </c>
      <c r="F4321" t="s">
        <v>14853</v>
      </c>
      <c r="H4321">
        <v>93525733</v>
      </c>
      <c r="I4321" t="s">
        <v>14292</v>
      </c>
      <c r="L4321" t="s">
        <v>25133</v>
      </c>
      <c r="M4321">
        <v>1078</v>
      </c>
      <c r="N4321" t="s">
        <v>25134</v>
      </c>
    </row>
    <row r="4322" spans="1:14">
      <c r="A4322" t="s">
        <v>9256</v>
      </c>
      <c r="B4322">
        <v>5129915</v>
      </c>
      <c r="C4322">
        <v>5131003</v>
      </c>
      <c r="E4322" t="s">
        <v>14290</v>
      </c>
      <c r="F4322" t="s">
        <v>15126</v>
      </c>
      <c r="H4322">
        <v>93525734</v>
      </c>
      <c r="I4322" t="s">
        <v>14292</v>
      </c>
      <c r="L4322" t="s">
        <v>25135</v>
      </c>
      <c r="M4322">
        <v>362</v>
      </c>
      <c r="N4322" t="s">
        <v>25136</v>
      </c>
    </row>
    <row r="4323" spans="1:14">
      <c r="A4323" t="s">
        <v>9256</v>
      </c>
      <c r="B4323">
        <v>5131073</v>
      </c>
      <c r="C4323">
        <v>5132224</v>
      </c>
      <c r="E4323" t="s">
        <v>14314</v>
      </c>
      <c r="F4323" t="s">
        <v>14389</v>
      </c>
      <c r="H4323">
        <v>93525735</v>
      </c>
      <c r="I4323" t="s">
        <v>14292</v>
      </c>
      <c r="L4323" t="s">
        <v>25137</v>
      </c>
      <c r="M4323">
        <v>383</v>
      </c>
      <c r="N4323" t="s">
        <v>25138</v>
      </c>
    </row>
    <row r="4324" spans="1:14">
      <c r="A4324" t="s">
        <v>9256</v>
      </c>
      <c r="B4324">
        <v>5132304</v>
      </c>
      <c r="C4324">
        <v>5133314</v>
      </c>
      <c r="E4324" t="s">
        <v>14314</v>
      </c>
      <c r="F4324" t="s">
        <v>25139</v>
      </c>
      <c r="H4324">
        <v>93525736</v>
      </c>
      <c r="I4324" t="s">
        <v>14292</v>
      </c>
      <c r="L4324" t="s">
        <v>25140</v>
      </c>
      <c r="M4324">
        <v>336</v>
      </c>
      <c r="N4324" t="s">
        <v>25141</v>
      </c>
    </row>
    <row r="4325" spans="1:14">
      <c r="A4325" t="s">
        <v>9256</v>
      </c>
      <c r="B4325">
        <v>5133332</v>
      </c>
      <c r="C4325">
        <v>5134285</v>
      </c>
      <c r="E4325" t="s">
        <v>14314</v>
      </c>
      <c r="F4325" t="s">
        <v>15717</v>
      </c>
      <c r="H4325">
        <v>93525737</v>
      </c>
      <c r="I4325" t="s">
        <v>14292</v>
      </c>
      <c r="L4325" t="s">
        <v>25142</v>
      </c>
      <c r="M4325">
        <v>317</v>
      </c>
      <c r="N4325" t="s">
        <v>25143</v>
      </c>
    </row>
    <row r="4326" spans="1:14">
      <c r="A4326" t="s">
        <v>9256</v>
      </c>
      <c r="B4326">
        <v>5134316</v>
      </c>
      <c r="C4326">
        <v>5135191</v>
      </c>
      <c r="E4326" t="s">
        <v>14314</v>
      </c>
      <c r="F4326" t="s">
        <v>14291</v>
      </c>
      <c r="H4326">
        <v>93525738</v>
      </c>
      <c r="I4326" t="s">
        <v>14292</v>
      </c>
      <c r="L4326" t="s">
        <v>25144</v>
      </c>
      <c r="M4326">
        <v>291</v>
      </c>
      <c r="N4326" t="s">
        <v>25145</v>
      </c>
    </row>
    <row r="4327" spans="1:14">
      <c r="A4327" t="s">
        <v>9256</v>
      </c>
      <c r="B4327">
        <v>5135222</v>
      </c>
      <c r="C4327">
        <v>5136118</v>
      </c>
      <c r="E4327" t="s">
        <v>14314</v>
      </c>
      <c r="F4327" t="s">
        <v>15717</v>
      </c>
      <c r="H4327">
        <v>93525739</v>
      </c>
      <c r="I4327" t="s">
        <v>14292</v>
      </c>
      <c r="L4327" t="s">
        <v>25146</v>
      </c>
      <c r="M4327">
        <v>298</v>
      </c>
      <c r="N4327" t="s">
        <v>25147</v>
      </c>
    </row>
    <row r="4328" spans="1:14">
      <c r="A4328" t="s">
        <v>9256</v>
      </c>
      <c r="B4328">
        <v>5136140</v>
      </c>
      <c r="C4328">
        <v>5137279</v>
      </c>
      <c r="E4328" t="s">
        <v>14314</v>
      </c>
      <c r="F4328" t="s">
        <v>15717</v>
      </c>
      <c r="H4328">
        <v>93525740</v>
      </c>
      <c r="I4328" t="s">
        <v>14292</v>
      </c>
      <c r="L4328" t="s">
        <v>25148</v>
      </c>
      <c r="M4328">
        <v>379</v>
      </c>
      <c r="N4328" t="s">
        <v>25149</v>
      </c>
    </row>
    <row r="4329" spans="1:14">
      <c r="A4329" t="s">
        <v>9256</v>
      </c>
      <c r="B4329">
        <v>5137296</v>
      </c>
      <c r="C4329">
        <v>5138399</v>
      </c>
      <c r="E4329" t="s">
        <v>14314</v>
      </c>
      <c r="F4329" t="s">
        <v>15717</v>
      </c>
      <c r="H4329">
        <v>93525741</v>
      </c>
      <c r="I4329" t="s">
        <v>14292</v>
      </c>
      <c r="L4329" t="s">
        <v>25150</v>
      </c>
      <c r="M4329">
        <v>367</v>
      </c>
      <c r="N4329" t="s">
        <v>25151</v>
      </c>
    </row>
    <row r="4330" spans="1:14">
      <c r="A4330" t="s">
        <v>9256</v>
      </c>
      <c r="B4330">
        <v>5138558</v>
      </c>
      <c r="C4330">
        <v>5139787</v>
      </c>
      <c r="E4330" t="s">
        <v>14314</v>
      </c>
      <c r="F4330" t="s">
        <v>15717</v>
      </c>
      <c r="H4330">
        <v>93525742</v>
      </c>
      <c r="I4330" t="s">
        <v>14292</v>
      </c>
      <c r="L4330" t="s">
        <v>25152</v>
      </c>
      <c r="M4330">
        <v>409</v>
      </c>
      <c r="N4330" t="s">
        <v>25153</v>
      </c>
    </row>
    <row r="4331" spans="1:14">
      <c r="A4331" t="s">
        <v>9256</v>
      </c>
      <c r="B4331">
        <v>5139837</v>
      </c>
      <c r="C4331">
        <v>5140895</v>
      </c>
      <c r="E4331" t="s">
        <v>14314</v>
      </c>
      <c r="F4331" t="s">
        <v>15717</v>
      </c>
      <c r="H4331">
        <v>93525743</v>
      </c>
      <c r="I4331" t="s">
        <v>14292</v>
      </c>
      <c r="L4331" t="s">
        <v>25154</v>
      </c>
      <c r="M4331">
        <v>352</v>
      </c>
      <c r="N4331" t="s">
        <v>25155</v>
      </c>
    </row>
    <row r="4332" spans="1:14">
      <c r="A4332" t="s">
        <v>9256</v>
      </c>
      <c r="B4332">
        <v>5140918</v>
      </c>
      <c r="C4332">
        <v>5141961</v>
      </c>
      <c r="E4332" t="s">
        <v>14314</v>
      </c>
      <c r="F4332" t="s">
        <v>15717</v>
      </c>
      <c r="H4332">
        <v>93525744</v>
      </c>
      <c r="I4332" t="s">
        <v>14292</v>
      </c>
      <c r="L4332" t="s">
        <v>25156</v>
      </c>
      <c r="M4332">
        <v>347</v>
      </c>
      <c r="N4332" t="s">
        <v>25157</v>
      </c>
    </row>
    <row r="4333" spans="1:14">
      <c r="A4333" t="s">
        <v>9256</v>
      </c>
      <c r="B4333">
        <v>5142014</v>
      </c>
      <c r="C4333">
        <v>5143702</v>
      </c>
      <c r="E4333" t="s">
        <v>14314</v>
      </c>
      <c r="F4333" t="s">
        <v>15717</v>
      </c>
      <c r="H4333">
        <v>93525745</v>
      </c>
      <c r="I4333" t="s">
        <v>14292</v>
      </c>
      <c r="L4333" t="s">
        <v>25158</v>
      </c>
      <c r="M4333">
        <v>562</v>
      </c>
      <c r="N4333" t="s">
        <v>25159</v>
      </c>
    </row>
    <row r="4334" spans="1:14">
      <c r="A4334" t="s">
        <v>9256</v>
      </c>
      <c r="B4334">
        <v>5143873</v>
      </c>
      <c r="C4334">
        <v>5144640</v>
      </c>
      <c r="E4334" t="s">
        <v>14314</v>
      </c>
      <c r="F4334" t="s">
        <v>15590</v>
      </c>
      <c r="H4334">
        <v>93525746</v>
      </c>
      <c r="I4334" t="s">
        <v>14292</v>
      </c>
      <c r="L4334" t="s">
        <v>25160</v>
      </c>
      <c r="M4334">
        <v>255</v>
      </c>
      <c r="N4334" t="s">
        <v>25161</v>
      </c>
    </row>
    <row r="4335" spans="1:14">
      <c r="A4335" t="s">
        <v>9256</v>
      </c>
      <c r="B4335">
        <v>5144697</v>
      </c>
      <c r="C4335">
        <v>5147096</v>
      </c>
      <c r="E4335" t="s">
        <v>14314</v>
      </c>
      <c r="F4335" t="s">
        <v>14389</v>
      </c>
      <c r="H4335">
        <v>93525747</v>
      </c>
      <c r="I4335" t="s">
        <v>14292</v>
      </c>
      <c r="L4335" t="s">
        <v>25162</v>
      </c>
      <c r="M4335">
        <v>799</v>
      </c>
      <c r="N4335" t="s">
        <v>25163</v>
      </c>
    </row>
    <row r="4336" spans="1:14">
      <c r="A4336" t="s">
        <v>9256</v>
      </c>
      <c r="B4336">
        <v>5147689</v>
      </c>
      <c r="C4336">
        <v>5149374</v>
      </c>
      <c r="E4336" t="s">
        <v>14314</v>
      </c>
      <c r="F4336" t="s">
        <v>15166</v>
      </c>
      <c r="H4336">
        <v>93525748</v>
      </c>
      <c r="I4336" t="s">
        <v>14292</v>
      </c>
      <c r="L4336" t="s">
        <v>25164</v>
      </c>
      <c r="M4336">
        <v>561</v>
      </c>
      <c r="N4336" t="s">
        <v>25165</v>
      </c>
    </row>
    <row r="4337" spans="1:14">
      <c r="A4337" t="s">
        <v>9256</v>
      </c>
      <c r="B4337">
        <v>5149518</v>
      </c>
      <c r="C4337">
        <v>5151851</v>
      </c>
      <c r="E4337" t="s">
        <v>14314</v>
      </c>
      <c r="F4337" t="s">
        <v>14389</v>
      </c>
      <c r="H4337">
        <v>93525749</v>
      </c>
      <c r="I4337" t="s">
        <v>14292</v>
      </c>
      <c r="L4337" t="s">
        <v>25166</v>
      </c>
      <c r="M4337">
        <v>777</v>
      </c>
      <c r="N4337" t="s">
        <v>25167</v>
      </c>
    </row>
    <row r="4338" spans="1:14">
      <c r="A4338" t="s">
        <v>9256</v>
      </c>
      <c r="B4338">
        <v>5152364</v>
      </c>
      <c r="C4338">
        <v>5154805</v>
      </c>
      <c r="E4338" t="s">
        <v>14314</v>
      </c>
      <c r="F4338" t="s">
        <v>25168</v>
      </c>
      <c r="H4338">
        <v>93525750</v>
      </c>
      <c r="I4338" t="s">
        <v>14292</v>
      </c>
      <c r="L4338" t="s">
        <v>25169</v>
      </c>
      <c r="M4338">
        <v>813</v>
      </c>
      <c r="N4338" t="s">
        <v>25170</v>
      </c>
    </row>
    <row r="4339" spans="1:14">
      <c r="A4339" t="s">
        <v>9256</v>
      </c>
      <c r="B4339">
        <v>5155395</v>
      </c>
      <c r="C4339">
        <v>5157074</v>
      </c>
      <c r="E4339" t="s">
        <v>14314</v>
      </c>
      <c r="F4339" t="s">
        <v>15166</v>
      </c>
      <c r="H4339">
        <v>93525751</v>
      </c>
      <c r="I4339" t="s">
        <v>14292</v>
      </c>
      <c r="L4339" t="s">
        <v>25171</v>
      </c>
      <c r="M4339">
        <v>559</v>
      </c>
      <c r="N4339" t="s">
        <v>25172</v>
      </c>
    </row>
    <row r="4340" spans="1:14">
      <c r="A4340" t="s">
        <v>9256</v>
      </c>
      <c r="B4340">
        <v>5157232</v>
      </c>
      <c r="C4340">
        <v>5159721</v>
      </c>
      <c r="E4340" t="s">
        <v>14314</v>
      </c>
      <c r="F4340" t="s">
        <v>14389</v>
      </c>
      <c r="H4340">
        <v>93525752</v>
      </c>
      <c r="I4340" t="s">
        <v>14292</v>
      </c>
      <c r="L4340" t="s">
        <v>25173</v>
      </c>
      <c r="M4340">
        <v>829</v>
      </c>
      <c r="N4340" t="s">
        <v>25174</v>
      </c>
    </row>
    <row r="4341" spans="1:14">
      <c r="A4341" t="s">
        <v>9256</v>
      </c>
      <c r="B4341">
        <v>5160495</v>
      </c>
      <c r="C4341">
        <v>5161508</v>
      </c>
      <c r="E4341" t="s">
        <v>14314</v>
      </c>
      <c r="F4341" t="s">
        <v>14403</v>
      </c>
      <c r="H4341">
        <v>93525753</v>
      </c>
      <c r="I4341" t="s">
        <v>14292</v>
      </c>
      <c r="L4341" t="s">
        <v>25175</v>
      </c>
      <c r="M4341">
        <v>337</v>
      </c>
      <c r="N4341" t="s">
        <v>25176</v>
      </c>
    </row>
    <row r="4342" spans="1:14">
      <c r="A4342" t="s">
        <v>9256</v>
      </c>
      <c r="B4342">
        <v>5161510</v>
      </c>
      <c r="C4342">
        <v>5162547</v>
      </c>
      <c r="E4342" t="s">
        <v>14314</v>
      </c>
      <c r="F4342" t="s">
        <v>20294</v>
      </c>
      <c r="H4342">
        <v>93525754</v>
      </c>
      <c r="I4342" t="s">
        <v>14292</v>
      </c>
      <c r="L4342" t="s">
        <v>25177</v>
      </c>
      <c r="M4342">
        <v>345</v>
      </c>
      <c r="N4342" t="s">
        <v>25178</v>
      </c>
    </row>
    <row r="4343" spans="1:14">
      <c r="A4343" t="s">
        <v>9256</v>
      </c>
      <c r="B4343">
        <v>5162557</v>
      </c>
      <c r="C4343">
        <v>5163720</v>
      </c>
      <c r="E4343" t="s">
        <v>14314</v>
      </c>
      <c r="F4343" t="s">
        <v>19643</v>
      </c>
      <c r="H4343">
        <v>93525755</v>
      </c>
      <c r="I4343" t="s">
        <v>14292</v>
      </c>
      <c r="L4343" t="s">
        <v>25179</v>
      </c>
      <c r="M4343">
        <v>387</v>
      </c>
      <c r="N4343" t="s">
        <v>25180</v>
      </c>
    </row>
    <row r="4344" spans="1:14">
      <c r="A4344" t="s">
        <v>9256</v>
      </c>
      <c r="B4344">
        <v>5164049</v>
      </c>
      <c r="C4344">
        <v>5164753</v>
      </c>
      <c r="E4344" t="s">
        <v>14290</v>
      </c>
      <c r="F4344" t="s">
        <v>25181</v>
      </c>
      <c r="H4344">
        <v>93525756</v>
      </c>
      <c r="I4344" t="s">
        <v>14292</v>
      </c>
      <c r="L4344" t="s">
        <v>25182</v>
      </c>
      <c r="M4344">
        <v>234</v>
      </c>
      <c r="N4344" t="s">
        <v>25183</v>
      </c>
    </row>
    <row r="4345" spans="1:14">
      <c r="A4345" t="s">
        <v>9256</v>
      </c>
      <c r="B4345">
        <v>5164802</v>
      </c>
      <c r="C4345">
        <v>5165314</v>
      </c>
      <c r="E4345" t="s">
        <v>14314</v>
      </c>
      <c r="F4345" t="s">
        <v>14291</v>
      </c>
      <c r="H4345">
        <v>93525757</v>
      </c>
      <c r="I4345" t="s">
        <v>14292</v>
      </c>
      <c r="L4345" t="s">
        <v>25184</v>
      </c>
      <c r="M4345">
        <v>170</v>
      </c>
      <c r="N4345" t="s">
        <v>25185</v>
      </c>
    </row>
    <row r="4346" spans="1:14">
      <c r="A4346" t="s">
        <v>9256</v>
      </c>
      <c r="B4346">
        <v>5165708</v>
      </c>
      <c r="C4346">
        <v>5167375</v>
      </c>
      <c r="E4346" t="s">
        <v>14290</v>
      </c>
      <c r="F4346" t="s">
        <v>25186</v>
      </c>
      <c r="H4346">
        <v>93525758</v>
      </c>
      <c r="I4346" t="s">
        <v>14292</v>
      </c>
      <c r="L4346" t="s">
        <v>25187</v>
      </c>
      <c r="M4346">
        <v>555</v>
      </c>
      <c r="N4346" t="s">
        <v>25188</v>
      </c>
    </row>
    <row r="4347" spans="1:14">
      <c r="A4347" t="s">
        <v>9256</v>
      </c>
      <c r="B4347">
        <v>5167473</v>
      </c>
      <c r="C4347">
        <v>5168954</v>
      </c>
      <c r="E4347" t="s">
        <v>14314</v>
      </c>
      <c r="F4347" t="s">
        <v>25189</v>
      </c>
      <c r="G4347" t="s">
        <v>25190</v>
      </c>
      <c r="H4347">
        <v>93525759</v>
      </c>
      <c r="I4347" t="s">
        <v>14292</v>
      </c>
      <c r="L4347" t="s">
        <v>25191</v>
      </c>
      <c r="M4347">
        <v>493</v>
      </c>
      <c r="N4347" t="s">
        <v>25192</v>
      </c>
    </row>
    <row r="4348" spans="1:14">
      <c r="A4348" t="s">
        <v>9256</v>
      </c>
      <c r="B4348">
        <v>5169063</v>
      </c>
      <c r="C4348">
        <v>5170166</v>
      </c>
      <c r="E4348" t="s">
        <v>14290</v>
      </c>
      <c r="F4348" t="s">
        <v>15836</v>
      </c>
      <c r="H4348">
        <v>93525760</v>
      </c>
      <c r="I4348" t="s">
        <v>14292</v>
      </c>
      <c r="L4348" t="s">
        <v>25193</v>
      </c>
      <c r="M4348">
        <v>367</v>
      </c>
      <c r="N4348" t="s">
        <v>25194</v>
      </c>
    </row>
    <row r="4349" spans="1:14">
      <c r="A4349" t="s">
        <v>9256</v>
      </c>
      <c r="B4349">
        <v>5170171</v>
      </c>
      <c r="C4349">
        <v>5171910</v>
      </c>
      <c r="E4349" t="s">
        <v>14314</v>
      </c>
      <c r="F4349" t="s">
        <v>23110</v>
      </c>
      <c r="H4349">
        <v>93525761</v>
      </c>
      <c r="I4349" t="s">
        <v>14292</v>
      </c>
      <c r="L4349" t="s">
        <v>25195</v>
      </c>
      <c r="M4349">
        <v>579</v>
      </c>
      <c r="N4349" t="s">
        <v>25196</v>
      </c>
    </row>
    <row r="4350" spans="1:14">
      <c r="A4350" t="s">
        <v>9256</v>
      </c>
      <c r="B4350">
        <v>5171983</v>
      </c>
      <c r="C4350">
        <v>5172129</v>
      </c>
      <c r="E4350" t="s">
        <v>14314</v>
      </c>
      <c r="F4350" t="s">
        <v>14414</v>
      </c>
      <c r="H4350">
        <v>93525762</v>
      </c>
      <c r="I4350" t="s">
        <v>14415</v>
      </c>
      <c r="N4350" t="s">
        <v>25197</v>
      </c>
    </row>
    <row r="4351" spans="1:14">
      <c r="A4351" t="s">
        <v>9256</v>
      </c>
      <c r="B4351">
        <v>5172269</v>
      </c>
      <c r="C4351">
        <v>5172673</v>
      </c>
      <c r="E4351" t="s">
        <v>14314</v>
      </c>
      <c r="F4351" t="s">
        <v>25198</v>
      </c>
      <c r="H4351">
        <v>93525763</v>
      </c>
      <c r="I4351" t="s">
        <v>14292</v>
      </c>
      <c r="L4351" t="s">
        <v>25199</v>
      </c>
      <c r="M4351">
        <v>134</v>
      </c>
      <c r="N4351" t="s">
        <v>25200</v>
      </c>
    </row>
    <row r="4352" spans="1:14">
      <c r="A4352" t="s">
        <v>9256</v>
      </c>
      <c r="B4352">
        <v>5172788</v>
      </c>
      <c r="C4352">
        <v>5173945</v>
      </c>
      <c r="E4352" t="s">
        <v>14290</v>
      </c>
      <c r="F4352" t="s">
        <v>14445</v>
      </c>
      <c r="H4352">
        <v>93525764</v>
      </c>
      <c r="I4352" t="s">
        <v>14292</v>
      </c>
      <c r="L4352" t="s">
        <v>25201</v>
      </c>
      <c r="M4352">
        <v>385</v>
      </c>
      <c r="N4352" t="s">
        <v>25202</v>
      </c>
    </row>
    <row r="4353" spans="1:14">
      <c r="A4353" t="s">
        <v>9256</v>
      </c>
      <c r="B4353">
        <v>5173958</v>
      </c>
      <c r="C4353">
        <v>5177068</v>
      </c>
      <c r="E4353" t="s">
        <v>14290</v>
      </c>
      <c r="F4353" t="s">
        <v>21877</v>
      </c>
      <c r="H4353">
        <v>93525765</v>
      </c>
      <c r="I4353" t="s">
        <v>14292</v>
      </c>
      <c r="L4353" t="s">
        <v>25203</v>
      </c>
      <c r="M4353">
        <v>1036</v>
      </c>
      <c r="N4353" t="s">
        <v>25204</v>
      </c>
    </row>
    <row r="4354" spans="1:14">
      <c r="A4354" t="s">
        <v>9256</v>
      </c>
      <c r="B4354">
        <v>5177159</v>
      </c>
      <c r="C4354">
        <v>5178325</v>
      </c>
      <c r="E4354" t="s">
        <v>14314</v>
      </c>
      <c r="F4354" t="s">
        <v>15927</v>
      </c>
      <c r="H4354">
        <v>93525766</v>
      </c>
      <c r="I4354" t="s">
        <v>14292</v>
      </c>
      <c r="L4354" t="s">
        <v>25205</v>
      </c>
      <c r="M4354">
        <v>388</v>
      </c>
      <c r="N4354" t="s">
        <v>25206</v>
      </c>
    </row>
    <row r="4355" spans="1:14">
      <c r="A4355" t="s">
        <v>9256</v>
      </c>
      <c r="B4355">
        <v>5178331</v>
      </c>
      <c r="C4355">
        <v>5179197</v>
      </c>
      <c r="E4355" t="s">
        <v>14314</v>
      </c>
      <c r="F4355" t="s">
        <v>25207</v>
      </c>
      <c r="H4355">
        <v>93525767</v>
      </c>
      <c r="I4355" t="s">
        <v>14292</v>
      </c>
      <c r="L4355" t="s">
        <v>25208</v>
      </c>
      <c r="M4355">
        <v>288</v>
      </c>
      <c r="N4355" t="s">
        <v>25209</v>
      </c>
    </row>
    <row r="4356" spans="1:14">
      <c r="A4356" t="s">
        <v>9256</v>
      </c>
      <c r="B4356">
        <v>5179206</v>
      </c>
      <c r="C4356">
        <v>5180279</v>
      </c>
      <c r="E4356" t="s">
        <v>14314</v>
      </c>
      <c r="F4356" t="s">
        <v>15800</v>
      </c>
      <c r="H4356">
        <v>93525768</v>
      </c>
      <c r="I4356" t="s">
        <v>14292</v>
      </c>
      <c r="L4356" t="s">
        <v>25210</v>
      </c>
      <c r="M4356">
        <v>357</v>
      </c>
      <c r="N4356" t="s">
        <v>25211</v>
      </c>
    </row>
    <row r="4357" spans="1:14">
      <c r="A4357" t="s">
        <v>9256</v>
      </c>
      <c r="B4357">
        <v>5180512</v>
      </c>
      <c r="C4357">
        <v>5181429</v>
      </c>
      <c r="E4357" t="s">
        <v>14290</v>
      </c>
      <c r="F4357" t="s">
        <v>14406</v>
      </c>
      <c r="H4357">
        <v>93525769</v>
      </c>
      <c r="I4357" t="s">
        <v>14292</v>
      </c>
      <c r="L4357" t="s">
        <v>25212</v>
      </c>
      <c r="M4357">
        <v>305</v>
      </c>
      <c r="N4357" t="s">
        <v>25213</v>
      </c>
    </row>
    <row r="4358" spans="1:14">
      <c r="A4358" t="s">
        <v>9256</v>
      </c>
      <c r="B4358">
        <v>5181445</v>
      </c>
      <c r="C4358">
        <v>5182332</v>
      </c>
      <c r="E4358" t="s">
        <v>14290</v>
      </c>
      <c r="F4358" t="s">
        <v>14406</v>
      </c>
      <c r="H4358">
        <v>93525770</v>
      </c>
      <c r="I4358" t="s">
        <v>14292</v>
      </c>
      <c r="L4358" t="s">
        <v>25214</v>
      </c>
      <c r="M4358">
        <v>295</v>
      </c>
      <c r="N4358" t="s">
        <v>25215</v>
      </c>
    </row>
    <row r="4359" spans="1:14">
      <c r="A4359" t="s">
        <v>9256</v>
      </c>
      <c r="B4359">
        <v>5182374</v>
      </c>
      <c r="C4359">
        <v>5184890</v>
      </c>
      <c r="E4359" t="s">
        <v>14314</v>
      </c>
      <c r="F4359" t="s">
        <v>25216</v>
      </c>
      <c r="H4359">
        <v>93525771</v>
      </c>
      <c r="I4359" t="s">
        <v>14292</v>
      </c>
      <c r="L4359" t="s">
        <v>25217</v>
      </c>
      <c r="M4359">
        <v>838</v>
      </c>
      <c r="N4359" t="s">
        <v>25218</v>
      </c>
    </row>
    <row r="4360" spans="1:14">
      <c r="A4360" t="s">
        <v>9256</v>
      </c>
      <c r="B4360">
        <v>5184895</v>
      </c>
      <c r="C4360">
        <v>5185578</v>
      </c>
      <c r="E4360" t="s">
        <v>14314</v>
      </c>
      <c r="F4360" t="s">
        <v>21498</v>
      </c>
      <c r="H4360">
        <v>93525772</v>
      </c>
      <c r="I4360" t="s">
        <v>14292</v>
      </c>
      <c r="L4360" t="s">
        <v>25219</v>
      </c>
      <c r="M4360">
        <v>227</v>
      </c>
      <c r="N4360" t="s">
        <v>25220</v>
      </c>
    </row>
    <row r="4361" spans="1:14">
      <c r="A4361" t="s">
        <v>9256</v>
      </c>
      <c r="B4361">
        <v>5185711</v>
      </c>
      <c r="C4361">
        <v>5186895</v>
      </c>
      <c r="E4361" t="s">
        <v>14290</v>
      </c>
      <c r="F4361" t="s">
        <v>17774</v>
      </c>
      <c r="H4361">
        <v>93525773</v>
      </c>
      <c r="I4361" t="s">
        <v>14292</v>
      </c>
      <c r="L4361" t="s">
        <v>25221</v>
      </c>
      <c r="M4361">
        <v>394</v>
      </c>
      <c r="N4361" t="s">
        <v>25222</v>
      </c>
    </row>
    <row r="4362" spans="1:14">
      <c r="A4362" t="s">
        <v>9256</v>
      </c>
      <c r="B4362">
        <v>5186971</v>
      </c>
      <c r="C4362">
        <v>5187804</v>
      </c>
      <c r="E4362" t="s">
        <v>14314</v>
      </c>
      <c r="F4362" t="s">
        <v>14406</v>
      </c>
      <c r="H4362">
        <v>93525774</v>
      </c>
      <c r="I4362" t="s">
        <v>14292</v>
      </c>
      <c r="L4362" t="s">
        <v>25223</v>
      </c>
      <c r="M4362">
        <v>277</v>
      </c>
      <c r="N4362" t="s">
        <v>25224</v>
      </c>
    </row>
    <row r="4363" spans="1:14">
      <c r="A4363" t="s">
        <v>9256</v>
      </c>
      <c r="B4363">
        <v>5187955</v>
      </c>
      <c r="C4363">
        <v>5189064</v>
      </c>
      <c r="E4363" t="s">
        <v>14290</v>
      </c>
      <c r="F4363" t="s">
        <v>14503</v>
      </c>
      <c r="H4363">
        <v>93525775</v>
      </c>
      <c r="I4363" t="s">
        <v>14292</v>
      </c>
      <c r="L4363" t="s">
        <v>25225</v>
      </c>
      <c r="M4363">
        <v>369</v>
      </c>
      <c r="N4363" t="s">
        <v>25226</v>
      </c>
    </row>
    <row r="4364" spans="1:14">
      <c r="A4364" t="s">
        <v>9256</v>
      </c>
      <c r="B4364">
        <v>5189070</v>
      </c>
      <c r="C4364">
        <v>5192273</v>
      </c>
      <c r="E4364" t="s">
        <v>14290</v>
      </c>
      <c r="F4364" t="s">
        <v>14548</v>
      </c>
      <c r="H4364">
        <v>93525776</v>
      </c>
      <c r="I4364" t="s">
        <v>14292</v>
      </c>
      <c r="L4364" t="s">
        <v>25227</v>
      </c>
      <c r="M4364">
        <v>1067</v>
      </c>
      <c r="N4364" t="s">
        <v>25228</v>
      </c>
    </row>
    <row r="4365" spans="1:14">
      <c r="A4365" t="s">
        <v>9256</v>
      </c>
      <c r="B4365">
        <v>5192304</v>
      </c>
      <c r="C4365">
        <v>5193668</v>
      </c>
      <c r="E4365" t="s">
        <v>14290</v>
      </c>
      <c r="F4365" t="s">
        <v>21986</v>
      </c>
      <c r="H4365">
        <v>93525777</v>
      </c>
      <c r="I4365" t="s">
        <v>14292</v>
      </c>
      <c r="L4365" t="s">
        <v>25229</v>
      </c>
      <c r="M4365">
        <v>454</v>
      </c>
      <c r="N4365" t="s">
        <v>25230</v>
      </c>
    </row>
    <row r="4366" spans="1:14">
      <c r="A4366" t="s">
        <v>9256</v>
      </c>
      <c r="B4366">
        <v>5193838</v>
      </c>
      <c r="C4366">
        <v>5194785</v>
      </c>
      <c r="E4366" t="s">
        <v>14290</v>
      </c>
      <c r="F4366" t="s">
        <v>25231</v>
      </c>
      <c r="G4366" t="s">
        <v>25232</v>
      </c>
      <c r="H4366">
        <v>93525778</v>
      </c>
      <c r="I4366" t="s">
        <v>14292</v>
      </c>
      <c r="L4366" t="s">
        <v>25233</v>
      </c>
      <c r="M4366">
        <v>315</v>
      </c>
      <c r="N4366" t="s">
        <v>25234</v>
      </c>
    </row>
    <row r="4367" spans="1:14">
      <c r="A4367" t="s">
        <v>9256</v>
      </c>
      <c r="B4367">
        <v>5194916</v>
      </c>
      <c r="C4367">
        <v>5196052</v>
      </c>
      <c r="E4367" t="s">
        <v>14314</v>
      </c>
      <c r="F4367" t="s">
        <v>25235</v>
      </c>
      <c r="G4367" t="s">
        <v>25236</v>
      </c>
      <c r="H4367">
        <v>93525779</v>
      </c>
      <c r="I4367" t="s">
        <v>14292</v>
      </c>
      <c r="L4367" t="s">
        <v>25237</v>
      </c>
      <c r="M4367">
        <v>378</v>
      </c>
      <c r="N4367" t="s">
        <v>25238</v>
      </c>
    </row>
    <row r="4368" spans="1:14">
      <c r="A4368" t="s">
        <v>9256</v>
      </c>
      <c r="B4368">
        <v>5196049</v>
      </c>
      <c r="C4368">
        <v>5197086</v>
      </c>
      <c r="E4368" t="s">
        <v>14314</v>
      </c>
      <c r="F4368" t="s">
        <v>25239</v>
      </c>
      <c r="G4368" t="s">
        <v>25240</v>
      </c>
      <c r="H4368">
        <v>93525780</v>
      </c>
      <c r="I4368" t="s">
        <v>14292</v>
      </c>
      <c r="L4368" t="s">
        <v>25241</v>
      </c>
      <c r="M4368">
        <v>345</v>
      </c>
      <c r="N4368" t="s">
        <v>25242</v>
      </c>
    </row>
    <row r="4369" spans="1:14">
      <c r="A4369" t="s">
        <v>9256</v>
      </c>
      <c r="B4369">
        <v>5197083</v>
      </c>
      <c r="C4369">
        <v>5198363</v>
      </c>
      <c r="E4369" t="s">
        <v>14314</v>
      </c>
      <c r="F4369" t="s">
        <v>25243</v>
      </c>
      <c r="G4369" t="s">
        <v>25244</v>
      </c>
      <c r="H4369">
        <v>93525781</v>
      </c>
      <c r="I4369" t="s">
        <v>14292</v>
      </c>
      <c r="L4369" t="s">
        <v>25245</v>
      </c>
      <c r="M4369">
        <v>426</v>
      </c>
      <c r="N4369" t="s">
        <v>25246</v>
      </c>
    </row>
    <row r="4370" spans="1:14">
      <c r="A4370" t="s">
        <v>9256</v>
      </c>
      <c r="B4370">
        <v>5198365</v>
      </c>
      <c r="C4370">
        <v>5199216</v>
      </c>
      <c r="E4370" t="s">
        <v>14314</v>
      </c>
      <c r="F4370" t="s">
        <v>25247</v>
      </c>
      <c r="G4370" t="s">
        <v>25248</v>
      </c>
      <c r="H4370">
        <v>93525782</v>
      </c>
      <c r="I4370" t="s">
        <v>14292</v>
      </c>
      <c r="L4370" t="s">
        <v>25249</v>
      </c>
      <c r="M4370">
        <v>283</v>
      </c>
      <c r="N4370" t="s">
        <v>25250</v>
      </c>
    </row>
    <row r="4371" spans="1:14">
      <c r="A4371" t="s">
        <v>9256</v>
      </c>
      <c r="B4371">
        <v>5199461</v>
      </c>
      <c r="C4371">
        <v>5199802</v>
      </c>
      <c r="E4371" t="s">
        <v>14314</v>
      </c>
      <c r="F4371" t="s">
        <v>15901</v>
      </c>
      <c r="H4371">
        <v>93525783</v>
      </c>
      <c r="I4371" t="s">
        <v>14292</v>
      </c>
      <c r="L4371" t="s">
        <v>25251</v>
      </c>
      <c r="M4371">
        <v>113</v>
      </c>
      <c r="N4371" t="s">
        <v>25252</v>
      </c>
    </row>
    <row r="4372" spans="1:14">
      <c r="A4372" t="s">
        <v>9256</v>
      </c>
      <c r="B4372">
        <v>5199792</v>
      </c>
      <c r="C4372">
        <v>5200055</v>
      </c>
      <c r="E4372" t="s">
        <v>14314</v>
      </c>
      <c r="F4372" t="s">
        <v>14291</v>
      </c>
      <c r="H4372">
        <v>93525784</v>
      </c>
      <c r="I4372" t="s">
        <v>14292</v>
      </c>
      <c r="L4372" t="s">
        <v>25253</v>
      </c>
      <c r="M4372">
        <v>87</v>
      </c>
      <c r="N4372" t="s">
        <v>25254</v>
      </c>
    </row>
    <row r="4373" spans="1:14">
      <c r="A4373" t="s">
        <v>9256</v>
      </c>
      <c r="B4373">
        <v>5200112</v>
      </c>
      <c r="C4373">
        <v>5202640</v>
      </c>
      <c r="E4373" t="s">
        <v>14314</v>
      </c>
      <c r="F4373" t="s">
        <v>25255</v>
      </c>
      <c r="H4373">
        <v>93525785</v>
      </c>
      <c r="I4373" t="s">
        <v>14292</v>
      </c>
      <c r="L4373" t="s">
        <v>25256</v>
      </c>
      <c r="M4373">
        <v>842</v>
      </c>
      <c r="N4373" t="s">
        <v>25257</v>
      </c>
    </row>
    <row r="4374" spans="1:14">
      <c r="A4374" t="s">
        <v>9256</v>
      </c>
      <c r="B4374">
        <v>5202650</v>
      </c>
      <c r="C4374">
        <v>5203105</v>
      </c>
      <c r="E4374" t="s">
        <v>14314</v>
      </c>
      <c r="F4374" t="s">
        <v>25258</v>
      </c>
      <c r="H4374">
        <v>93525786</v>
      </c>
      <c r="I4374" t="s">
        <v>14292</v>
      </c>
      <c r="L4374" t="s">
        <v>25259</v>
      </c>
      <c r="M4374">
        <v>151</v>
      </c>
      <c r="N4374" t="s">
        <v>25260</v>
      </c>
    </row>
    <row r="4375" spans="1:14">
      <c r="A4375" t="s">
        <v>9256</v>
      </c>
      <c r="B4375">
        <v>5203105</v>
      </c>
      <c r="C4375">
        <v>5205954</v>
      </c>
      <c r="E4375" t="s">
        <v>14314</v>
      </c>
      <c r="F4375" t="s">
        <v>18301</v>
      </c>
      <c r="H4375">
        <v>93525787</v>
      </c>
      <c r="I4375" t="s">
        <v>14292</v>
      </c>
      <c r="L4375" t="s">
        <v>25261</v>
      </c>
      <c r="M4375">
        <v>949</v>
      </c>
      <c r="N4375" t="s">
        <v>25262</v>
      </c>
    </row>
    <row r="4376" spans="1:14">
      <c r="A4376" t="s">
        <v>9256</v>
      </c>
      <c r="B4376">
        <v>5206097</v>
      </c>
      <c r="C4376">
        <v>5207266</v>
      </c>
      <c r="E4376" t="s">
        <v>14290</v>
      </c>
      <c r="F4376" t="s">
        <v>15868</v>
      </c>
      <c r="H4376">
        <v>93525788</v>
      </c>
      <c r="I4376" t="s">
        <v>14292</v>
      </c>
      <c r="L4376" t="s">
        <v>25263</v>
      </c>
      <c r="M4376">
        <v>389</v>
      </c>
      <c r="N4376" t="s">
        <v>25264</v>
      </c>
    </row>
    <row r="4377" spans="1:14">
      <c r="A4377" t="s">
        <v>9256</v>
      </c>
      <c r="B4377">
        <v>5207336</v>
      </c>
      <c r="C4377">
        <v>5208607</v>
      </c>
      <c r="E4377" t="s">
        <v>14290</v>
      </c>
      <c r="F4377" t="s">
        <v>15868</v>
      </c>
      <c r="H4377">
        <v>93525789</v>
      </c>
      <c r="I4377" t="s">
        <v>14292</v>
      </c>
      <c r="L4377" t="s">
        <v>25265</v>
      </c>
      <c r="M4377">
        <v>423</v>
      </c>
      <c r="N4377" t="s">
        <v>25266</v>
      </c>
    </row>
    <row r="4378" spans="1:14">
      <c r="A4378" t="s">
        <v>9256</v>
      </c>
      <c r="B4378">
        <v>5208634</v>
      </c>
      <c r="C4378">
        <v>5208873</v>
      </c>
      <c r="E4378" t="s">
        <v>14290</v>
      </c>
      <c r="F4378" t="s">
        <v>16644</v>
      </c>
      <c r="H4378">
        <v>93525790</v>
      </c>
      <c r="I4378" t="s">
        <v>14292</v>
      </c>
      <c r="L4378" t="s">
        <v>25267</v>
      </c>
      <c r="M4378">
        <v>79</v>
      </c>
      <c r="N4378" t="s">
        <v>25268</v>
      </c>
    </row>
    <row r="4379" spans="1:14">
      <c r="A4379" t="s">
        <v>9256</v>
      </c>
      <c r="B4379">
        <v>5208870</v>
      </c>
      <c r="C4379">
        <v>5209142</v>
      </c>
      <c r="E4379" t="s">
        <v>14290</v>
      </c>
      <c r="F4379" t="s">
        <v>16641</v>
      </c>
      <c r="H4379">
        <v>93525791</v>
      </c>
      <c r="I4379" t="s">
        <v>14292</v>
      </c>
      <c r="L4379" t="s">
        <v>25269</v>
      </c>
      <c r="M4379">
        <v>90</v>
      </c>
      <c r="N4379" t="s">
        <v>25270</v>
      </c>
    </row>
    <row r="4380" spans="1:14">
      <c r="A4380" t="s">
        <v>9256</v>
      </c>
      <c r="B4380">
        <v>5209401</v>
      </c>
      <c r="C4380">
        <v>5210147</v>
      </c>
      <c r="E4380" t="s">
        <v>14314</v>
      </c>
      <c r="F4380" t="s">
        <v>25271</v>
      </c>
      <c r="H4380">
        <v>93525792</v>
      </c>
      <c r="I4380" t="s">
        <v>14292</v>
      </c>
      <c r="L4380" t="s">
        <v>25272</v>
      </c>
      <c r="M4380">
        <v>248</v>
      </c>
      <c r="N4380" t="s">
        <v>25273</v>
      </c>
    </row>
    <row r="4381" spans="1:14">
      <c r="A4381" t="s">
        <v>9256</v>
      </c>
      <c r="B4381">
        <v>5210243</v>
      </c>
      <c r="C4381">
        <v>5210899</v>
      </c>
      <c r="E4381" t="s">
        <v>14314</v>
      </c>
      <c r="F4381" t="s">
        <v>25274</v>
      </c>
      <c r="H4381">
        <v>93525793</v>
      </c>
      <c r="I4381" t="s">
        <v>14292</v>
      </c>
      <c r="L4381" t="s">
        <v>25275</v>
      </c>
      <c r="M4381">
        <v>218</v>
      </c>
      <c r="N4381" t="s">
        <v>25276</v>
      </c>
    </row>
    <row r="4382" spans="1:14">
      <c r="A4382" t="s">
        <v>9256</v>
      </c>
      <c r="B4382">
        <v>5210880</v>
      </c>
      <c r="C4382">
        <v>5211791</v>
      </c>
      <c r="E4382" t="s">
        <v>14314</v>
      </c>
      <c r="F4382" t="s">
        <v>25277</v>
      </c>
      <c r="H4382">
        <v>93525794</v>
      </c>
      <c r="I4382" t="s">
        <v>14292</v>
      </c>
      <c r="L4382" t="s">
        <v>25278</v>
      </c>
      <c r="M4382">
        <v>303</v>
      </c>
      <c r="N4382" t="s">
        <v>25279</v>
      </c>
    </row>
    <row r="4383" spans="1:14">
      <c r="A4383" t="s">
        <v>9256</v>
      </c>
      <c r="B4383">
        <v>5211988</v>
      </c>
      <c r="C4383">
        <v>5212455</v>
      </c>
      <c r="E4383" t="s">
        <v>14314</v>
      </c>
      <c r="F4383" t="s">
        <v>14291</v>
      </c>
      <c r="H4383">
        <v>93525795</v>
      </c>
      <c r="I4383" t="s">
        <v>14292</v>
      </c>
      <c r="L4383" t="s">
        <v>25280</v>
      </c>
      <c r="M4383">
        <v>155</v>
      </c>
      <c r="N4383" t="s">
        <v>25281</v>
      </c>
    </row>
    <row r="4384" spans="1:14">
      <c r="A4384" t="s">
        <v>9256</v>
      </c>
      <c r="B4384">
        <v>5212954</v>
      </c>
      <c r="C4384">
        <v>5213340</v>
      </c>
      <c r="E4384" t="s">
        <v>14314</v>
      </c>
      <c r="F4384" t="s">
        <v>15487</v>
      </c>
      <c r="H4384">
        <v>93525796</v>
      </c>
      <c r="I4384" t="s">
        <v>14292</v>
      </c>
      <c r="L4384" t="s">
        <v>25282</v>
      </c>
      <c r="M4384">
        <v>128</v>
      </c>
      <c r="N4384" t="s">
        <v>25283</v>
      </c>
    </row>
    <row r="4385" spans="1:14">
      <c r="A4385" t="s">
        <v>9256</v>
      </c>
      <c r="B4385">
        <v>5213343</v>
      </c>
      <c r="C4385">
        <v>5213570</v>
      </c>
      <c r="E4385" t="s">
        <v>14314</v>
      </c>
      <c r="F4385" t="s">
        <v>14291</v>
      </c>
      <c r="H4385">
        <v>93525797</v>
      </c>
      <c r="I4385" t="s">
        <v>14292</v>
      </c>
      <c r="L4385" t="s">
        <v>25284</v>
      </c>
      <c r="M4385">
        <v>75</v>
      </c>
      <c r="N4385" t="s">
        <v>25285</v>
      </c>
    </row>
    <row r="4386" spans="1:14">
      <c r="A4386" t="s">
        <v>9256</v>
      </c>
      <c r="B4386">
        <v>5213579</v>
      </c>
      <c r="C4386">
        <v>5213857</v>
      </c>
      <c r="E4386" t="s">
        <v>14314</v>
      </c>
      <c r="F4386" t="s">
        <v>14291</v>
      </c>
      <c r="H4386">
        <v>93525798</v>
      </c>
      <c r="I4386" t="s">
        <v>14292</v>
      </c>
      <c r="L4386" t="s">
        <v>25286</v>
      </c>
      <c r="M4386">
        <v>92</v>
      </c>
      <c r="N4386" t="s">
        <v>25287</v>
      </c>
    </row>
    <row r="4387" spans="1:14">
      <c r="A4387" t="s">
        <v>9256</v>
      </c>
      <c r="B4387">
        <v>5213857</v>
      </c>
      <c r="C4387">
        <v>5215281</v>
      </c>
      <c r="E4387" t="s">
        <v>14314</v>
      </c>
      <c r="F4387" t="s">
        <v>25288</v>
      </c>
      <c r="H4387">
        <v>93525799</v>
      </c>
      <c r="I4387" t="s">
        <v>14292</v>
      </c>
      <c r="L4387" t="s">
        <v>25289</v>
      </c>
      <c r="M4387">
        <v>474</v>
      </c>
      <c r="N4387" t="s">
        <v>25290</v>
      </c>
    </row>
    <row r="4388" spans="1:14">
      <c r="A4388" t="s">
        <v>9256</v>
      </c>
      <c r="B4388">
        <v>5215289</v>
      </c>
      <c r="C4388">
        <v>5218024</v>
      </c>
      <c r="E4388" t="s">
        <v>14314</v>
      </c>
      <c r="F4388" t="s">
        <v>14870</v>
      </c>
      <c r="H4388">
        <v>93525800</v>
      </c>
      <c r="I4388" t="s">
        <v>14292</v>
      </c>
      <c r="L4388" t="s">
        <v>25291</v>
      </c>
      <c r="M4388">
        <v>911</v>
      </c>
      <c r="N4388" t="s">
        <v>25292</v>
      </c>
    </row>
    <row r="4389" spans="1:14">
      <c r="A4389" t="s">
        <v>9256</v>
      </c>
      <c r="B4389">
        <v>5218026</v>
      </c>
      <c r="C4389">
        <v>5220266</v>
      </c>
      <c r="E4389" t="s">
        <v>14314</v>
      </c>
      <c r="F4389" t="s">
        <v>25293</v>
      </c>
      <c r="H4389">
        <v>93525801</v>
      </c>
      <c r="I4389" t="s">
        <v>14292</v>
      </c>
      <c r="L4389" t="s">
        <v>25294</v>
      </c>
      <c r="M4389">
        <v>746</v>
      </c>
      <c r="N4389" t="s">
        <v>25295</v>
      </c>
    </row>
    <row r="4390" spans="1:14">
      <c r="A4390" t="s">
        <v>9256</v>
      </c>
      <c r="B4390">
        <v>5220253</v>
      </c>
      <c r="C4390">
        <v>5220744</v>
      </c>
      <c r="E4390" t="s">
        <v>14314</v>
      </c>
      <c r="F4390" t="s">
        <v>14291</v>
      </c>
      <c r="H4390">
        <v>93525802</v>
      </c>
      <c r="I4390" t="s">
        <v>14292</v>
      </c>
      <c r="L4390" t="s">
        <v>25296</v>
      </c>
      <c r="M4390">
        <v>163</v>
      </c>
      <c r="N4390" t="s">
        <v>25297</v>
      </c>
    </row>
    <row r="4391" spans="1:14">
      <c r="A4391" t="s">
        <v>9256</v>
      </c>
      <c r="B4391">
        <v>5220777</v>
      </c>
      <c r="C4391">
        <v>5221757</v>
      </c>
      <c r="E4391" t="s">
        <v>14314</v>
      </c>
      <c r="F4391" t="s">
        <v>15696</v>
      </c>
      <c r="H4391">
        <v>93525803</v>
      </c>
      <c r="I4391" t="s">
        <v>14292</v>
      </c>
      <c r="L4391" t="s">
        <v>15697</v>
      </c>
      <c r="M4391">
        <v>326</v>
      </c>
      <c r="N4391" t="s">
        <v>25298</v>
      </c>
    </row>
    <row r="4392" spans="1:14">
      <c r="A4392" t="s">
        <v>9256</v>
      </c>
      <c r="B4392">
        <v>5221873</v>
      </c>
      <c r="C4392">
        <v>5222403</v>
      </c>
      <c r="E4392" t="s">
        <v>14314</v>
      </c>
      <c r="F4392" t="s">
        <v>25299</v>
      </c>
      <c r="H4392">
        <v>93525804</v>
      </c>
      <c r="I4392" t="s">
        <v>14292</v>
      </c>
      <c r="L4392" t="s">
        <v>25300</v>
      </c>
      <c r="M4392">
        <v>176</v>
      </c>
      <c r="N4392" t="s">
        <v>25301</v>
      </c>
    </row>
    <row r="4393" spans="1:14">
      <c r="A4393" t="s">
        <v>9256</v>
      </c>
      <c r="B4393">
        <v>5222405</v>
      </c>
      <c r="C4393">
        <v>5223064</v>
      </c>
      <c r="E4393" t="s">
        <v>14314</v>
      </c>
      <c r="F4393" t="s">
        <v>14291</v>
      </c>
      <c r="H4393">
        <v>93525805</v>
      </c>
      <c r="I4393" t="s">
        <v>14292</v>
      </c>
      <c r="L4393" t="s">
        <v>25302</v>
      </c>
      <c r="M4393">
        <v>219</v>
      </c>
      <c r="N4393" t="s">
        <v>25303</v>
      </c>
    </row>
    <row r="4394" spans="1:14">
      <c r="A4394" t="s">
        <v>9256</v>
      </c>
      <c r="B4394">
        <v>5223073</v>
      </c>
      <c r="C4394">
        <v>5223891</v>
      </c>
      <c r="E4394" t="s">
        <v>14314</v>
      </c>
      <c r="F4394" t="s">
        <v>14291</v>
      </c>
      <c r="H4394">
        <v>93525806</v>
      </c>
      <c r="I4394" t="s">
        <v>14292</v>
      </c>
      <c r="L4394" t="s">
        <v>25304</v>
      </c>
      <c r="M4394">
        <v>272</v>
      </c>
      <c r="N4394" t="s">
        <v>25305</v>
      </c>
    </row>
    <row r="4395" spans="1:14">
      <c r="A4395" t="s">
        <v>9256</v>
      </c>
      <c r="B4395">
        <v>5224853</v>
      </c>
      <c r="C4395">
        <v>5225383</v>
      </c>
      <c r="E4395" t="s">
        <v>14314</v>
      </c>
      <c r="F4395" t="s">
        <v>25306</v>
      </c>
      <c r="H4395">
        <v>93525807</v>
      </c>
      <c r="I4395" t="s">
        <v>14292</v>
      </c>
      <c r="L4395" t="s">
        <v>25307</v>
      </c>
      <c r="M4395">
        <v>176</v>
      </c>
      <c r="N4395" t="s">
        <v>25308</v>
      </c>
    </row>
    <row r="4396" spans="1:14">
      <c r="A4396" t="s">
        <v>9256</v>
      </c>
      <c r="B4396">
        <v>5225691</v>
      </c>
      <c r="C4396">
        <v>5225990</v>
      </c>
      <c r="E4396" t="s">
        <v>14290</v>
      </c>
      <c r="F4396" t="s">
        <v>25309</v>
      </c>
      <c r="H4396">
        <v>93525808</v>
      </c>
      <c r="I4396" t="s">
        <v>14292</v>
      </c>
      <c r="L4396" t="s">
        <v>25310</v>
      </c>
      <c r="M4396">
        <v>99</v>
      </c>
      <c r="N4396" t="s">
        <v>25311</v>
      </c>
    </row>
    <row r="4397" spans="1:14">
      <c r="A4397" t="s">
        <v>9256</v>
      </c>
      <c r="B4397">
        <v>5226002</v>
      </c>
      <c r="C4397">
        <v>5226364</v>
      </c>
      <c r="E4397" t="s">
        <v>14290</v>
      </c>
      <c r="F4397" t="s">
        <v>14406</v>
      </c>
      <c r="H4397">
        <v>93525809</v>
      </c>
      <c r="I4397" t="s">
        <v>14292</v>
      </c>
      <c r="L4397" t="s">
        <v>25312</v>
      </c>
      <c r="M4397">
        <v>120</v>
      </c>
      <c r="N4397" t="s">
        <v>25313</v>
      </c>
    </row>
    <row r="4398" spans="1:14">
      <c r="A4398" t="s">
        <v>9256</v>
      </c>
      <c r="B4398">
        <v>5226498</v>
      </c>
      <c r="C4398">
        <v>5228232</v>
      </c>
      <c r="E4398" t="s">
        <v>14314</v>
      </c>
      <c r="F4398" t="s">
        <v>14414</v>
      </c>
      <c r="H4398">
        <v>93525810</v>
      </c>
      <c r="I4398" t="s">
        <v>14415</v>
      </c>
      <c r="N4398" t="s">
        <v>25314</v>
      </c>
    </row>
    <row r="4399" spans="1:14">
      <c r="A4399" t="s">
        <v>9256</v>
      </c>
      <c r="B4399">
        <v>5228335</v>
      </c>
      <c r="C4399">
        <v>5228814</v>
      </c>
      <c r="E4399" t="s">
        <v>14314</v>
      </c>
      <c r="F4399" t="s">
        <v>19040</v>
      </c>
      <c r="H4399">
        <v>93525811</v>
      </c>
      <c r="I4399" t="s">
        <v>14292</v>
      </c>
      <c r="L4399" t="s">
        <v>25315</v>
      </c>
      <c r="M4399">
        <v>159</v>
      </c>
      <c r="N4399" t="s">
        <v>25316</v>
      </c>
    </row>
    <row r="4400" spans="1:14">
      <c r="A4400" t="s">
        <v>9256</v>
      </c>
      <c r="B4400">
        <v>5228828</v>
      </c>
      <c r="C4400">
        <v>5229124</v>
      </c>
      <c r="E4400" t="s">
        <v>14314</v>
      </c>
      <c r="F4400" t="s">
        <v>19136</v>
      </c>
      <c r="H4400">
        <v>301046733</v>
      </c>
      <c r="I4400" t="s">
        <v>14292</v>
      </c>
      <c r="L4400" t="s">
        <v>25317</v>
      </c>
      <c r="M4400">
        <v>98</v>
      </c>
      <c r="N4400" t="s">
        <v>25318</v>
      </c>
    </row>
    <row r="4401" spans="1:14">
      <c r="A4401" t="s">
        <v>9256</v>
      </c>
      <c r="B4401">
        <v>5229097</v>
      </c>
      <c r="C4401">
        <v>5229561</v>
      </c>
      <c r="E4401" t="s">
        <v>14314</v>
      </c>
      <c r="F4401" t="s">
        <v>25319</v>
      </c>
      <c r="H4401">
        <v>301046734</v>
      </c>
      <c r="I4401" t="s">
        <v>14292</v>
      </c>
      <c r="L4401" t="s">
        <v>25320</v>
      </c>
      <c r="M4401">
        <v>154</v>
      </c>
      <c r="N4401" t="s">
        <v>25321</v>
      </c>
    </row>
    <row r="4402" spans="1:14">
      <c r="A4402" t="s">
        <v>9256</v>
      </c>
      <c r="B4402">
        <v>5229696</v>
      </c>
      <c r="C4402">
        <v>5229974</v>
      </c>
      <c r="E4402" t="s">
        <v>14314</v>
      </c>
      <c r="F4402" t="s">
        <v>14291</v>
      </c>
      <c r="H4402">
        <v>93525813</v>
      </c>
      <c r="I4402" t="s">
        <v>14292</v>
      </c>
      <c r="L4402" t="s">
        <v>25322</v>
      </c>
      <c r="M4402">
        <v>92</v>
      </c>
      <c r="N4402" t="s">
        <v>25323</v>
      </c>
    </row>
    <row r="4403" spans="1:14">
      <c r="A4403" t="s">
        <v>9256</v>
      </c>
      <c r="B4403">
        <v>5229977</v>
      </c>
      <c r="C4403">
        <v>5230555</v>
      </c>
      <c r="E4403" t="s">
        <v>14314</v>
      </c>
      <c r="F4403" t="s">
        <v>14291</v>
      </c>
      <c r="H4403">
        <v>93525959</v>
      </c>
      <c r="I4403" t="s">
        <v>14292</v>
      </c>
      <c r="L4403" t="s">
        <v>25324</v>
      </c>
      <c r="M4403">
        <v>192</v>
      </c>
      <c r="N4403" t="s">
        <v>25325</v>
      </c>
    </row>
    <row r="4404" spans="1:14">
      <c r="A4404" t="s">
        <v>9256</v>
      </c>
      <c r="B4404">
        <v>5230727</v>
      </c>
      <c r="C4404">
        <v>5231635</v>
      </c>
      <c r="E4404" t="s">
        <v>14290</v>
      </c>
      <c r="F4404" t="s">
        <v>17648</v>
      </c>
      <c r="H4404">
        <v>93525814</v>
      </c>
      <c r="I4404" t="s">
        <v>14292</v>
      </c>
      <c r="L4404" t="s">
        <v>25326</v>
      </c>
      <c r="M4404">
        <v>302</v>
      </c>
      <c r="N4404" t="s">
        <v>25327</v>
      </c>
    </row>
    <row r="4405" spans="1:14">
      <c r="A4405" t="s">
        <v>9256</v>
      </c>
      <c r="B4405">
        <v>5231737</v>
      </c>
      <c r="C4405">
        <v>5233257</v>
      </c>
      <c r="E4405" t="s">
        <v>14314</v>
      </c>
      <c r="F4405" t="s">
        <v>18556</v>
      </c>
      <c r="H4405">
        <v>93525815</v>
      </c>
      <c r="I4405" t="s">
        <v>14292</v>
      </c>
      <c r="L4405" t="s">
        <v>25328</v>
      </c>
      <c r="M4405">
        <v>506</v>
      </c>
      <c r="N4405" t="s">
        <v>25329</v>
      </c>
    </row>
    <row r="4406" spans="1:14">
      <c r="A4406" t="s">
        <v>9256</v>
      </c>
      <c r="B4406">
        <v>5233267</v>
      </c>
      <c r="C4406">
        <v>5234598</v>
      </c>
      <c r="E4406" t="s">
        <v>14314</v>
      </c>
      <c r="F4406" t="s">
        <v>18416</v>
      </c>
      <c r="H4406">
        <v>93525816</v>
      </c>
      <c r="I4406" t="s">
        <v>14292</v>
      </c>
      <c r="L4406" t="s">
        <v>25330</v>
      </c>
      <c r="M4406">
        <v>443</v>
      </c>
      <c r="N4406" t="s">
        <v>25331</v>
      </c>
    </row>
    <row r="4407" spans="1:14">
      <c r="A4407" t="s">
        <v>9256</v>
      </c>
      <c r="B4407">
        <v>5234570</v>
      </c>
      <c r="C4407">
        <v>5236018</v>
      </c>
      <c r="E4407" t="s">
        <v>14314</v>
      </c>
      <c r="F4407" t="s">
        <v>14291</v>
      </c>
      <c r="H4407">
        <v>93525817</v>
      </c>
      <c r="I4407" t="s">
        <v>14292</v>
      </c>
      <c r="L4407" t="s">
        <v>25332</v>
      </c>
      <c r="M4407">
        <v>482</v>
      </c>
      <c r="N4407" t="s">
        <v>25333</v>
      </c>
    </row>
    <row r="4408" spans="1:14">
      <c r="A4408" t="s">
        <v>9256</v>
      </c>
      <c r="B4408">
        <v>5236117</v>
      </c>
      <c r="C4408">
        <v>5236722</v>
      </c>
      <c r="E4408" t="s">
        <v>14314</v>
      </c>
      <c r="F4408" t="s">
        <v>20143</v>
      </c>
      <c r="H4408">
        <v>93525818</v>
      </c>
      <c r="I4408" t="s">
        <v>14292</v>
      </c>
      <c r="L4408" t="s">
        <v>25334</v>
      </c>
      <c r="M4408">
        <v>201</v>
      </c>
      <c r="N4408" t="s">
        <v>25335</v>
      </c>
    </row>
    <row r="4409" spans="1:14">
      <c r="A4409" t="s">
        <v>9256</v>
      </c>
      <c r="B4409">
        <v>5236858</v>
      </c>
      <c r="C4409">
        <v>5237976</v>
      </c>
      <c r="E4409" t="s">
        <v>14314</v>
      </c>
      <c r="F4409" t="s">
        <v>25336</v>
      </c>
      <c r="H4409">
        <v>93525819</v>
      </c>
      <c r="I4409" t="s">
        <v>14292</v>
      </c>
      <c r="L4409" t="s">
        <v>25337</v>
      </c>
      <c r="M4409">
        <v>372</v>
      </c>
      <c r="N4409" t="s">
        <v>25338</v>
      </c>
    </row>
    <row r="4410" spans="1:14">
      <c r="A4410" t="s">
        <v>9256</v>
      </c>
      <c r="B4410">
        <v>5238091</v>
      </c>
      <c r="C4410">
        <v>5238363</v>
      </c>
      <c r="E4410" t="s">
        <v>14314</v>
      </c>
      <c r="F4410" t="s">
        <v>14291</v>
      </c>
      <c r="H4410">
        <v>93525820</v>
      </c>
      <c r="I4410" t="s">
        <v>14292</v>
      </c>
      <c r="L4410" t="s">
        <v>25339</v>
      </c>
      <c r="M4410">
        <v>90</v>
      </c>
      <c r="N4410" t="s">
        <v>25340</v>
      </c>
    </row>
    <row r="4411" spans="1:14">
      <c r="A4411" t="s">
        <v>9256</v>
      </c>
      <c r="B4411">
        <v>5238503</v>
      </c>
      <c r="C4411">
        <v>5239195</v>
      </c>
      <c r="E4411" t="s">
        <v>14314</v>
      </c>
      <c r="F4411" t="s">
        <v>14474</v>
      </c>
      <c r="H4411">
        <v>93525821</v>
      </c>
      <c r="I4411" t="s">
        <v>14292</v>
      </c>
      <c r="L4411" t="s">
        <v>25341</v>
      </c>
      <c r="M4411">
        <v>230</v>
      </c>
      <c r="N4411" t="s">
        <v>25342</v>
      </c>
    </row>
    <row r="4412" spans="1:14">
      <c r="A4412" t="s">
        <v>9256</v>
      </c>
      <c r="B4412">
        <v>5239199</v>
      </c>
      <c r="C4412">
        <v>5239966</v>
      </c>
      <c r="E4412" t="s">
        <v>14314</v>
      </c>
      <c r="F4412" t="s">
        <v>14805</v>
      </c>
      <c r="H4412">
        <v>93525822</v>
      </c>
      <c r="I4412" t="s">
        <v>14292</v>
      </c>
      <c r="L4412" t="s">
        <v>25343</v>
      </c>
      <c r="M4412">
        <v>255</v>
      </c>
      <c r="N4412" t="s">
        <v>25344</v>
      </c>
    </row>
    <row r="4413" spans="1:14">
      <c r="A4413" t="s">
        <v>9256</v>
      </c>
      <c r="B4413">
        <v>5239971</v>
      </c>
      <c r="C4413">
        <v>5241782</v>
      </c>
      <c r="E4413" t="s">
        <v>14314</v>
      </c>
      <c r="F4413" t="s">
        <v>25345</v>
      </c>
      <c r="H4413">
        <v>93525823</v>
      </c>
      <c r="I4413" t="s">
        <v>14292</v>
      </c>
      <c r="L4413" t="s">
        <v>25346</v>
      </c>
      <c r="M4413">
        <v>603</v>
      </c>
      <c r="N4413" t="s">
        <v>25347</v>
      </c>
    </row>
    <row r="4414" spans="1:14">
      <c r="A4414" t="s">
        <v>9256</v>
      </c>
      <c r="B4414">
        <v>5241815</v>
      </c>
      <c r="C4414">
        <v>5242555</v>
      </c>
      <c r="E4414" t="s">
        <v>14314</v>
      </c>
      <c r="F4414" t="s">
        <v>14805</v>
      </c>
      <c r="H4414">
        <v>93525824</v>
      </c>
      <c r="I4414" t="s">
        <v>14292</v>
      </c>
      <c r="L4414" t="s">
        <v>25348</v>
      </c>
      <c r="M4414">
        <v>246</v>
      </c>
      <c r="N4414" t="s">
        <v>25349</v>
      </c>
    </row>
    <row r="4415" spans="1:14">
      <c r="A4415" t="s">
        <v>9256</v>
      </c>
      <c r="B4415">
        <v>5242568</v>
      </c>
      <c r="C4415">
        <v>5243587</v>
      </c>
      <c r="E4415" t="s">
        <v>14314</v>
      </c>
      <c r="F4415" t="s">
        <v>25350</v>
      </c>
      <c r="H4415">
        <v>93525825</v>
      </c>
      <c r="I4415" t="s">
        <v>14292</v>
      </c>
      <c r="L4415" t="s">
        <v>25351</v>
      </c>
      <c r="M4415">
        <v>339</v>
      </c>
      <c r="N4415" t="s">
        <v>25352</v>
      </c>
    </row>
    <row r="4416" spans="1:14">
      <c r="A4416" t="s">
        <v>9256</v>
      </c>
      <c r="B4416">
        <v>5243601</v>
      </c>
      <c r="C4416">
        <v>5244587</v>
      </c>
      <c r="E4416" t="s">
        <v>14314</v>
      </c>
      <c r="F4416" t="s">
        <v>25353</v>
      </c>
      <c r="H4416">
        <v>93525826</v>
      </c>
      <c r="I4416" t="s">
        <v>14292</v>
      </c>
      <c r="L4416" t="s">
        <v>25354</v>
      </c>
      <c r="M4416">
        <v>328</v>
      </c>
      <c r="N4416" t="s">
        <v>25355</v>
      </c>
    </row>
    <row r="4417" spans="1:14">
      <c r="A4417" t="s">
        <v>9256</v>
      </c>
      <c r="B4417">
        <v>5244591</v>
      </c>
      <c r="C4417">
        <v>5245565</v>
      </c>
      <c r="E4417" t="s">
        <v>14314</v>
      </c>
      <c r="F4417" t="s">
        <v>14291</v>
      </c>
      <c r="H4417">
        <v>93525827</v>
      </c>
      <c r="I4417" t="s">
        <v>14292</v>
      </c>
      <c r="L4417" t="s">
        <v>25356</v>
      </c>
      <c r="M4417">
        <v>324</v>
      </c>
      <c r="N4417" t="s">
        <v>25357</v>
      </c>
    </row>
    <row r="4418" spans="1:14">
      <c r="A4418" t="s">
        <v>9256</v>
      </c>
      <c r="B4418">
        <v>5245575</v>
      </c>
      <c r="C4418">
        <v>5246444</v>
      </c>
      <c r="E4418" t="s">
        <v>14314</v>
      </c>
      <c r="F4418" t="s">
        <v>25358</v>
      </c>
      <c r="H4418">
        <v>93525828</v>
      </c>
      <c r="I4418" t="s">
        <v>14292</v>
      </c>
      <c r="L4418" t="s">
        <v>25359</v>
      </c>
      <c r="M4418">
        <v>289</v>
      </c>
      <c r="N4418" t="s">
        <v>25360</v>
      </c>
    </row>
    <row r="4419" spans="1:14">
      <c r="A4419" t="s">
        <v>9256</v>
      </c>
      <c r="B4419">
        <v>5246445</v>
      </c>
      <c r="C4419">
        <v>5247440</v>
      </c>
      <c r="E4419" t="s">
        <v>14314</v>
      </c>
      <c r="F4419" t="s">
        <v>15166</v>
      </c>
      <c r="H4419">
        <v>93525829</v>
      </c>
      <c r="I4419" t="s">
        <v>14292</v>
      </c>
      <c r="L4419" t="s">
        <v>25361</v>
      </c>
      <c r="M4419">
        <v>331</v>
      </c>
      <c r="N4419" t="s">
        <v>25362</v>
      </c>
    </row>
    <row r="4420" spans="1:14">
      <c r="A4420" t="s">
        <v>9256</v>
      </c>
      <c r="B4420">
        <v>5247609</v>
      </c>
      <c r="C4420">
        <v>5248688</v>
      </c>
      <c r="E4420" t="s">
        <v>14314</v>
      </c>
      <c r="F4420" t="s">
        <v>15103</v>
      </c>
      <c r="H4420">
        <v>93525830</v>
      </c>
      <c r="I4420" t="s">
        <v>14292</v>
      </c>
      <c r="L4420" t="s">
        <v>25363</v>
      </c>
      <c r="M4420">
        <v>359</v>
      </c>
      <c r="N4420" t="s">
        <v>25364</v>
      </c>
    </row>
    <row r="4421" spans="1:14">
      <c r="A4421" t="s">
        <v>9256</v>
      </c>
      <c r="B4421">
        <v>5248681</v>
      </c>
      <c r="C4421">
        <v>5248971</v>
      </c>
      <c r="E4421" t="s">
        <v>14314</v>
      </c>
      <c r="F4421" t="s">
        <v>15103</v>
      </c>
      <c r="H4421">
        <v>93525831</v>
      </c>
      <c r="I4421" t="s">
        <v>14292</v>
      </c>
      <c r="L4421" t="s">
        <v>25365</v>
      </c>
      <c r="M4421">
        <v>96</v>
      </c>
      <c r="N4421" t="s">
        <v>25366</v>
      </c>
    </row>
    <row r="4422" spans="1:14">
      <c r="A4422" t="s">
        <v>9256</v>
      </c>
      <c r="B4422">
        <v>5249049</v>
      </c>
      <c r="C4422">
        <v>5250347</v>
      </c>
      <c r="E4422" t="s">
        <v>14314</v>
      </c>
      <c r="F4422" t="s">
        <v>25367</v>
      </c>
      <c r="G4422" t="s">
        <v>25368</v>
      </c>
      <c r="H4422">
        <v>93525832</v>
      </c>
      <c r="I4422" t="s">
        <v>14292</v>
      </c>
      <c r="L4422" t="s">
        <v>25369</v>
      </c>
      <c r="M4422">
        <v>432</v>
      </c>
      <c r="N4422" t="s">
        <v>25370</v>
      </c>
    </row>
    <row r="4423" spans="1:14">
      <c r="A4423" t="s">
        <v>9256</v>
      </c>
      <c r="B4423">
        <v>5250344</v>
      </c>
      <c r="C4423">
        <v>5251297</v>
      </c>
      <c r="E4423" t="s">
        <v>14314</v>
      </c>
      <c r="F4423" t="s">
        <v>25371</v>
      </c>
      <c r="G4423" t="s">
        <v>25372</v>
      </c>
      <c r="H4423">
        <v>93525833</v>
      </c>
      <c r="I4423" t="s">
        <v>14292</v>
      </c>
      <c r="L4423" t="s">
        <v>25373</v>
      </c>
      <c r="M4423">
        <v>317</v>
      </c>
      <c r="N4423" t="s">
        <v>25374</v>
      </c>
    </row>
    <row r="4424" spans="1:14">
      <c r="A4424" t="s">
        <v>9256</v>
      </c>
      <c r="B4424">
        <v>5251321</v>
      </c>
      <c r="C4424">
        <v>5251662</v>
      </c>
      <c r="E4424" t="s">
        <v>14314</v>
      </c>
      <c r="F4424" t="s">
        <v>15901</v>
      </c>
      <c r="H4424">
        <v>93525834</v>
      </c>
      <c r="I4424" t="s">
        <v>14292</v>
      </c>
      <c r="L4424" t="s">
        <v>25375</v>
      </c>
      <c r="M4424">
        <v>113</v>
      </c>
      <c r="N4424" t="s">
        <v>25376</v>
      </c>
    </row>
    <row r="4425" spans="1:14">
      <c r="A4425" t="s">
        <v>9256</v>
      </c>
      <c r="B4425">
        <v>5251652</v>
      </c>
      <c r="C4425">
        <v>5251891</v>
      </c>
      <c r="E4425" t="s">
        <v>14314</v>
      </c>
      <c r="F4425" t="s">
        <v>14291</v>
      </c>
      <c r="H4425">
        <v>93525835</v>
      </c>
      <c r="I4425" t="s">
        <v>14292</v>
      </c>
      <c r="L4425" t="s">
        <v>25377</v>
      </c>
      <c r="M4425">
        <v>79</v>
      </c>
      <c r="N4425" t="s">
        <v>25378</v>
      </c>
    </row>
    <row r="4426" spans="1:14">
      <c r="A4426" t="s">
        <v>9256</v>
      </c>
      <c r="B4426">
        <v>5251912</v>
      </c>
      <c r="C4426">
        <v>5253051</v>
      </c>
      <c r="E4426" t="s">
        <v>14314</v>
      </c>
      <c r="F4426" t="s">
        <v>25379</v>
      </c>
      <c r="G4426" t="s">
        <v>25380</v>
      </c>
      <c r="H4426">
        <v>93525836</v>
      </c>
      <c r="I4426" t="s">
        <v>14292</v>
      </c>
      <c r="L4426" t="s">
        <v>25381</v>
      </c>
      <c r="M4426">
        <v>379</v>
      </c>
      <c r="N4426" t="s">
        <v>25382</v>
      </c>
    </row>
    <row r="4427" spans="1:14">
      <c r="A4427" t="s">
        <v>9256</v>
      </c>
      <c r="B4427">
        <v>5253465</v>
      </c>
      <c r="C4427">
        <v>5255804</v>
      </c>
      <c r="E4427" t="s">
        <v>14314</v>
      </c>
      <c r="F4427" t="s">
        <v>15182</v>
      </c>
      <c r="H4427">
        <v>93525837</v>
      </c>
      <c r="I4427" t="s">
        <v>14292</v>
      </c>
      <c r="L4427" t="s">
        <v>25383</v>
      </c>
      <c r="M4427">
        <v>779</v>
      </c>
      <c r="N4427" t="s">
        <v>25384</v>
      </c>
    </row>
    <row r="4428" spans="1:14">
      <c r="A4428" t="s">
        <v>9256</v>
      </c>
      <c r="B4428">
        <v>5255926</v>
      </c>
      <c r="C4428">
        <v>5256159</v>
      </c>
      <c r="E4428" t="s">
        <v>14290</v>
      </c>
      <c r="F4428" t="s">
        <v>14291</v>
      </c>
      <c r="H4428">
        <v>93525838</v>
      </c>
      <c r="I4428" t="s">
        <v>14292</v>
      </c>
      <c r="L4428" t="s">
        <v>25385</v>
      </c>
      <c r="M4428">
        <v>77</v>
      </c>
      <c r="N4428" t="s">
        <v>25386</v>
      </c>
    </row>
    <row r="4429" spans="1:14">
      <c r="A4429" t="s">
        <v>9256</v>
      </c>
      <c r="B4429">
        <v>5256331</v>
      </c>
      <c r="C4429">
        <v>5258544</v>
      </c>
      <c r="E4429" t="s">
        <v>14314</v>
      </c>
      <c r="F4429" t="s">
        <v>14615</v>
      </c>
      <c r="H4429">
        <v>93525839</v>
      </c>
      <c r="I4429" t="s">
        <v>14292</v>
      </c>
      <c r="L4429" t="s">
        <v>25387</v>
      </c>
      <c r="M4429">
        <v>737</v>
      </c>
      <c r="N4429" t="s">
        <v>25388</v>
      </c>
    </row>
    <row r="4430" spans="1:14">
      <c r="A4430" t="s">
        <v>9256</v>
      </c>
      <c r="B4430">
        <v>5258776</v>
      </c>
      <c r="C4430">
        <v>5259702</v>
      </c>
      <c r="E4430" t="s">
        <v>14290</v>
      </c>
      <c r="F4430" t="s">
        <v>14406</v>
      </c>
      <c r="H4430">
        <v>93525840</v>
      </c>
      <c r="I4430" t="s">
        <v>14292</v>
      </c>
      <c r="L4430" t="s">
        <v>25389</v>
      </c>
      <c r="M4430">
        <v>308</v>
      </c>
      <c r="N4430" t="s">
        <v>25390</v>
      </c>
    </row>
    <row r="4431" spans="1:14">
      <c r="A4431" t="s">
        <v>9256</v>
      </c>
      <c r="B4431">
        <v>5259731</v>
      </c>
      <c r="C4431">
        <v>5260102</v>
      </c>
      <c r="E4431" t="s">
        <v>14314</v>
      </c>
      <c r="F4431" t="s">
        <v>14786</v>
      </c>
      <c r="H4431">
        <v>93525841</v>
      </c>
      <c r="I4431" t="s">
        <v>14292</v>
      </c>
      <c r="L4431" t="s">
        <v>25391</v>
      </c>
      <c r="M4431">
        <v>123</v>
      </c>
      <c r="N4431" t="s">
        <v>25392</v>
      </c>
    </row>
    <row r="4432" spans="1:14">
      <c r="A4432" t="s">
        <v>9256</v>
      </c>
      <c r="B4432">
        <v>5260315</v>
      </c>
      <c r="C4432">
        <v>5265849</v>
      </c>
      <c r="E4432" t="s">
        <v>14314</v>
      </c>
      <c r="F4432" t="s">
        <v>20467</v>
      </c>
      <c r="H4432">
        <v>93525842</v>
      </c>
      <c r="I4432" t="s">
        <v>14292</v>
      </c>
      <c r="L4432" t="s">
        <v>25393</v>
      </c>
      <c r="M4432">
        <v>1844</v>
      </c>
      <c r="N4432" t="s">
        <v>25394</v>
      </c>
    </row>
    <row r="4433" spans="1:14">
      <c r="A4433" t="s">
        <v>9256</v>
      </c>
      <c r="B4433">
        <v>5266018</v>
      </c>
      <c r="C4433">
        <v>5267061</v>
      </c>
      <c r="E4433" t="s">
        <v>14290</v>
      </c>
      <c r="F4433" t="s">
        <v>16105</v>
      </c>
      <c r="H4433">
        <v>93525843</v>
      </c>
      <c r="I4433" t="s">
        <v>14292</v>
      </c>
      <c r="L4433" t="s">
        <v>25395</v>
      </c>
      <c r="M4433">
        <v>347</v>
      </c>
      <c r="N4433" t="s">
        <v>25396</v>
      </c>
    </row>
    <row r="4434" spans="1:14">
      <c r="A4434" t="s">
        <v>9256</v>
      </c>
      <c r="B4434">
        <v>5267073</v>
      </c>
      <c r="C4434">
        <v>5267510</v>
      </c>
      <c r="E4434" t="s">
        <v>14290</v>
      </c>
      <c r="F4434" t="s">
        <v>16146</v>
      </c>
      <c r="H4434">
        <v>93525844</v>
      </c>
      <c r="I4434" t="s">
        <v>14292</v>
      </c>
      <c r="L4434" t="s">
        <v>25397</v>
      </c>
      <c r="M4434">
        <v>145</v>
      </c>
      <c r="N4434" t="s">
        <v>25398</v>
      </c>
    </row>
    <row r="4435" spans="1:14">
      <c r="A4435" t="s">
        <v>9256</v>
      </c>
      <c r="B4435">
        <v>5267482</v>
      </c>
      <c r="C4435">
        <v>5270028</v>
      </c>
      <c r="E4435" t="s">
        <v>14290</v>
      </c>
      <c r="F4435" t="s">
        <v>25399</v>
      </c>
      <c r="G4435" t="s">
        <v>25400</v>
      </c>
      <c r="H4435">
        <v>93525845</v>
      </c>
      <c r="I4435" t="s">
        <v>14292</v>
      </c>
      <c r="L4435" t="s">
        <v>25401</v>
      </c>
      <c r="M4435">
        <v>848</v>
      </c>
      <c r="N4435" t="s">
        <v>25402</v>
      </c>
    </row>
    <row r="4436" spans="1:14">
      <c r="A4436" t="s">
        <v>9256</v>
      </c>
      <c r="B4436">
        <v>5270037</v>
      </c>
      <c r="C4436">
        <v>5271485</v>
      </c>
      <c r="E4436" t="s">
        <v>14314</v>
      </c>
      <c r="F4436" t="s">
        <v>25403</v>
      </c>
      <c r="H4436">
        <v>93525846</v>
      </c>
      <c r="I4436" t="s">
        <v>14292</v>
      </c>
      <c r="L4436" t="s">
        <v>25404</v>
      </c>
      <c r="M4436">
        <v>482</v>
      </c>
      <c r="N4436" t="s">
        <v>25405</v>
      </c>
    </row>
    <row r="4437" spans="1:14">
      <c r="A4437" t="s">
        <v>9256</v>
      </c>
      <c r="B4437">
        <v>5271591</v>
      </c>
      <c r="C4437">
        <v>5273357</v>
      </c>
      <c r="E4437" t="s">
        <v>14290</v>
      </c>
      <c r="F4437" t="s">
        <v>19966</v>
      </c>
      <c r="H4437">
        <v>93525847</v>
      </c>
      <c r="I4437" t="s">
        <v>14292</v>
      </c>
      <c r="L4437" t="s">
        <v>25406</v>
      </c>
      <c r="M4437">
        <v>588</v>
      </c>
      <c r="N4437" t="s">
        <v>25407</v>
      </c>
    </row>
    <row r="4438" spans="1:14">
      <c r="A4438" t="s">
        <v>9256</v>
      </c>
      <c r="B4438">
        <v>5273455</v>
      </c>
      <c r="C4438">
        <v>5273706</v>
      </c>
      <c r="E4438" t="s">
        <v>14290</v>
      </c>
      <c r="F4438" t="s">
        <v>25408</v>
      </c>
      <c r="H4438">
        <v>93525848</v>
      </c>
      <c r="I4438" t="s">
        <v>14292</v>
      </c>
      <c r="L4438" t="s">
        <v>25409</v>
      </c>
      <c r="M4438">
        <v>83</v>
      </c>
      <c r="N4438" t="s">
        <v>25410</v>
      </c>
    </row>
    <row r="4439" spans="1:14">
      <c r="A4439" t="s">
        <v>9256</v>
      </c>
      <c r="B4439">
        <v>5273819</v>
      </c>
      <c r="C4439">
        <v>5275180</v>
      </c>
      <c r="E4439" t="s">
        <v>14314</v>
      </c>
      <c r="F4439" t="s">
        <v>25411</v>
      </c>
      <c r="G4439" t="s">
        <v>25412</v>
      </c>
      <c r="H4439">
        <v>93525849</v>
      </c>
      <c r="I4439" t="s">
        <v>14292</v>
      </c>
      <c r="L4439" t="s">
        <v>25413</v>
      </c>
      <c r="M4439">
        <v>453</v>
      </c>
      <c r="N4439" t="s">
        <v>25414</v>
      </c>
    </row>
    <row r="4440" spans="1:14">
      <c r="A4440" t="s">
        <v>9256</v>
      </c>
      <c r="B4440">
        <v>5275295</v>
      </c>
      <c r="C4440">
        <v>5276503</v>
      </c>
      <c r="E4440" t="s">
        <v>14314</v>
      </c>
      <c r="F4440" t="s">
        <v>19862</v>
      </c>
      <c r="H4440">
        <v>93525850</v>
      </c>
      <c r="I4440" t="s">
        <v>14292</v>
      </c>
      <c r="L4440" t="s">
        <v>25415</v>
      </c>
      <c r="M4440">
        <v>402</v>
      </c>
      <c r="N4440" t="s">
        <v>25416</v>
      </c>
    </row>
    <row r="4441" spans="1:14">
      <c r="A4441" t="s">
        <v>9256</v>
      </c>
      <c r="B4441">
        <v>5276611</v>
      </c>
      <c r="C4441">
        <v>5277210</v>
      </c>
      <c r="E4441" t="s">
        <v>14314</v>
      </c>
      <c r="F4441" t="s">
        <v>25417</v>
      </c>
      <c r="H4441">
        <v>93525851</v>
      </c>
      <c r="I4441" t="s">
        <v>14292</v>
      </c>
      <c r="L4441" t="s">
        <v>25418</v>
      </c>
      <c r="M4441">
        <v>199</v>
      </c>
      <c r="N4441" t="s">
        <v>25419</v>
      </c>
    </row>
    <row r="4442" spans="1:14">
      <c r="A4442" t="s">
        <v>9256</v>
      </c>
      <c r="B4442">
        <v>5277214</v>
      </c>
      <c r="C4442">
        <v>5277435</v>
      </c>
      <c r="E4442" t="s">
        <v>14314</v>
      </c>
      <c r="F4442" t="s">
        <v>14291</v>
      </c>
      <c r="H4442">
        <v>93525852</v>
      </c>
      <c r="I4442" t="s">
        <v>14292</v>
      </c>
      <c r="L4442" t="s">
        <v>25420</v>
      </c>
      <c r="M4442">
        <v>73</v>
      </c>
      <c r="N4442" t="s">
        <v>25421</v>
      </c>
    </row>
    <row r="4443" spans="1:14">
      <c r="A4443" t="s">
        <v>9256</v>
      </c>
      <c r="B4443">
        <v>5277432</v>
      </c>
      <c r="C4443">
        <v>5280287</v>
      </c>
      <c r="E4443" t="s">
        <v>14314</v>
      </c>
      <c r="F4443" t="s">
        <v>19161</v>
      </c>
      <c r="G4443" t="s">
        <v>19162</v>
      </c>
      <c r="H4443">
        <v>93525853</v>
      </c>
      <c r="I4443" t="s">
        <v>14292</v>
      </c>
      <c r="L4443" t="s">
        <v>25422</v>
      </c>
      <c r="M4443">
        <v>951</v>
      </c>
      <c r="N4443" t="s">
        <v>25423</v>
      </c>
    </row>
    <row r="4444" spans="1:14">
      <c r="A4444" t="s">
        <v>9256</v>
      </c>
      <c r="B4444">
        <v>5280444</v>
      </c>
      <c r="C4444">
        <v>5281190</v>
      </c>
      <c r="E4444" t="s">
        <v>14314</v>
      </c>
      <c r="F4444" t="s">
        <v>14582</v>
      </c>
      <c r="H4444">
        <v>93525854</v>
      </c>
      <c r="I4444" t="s">
        <v>14292</v>
      </c>
      <c r="L4444" t="s">
        <v>25424</v>
      </c>
      <c r="M4444">
        <v>248</v>
      </c>
      <c r="N4444" t="s">
        <v>25425</v>
      </c>
    </row>
    <row r="4445" spans="1:14">
      <c r="A4445" t="s">
        <v>9256</v>
      </c>
      <c r="B4445">
        <v>5281388</v>
      </c>
      <c r="C4445">
        <v>5282875</v>
      </c>
      <c r="E4445" t="s">
        <v>14290</v>
      </c>
      <c r="F4445" t="s">
        <v>25426</v>
      </c>
      <c r="G4445" t="s">
        <v>25427</v>
      </c>
      <c r="H4445">
        <v>93525855</v>
      </c>
      <c r="I4445" t="s">
        <v>14292</v>
      </c>
      <c r="L4445" t="s">
        <v>25428</v>
      </c>
      <c r="M4445">
        <v>495</v>
      </c>
      <c r="N4445" t="s">
        <v>25429</v>
      </c>
    </row>
    <row r="4446" spans="1:14">
      <c r="A4446" t="s">
        <v>9256</v>
      </c>
      <c r="B4446">
        <v>5283036</v>
      </c>
      <c r="C4446">
        <v>5283248</v>
      </c>
      <c r="E4446" t="s">
        <v>14290</v>
      </c>
      <c r="F4446" t="s">
        <v>14291</v>
      </c>
      <c r="H4446">
        <v>93525856</v>
      </c>
      <c r="I4446" t="s">
        <v>14292</v>
      </c>
      <c r="L4446" t="s">
        <v>25430</v>
      </c>
      <c r="M4446">
        <v>70</v>
      </c>
      <c r="N4446" t="s">
        <v>25431</v>
      </c>
    </row>
    <row r="4447" spans="1:14">
      <c r="A4447" t="s">
        <v>9256</v>
      </c>
      <c r="B4447">
        <v>5283387</v>
      </c>
      <c r="C4447">
        <v>5284943</v>
      </c>
      <c r="E4447" t="s">
        <v>14290</v>
      </c>
      <c r="F4447" t="s">
        <v>25432</v>
      </c>
      <c r="H4447">
        <v>93525857</v>
      </c>
      <c r="I4447" t="s">
        <v>14292</v>
      </c>
      <c r="L4447" t="s">
        <v>25433</v>
      </c>
      <c r="M4447">
        <v>518</v>
      </c>
      <c r="N4447" t="s">
        <v>25434</v>
      </c>
    </row>
    <row r="4448" spans="1:14">
      <c r="A4448" t="s">
        <v>9256</v>
      </c>
      <c r="B4448">
        <v>5285042</v>
      </c>
      <c r="C4448">
        <v>5286808</v>
      </c>
      <c r="E4448" t="s">
        <v>14290</v>
      </c>
      <c r="F4448" t="s">
        <v>25435</v>
      </c>
      <c r="H4448">
        <v>93525858</v>
      </c>
      <c r="I4448" t="s">
        <v>14292</v>
      </c>
      <c r="L4448" t="s">
        <v>25436</v>
      </c>
      <c r="M4448">
        <v>588</v>
      </c>
      <c r="N4448" t="s">
        <v>25437</v>
      </c>
    </row>
    <row r="4449" spans="1:14">
      <c r="A4449" t="s">
        <v>9256</v>
      </c>
      <c r="B4449">
        <v>5286833</v>
      </c>
      <c r="C4449">
        <v>5288074</v>
      </c>
      <c r="E4449" t="s">
        <v>14290</v>
      </c>
      <c r="F4449" t="s">
        <v>25438</v>
      </c>
      <c r="H4449">
        <v>93525859</v>
      </c>
      <c r="I4449" t="s">
        <v>14292</v>
      </c>
      <c r="L4449" t="s">
        <v>25439</v>
      </c>
      <c r="M4449">
        <v>413</v>
      </c>
      <c r="N4449" t="s">
        <v>25440</v>
      </c>
    </row>
    <row r="4450" spans="1:14">
      <c r="A4450" t="s">
        <v>9256</v>
      </c>
      <c r="B4450">
        <v>5288064</v>
      </c>
      <c r="C4450">
        <v>5289596</v>
      </c>
      <c r="E4450" t="s">
        <v>14290</v>
      </c>
      <c r="F4450" t="s">
        <v>25441</v>
      </c>
      <c r="H4450">
        <v>93525860</v>
      </c>
      <c r="I4450" t="s">
        <v>14292</v>
      </c>
      <c r="L4450" t="s">
        <v>25442</v>
      </c>
      <c r="M4450">
        <v>510</v>
      </c>
      <c r="N4450" t="s">
        <v>25443</v>
      </c>
    </row>
    <row r="4451" spans="1:14">
      <c r="A4451" t="s">
        <v>9256</v>
      </c>
      <c r="B4451">
        <v>5289598</v>
      </c>
      <c r="C4451">
        <v>5290917</v>
      </c>
      <c r="E4451" t="s">
        <v>14290</v>
      </c>
      <c r="F4451" t="s">
        <v>25441</v>
      </c>
      <c r="H4451">
        <v>93525861</v>
      </c>
      <c r="I4451" t="s">
        <v>14292</v>
      </c>
      <c r="L4451" t="s">
        <v>25444</v>
      </c>
      <c r="M4451">
        <v>439</v>
      </c>
      <c r="N4451" t="s">
        <v>25445</v>
      </c>
    </row>
    <row r="4452" spans="1:14">
      <c r="A4452" t="s">
        <v>9256</v>
      </c>
      <c r="B4452">
        <v>5290998</v>
      </c>
      <c r="C4452">
        <v>5291648</v>
      </c>
      <c r="E4452" t="s">
        <v>14314</v>
      </c>
      <c r="F4452" t="s">
        <v>25446</v>
      </c>
      <c r="G4452" t="s">
        <v>25447</v>
      </c>
      <c r="H4452">
        <v>93525862</v>
      </c>
      <c r="I4452" t="s">
        <v>14292</v>
      </c>
      <c r="L4452" t="s">
        <v>25448</v>
      </c>
      <c r="M4452">
        <v>216</v>
      </c>
      <c r="N4452" t="s">
        <v>25449</v>
      </c>
    </row>
    <row r="4453" spans="1:14">
      <c r="A4453" t="s">
        <v>9256</v>
      </c>
      <c r="B4453">
        <v>5291666</v>
      </c>
      <c r="C4453">
        <v>5291872</v>
      </c>
      <c r="E4453" t="s">
        <v>14314</v>
      </c>
      <c r="F4453" t="s">
        <v>25450</v>
      </c>
      <c r="H4453">
        <v>93525863</v>
      </c>
      <c r="I4453" t="s">
        <v>14292</v>
      </c>
      <c r="L4453" t="s">
        <v>25451</v>
      </c>
      <c r="M4453">
        <v>68</v>
      </c>
      <c r="N4453" t="s">
        <v>25452</v>
      </c>
    </row>
    <row r="4454" spans="1:14">
      <c r="A4454" t="s">
        <v>9256</v>
      </c>
      <c r="B4454">
        <v>5291888</v>
      </c>
      <c r="C4454">
        <v>5294101</v>
      </c>
      <c r="E4454" t="s">
        <v>14314</v>
      </c>
      <c r="F4454" t="s">
        <v>21845</v>
      </c>
      <c r="H4454">
        <v>93525864</v>
      </c>
      <c r="I4454" t="s">
        <v>14292</v>
      </c>
      <c r="L4454" t="s">
        <v>25453</v>
      </c>
      <c r="M4454">
        <v>737</v>
      </c>
      <c r="N4454" t="s">
        <v>25454</v>
      </c>
    </row>
    <row r="4455" spans="1:14">
      <c r="A4455" t="s">
        <v>9256</v>
      </c>
      <c r="B4455">
        <v>5294317</v>
      </c>
      <c r="C4455">
        <v>5294766</v>
      </c>
      <c r="E4455" t="s">
        <v>14290</v>
      </c>
      <c r="F4455" t="s">
        <v>25455</v>
      </c>
      <c r="H4455">
        <v>93525865</v>
      </c>
      <c r="I4455" t="s">
        <v>14292</v>
      </c>
      <c r="L4455" t="s">
        <v>25456</v>
      </c>
      <c r="M4455">
        <v>149</v>
      </c>
      <c r="N4455" t="s">
        <v>25457</v>
      </c>
    </row>
    <row r="4456" spans="1:14">
      <c r="A4456" t="s">
        <v>9256</v>
      </c>
      <c r="B4456">
        <v>5294820</v>
      </c>
      <c r="C4456">
        <v>5294960</v>
      </c>
      <c r="E4456" t="s">
        <v>14314</v>
      </c>
      <c r="F4456" t="s">
        <v>14291</v>
      </c>
      <c r="H4456">
        <v>93525866</v>
      </c>
      <c r="I4456" t="s">
        <v>14292</v>
      </c>
      <c r="L4456" t="s">
        <v>25458</v>
      </c>
      <c r="M4456">
        <v>46</v>
      </c>
      <c r="N4456" t="s">
        <v>25459</v>
      </c>
    </row>
    <row r="4457" spans="1:14">
      <c r="A4457" t="s">
        <v>9256</v>
      </c>
      <c r="B4457">
        <v>5295096</v>
      </c>
      <c r="C4457">
        <v>5296274</v>
      </c>
      <c r="E4457" t="s">
        <v>14290</v>
      </c>
      <c r="F4457" t="s">
        <v>25460</v>
      </c>
      <c r="H4457">
        <v>93525867</v>
      </c>
      <c r="I4457" t="s">
        <v>14292</v>
      </c>
      <c r="L4457" t="s">
        <v>25461</v>
      </c>
      <c r="M4457">
        <v>392</v>
      </c>
      <c r="N4457" t="s">
        <v>25462</v>
      </c>
    </row>
    <row r="4458" spans="1:14">
      <c r="A4458" t="s">
        <v>9256</v>
      </c>
      <c r="B4458">
        <v>5296318</v>
      </c>
      <c r="C4458">
        <v>5298018</v>
      </c>
      <c r="E4458" t="s">
        <v>14290</v>
      </c>
      <c r="F4458" t="s">
        <v>19008</v>
      </c>
      <c r="H4458">
        <v>93525868</v>
      </c>
      <c r="I4458" t="s">
        <v>14292</v>
      </c>
      <c r="L4458" t="s">
        <v>25463</v>
      </c>
      <c r="M4458">
        <v>566</v>
      </c>
      <c r="N4458" t="s">
        <v>25464</v>
      </c>
    </row>
    <row r="4459" spans="1:14">
      <c r="A4459" t="s">
        <v>9256</v>
      </c>
      <c r="B4459">
        <v>5298093</v>
      </c>
      <c r="C4459">
        <v>5299013</v>
      </c>
      <c r="E4459" t="s">
        <v>14290</v>
      </c>
      <c r="F4459" t="s">
        <v>25465</v>
      </c>
      <c r="G4459" t="s">
        <v>25466</v>
      </c>
      <c r="H4459">
        <v>93525869</v>
      </c>
      <c r="I4459" t="s">
        <v>14292</v>
      </c>
      <c r="L4459" t="s">
        <v>25467</v>
      </c>
      <c r="M4459">
        <v>306</v>
      </c>
      <c r="N4459" t="s">
        <v>25468</v>
      </c>
    </row>
    <row r="4460" spans="1:14">
      <c r="A4460" t="s">
        <v>9256</v>
      </c>
      <c r="B4460">
        <v>5299026</v>
      </c>
      <c r="C4460">
        <v>5299490</v>
      </c>
      <c r="E4460" t="s">
        <v>14290</v>
      </c>
      <c r="F4460" t="s">
        <v>25469</v>
      </c>
      <c r="G4460" t="s">
        <v>25470</v>
      </c>
      <c r="H4460">
        <v>93525870</v>
      </c>
      <c r="I4460" t="s">
        <v>14292</v>
      </c>
      <c r="L4460" t="s">
        <v>25471</v>
      </c>
      <c r="M4460">
        <v>154</v>
      </c>
      <c r="N4460" t="s">
        <v>25472</v>
      </c>
    </row>
    <row r="4461" spans="1:14">
      <c r="A4461" t="s">
        <v>9256</v>
      </c>
      <c r="B4461">
        <v>5299582</v>
      </c>
      <c r="C4461">
        <v>5300148</v>
      </c>
      <c r="E4461" t="s">
        <v>14290</v>
      </c>
      <c r="F4461" t="s">
        <v>16172</v>
      </c>
      <c r="H4461">
        <v>93525871</v>
      </c>
      <c r="I4461" t="s">
        <v>14292</v>
      </c>
      <c r="L4461" t="s">
        <v>25473</v>
      </c>
      <c r="M4461">
        <v>188</v>
      </c>
      <c r="N4461" t="s">
        <v>25474</v>
      </c>
    </row>
    <row r="4462" spans="1:14">
      <c r="A4462" t="s">
        <v>9256</v>
      </c>
      <c r="B4462">
        <v>5300153</v>
      </c>
      <c r="C4462">
        <v>5300875</v>
      </c>
      <c r="E4462" t="s">
        <v>14290</v>
      </c>
      <c r="F4462" t="s">
        <v>14464</v>
      </c>
      <c r="H4462">
        <v>93525872</v>
      </c>
      <c r="I4462" t="s">
        <v>14292</v>
      </c>
      <c r="L4462" t="s">
        <v>25475</v>
      </c>
      <c r="M4462">
        <v>240</v>
      </c>
      <c r="N4462" t="s">
        <v>25476</v>
      </c>
    </row>
    <row r="4463" spans="1:14">
      <c r="A4463" t="s">
        <v>9256</v>
      </c>
      <c r="B4463">
        <v>5300885</v>
      </c>
      <c r="C4463">
        <v>5302159</v>
      </c>
      <c r="E4463" t="s">
        <v>14314</v>
      </c>
      <c r="F4463" t="s">
        <v>21750</v>
      </c>
      <c r="H4463">
        <v>93525873</v>
      </c>
      <c r="I4463" t="s">
        <v>14292</v>
      </c>
      <c r="L4463" t="s">
        <v>25477</v>
      </c>
      <c r="M4463">
        <v>424</v>
      </c>
      <c r="N4463" t="s">
        <v>25478</v>
      </c>
    </row>
    <row r="4464" spans="1:14">
      <c r="A4464" t="s">
        <v>9256</v>
      </c>
      <c r="B4464">
        <v>5302328</v>
      </c>
      <c r="C4464">
        <v>5303347</v>
      </c>
      <c r="E4464" t="s">
        <v>14290</v>
      </c>
      <c r="F4464" t="s">
        <v>25479</v>
      </c>
      <c r="G4464" t="s">
        <v>25480</v>
      </c>
      <c r="H4464">
        <v>93525874</v>
      </c>
      <c r="I4464" t="s">
        <v>14292</v>
      </c>
      <c r="L4464" t="s">
        <v>25481</v>
      </c>
      <c r="M4464">
        <v>339</v>
      </c>
      <c r="N4464" t="s">
        <v>25482</v>
      </c>
    </row>
    <row r="4465" spans="1:14">
      <c r="A4465" t="s">
        <v>9256</v>
      </c>
      <c r="B4465">
        <v>5303418</v>
      </c>
      <c r="C4465">
        <v>5303804</v>
      </c>
      <c r="E4465" t="s">
        <v>14290</v>
      </c>
      <c r="F4465" t="s">
        <v>25483</v>
      </c>
      <c r="G4465" t="s">
        <v>25484</v>
      </c>
      <c r="H4465">
        <v>93525875</v>
      </c>
      <c r="I4465" t="s">
        <v>14292</v>
      </c>
      <c r="L4465" t="s">
        <v>25485</v>
      </c>
      <c r="M4465">
        <v>128</v>
      </c>
      <c r="N4465" t="s">
        <v>25486</v>
      </c>
    </row>
    <row r="4466" spans="1:14">
      <c r="A4466" t="s">
        <v>9256</v>
      </c>
      <c r="B4466">
        <v>5303875</v>
      </c>
      <c r="C4466">
        <v>5304651</v>
      </c>
      <c r="E4466" t="s">
        <v>14314</v>
      </c>
      <c r="F4466" t="s">
        <v>14335</v>
      </c>
      <c r="H4466">
        <v>93525876</v>
      </c>
      <c r="I4466" t="s">
        <v>14292</v>
      </c>
      <c r="L4466" t="s">
        <v>25487</v>
      </c>
      <c r="M4466">
        <v>258</v>
      </c>
      <c r="N4466" t="s">
        <v>25488</v>
      </c>
    </row>
    <row r="4467" spans="1:14">
      <c r="A4467" t="s">
        <v>9256</v>
      </c>
      <c r="B4467">
        <v>5304654</v>
      </c>
      <c r="C4467">
        <v>5305964</v>
      </c>
      <c r="E4467" t="s">
        <v>14314</v>
      </c>
      <c r="F4467" t="s">
        <v>21349</v>
      </c>
      <c r="H4467">
        <v>93525877</v>
      </c>
      <c r="I4467" t="s">
        <v>14292</v>
      </c>
      <c r="L4467" t="s">
        <v>25489</v>
      </c>
      <c r="M4467">
        <v>436</v>
      </c>
      <c r="N4467" t="s">
        <v>25490</v>
      </c>
    </row>
    <row r="4468" spans="1:14">
      <c r="A4468" t="s">
        <v>9256</v>
      </c>
      <c r="B4468">
        <v>5306101</v>
      </c>
      <c r="C4468">
        <v>5306505</v>
      </c>
      <c r="E4468" t="s">
        <v>14314</v>
      </c>
      <c r="F4468" t="s">
        <v>16164</v>
      </c>
      <c r="H4468">
        <v>93525878</v>
      </c>
      <c r="I4468" t="s">
        <v>14292</v>
      </c>
      <c r="L4468" t="s">
        <v>25491</v>
      </c>
      <c r="M4468">
        <v>134</v>
      </c>
      <c r="N4468" t="s">
        <v>25492</v>
      </c>
    </row>
    <row r="4469" spans="1:14">
      <c r="A4469" t="s">
        <v>9256</v>
      </c>
      <c r="B4469">
        <v>5306502</v>
      </c>
      <c r="C4469">
        <v>5306816</v>
      </c>
      <c r="E4469" t="s">
        <v>14314</v>
      </c>
      <c r="F4469" t="s">
        <v>14375</v>
      </c>
      <c r="H4469">
        <v>93525879</v>
      </c>
      <c r="I4469" t="s">
        <v>14292</v>
      </c>
      <c r="L4469" t="s">
        <v>25493</v>
      </c>
      <c r="M4469">
        <v>104</v>
      </c>
      <c r="N4469" t="s">
        <v>25494</v>
      </c>
    </row>
    <row r="4470" spans="1:14">
      <c r="A4470" t="s">
        <v>9256</v>
      </c>
      <c r="B4470">
        <v>5306958</v>
      </c>
      <c r="C4470">
        <v>5308235</v>
      </c>
      <c r="E4470" t="s">
        <v>14314</v>
      </c>
      <c r="F4470" t="s">
        <v>14291</v>
      </c>
      <c r="H4470">
        <v>93525880</v>
      </c>
      <c r="I4470" t="s">
        <v>14292</v>
      </c>
      <c r="L4470" t="s">
        <v>25495</v>
      </c>
      <c r="M4470">
        <v>425</v>
      </c>
      <c r="N4470" t="s">
        <v>25496</v>
      </c>
    </row>
    <row r="4471" spans="1:14">
      <c r="A4471" t="s">
        <v>9256</v>
      </c>
      <c r="B4471">
        <v>5308248</v>
      </c>
      <c r="C4471">
        <v>5309627</v>
      </c>
      <c r="E4471" t="s">
        <v>14314</v>
      </c>
      <c r="F4471" t="s">
        <v>24182</v>
      </c>
      <c r="H4471">
        <v>93525881</v>
      </c>
      <c r="I4471" t="s">
        <v>14292</v>
      </c>
      <c r="L4471" t="s">
        <v>25497</v>
      </c>
      <c r="M4471">
        <v>459</v>
      </c>
      <c r="N4471" t="s">
        <v>25498</v>
      </c>
    </row>
    <row r="4472" spans="1:14">
      <c r="A4472" t="s">
        <v>9256</v>
      </c>
      <c r="B4472">
        <v>5309742</v>
      </c>
      <c r="C4472">
        <v>5310575</v>
      </c>
      <c r="E4472" t="s">
        <v>14314</v>
      </c>
      <c r="F4472" t="s">
        <v>14291</v>
      </c>
      <c r="H4472">
        <v>93525882</v>
      </c>
      <c r="I4472" t="s">
        <v>14292</v>
      </c>
      <c r="L4472" t="s">
        <v>25499</v>
      </c>
      <c r="M4472">
        <v>277</v>
      </c>
      <c r="N4472" t="s">
        <v>25500</v>
      </c>
    </row>
    <row r="4473" spans="1:14">
      <c r="A4473" t="s">
        <v>9256</v>
      </c>
      <c r="B4473">
        <v>5310612</v>
      </c>
      <c r="C4473">
        <v>5311688</v>
      </c>
      <c r="E4473" t="s">
        <v>14314</v>
      </c>
      <c r="F4473" t="s">
        <v>14361</v>
      </c>
      <c r="H4473">
        <v>93525883</v>
      </c>
      <c r="I4473" t="s">
        <v>14292</v>
      </c>
      <c r="L4473" t="s">
        <v>25501</v>
      </c>
      <c r="M4473">
        <v>358</v>
      </c>
      <c r="N4473" t="s">
        <v>25502</v>
      </c>
    </row>
    <row r="4474" spans="1:14">
      <c r="A4474" t="s">
        <v>9256</v>
      </c>
      <c r="B4474">
        <v>5311679</v>
      </c>
      <c r="C4474">
        <v>5312857</v>
      </c>
      <c r="E4474" t="s">
        <v>14314</v>
      </c>
      <c r="F4474" t="s">
        <v>25503</v>
      </c>
      <c r="G4474" t="s">
        <v>25504</v>
      </c>
      <c r="H4474">
        <v>93525884</v>
      </c>
      <c r="I4474" t="s">
        <v>14292</v>
      </c>
      <c r="L4474" t="s">
        <v>25505</v>
      </c>
      <c r="M4474">
        <v>392</v>
      </c>
      <c r="N4474" t="s">
        <v>25506</v>
      </c>
    </row>
    <row r="4475" spans="1:14">
      <c r="A4475" t="s">
        <v>9256</v>
      </c>
      <c r="B4475">
        <v>5312901</v>
      </c>
      <c r="C4475">
        <v>5313815</v>
      </c>
      <c r="E4475" t="s">
        <v>14314</v>
      </c>
      <c r="F4475" t="s">
        <v>25507</v>
      </c>
      <c r="H4475">
        <v>93525885</v>
      </c>
      <c r="I4475" t="s">
        <v>14292</v>
      </c>
      <c r="L4475" t="s">
        <v>25508</v>
      </c>
      <c r="M4475">
        <v>304</v>
      </c>
      <c r="N4475" t="s">
        <v>25509</v>
      </c>
    </row>
    <row r="4476" spans="1:14">
      <c r="A4476" t="s">
        <v>9256</v>
      </c>
      <c r="B4476">
        <v>5313812</v>
      </c>
      <c r="C4476">
        <v>5315245</v>
      </c>
      <c r="E4476" t="s">
        <v>14314</v>
      </c>
      <c r="F4476" t="s">
        <v>14326</v>
      </c>
      <c r="H4476">
        <v>93525886</v>
      </c>
      <c r="I4476" t="s">
        <v>14292</v>
      </c>
      <c r="L4476" t="s">
        <v>25510</v>
      </c>
      <c r="M4476">
        <v>477</v>
      </c>
      <c r="N4476" t="s">
        <v>25511</v>
      </c>
    </row>
    <row r="4477" spans="1:14">
      <c r="A4477" t="s">
        <v>9256</v>
      </c>
      <c r="B4477">
        <v>5315337</v>
      </c>
      <c r="C4477">
        <v>5315633</v>
      </c>
      <c r="E4477" t="s">
        <v>14314</v>
      </c>
      <c r="F4477" t="s">
        <v>14375</v>
      </c>
      <c r="H4477">
        <v>93525887</v>
      </c>
      <c r="I4477" t="s">
        <v>14292</v>
      </c>
      <c r="L4477" t="s">
        <v>25512</v>
      </c>
      <c r="M4477">
        <v>98</v>
      </c>
      <c r="N4477" t="s">
        <v>25513</v>
      </c>
    </row>
    <row r="4478" spans="1:14">
      <c r="A4478" t="s">
        <v>9256</v>
      </c>
      <c r="B4478">
        <v>5315612</v>
      </c>
      <c r="C4478">
        <v>5315998</v>
      </c>
      <c r="E4478" t="s">
        <v>14314</v>
      </c>
      <c r="F4478" t="s">
        <v>16164</v>
      </c>
      <c r="H4478">
        <v>93525888</v>
      </c>
      <c r="I4478" t="s">
        <v>14292</v>
      </c>
      <c r="L4478" t="s">
        <v>25514</v>
      </c>
      <c r="M4478">
        <v>128</v>
      </c>
      <c r="N4478" t="s">
        <v>25515</v>
      </c>
    </row>
    <row r="4479" spans="1:14">
      <c r="A4479" t="s">
        <v>9256</v>
      </c>
      <c r="B4479">
        <v>5316073</v>
      </c>
      <c r="C4479">
        <v>5317008</v>
      </c>
      <c r="E4479" t="s">
        <v>14314</v>
      </c>
      <c r="F4479" t="s">
        <v>25057</v>
      </c>
      <c r="H4479">
        <v>93525889</v>
      </c>
      <c r="I4479" t="s">
        <v>14292</v>
      </c>
      <c r="L4479" t="s">
        <v>25516</v>
      </c>
      <c r="M4479">
        <v>311</v>
      </c>
      <c r="N4479" t="s">
        <v>25517</v>
      </c>
    </row>
    <row r="4480" spans="1:14">
      <c r="A4480" t="s">
        <v>9256</v>
      </c>
      <c r="B4480">
        <v>5317005</v>
      </c>
      <c r="C4480">
        <v>5318321</v>
      </c>
      <c r="E4480" t="s">
        <v>14314</v>
      </c>
      <c r="F4480" t="s">
        <v>21349</v>
      </c>
      <c r="H4480">
        <v>93525890</v>
      </c>
      <c r="I4480" t="s">
        <v>14292</v>
      </c>
      <c r="L4480" t="s">
        <v>25518</v>
      </c>
      <c r="M4480">
        <v>438</v>
      </c>
      <c r="N4480" t="s">
        <v>25519</v>
      </c>
    </row>
    <row r="4481" spans="1:14">
      <c r="A4481" t="s">
        <v>9256</v>
      </c>
      <c r="B4481">
        <v>5318336</v>
      </c>
      <c r="C4481">
        <v>5318740</v>
      </c>
      <c r="E4481" t="s">
        <v>14314</v>
      </c>
      <c r="F4481" t="s">
        <v>14291</v>
      </c>
      <c r="H4481">
        <v>93525891</v>
      </c>
      <c r="I4481" t="s">
        <v>14292</v>
      </c>
      <c r="L4481" t="s">
        <v>25520</v>
      </c>
      <c r="M4481">
        <v>134</v>
      </c>
      <c r="N4481" t="s">
        <v>25521</v>
      </c>
    </row>
    <row r="4482" spans="1:14">
      <c r="A4482" t="s">
        <v>9256</v>
      </c>
      <c r="B4482">
        <v>5318796</v>
      </c>
      <c r="C4482">
        <v>5319059</v>
      </c>
      <c r="E4482" t="s">
        <v>14314</v>
      </c>
      <c r="F4482" t="s">
        <v>15166</v>
      </c>
      <c r="H4482">
        <v>93525960</v>
      </c>
      <c r="I4482" t="s">
        <v>14292</v>
      </c>
      <c r="L4482" t="s">
        <v>25522</v>
      </c>
      <c r="M4482">
        <v>87</v>
      </c>
      <c r="N4482" t="s">
        <v>25523</v>
      </c>
    </row>
    <row r="4483" spans="1:14">
      <c r="A4483" t="s">
        <v>9256</v>
      </c>
      <c r="B4483">
        <v>5319011</v>
      </c>
      <c r="C4483">
        <v>5319331</v>
      </c>
      <c r="E4483" t="s">
        <v>14314</v>
      </c>
      <c r="F4483" t="s">
        <v>14291</v>
      </c>
      <c r="H4483">
        <v>93525961</v>
      </c>
      <c r="I4483" t="s">
        <v>14292</v>
      </c>
      <c r="L4483" t="s">
        <v>25524</v>
      </c>
      <c r="M4483">
        <v>106</v>
      </c>
      <c r="N4483" t="s">
        <v>25525</v>
      </c>
    </row>
    <row r="4484" spans="1:14">
      <c r="A4484" t="s">
        <v>9256</v>
      </c>
      <c r="B4484">
        <v>5319460</v>
      </c>
      <c r="C4484">
        <v>5319822</v>
      </c>
      <c r="E4484" t="s">
        <v>14314</v>
      </c>
      <c r="F4484" t="s">
        <v>14291</v>
      </c>
      <c r="H4484">
        <v>93525892</v>
      </c>
      <c r="I4484" t="s">
        <v>14292</v>
      </c>
      <c r="L4484" t="s">
        <v>25526</v>
      </c>
      <c r="M4484">
        <v>120</v>
      </c>
      <c r="N4484" t="s">
        <v>25527</v>
      </c>
    </row>
    <row r="4485" spans="1:14">
      <c r="A4485" t="s">
        <v>9256</v>
      </c>
      <c r="B4485">
        <v>5320017</v>
      </c>
      <c r="C4485">
        <v>5320586</v>
      </c>
      <c r="E4485" t="s">
        <v>14290</v>
      </c>
      <c r="F4485" t="s">
        <v>15094</v>
      </c>
      <c r="H4485">
        <v>93525893</v>
      </c>
      <c r="I4485" t="s">
        <v>14292</v>
      </c>
      <c r="L4485" t="s">
        <v>25528</v>
      </c>
      <c r="M4485">
        <v>189</v>
      </c>
      <c r="N4485" t="s">
        <v>25529</v>
      </c>
    </row>
    <row r="4486" spans="1:14">
      <c r="A4486" t="s">
        <v>9256</v>
      </c>
      <c r="B4486">
        <v>5320630</v>
      </c>
      <c r="C4486">
        <v>5322468</v>
      </c>
      <c r="E4486" t="s">
        <v>14290</v>
      </c>
      <c r="F4486" t="s">
        <v>15097</v>
      </c>
      <c r="H4486">
        <v>93525894</v>
      </c>
      <c r="I4486" t="s">
        <v>14292</v>
      </c>
      <c r="L4486" t="s">
        <v>25530</v>
      </c>
      <c r="M4486">
        <v>612</v>
      </c>
      <c r="N4486" t="s">
        <v>25531</v>
      </c>
    </row>
    <row r="4487" spans="1:14">
      <c r="A4487" t="s">
        <v>9256</v>
      </c>
      <c r="B4487">
        <v>5322565</v>
      </c>
      <c r="C4487">
        <v>5322771</v>
      </c>
      <c r="E4487" t="s">
        <v>14290</v>
      </c>
      <c r="F4487" t="s">
        <v>15100</v>
      </c>
      <c r="H4487">
        <v>93525895</v>
      </c>
      <c r="I4487" t="s">
        <v>14292</v>
      </c>
      <c r="L4487" t="s">
        <v>25532</v>
      </c>
      <c r="M4487">
        <v>68</v>
      </c>
      <c r="N4487" t="s">
        <v>25533</v>
      </c>
    </row>
    <row r="4488" spans="1:14">
      <c r="A4488" t="s">
        <v>9256</v>
      </c>
      <c r="B4488">
        <v>5323086</v>
      </c>
      <c r="C4488">
        <v>5323547</v>
      </c>
      <c r="E4488" t="s">
        <v>14290</v>
      </c>
      <c r="F4488" t="s">
        <v>15103</v>
      </c>
      <c r="H4488">
        <v>93525896</v>
      </c>
      <c r="I4488" t="s">
        <v>14292</v>
      </c>
      <c r="L4488" t="s">
        <v>15104</v>
      </c>
      <c r="M4488">
        <v>153</v>
      </c>
      <c r="N4488" t="s">
        <v>25534</v>
      </c>
    </row>
    <row r="4489" spans="1:14">
      <c r="A4489" t="s">
        <v>9256</v>
      </c>
      <c r="B4489">
        <v>5323800</v>
      </c>
      <c r="C4489">
        <v>5323895</v>
      </c>
      <c r="E4489" t="s">
        <v>14290</v>
      </c>
      <c r="F4489" t="s">
        <v>15106</v>
      </c>
      <c r="H4489">
        <v>93525897</v>
      </c>
      <c r="I4489" t="s">
        <v>14292</v>
      </c>
      <c r="L4489" t="s">
        <v>15107</v>
      </c>
      <c r="M4489">
        <v>31</v>
      </c>
      <c r="N4489" t="s">
        <v>25535</v>
      </c>
    </row>
    <row r="4490" spans="1:14">
      <c r="A4490" t="s">
        <v>9256</v>
      </c>
      <c r="B4490">
        <v>5323928</v>
      </c>
      <c r="C4490">
        <v>5324449</v>
      </c>
      <c r="E4490" t="s">
        <v>14290</v>
      </c>
      <c r="F4490" t="s">
        <v>14487</v>
      </c>
      <c r="H4490">
        <v>93525898</v>
      </c>
      <c r="I4490" t="s">
        <v>14292</v>
      </c>
      <c r="L4490" t="s">
        <v>25536</v>
      </c>
      <c r="M4490">
        <v>173</v>
      </c>
      <c r="N4490" t="s">
        <v>25537</v>
      </c>
    </row>
    <row r="4491" spans="1:14">
      <c r="A4491" t="s">
        <v>9256</v>
      </c>
      <c r="B4491">
        <v>5324407</v>
      </c>
      <c r="C4491">
        <v>5324892</v>
      </c>
      <c r="E4491" t="s">
        <v>14314</v>
      </c>
      <c r="F4491" t="s">
        <v>25538</v>
      </c>
      <c r="H4491">
        <v>93525899</v>
      </c>
      <c r="I4491" t="s">
        <v>14292</v>
      </c>
      <c r="L4491" t="s">
        <v>25539</v>
      </c>
      <c r="M4491">
        <v>161</v>
      </c>
      <c r="N4491" t="s">
        <v>25540</v>
      </c>
    </row>
    <row r="4492" spans="1:14">
      <c r="A4492" t="s">
        <v>9256</v>
      </c>
      <c r="B4492">
        <v>5324864</v>
      </c>
      <c r="C4492">
        <v>5325013</v>
      </c>
      <c r="E4492" t="s">
        <v>14314</v>
      </c>
      <c r="F4492" t="s">
        <v>14291</v>
      </c>
      <c r="H4492">
        <v>93525900</v>
      </c>
      <c r="I4492" t="s">
        <v>14292</v>
      </c>
      <c r="L4492" t="s">
        <v>25541</v>
      </c>
      <c r="M4492">
        <v>49</v>
      </c>
      <c r="N4492" t="s">
        <v>25542</v>
      </c>
    </row>
    <row r="4493" spans="1:14">
      <c r="A4493" t="s">
        <v>9256</v>
      </c>
      <c r="B4493">
        <v>5325097</v>
      </c>
      <c r="C4493">
        <v>5325768</v>
      </c>
      <c r="E4493" t="s">
        <v>14314</v>
      </c>
      <c r="F4493" t="s">
        <v>14369</v>
      </c>
      <c r="H4493">
        <v>93525901</v>
      </c>
      <c r="I4493" t="s">
        <v>14292</v>
      </c>
      <c r="L4493" t="s">
        <v>23582</v>
      </c>
      <c r="M4493">
        <v>223</v>
      </c>
      <c r="N4493" t="s">
        <v>25543</v>
      </c>
    </row>
    <row r="4494" spans="1:14">
      <c r="A4494" t="s">
        <v>9256</v>
      </c>
      <c r="B4494">
        <v>5325765</v>
      </c>
      <c r="C4494">
        <v>5326172</v>
      </c>
      <c r="E4494" t="s">
        <v>14314</v>
      </c>
      <c r="F4494" t="s">
        <v>14291</v>
      </c>
      <c r="H4494">
        <v>93525902</v>
      </c>
      <c r="I4494" t="s">
        <v>14292</v>
      </c>
      <c r="L4494" t="s">
        <v>25544</v>
      </c>
      <c r="M4494">
        <v>135</v>
      </c>
      <c r="N4494" t="s">
        <v>25545</v>
      </c>
    </row>
    <row r="4495" spans="1:14">
      <c r="A4495" t="s">
        <v>9256</v>
      </c>
      <c r="B4495">
        <v>5326178</v>
      </c>
      <c r="C4495">
        <v>5327290</v>
      </c>
      <c r="E4495" t="s">
        <v>14314</v>
      </c>
      <c r="F4495" t="s">
        <v>15122</v>
      </c>
      <c r="G4495" t="s">
        <v>15123</v>
      </c>
      <c r="H4495">
        <v>93525903</v>
      </c>
      <c r="I4495" t="s">
        <v>14292</v>
      </c>
      <c r="L4495" t="s">
        <v>15124</v>
      </c>
      <c r="M4495">
        <v>370</v>
      </c>
      <c r="N4495" t="s">
        <v>25546</v>
      </c>
    </row>
    <row r="4496" spans="1:14">
      <c r="A4496" t="s">
        <v>9256</v>
      </c>
      <c r="B4496">
        <v>5327811</v>
      </c>
      <c r="C4496">
        <v>5328743</v>
      </c>
      <c r="E4496" t="s">
        <v>14314</v>
      </c>
      <c r="F4496" t="s">
        <v>15126</v>
      </c>
      <c r="H4496">
        <v>93525904</v>
      </c>
      <c r="I4496" t="s">
        <v>14292</v>
      </c>
      <c r="L4496" t="s">
        <v>25547</v>
      </c>
      <c r="M4496">
        <v>310</v>
      </c>
      <c r="N4496" t="s">
        <v>25548</v>
      </c>
    </row>
    <row r="4497" spans="1:14">
      <c r="A4497" t="s">
        <v>9256</v>
      </c>
      <c r="B4497">
        <v>5328869</v>
      </c>
      <c r="C4497">
        <v>5330140</v>
      </c>
      <c r="E4497" t="s">
        <v>14314</v>
      </c>
      <c r="F4497" t="s">
        <v>25549</v>
      </c>
      <c r="H4497">
        <v>93525962</v>
      </c>
      <c r="I4497" t="s">
        <v>14292</v>
      </c>
      <c r="L4497" t="s">
        <v>25550</v>
      </c>
      <c r="M4497">
        <v>423</v>
      </c>
      <c r="N4497" t="s">
        <v>25551</v>
      </c>
    </row>
    <row r="4498" spans="1:14">
      <c r="A4498" t="s">
        <v>9256</v>
      </c>
      <c r="B4498">
        <v>5330137</v>
      </c>
      <c r="C4498">
        <v>5331228</v>
      </c>
      <c r="E4498" t="s">
        <v>14314</v>
      </c>
      <c r="F4498" t="s">
        <v>14414</v>
      </c>
      <c r="H4498">
        <v>93525905</v>
      </c>
      <c r="I4498" t="s">
        <v>14415</v>
      </c>
      <c r="N4498" t="s">
        <v>25552</v>
      </c>
    </row>
    <row r="4499" spans="1:14">
      <c r="A4499" t="s">
        <v>9256</v>
      </c>
      <c r="B4499">
        <v>5331424</v>
      </c>
      <c r="C4499">
        <v>5332593</v>
      </c>
      <c r="E4499" t="s">
        <v>14290</v>
      </c>
      <c r="F4499" t="s">
        <v>15333</v>
      </c>
      <c r="H4499">
        <v>93525906</v>
      </c>
      <c r="I4499" t="s">
        <v>14292</v>
      </c>
      <c r="L4499" t="s">
        <v>25553</v>
      </c>
      <c r="M4499">
        <v>389</v>
      </c>
      <c r="N4499" t="s">
        <v>25554</v>
      </c>
    </row>
    <row r="4500" spans="1:14">
      <c r="A4500" t="s">
        <v>9256</v>
      </c>
      <c r="B4500">
        <v>5332598</v>
      </c>
      <c r="C4500">
        <v>5333743</v>
      </c>
      <c r="E4500" t="s">
        <v>14290</v>
      </c>
      <c r="F4500" t="s">
        <v>15333</v>
      </c>
      <c r="H4500">
        <v>93525907</v>
      </c>
      <c r="I4500" t="s">
        <v>14292</v>
      </c>
      <c r="L4500" t="s">
        <v>25555</v>
      </c>
      <c r="M4500">
        <v>381</v>
      </c>
      <c r="N4500" t="s">
        <v>25556</v>
      </c>
    </row>
    <row r="4501" spans="1:14">
      <c r="A4501" t="s">
        <v>9256</v>
      </c>
      <c r="B4501">
        <v>5333834</v>
      </c>
      <c r="C4501">
        <v>5334817</v>
      </c>
      <c r="E4501" t="s">
        <v>14314</v>
      </c>
      <c r="F4501" t="s">
        <v>14291</v>
      </c>
      <c r="H4501">
        <v>93525908</v>
      </c>
      <c r="I4501" t="s">
        <v>14292</v>
      </c>
      <c r="L4501" t="s">
        <v>25557</v>
      </c>
      <c r="M4501">
        <v>327</v>
      </c>
      <c r="N4501" t="s">
        <v>25558</v>
      </c>
    </row>
    <row r="4502" spans="1:14">
      <c r="A4502" t="s">
        <v>9256</v>
      </c>
      <c r="B4502">
        <v>5334838</v>
      </c>
      <c r="C4502">
        <v>5335728</v>
      </c>
      <c r="E4502" t="s">
        <v>14314</v>
      </c>
      <c r="F4502" t="s">
        <v>14291</v>
      </c>
      <c r="H4502">
        <v>93525909</v>
      </c>
      <c r="I4502" t="s">
        <v>14292</v>
      </c>
      <c r="L4502" t="s">
        <v>25559</v>
      </c>
      <c r="M4502">
        <v>296</v>
      </c>
      <c r="N4502" t="s">
        <v>25560</v>
      </c>
    </row>
    <row r="4503" spans="1:14">
      <c r="A4503" t="s">
        <v>9256</v>
      </c>
      <c r="B4503">
        <v>5336489</v>
      </c>
      <c r="C4503">
        <v>5337208</v>
      </c>
      <c r="E4503" t="s">
        <v>14290</v>
      </c>
      <c r="F4503" t="s">
        <v>25561</v>
      </c>
      <c r="H4503">
        <v>93525910</v>
      </c>
      <c r="I4503" t="s">
        <v>14292</v>
      </c>
      <c r="L4503" t="s">
        <v>25562</v>
      </c>
      <c r="M4503">
        <v>239</v>
      </c>
      <c r="N4503" t="s">
        <v>25563</v>
      </c>
    </row>
    <row r="4504" spans="1:14">
      <c r="A4504" t="s">
        <v>9256</v>
      </c>
      <c r="B4504">
        <v>5337205</v>
      </c>
      <c r="C4504">
        <v>5338197</v>
      </c>
      <c r="E4504" t="s">
        <v>14290</v>
      </c>
      <c r="F4504" t="s">
        <v>16899</v>
      </c>
      <c r="H4504">
        <v>93525911</v>
      </c>
      <c r="I4504" t="s">
        <v>14292</v>
      </c>
      <c r="L4504" t="s">
        <v>25564</v>
      </c>
      <c r="M4504">
        <v>330</v>
      </c>
      <c r="N4504" t="s">
        <v>25565</v>
      </c>
    </row>
    <row r="4505" spans="1:14">
      <c r="A4505" t="s">
        <v>9256</v>
      </c>
      <c r="B4505">
        <v>5338194</v>
      </c>
      <c r="C4505">
        <v>5338814</v>
      </c>
      <c r="E4505" t="s">
        <v>14290</v>
      </c>
      <c r="F4505" t="s">
        <v>14291</v>
      </c>
      <c r="H4505">
        <v>93525912</v>
      </c>
      <c r="I4505" t="s">
        <v>14292</v>
      </c>
      <c r="L4505" t="s">
        <v>25566</v>
      </c>
      <c r="M4505">
        <v>206</v>
      </c>
      <c r="N4505" t="s">
        <v>25567</v>
      </c>
    </row>
    <row r="4506" spans="1:14">
      <c r="A4506" t="s">
        <v>9256</v>
      </c>
      <c r="B4506">
        <v>5338811</v>
      </c>
      <c r="C4506">
        <v>5339224</v>
      </c>
      <c r="E4506" t="s">
        <v>14290</v>
      </c>
      <c r="F4506" t="s">
        <v>14291</v>
      </c>
      <c r="H4506">
        <v>93525913</v>
      </c>
      <c r="I4506" t="s">
        <v>14292</v>
      </c>
      <c r="L4506" t="s">
        <v>25568</v>
      </c>
      <c r="M4506">
        <v>137</v>
      </c>
      <c r="N4506" t="s">
        <v>25569</v>
      </c>
    </row>
    <row r="4507" spans="1:14">
      <c r="A4507" t="s">
        <v>9256</v>
      </c>
      <c r="B4507">
        <v>5339459</v>
      </c>
      <c r="C4507">
        <v>5339701</v>
      </c>
      <c r="E4507" t="s">
        <v>14290</v>
      </c>
      <c r="F4507" t="s">
        <v>14406</v>
      </c>
      <c r="H4507">
        <v>93525914</v>
      </c>
      <c r="I4507" t="s">
        <v>14292</v>
      </c>
      <c r="L4507" t="s">
        <v>25570</v>
      </c>
      <c r="M4507">
        <v>80</v>
      </c>
      <c r="N4507" t="s">
        <v>25571</v>
      </c>
    </row>
    <row r="4508" spans="1:14">
      <c r="A4508" t="s">
        <v>9256</v>
      </c>
      <c r="B4508">
        <v>5339730</v>
      </c>
      <c r="C4508">
        <v>5340203</v>
      </c>
      <c r="E4508" t="s">
        <v>14290</v>
      </c>
      <c r="F4508" t="s">
        <v>14291</v>
      </c>
      <c r="H4508">
        <v>93525915</v>
      </c>
      <c r="I4508" t="s">
        <v>14292</v>
      </c>
      <c r="L4508" t="s">
        <v>25572</v>
      </c>
      <c r="M4508">
        <v>157</v>
      </c>
      <c r="N4508" t="s">
        <v>25573</v>
      </c>
    </row>
    <row r="4509" spans="1:14">
      <c r="A4509" t="s">
        <v>9256</v>
      </c>
      <c r="B4509">
        <v>5340181</v>
      </c>
      <c r="C4509">
        <v>5340471</v>
      </c>
      <c r="E4509" t="s">
        <v>14314</v>
      </c>
      <c r="F4509" t="s">
        <v>14291</v>
      </c>
      <c r="H4509">
        <v>93525963</v>
      </c>
      <c r="I4509" t="s">
        <v>14292</v>
      </c>
      <c r="L4509" t="s">
        <v>25574</v>
      </c>
      <c r="M4509">
        <v>96</v>
      </c>
      <c r="N4509" t="s">
        <v>25575</v>
      </c>
    </row>
    <row r="4510" spans="1:14">
      <c r="A4510" t="s">
        <v>9256</v>
      </c>
      <c r="B4510">
        <v>5340499</v>
      </c>
      <c r="C4510">
        <v>5340765</v>
      </c>
      <c r="E4510" t="s">
        <v>14290</v>
      </c>
      <c r="F4510" t="s">
        <v>14291</v>
      </c>
      <c r="H4510">
        <v>93525964</v>
      </c>
      <c r="I4510" t="s">
        <v>14292</v>
      </c>
      <c r="L4510" t="s">
        <v>25576</v>
      </c>
      <c r="M4510">
        <v>88</v>
      </c>
      <c r="N4510" t="s">
        <v>25577</v>
      </c>
    </row>
    <row r="4511" spans="1:14">
      <c r="A4511" t="s">
        <v>9256</v>
      </c>
      <c r="B4511">
        <v>5340987</v>
      </c>
      <c r="C4511">
        <v>5341421</v>
      </c>
      <c r="E4511" t="s">
        <v>14290</v>
      </c>
      <c r="F4511" t="s">
        <v>25578</v>
      </c>
      <c r="H4511">
        <v>93525916</v>
      </c>
      <c r="I4511" t="s">
        <v>14292</v>
      </c>
      <c r="L4511" t="s">
        <v>25579</v>
      </c>
      <c r="M4511">
        <v>144</v>
      </c>
      <c r="N4511" t="s">
        <v>25580</v>
      </c>
    </row>
    <row r="4512" spans="1:14">
      <c r="A4512" t="s">
        <v>9256</v>
      </c>
      <c r="B4512">
        <v>5341418</v>
      </c>
      <c r="C4512">
        <v>5342650</v>
      </c>
      <c r="E4512" t="s">
        <v>14290</v>
      </c>
      <c r="F4512" t="s">
        <v>25581</v>
      </c>
      <c r="H4512">
        <v>93525917</v>
      </c>
      <c r="I4512" t="s">
        <v>14292</v>
      </c>
      <c r="L4512" t="s">
        <v>25582</v>
      </c>
      <c r="M4512">
        <v>410</v>
      </c>
      <c r="N4512" t="s">
        <v>25583</v>
      </c>
    </row>
    <row r="4513" spans="1:14">
      <c r="A4513" t="s">
        <v>9256</v>
      </c>
      <c r="B4513">
        <v>5342656</v>
      </c>
      <c r="C4513">
        <v>5343192</v>
      </c>
      <c r="E4513" t="s">
        <v>14290</v>
      </c>
      <c r="F4513" t="s">
        <v>14291</v>
      </c>
      <c r="H4513">
        <v>93525918</v>
      </c>
      <c r="I4513" t="s">
        <v>14292</v>
      </c>
      <c r="L4513" t="s">
        <v>25584</v>
      </c>
      <c r="M4513">
        <v>178</v>
      </c>
      <c r="N4513" t="s">
        <v>25585</v>
      </c>
    </row>
    <row r="4514" spans="1:14">
      <c r="A4514" t="s">
        <v>9256</v>
      </c>
      <c r="B4514">
        <v>5343212</v>
      </c>
      <c r="C4514">
        <v>5344420</v>
      </c>
      <c r="E4514" t="s">
        <v>14290</v>
      </c>
      <c r="F4514" t="s">
        <v>15333</v>
      </c>
      <c r="H4514">
        <v>93525919</v>
      </c>
      <c r="I4514" t="s">
        <v>14292</v>
      </c>
      <c r="L4514" t="s">
        <v>25586</v>
      </c>
      <c r="M4514">
        <v>402</v>
      </c>
      <c r="N4514" t="s">
        <v>25587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C1DE-D311-3E43-9727-9071CB36E3FE}">
  <dimension ref="A1:K5006"/>
  <sheetViews>
    <sheetView zoomScale="108" zoomScaleNormal="161" workbookViewId="0">
      <selection activeCell="E17" sqref="E17"/>
    </sheetView>
  </sheetViews>
  <sheetFormatPr defaultColWidth="11.1640625" defaultRowHeight="16" outlineLevelRow="1"/>
  <cols>
    <col min="1" max="1" width="18.83203125" customWidth="1"/>
    <col min="2" max="2" width="15.6640625" customWidth="1"/>
    <col min="4" max="4" width="18.83203125" customWidth="1"/>
    <col min="5" max="5" width="48.5" customWidth="1"/>
    <col min="6" max="6" width="31.6640625" customWidth="1"/>
    <col min="7" max="7" width="30.6640625" style="10" customWidth="1"/>
    <col min="8" max="8" width="21.5" style="13" customWidth="1"/>
  </cols>
  <sheetData>
    <row r="1" spans="1:8">
      <c r="A1" t="s">
        <v>0</v>
      </c>
      <c r="B1" t="s">
        <v>2</v>
      </c>
      <c r="C1" t="s">
        <v>3</v>
      </c>
      <c r="D1" t="s">
        <v>9262</v>
      </c>
      <c r="E1" t="s">
        <v>9259</v>
      </c>
      <c r="F1" t="s">
        <v>9260</v>
      </c>
      <c r="G1" s="10" t="s">
        <v>9264</v>
      </c>
      <c r="H1" s="13" t="s">
        <v>9265</v>
      </c>
    </row>
    <row r="2" spans="1:8">
      <c r="A2" t="s">
        <v>4</v>
      </c>
      <c r="B2" t="s">
        <v>5</v>
      </c>
      <c r="E2" s="1"/>
    </row>
    <row r="3" spans="1:8">
      <c r="A3" t="s">
        <v>6</v>
      </c>
      <c r="B3" t="s">
        <v>7</v>
      </c>
      <c r="E3" s="1"/>
    </row>
    <row r="4" spans="1:8">
      <c r="A4" t="s">
        <v>8</v>
      </c>
      <c r="B4" t="s">
        <v>9</v>
      </c>
      <c r="E4" s="1"/>
    </row>
    <row r="5" spans="1:8">
      <c r="A5" t="s">
        <v>10</v>
      </c>
      <c r="B5" t="s">
        <v>11</v>
      </c>
      <c r="E5" s="1"/>
    </row>
    <row r="6" spans="1:8">
      <c r="A6" t="s">
        <v>12</v>
      </c>
      <c r="B6" t="s">
        <v>13</v>
      </c>
      <c r="E6" s="1"/>
    </row>
    <row r="7" spans="1:8">
      <c r="A7" t="s">
        <v>14</v>
      </c>
      <c r="B7" t="s">
        <v>15</v>
      </c>
      <c r="E7" s="1"/>
    </row>
    <row r="8" spans="1:8">
      <c r="A8" t="s">
        <v>16</v>
      </c>
      <c r="B8" t="s">
        <v>17</v>
      </c>
      <c r="E8" s="1"/>
    </row>
    <row r="9" spans="1:8">
      <c r="A9" t="s">
        <v>18</v>
      </c>
      <c r="B9" t="s">
        <v>19</v>
      </c>
      <c r="E9" s="1"/>
    </row>
    <row r="10" spans="1:8">
      <c r="A10" t="s">
        <v>20</v>
      </c>
      <c r="B10" t="s">
        <v>21</v>
      </c>
      <c r="E10" s="1"/>
    </row>
    <row r="11" spans="1:8">
      <c r="B11" t="s">
        <v>22</v>
      </c>
      <c r="E11" s="1"/>
    </row>
    <row r="12" spans="1:8">
      <c r="A12" t="s">
        <v>23</v>
      </c>
      <c r="B12" t="s">
        <v>24</v>
      </c>
      <c r="E12" s="1"/>
    </row>
    <row r="13" spans="1:8">
      <c r="A13" t="s">
        <v>25</v>
      </c>
      <c r="B13" t="s">
        <v>26</v>
      </c>
      <c r="E13" s="1"/>
    </row>
    <row r="14" spans="1:8">
      <c r="A14" t="s">
        <v>27</v>
      </c>
      <c r="B14" t="s">
        <v>28</v>
      </c>
      <c r="E14" s="1"/>
    </row>
    <row r="15" spans="1:8">
      <c r="A15" t="s">
        <v>29</v>
      </c>
      <c r="B15" t="s">
        <v>30</v>
      </c>
      <c r="E15" s="1"/>
    </row>
    <row r="16" spans="1:8">
      <c r="A16" t="s">
        <v>31</v>
      </c>
      <c r="B16" t="s">
        <v>32</v>
      </c>
      <c r="E16" s="1"/>
    </row>
    <row r="17" spans="1:8">
      <c r="A17" t="s">
        <v>33</v>
      </c>
      <c r="B17" t="s">
        <v>34</v>
      </c>
      <c r="E17" s="1"/>
    </row>
    <row r="18" spans="1:8">
      <c r="A18" t="s">
        <v>35</v>
      </c>
      <c r="B18" t="s">
        <v>36</v>
      </c>
      <c r="E18" s="1"/>
    </row>
    <row r="19" spans="1:8" outlineLevel="1">
      <c r="A19" t="s">
        <v>37</v>
      </c>
      <c r="B19" t="s">
        <v>38</v>
      </c>
      <c r="C19" s="1" t="s">
        <v>39</v>
      </c>
      <c r="D19" s="1"/>
      <c r="E19" s="1" t="str">
        <f t="shared" ref="E19:E70" si="0">HYPERLINK("https://www.kegg.jp/dbget-bin/www_bget?ec:" &amp; C19, "https://www.kegg.jp/dbget-bin/www_bget?ec:" &amp; C19)</f>
        <v>https://www.kegg.jp/dbget-bin/www_bget?ec:5.4.99.9</v>
      </c>
      <c r="F19" s="1" t="s">
        <v>9261</v>
      </c>
      <c r="G19" s="11" t="s">
        <v>9263</v>
      </c>
      <c r="H19" s="14" t="s">
        <v>9266</v>
      </c>
    </row>
    <row r="20" spans="1:8">
      <c r="A20" t="s">
        <v>37</v>
      </c>
      <c r="B20" t="s">
        <v>38</v>
      </c>
      <c r="C20" s="1" t="s">
        <v>39</v>
      </c>
      <c r="D20" s="1"/>
      <c r="E20" s="1" t="str">
        <f t="shared" si="0"/>
        <v>https://www.kegg.jp/dbget-bin/www_bget?ec:5.4.99.9</v>
      </c>
      <c r="F20" s="1" t="s">
        <v>9261</v>
      </c>
      <c r="G20" s="11" t="s">
        <v>9267</v>
      </c>
      <c r="H20" s="14" t="s">
        <v>9268</v>
      </c>
    </row>
    <row r="21" spans="1:8">
      <c r="A21" t="s">
        <v>40</v>
      </c>
      <c r="B21" t="s">
        <v>41</v>
      </c>
      <c r="E21" s="1"/>
      <c r="G21" s="11"/>
    </row>
    <row r="22" spans="1:8">
      <c r="A22" t="s">
        <v>42</v>
      </c>
      <c r="B22" t="s">
        <v>43</v>
      </c>
      <c r="E22" s="1"/>
    </row>
    <row r="23" spans="1:8">
      <c r="A23" t="s">
        <v>44</v>
      </c>
      <c r="B23" t="s">
        <v>45</v>
      </c>
      <c r="E23" s="1"/>
    </row>
    <row r="24" spans="1:8">
      <c r="A24" t="s">
        <v>46</v>
      </c>
      <c r="B24" t="s">
        <v>47</v>
      </c>
      <c r="E24" s="1"/>
    </row>
    <row r="25" spans="1:8">
      <c r="A25" t="s">
        <v>48</v>
      </c>
      <c r="B25" t="s">
        <v>49</v>
      </c>
      <c r="E25" s="1"/>
    </row>
    <row r="26" spans="1:8">
      <c r="A26" t="s">
        <v>50</v>
      </c>
      <c r="B26" t="s">
        <v>51</v>
      </c>
      <c r="E26" s="1"/>
    </row>
    <row r="27" spans="1:8">
      <c r="A27" t="s">
        <v>52</v>
      </c>
      <c r="B27" t="s">
        <v>53</v>
      </c>
      <c r="E27" s="1"/>
    </row>
    <row r="28" spans="1:8">
      <c r="A28" t="s">
        <v>54</v>
      </c>
      <c r="B28" t="s">
        <v>55</v>
      </c>
      <c r="E28" s="1"/>
    </row>
    <row r="29" spans="1:8">
      <c r="A29" t="s">
        <v>56</v>
      </c>
      <c r="B29" t="s">
        <v>57</v>
      </c>
      <c r="E29" s="1"/>
    </row>
    <row r="30" spans="1:8">
      <c r="A30" t="s">
        <v>58</v>
      </c>
      <c r="B30" t="s">
        <v>59</v>
      </c>
      <c r="E30" s="1"/>
    </row>
    <row r="31" spans="1:8">
      <c r="A31" t="s">
        <v>60</v>
      </c>
      <c r="B31" t="s">
        <v>61</v>
      </c>
      <c r="E31" s="1"/>
    </row>
    <row r="32" spans="1:8">
      <c r="A32" t="s">
        <v>62</v>
      </c>
      <c r="B32" t="s">
        <v>63</v>
      </c>
      <c r="E32" s="1"/>
    </row>
    <row r="33" spans="1:8">
      <c r="A33" t="s">
        <v>64</v>
      </c>
      <c r="B33" t="s">
        <v>65</v>
      </c>
      <c r="E33" s="1"/>
    </row>
    <row r="34" spans="1:8">
      <c r="A34" t="s">
        <v>66</v>
      </c>
      <c r="B34" t="s">
        <v>67</v>
      </c>
      <c r="E34" s="1"/>
    </row>
    <row r="35" spans="1:8">
      <c r="A35" t="s">
        <v>68</v>
      </c>
      <c r="B35" t="s">
        <v>69</v>
      </c>
      <c r="C35" s="1" t="s">
        <v>70</v>
      </c>
      <c r="D35" s="1"/>
      <c r="E35" s="1" t="str">
        <f t="shared" si="0"/>
        <v>https://www.kegg.jp/dbget-bin/www_bget?ec:2.7.10.2</v>
      </c>
      <c r="F35" t="s">
        <v>9269</v>
      </c>
      <c r="G35" s="12" t="s">
        <v>9270</v>
      </c>
      <c r="H35" s="15" t="s">
        <v>9278</v>
      </c>
    </row>
    <row r="36" spans="1:8">
      <c r="A36" t="s">
        <v>71</v>
      </c>
      <c r="B36" t="s">
        <v>72</v>
      </c>
      <c r="E36" s="1"/>
      <c r="G36" s="11"/>
    </row>
    <row r="37" spans="1:8">
      <c r="A37" t="s">
        <v>73</v>
      </c>
      <c r="B37" t="s">
        <v>74</v>
      </c>
      <c r="E37" s="1"/>
    </row>
    <row r="38" spans="1:8">
      <c r="A38" t="s">
        <v>75</v>
      </c>
      <c r="B38" t="s">
        <v>76</v>
      </c>
      <c r="E38" s="1"/>
    </row>
    <row r="39" spans="1:8">
      <c r="A39" t="s">
        <v>77</v>
      </c>
      <c r="B39" t="s">
        <v>78</v>
      </c>
      <c r="E39" s="1"/>
    </row>
    <row r="40" spans="1:8">
      <c r="A40" t="s">
        <v>79</v>
      </c>
      <c r="B40" t="s">
        <v>80</v>
      </c>
      <c r="E40" s="1"/>
    </row>
    <row r="41" spans="1:8">
      <c r="A41" t="s">
        <v>81</v>
      </c>
      <c r="B41" t="s">
        <v>82</v>
      </c>
      <c r="E41" s="1"/>
    </row>
    <row r="42" spans="1:8">
      <c r="A42" t="s">
        <v>83</v>
      </c>
      <c r="B42" t="s">
        <v>84</v>
      </c>
      <c r="E42" s="1"/>
    </row>
    <row r="43" spans="1:8">
      <c r="A43" t="s">
        <v>85</v>
      </c>
      <c r="B43" t="s">
        <v>86</v>
      </c>
      <c r="E43" s="1"/>
    </row>
    <row r="44" spans="1:8">
      <c r="A44" t="s">
        <v>87</v>
      </c>
      <c r="B44" t="s">
        <v>88</v>
      </c>
      <c r="E44" s="1"/>
    </row>
    <row r="45" spans="1:8">
      <c r="A45" t="s">
        <v>89</v>
      </c>
      <c r="B45" t="s">
        <v>90</v>
      </c>
      <c r="E45" s="1"/>
    </row>
    <row r="46" spans="1:8">
      <c r="B46" t="s">
        <v>91</v>
      </c>
      <c r="E46" s="1"/>
    </row>
    <row r="47" spans="1:8">
      <c r="A47" t="s">
        <v>92</v>
      </c>
      <c r="B47" t="s">
        <v>93</v>
      </c>
      <c r="E47" s="1"/>
    </row>
    <row r="48" spans="1:8">
      <c r="A48" t="s">
        <v>94</v>
      </c>
      <c r="B48" t="s">
        <v>95</v>
      </c>
      <c r="E48" s="1"/>
    </row>
    <row r="49" spans="1:8">
      <c r="A49" t="s">
        <v>96</v>
      </c>
      <c r="B49" t="s">
        <v>97</v>
      </c>
      <c r="E49" s="1"/>
    </row>
    <row r="50" spans="1:8">
      <c r="A50" t="s">
        <v>98</v>
      </c>
      <c r="B50" t="s">
        <v>99</v>
      </c>
      <c r="E50" s="1"/>
    </row>
    <row r="51" spans="1:8">
      <c r="A51" t="s">
        <v>100</v>
      </c>
      <c r="B51" t="s">
        <v>101</v>
      </c>
      <c r="E51" s="1"/>
    </row>
    <row r="52" spans="1:8">
      <c r="A52" t="s">
        <v>102</v>
      </c>
      <c r="B52" t="s">
        <v>103</v>
      </c>
      <c r="E52" s="1"/>
    </row>
    <row r="53" spans="1:8">
      <c r="A53" t="s">
        <v>104</v>
      </c>
      <c r="B53" t="s">
        <v>105</v>
      </c>
      <c r="E53" s="1"/>
    </row>
    <row r="54" spans="1:8">
      <c r="A54" t="s">
        <v>106</v>
      </c>
      <c r="B54" t="s">
        <v>107</v>
      </c>
      <c r="E54" s="1"/>
    </row>
    <row r="55" spans="1:8">
      <c r="A55" t="s">
        <v>108</v>
      </c>
      <c r="B55" t="s">
        <v>109</v>
      </c>
      <c r="E55" s="1"/>
    </row>
    <row r="56" spans="1:8">
      <c r="B56" t="s">
        <v>110</v>
      </c>
      <c r="E56" s="1"/>
    </row>
    <row r="57" spans="1:8">
      <c r="A57" t="s">
        <v>111</v>
      </c>
      <c r="B57" t="s">
        <v>112</v>
      </c>
      <c r="E57" s="1"/>
    </row>
    <row r="58" spans="1:8">
      <c r="A58" t="s">
        <v>113</v>
      </c>
      <c r="B58" t="s">
        <v>114</v>
      </c>
      <c r="C58" s="1" t="s">
        <v>115</v>
      </c>
      <c r="D58" s="1"/>
      <c r="E58" s="1" t="str">
        <f t="shared" si="0"/>
        <v>https://www.kegg.jp/dbget-bin/www_bget?ec:4.1.1.15</v>
      </c>
      <c r="F58" s="1" t="s">
        <v>9271</v>
      </c>
      <c r="G58" s="1" t="s">
        <v>9272</v>
      </c>
      <c r="H58" s="16" t="s">
        <v>9279</v>
      </c>
    </row>
    <row r="59" spans="1:8">
      <c r="A59" t="s">
        <v>113</v>
      </c>
      <c r="B59" t="s">
        <v>114</v>
      </c>
      <c r="C59" s="1" t="s">
        <v>115</v>
      </c>
      <c r="D59" s="1"/>
      <c r="E59" s="1" t="str">
        <f t="shared" ref="E59" si="1">HYPERLINK("https://www.kegg.jp/dbget-bin/www_bget?ec:" &amp; C59, "https://www.kegg.jp/dbget-bin/www_bget?ec:" &amp; C59)</f>
        <v>https://www.kegg.jp/dbget-bin/www_bget?ec:4.1.1.15</v>
      </c>
      <c r="F59" s="1" t="s">
        <v>9271</v>
      </c>
      <c r="G59" s="1" t="s">
        <v>9273</v>
      </c>
      <c r="H59" s="13" t="s">
        <v>9275</v>
      </c>
    </row>
    <row r="60" spans="1:8">
      <c r="A60" t="s">
        <v>116</v>
      </c>
      <c r="B60" t="s">
        <v>117</v>
      </c>
      <c r="E60" s="1"/>
      <c r="G60" s="1"/>
    </row>
    <row r="61" spans="1:8">
      <c r="A61" t="s">
        <v>118</v>
      </c>
      <c r="B61" t="s">
        <v>119</v>
      </c>
      <c r="E61" s="1"/>
    </row>
    <row r="62" spans="1:8">
      <c r="A62" t="s">
        <v>120</v>
      </c>
      <c r="B62" t="s">
        <v>121</v>
      </c>
      <c r="E62" s="1"/>
    </row>
    <row r="63" spans="1:8">
      <c r="A63" t="s">
        <v>122</v>
      </c>
      <c r="B63" t="s">
        <v>123</v>
      </c>
      <c r="E63" s="1"/>
    </row>
    <row r="64" spans="1:8">
      <c r="A64" t="s">
        <v>124</v>
      </c>
      <c r="B64" t="s">
        <v>125</v>
      </c>
      <c r="E64" s="1"/>
    </row>
    <row r="65" spans="1:8" ht="16" customHeight="1">
      <c r="A65" t="s">
        <v>126</v>
      </c>
      <c r="B65" t="s">
        <v>127</v>
      </c>
      <c r="C65" s="1" t="s">
        <v>128</v>
      </c>
      <c r="D65" s="1"/>
      <c r="E65" s="1" t="str">
        <f t="shared" ref="E65" si="2">HYPERLINK("https://www.kegg.jp/dbget-bin/www_bget?ec:" &amp; C65, "https://www.kegg.jp/dbget-bin/www_bget?ec:" &amp; C65)</f>
        <v>https://www.kegg.jp/dbget-bin/www_bget?ec:2.7.1.48</v>
      </c>
      <c r="F65" s="1" t="s">
        <v>9274</v>
      </c>
      <c r="G65" s="5" t="s">
        <v>9277</v>
      </c>
      <c r="H65" s="13" t="s">
        <v>9569</v>
      </c>
    </row>
    <row r="66" spans="1:8" ht="16" customHeight="1">
      <c r="A66" t="s">
        <v>126</v>
      </c>
      <c r="B66" t="s">
        <v>127</v>
      </c>
      <c r="C66" s="1" t="s">
        <v>128</v>
      </c>
      <c r="D66" s="1"/>
      <c r="E66" s="1" t="str">
        <f t="shared" si="0"/>
        <v>https://www.kegg.jp/dbget-bin/www_bget?ec:2.7.1.48</v>
      </c>
      <c r="F66" s="1" t="s">
        <v>9274</v>
      </c>
      <c r="G66" s="1" t="s">
        <v>9276</v>
      </c>
      <c r="H66" s="15" t="s">
        <v>9280</v>
      </c>
    </row>
    <row r="67" spans="1:8">
      <c r="A67" t="s">
        <v>129</v>
      </c>
      <c r="B67" t="s">
        <v>130</v>
      </c>
      <c r="E67" s="1"/>
    </row>
    <row r="68" spans="1:8">
      <c r="A68" t="s">
        <v>131</v>
      </c>
      <c r="B68" t="s">
        <v>132</v>
      </c>
      <c r="E68" s="1"/>
    </row>
    <row r="69" spans="1:8" ht="17" customHeight="1">
      <c r="A69" t="s">
        <v>133</v>
      </c>
      <c r="B69" t="s">
        <v>134</v>
      </c>
      <c r="C69" s="1" t="s">
        <v>135</v>
      </c>
      <c r="D69" s="1"/>
      <c r="E69" s="1" t="str">
        <f t="shared" ref="E69" si="3">HYPERLINK("https://www.kegg.jp/dbget-bin/www_bget?ec:" &amp; C69, "https://www.kegg.jp/dbget-bin/www_bget?ec:" &amp; C69)</f>
        <v>https://www.kegg.jp/dbget-bin/www_bget?ec:2.1.2.11</v>
      </c>
      <c r="F69" t="s">
        <v>9281</v>
      </c>
      <c r="G69" s="5" t="s">
        <v>9282</v>
      </c>
      <c r="H69" s="17" t="s">
        <v>9283</v>
      </c>
    </row>
    <row r="70" spans="1:8">
      <c r="A70" t="s">
        <v>133</v>
      </c>
      <c r="B70" t="s">
        <v>134</v>
      </c>
      <c r="C70" s="1" t="s">
        <v>135</v>
      </c>
      <c r="D70" s="1"/>
      <c r="E70" s="1" t="str">
        <f t="shared" si="0"/>
        <v>https://www.kegg.jp/dbget-bin/www_bget?ec:2.1.2.11</v>
      </c>
      <c r="F70" t="s">
        <v>9281</v>
      </c>
      <c r="G70" s="1" t="s">
        <v>9284</v>
      </c>
      <c r="H70" s="18" t="s">
        <v>9285</v>
      </c>
    </row>
    <row r="71" spans="1:8">
      <c r="A71" t="s">
        <v>136</v>
      </c>
      <c r="B71" t="s">
        <v>137</v>
      </c>
      <c r="E71" s="1"/>
    </row>
    <row r="72" spans="1:8">
      <c r="A72" t="s">
        <v>138</v>
      </c>
      <c r="B72" t="s">
        <v>139</v>
      </c>
      <c r="E72" s="1"/>
    </row>
    <row r="73" spans="1:8">
      <c r="A73" t="s">
        <v>140</v>
      </c>
      <c r="B73" t="s">
        <v>141</v>
      </c>
      <c r="E73" s="1"/>
    </row>
    <row r="74" spans="1:8">
      <c r="A74" t="s">
        <v>142</v>
      </c>
      <c r="B74" t="s">
        <v>143</v>
      </c>
      <c r="E74" s="1"/>
    </row>
    <row r="75" spans="1:8">
      <c r="A75" t="s">
        <v>144</v>
      </c>
      <c r="B75" t="s">
        <v>145</v>
      </c>
      <c r="E75" s="1"/>
    </row>
    <row r="76" spans="1:8">
      <c r="A76" t="s">
        <v>146</v>
      </c>
      <c r="B76" t="s">
        <v>147</v>
      </c>
      <c r="E76" s="1"/>
    </row>
    <row r="77" spans="1:8">
      <c r="A77" t="s">
        <v>148</v>
      </c>
      <c r="B77" t="s">
        <v>149</v>
      </c>
      <c r="E77" s="1"/>
    </row>
    <row r="78" spans="1:8">
      <c r="A78" t="s">
        <v>150</v>
      </c>
      <c r="B78" t="s">
        <v>151</v>
      </c>
      <c r="E78" s="1"/>
    </row>
    <row r="79" spans="1:8">
      <c r="A79" t="s">
        <v>152</v>
      </c>
      <c r="B79" t="s">
        <v>153</v>
      </c>
      <c r="E79" s="1"/>
    </row>
    <row r="80" spans="1:8">
      <c r="A80" t="s">
        <v>154</v>
      </c>
      <c r="B80" t="s">
        <v>155</v>
      </c>
      <c r="E80" s="1"/>
    </row>
    <row r="81" spans="1:8">
      <c r="A81" t="s">
        <v>156</v>
      </c>
      <c r="B81" t="s">
        <v>157</v>
      </c>
      <c r="C81" s="1" t="s">
        <v>158</v>
      </c>
      <c r="D81" s="1"/>
      <c r="E81" s="1" t="str">
        <f t="shared" ref="E81:E112" si="4">HYPERLINK("https://www.kegg.jp/dbget-bin/www_bget?ec:" &amp; C81, "https://www.kegg.jp/dbget-bin/www_bget?ec:" &amp; C81)</f>
        <v>https://www.kegg.jp/dbget-bin/www_bget?ec:4.3.3.7</v>
      </c>
      <c r="F81" t="s">
        <v>9288</v>
      </c>
      <c r="G81" s="21" t="s">
        <v>9289</v>
      </c>
      <c r="H81" s="13" t="s">
        <v>9290</v>
      </c>
    </row>
    <row r="82" spans="1:8">
      <c r="A82" t="s">
        <v>159</v>
      </c>
      <c r="B82" t="s">
        <v>160</v>
      </c>
      <c r="D82" s="1"/>
      <c r="E82" s="1"/>
    </row>
    <row r="83" spans="1:8">
      <c r="A83" t="s">
        <v>161</v>
      </c>
      <c r="B83" t="s">
        <v>162</v>
      </c>
      <c r="C83" s="1" t="s">
        <v>163</v>
      </c>
      <c r="E83" s="1" t="str">
        <f t="shared" si="4"/>
        <v>https://www.kegg.jp/dbget-bin/www_bget?ec:6.5.1.2</v>
      </c>
      <c r="F83" t="s">
        <v>9291</v>
      </c>
      <c r="G83" s="21" t="s">
        <v>9292</v>
      </c>
      <c r="H83" s="13" t="s">
        <v>9570</v>
      </c>
    </row>
    <row r="84" spans="1:8">
      <c r="A84" t="s">
        <v>164</v>
      </c>
      <c r="B84" t="s">
        <v>165</v>
      </c>
      <c r="E84" s="1"/>
    </row>
    <row r="85" spans="1:8">
      <c r="A85" t="s">
        <v>166</v>
      </c>
      <c r="B85" t="s">
        <v>167</v>
      </c>
      <c r="E85" s="1"/>
    </row>
    <row r="86" spans="1:8">
      <c r="A86" t="s">
        <v>168</v>
      </c>
      <c r="B86" t="s">
        <v>169</v>
      </c>
      <c r="C86" s="1" t="s">
        <v>170</v>
      </c>
      <c r="D86" s="1"/>
      <c r="E86" s="1" t="str">
        <f t="shared" ref="E86" si="5">HYPERLINK("https://www.kegg.jp/dbget-bin/www_bget?ec:" &amp; C86, "https://www.kegg.jp/dbget-bin/www_bget?ec:" &amp; C86)</f>
        <v>https://www.kegg.jp/dbget-bin/www_bget?ec:2.7.7.4</v>
      </c>
      <c r="F86" s="1" t="s">
        <v>9293</v>
      </c>
      <c r="G86" s="21" t="s">
        <v>9294</v>
      </c>
      <c r="H86" s="13" t="s">
        <v>9295</v>
      </c>
    </row>
    <row r="87" spans="1:8">
      <c r="A87" t="s">
        <v>168</v>
      </c>
      <c r="B87" t="s">
        <v>169</v>
      </c>
      <c r="C87" s="1" t="s">
        <v>170</v>
      </c>
      <c r="D87" s="1"/>
      <c r="E87" s="1" t="str">
        <f t="shared" si="4"/>
        <v>https://www.kegg.jp/dbget-bin/www_bget?ec:2.7.7.4</v>
      </c>
      <c r="F87" t="s">
        <v>9293</v>
      </c>
      <c r="G87" s="10" t="s">
        <v>9296</v>
      </c>
      <c r="H87" s="13" t="s">
        <v>9297</v>
      </c>
    </row>
    <row r="88" spans="1:8">
      <c r="A88" t="s">
        <v>171</v>
      </c>
      <c r="B88" t="s">
        <v>172</v>
      </c>
      <c r="C88" s="1" t="s">
        <v>170</v>
      </c>
      <c r="D88" s="1"/>
      <c r="E88" s="1" t="str">
        <f t="shared" ref="E88" si="6">HYPERLINK("https://www.kegg.jp/dbget-bin/www_bget?ec:" &amp; C88, "https://www.kegg.jp/dbget-bin/www_bget?ec:" &amp; C88)</f>
        <v>https://www.kegg.jp/dbget-bin/www_bget?ec:2.7.7.4</v>
      </c>
      <c r="F88" t="s">
        <v>9293</v>
      </c>
      <c r="G88" s="21" t="s">
        <v>9294</v>
      </c>
      <c r="H88" s="13" t="s">
        <v>9295</v>
      </c>
    </row>
    <row r="89" spans="1:8">
      <c r="A89" t="s">
        <v>171</v>
      </c>
      <c r="B89" t="s">
        <v>172</v>
      </c>
      <c r="C89" s="1" t="s">
        <v>170</v>
      </c>
      <c r="D89" s="1"/>
      <c r="E89" s="1" t="str">
        <f t="shared" si="4"/>
        <v>https://www.kegg.jp/dbget-bin/www_bget?ec:2.7.7.4</v>
      </c>
      <c r="F89" t="s">
        <v>9293</v>
      </c>
      <c r="G89" s="10" t="s">
        <v>9296</v>
      </c>
      <c r="H89" s="13" t="s">
        <v>9297</v>
      </c>
    </row>
    <row r="90" spans="1:8">
      <c r="A90" t="s">
        <v>173</v>
      </c>
      <c r="B90" t="s">
        <v>174</v>
      </c>
      <c r="C90" s="1" t="s">
        <v>175</v>
      </c>
      <c r="E90" s="1" t="str">
        <f t="shared" ref="E90" si="7">HYPERLINK("https://www.kegg.jp/dbget-bin/www_bget?ec:" &amp; C90, "https://www.kegg.jp/dbget-bin/www_bget?ec:" &amp; C90)</f>
        <v>https://www.kegg.jp/dbget-bin/www_bget?ec:2.7.1.25</v>
      </c>
      <c r="F90" t="s">
        <v>12792</v>
      </c>
      <c r="G90" s="10" t="s">
        <v>12793</v>
      </c>
      <c r="H90" s="13" t="s">
        <v>12794</v>
      </c>
    </row>
    <row r="91" spans="1:8">
      <c r="A91" t="s">
        <v>173</v>
      </c>
      <c r="B91" t="s">
        <v>174</v>
      </c>
      <c r="C91" s="1" t="s">
        <v>175</v>
      </c>
      <c r="E91" s="1" t="str">
        <f t="shared" si="4"/>
        <v>https://www.kegg.jp/dbget-bin/www_bget?ec:2.7.1.25</v>
      </c>
      <c r="F91" t="s">
        <v>12792</v>
      </c>
      <c r="G91" s="10" t="s">
        <v>12795</v>
      </c>
      <c r="H91" s="13" t="s">
        <v>12796</v>
      </c>
    </row>
    <row r="92" spans="1:8">
      <c r="A92" t="s">
        <v>176</v>
      </c>
      <c r="B92" t="s">
        <v>177</v>
      </c>
      <c r="E92" s="1"/>
    </row>
    <row r="93" spans="1:8">
      <c r="A93" t="s">
        <v>178</v>
      </c>
      <c r="B93" t="s">
        <v>179</v>
      </c>
      <c r="C93" s="1" t="s">
        <v>9082</v>
      </c>
      <c r="D93" s="1"/>
      <c r="E93" s="1" t="str">
        <f t="shared" si="4"/>
        <v>https://www.kegg.jp/dbget-bin/www_bget?ec:3.1.3.7</v>
      </c>
      <c r="F93" t="s">
        <v>9298</v>
      </c>
      <c r="G93" s="10" t="s">
        <v>9299</v>
      </c>
      <c r="H93" s="13" t="s">
        <v>9300</v>
      </c>
    </row>
    <row r="94" spans="1:8">
      <c r="A94" t="s">
        <v>180</v>
      </c>
      <c r="B94" t="s">
        <v>181</v>
      </c>
      <c r="E94" s="1"/>
    </row>
    <row r="95" spans="1:8">
      <c r="A95" t="s">
        <v>182</v>
      </c>
      <c r="B95" t="s">
        <v>183</v>
      </c>
      <c r="E95" s="1"/>
    </row>
    <row r="96" spans="1:8">
      <c r="A96" t="s">
        <v>184</v>
      </c>
      <c r="B96" t="s">
        <v>185</v>
      </c>
      <c r="E96" s="1"/>
    </row>
    <row r="97" spans="1:8">
      <c r="A97" t="s">
        <v>186</v>
      </c>
      <c r="B97" t="s">
        <v>187</v>
      </c>
      <c r="E97" s="1"/>
    </row>
    <row r="98" spans="1:8">
      <c r="A98" t="s">
        <v>188</v>
      </c>
      <c r="B98" t="s">
        <v>189</v>
      </c>
      <c r="E98" s="1"/>
    </row>
    <row r="99" spans="1:8">
      <c r="A99" t="s">
        <v>190</v>
      </c>
      <c r="B99" t="s">
        <v>191</v>
      </c>
      <c r="E99" s="1"/>
    </row>
    <row r="100" spans="1:8">
      <c r="A100" t="s">
        <v>192</v>
      </c>
      <c r="B100" t="s">
        <v>193</v>
      </c>
      <c r="E100" s="1"/>
    </row>
    <row r="101" spans="1:8">
      <c r="A101" t="s">
        <v>194</v>
      </c>
      <c r="B101" t="s">
        <v>195</v>
      </c>
      <c r="E101" s="1"/>
    </row>
    <row r="102" spans="1:8">
      <c r="A102" t="s">
        <v>196</v>
      </c>
      <c r="B102" t="s">
        <v>197</v>
      </c>
      <c r="C102" s="1" t="s">
        <v>198</v>
      </c>
      <c r="D102" s="1"/>
      <c r="E102" s="1" t="str">
        <f t="shared" si="4"/>
        <v>https://www.kegg.jp/dbget-bin/www_bget?ec:5.3.1.5</v>
      </c>
      <c r="F102" t="s">
        <v>9301</v>
      </c>
      <c r="G102" s="10" t="s">
        <v>9302</v>
      </c>
      <c r="H102" s="13" t="s">
        <v>9303</v>
      </c>
    </row>
    <row r="103" spans="1:8">
      <c r="A103" t="s">
        <v>196</v>
      </c>
      <c r="B103" t="s">
        <v>197</v>
      </c>
      <c r="C103" s="1" t="s">
        <v>198</v>
      </c>
      <c r="D103" s="1"/>
      <c r="E103" s="1" t="str">
        <f t="shared" ref="E103" si="8">HYPERLINK("https://www.kegg.jp/dbget-bin/www_bget?ec:" &amp; C103, "https://www.kegg.jp/dbget-bin/www_bget?ec:" &amp; C103)</f>
        <v>https://www.kegg.jp/dbget-bin/www_bget?ec:5.3.1.5</v>
      </c>
      <c r="F103" t="s">
        <v>9301</v>
      </c>
      <c r="G103" s="10" t="s">
        <v>9304</v>
      </c>
      <c r="H103" s="13" t="s">
        <v>9305</v>
      </c>
    </row>
    <row r="104" spans="1:8">
      <c r="A104" t="s">
        <v>199</v>
      </c>
      <c r="B104" t="s">
        <v>200</v>
      </c>
      <c r="E104" s="1"/>
    </row>
    <row r="105" spans="1:8">
      <c r="A105" t="s">
        <v>201</v>
      </c>
      <c r="B105" t="s">
        <v>202</v>
      </c>
      <c r="E105" s="1"/>
    </row>
    <row r="106" spans="1:8">
      <c r="A106" t="s">
        <v>203</v>
      </c>
      <c r="B106" t="s">
        <v>204</v>
      </c>
      <c r="E106" s="1"/>
    </row>
    <row r="107" spans="1:8">
      <c r="A107" t="s">
        <v>205</v>
      </c>
      <c r="B107" t="s">
        <v>206</v>
      </c>
      <c r="E107" s="1"/>
    </row>
    <row r="108" spans="1:8">
      <c r="A108" t="s">
        <v>207</v>
      </c>
      <c r="B108" t="s">
        <v>208</v>
      </c>
      <c r="E108" s="1"/>
    </row>
    <row r="109" spans="1:8">
      <c r="A109" t="s">
        <v>209</v>
      </c>
      <c r="B109" t="s">
        <v>210</v>
      </c>
      <c r="E109" s="1"/>
    </row>
    <row r="110" spans="1:8">
      <c r="A110" t="s">
        <v>211</v>
      </c>
      <c r="B110" t="s">
        <v>212</v>
      </c>
      <c r="E110" s="1"/>
    </row>
    <row r="111" spans="1:8">
      <c r="A111" t="s">
        <v>213</v>
      </c>
      <c r="B111" t="s">
        <v>214</v>
      </c>
      <c r="E111" s="1"/>
    </row>
    <row r="112" spans="1:8">
      <c r="A112" t="s">
        <v>215</v>
      </c>
      <c r="B112" t="s">
        <v>216</v>
      </c>
      <c r="C112" s="1" t="s">
        <v>217</v>
      </c>
      <c r="D112" s="1"/>
      <c r="E112" s="1" t="str">
        <f t="shared" si="4"/>
        <v>https://www.kegg.jp/dbget-bin/www_bget?ec:2.4.2.29</v>
      </c>
      <c r="F112" t="s">
        <v>9306</v>
      </c>
      <c r="G112" s="10" t="s">
        <v>9307</v>
      </c>
      <c r="H112" s="13" t="s">
        <v>9308</v>
      </c>
    </row>
    <row r="113" spans="1:5">
      <c r="A113" t="s">
        <v>218</v>
      </c>
      <c r="B113" t="s">
        <v>219</v>
      </c>
      <c r="E113" s="1"/>
    </row>
    <row r="114" spans="1:5">
      <c r="A114" t="s">
        <v>220</v>
      </c>
      <c r="B114" t="s">
        <v>221</v>
      </c>
      <c r="E114" s="1"/>
    </row>
    <row r="115" spans="1:5">
      <c r="A115" t="s">
        <v>222</v>
      </c>
      <c r="B115" t="s">
        <v>223</v>
      </c>
      <c r="E115" s="1"/>
    </row>
    <row r="116" spans="1:5">
      <c r="A116" t="s">
        <v>224</v>
      </c>
      <c r="B116" t="s">
        <v>225</v>
      </c>
      <c r="E116" s="1"/>
    </row>
    <row r="117" spans="1:5">
      <c r="A117" t="s">
        <v>226</v>
      </c>
      <c r="B117" t="s">
        <v>227</v>
      </c>
      <c r="E117" s="1"/>
    </row>
    <row r="118" spans="1:5">
      <c r="A118" t="s">
        <v>228</v>
      </c>
      <c r="B118" t="s">
        <v>229</v>
      </c>
      <c r="E118" s="1"/>
    </row>
    <row r="119" spans="1:5">
      <c r="B119" t="s">
        <v>230</v>
      </c>
      <c r="E119" s="1"/>
    </row>
    <row r="120" spans="1:5">
      <c r="A120" t="s">
        <v>231</v>
      </c>
      <c r="B120" t="s">
        <v>232</v>
      </c>
      <c r="E120" s="1"/>
    </row>
    <row r="121" spans="1:5">
      <c r="A121" t="s">
        <v>233</v>
      </c>
      <c r="B121" t="s">
        <v>234</v>
      </c>
      <c r="E121" s="1"/>
    </row>
    <row r="122" spans="1:5">
      <c r="A122" t="s">
        <v>235</v>
      </c>
      <c r="B122" t="s">
        <v>236</v>
      </c>
      <c r="E122" s="1"/>
    </row>
    <row r="123" spans="1:5">
      <c r="A123" t="s">
        <v>237</v>
      </c>
      <c r="B123" t="s">
        <v>238</v>
      </c>
      <c r="E123" s="1"/>
    </row>
    <row r="124" spans="1:5">
      <c r="A124" t="s">
        <v>239</v>
      </c>
      <c r="B124" t="s">
        <v>240</v>
      </c>
      <c r="E124" s="1"/>
    </row>
    <row r="125" spans="1:5">
      <c r="A125" t="s">
        <v>241</v>
      </c>
      <c r="B125" t="s">
        <v>242</v>
      </c>
      <c r="E125" s="1"/>
    </row>
    <row r="126" spans="1:5">
      <c r="A126" t="s">
        <v>243</v>
      </c>
      <c r="B126" t="s">
        <v>244</v>
      </c>
      <c r="E126" s="1"/>
    </row>
    <row r="127" spans="1:5">
      <c r="A127" t="s">
        <v>245</v>
      </c>
      <c r="B127" t="s">
        <v>246</v>
      </c>
      <c r="E127" s="1"/>
    </row>
    <row r="128" spans="1:5">
      <c r="A128" t="s">
        <v>247</v>
      </c>
      <c r="B128" t="s">
        <v>248</v>
      </c>
      <c r="E128" s="1"/>
    </row>
    <row r="129" spans="1:8">
      <c r="B129" t="s">
        <v>249</v>
      </c>
      <c r="E129" s="1"/>
    </row>
    <row r="130" spans="1:8">
      <c r="A130" t="s">
        <v>250</v>
      </c>
      <c r="B130" t="s">
        <v>251</v>
      </c>
      <c r="E130" s="1"/>
    </row>
    <row r="131" spans="1:8">
      <c r="A131" t="s">
        <v>252</v>
      </c>
      <c r="B131" t="s">
        <v>253</v>
      </c>
      <c r="C131" s="1" t="s">
        <v>254</v>
      </c>
      <c r="D131" s="1"/>
      <c r="E131" s="1" t="str">
        <f>HYPERLINK("https://www.kegg.jp/dbget-bin/www_bget?ec:" &amp; C131, "https://www.kegg.jp/dbget-bin/www_bget?ec:" &amp; C131)</f>
        <v>https://www.kegg.jp/dbget-bin/www_bget?ec:2.7.1.148</v>
      </c>
      <c r="F131" t="s">
        <v>9309</v>
      </c>
      <c r="G131" s="10" t="s">
        <v>9310</v>
      </c>
      <c r="H131" s="13" t="s">
        <v>9311</v>
      </c>
    </row>
    <row r="132" spans="1:8">
      <c r="A132" t="s">
        <v>255</v>
      </c>
      <c r="B132" t="s">
        <v>256</v>
      </c>
      <c r="E132" s="1"/>
    </row>
    <row r="133" spans="1:8">
      <c r="A133" t="s">
        <v>257</v>
      </c>
      <c r="B133" t="s">
        <v>258</v>
      </c>
      <c r="E133" s="1"/>
    </row>
    <row r="134" spans="1:8">
      <c r="A134" t="s">
        <v>259</v>
      </c>
      <c r="B134" t="s">
        <v>260</v>
      </c>
      <c r="E134" s="1"/>
    </row>
    <row r="135" spans="1:8">
      <c r="A135" t="s">
        <v>261</v>
      </c>
      <c r="B135" t="s">
        <v>262</v>
      </c>
      <c r="E135" s="1"/>
    </row>
    <row r="136" spans="1:8">
      <c r="A136" t="s">
        <v>263</v>
      </c>
      <c r="B136" t="s">
        <v>264</v>
      </c>
      <c r="E136" s="1"/>
    </row>
    <row r="137" spans="1:8">
      <c r="A137" t="s">
        <v>265</v>
      </c>
      <c r="B137" t="s">
        <v>266</v>
      </c>
      <c r="E137" s="1"/>
    </row>
    <row r="138" spans="1:8">
      <c r="A138" t="s">
        <v>267</v>
      </c>
      <c r="B138" t="s">
        <v>268</v>
      </c>
      <c r="E138" s="1"/>
    </row>
    <row r="139" spans="1:8">
      <c r="A139" t="s">
        <v>269</v>
      </c>
      <c r="B139" t="s">
        <v>270</v>
      </c>
      <c r="C139" s="1" t="s">
        <v>271</v>
      </c>
      <c r="D139" s="1"/>
      <c r="E139" s="1" t="str">
        <f t="shared" ref="E139:E207" si="9">HYPERLINK("https://www.kegg.jp/dbget-bin/www_bget?ec:" &amp; C139, "https://www.kegg.jp/dbget-bin/www_bget?ec:" &amp; C139)</f>
        <v>https://www.kegg.jp/dbget-bin/www_bget?ec:2.7.1.21</v>
      </c>
      <c r="F139" t="s">
        <v>9312</v>
      </c>
      <c r="G139" s="10" t="s">
        <v>9313</v>
      </c>
      <c r="H139" s="13" t="s">
        <v>9314</v>
      </c>
    </row>
    <row r="140" spans="1:8">
      <c r="A140" t="s">
        <v>272</v>
      </c>
      <c r="B140" t="s">
        <v>273</v>
      </c>
      <c r="E140" s="1"/>
    </row>
    <row r="141" spans="1:8">
      <c r="A141" t="s">
        <v>274</v>
      </c>
      <c r="B141" t="s">
        <v>275</v>
      </c>
      <c r="E141" s="1"/>
    </row>
    <row r="142" spans="1:8">
      <c r="A142" t="s">
        <v>276</v>
      </c>
      <c r="B142" t="s">
        <v>277</v>
      </c>
      <c r="E142" s="1"/>
    </row>
    <row r="143" spans="1:8">
      <c r="A143" t="s">
        <v>278</v>
      </c>
      <c r="B143" t="s">
        <v>279</v>
      </c>
      <c r="E143" s="1"/>
    </row>
    <row r="144" spans="1:8">
      <c r="A144" t="s">
        <v>280</v>
      </c>
      <c r="B144" t="s">
        <v>281</v>
      </c>
      <c r="E144" s="1"/>
    </row>
    <row r="145" spans="1:8">
      <c r="A145" t="s">
        <v>282</v>
      </c>
      <c r="B145" t="s">
        <v>283</v>
      </c>
      <c r="E145" s="1"/>
    </row>
    <row r="146" spans="1:8">
      <c r="A146" t="s">
        <v>284</v>
      </c>
      <c r="B146" t="s">
        <v>285</v>
      </c>
      <c r="E146" s="1"/>
    </row>
    <row r="147" spans="1:8">
      <c r="A147" t="s">
        <v>286</v>
      </c>
      <c r="B147" t="s">
        <v>287</v>
      </c>
      <c r="E147" s="1"/>
    </row>
    <row r="148" spans="1:8">
      <c r="A148" t="s">
        <v>288</v>
      </c>
      <c r="B148" t="s">
        <v>289</v>
      </c>
      <c r="C148" s="1" t="s">
        <v>290</v>
      </c>
      <c r="D148" s="1"/>
      <c r="E148" s="1" t="str">
        <f t="shared" si="9"/>
        <v>https://www.kegg.jp/dbget-bin/www_bget?ec:4.1.1.36</v>
      </c>
      <c r="F148" t="s">
        <v>9315</v>
      </c>
      <c r="G148" s="1" t="s">
        <v>9316</v>
      </c>
      <c r="H148" s="13" t="s">
        <v>9317</v>
      </c>
    </row>
    <row r="149" spans="1:8">
      <c r="A149" t="s">
        <v>288</v>
      </c>
      <c r="B149" t="s">
        <v>289</v>
      </c>
      <c r="C149" s="1" t="s">
        <v>291</v>
      </c>
      <c r="D149" s="1"/>
      <c r="E149" s="1" t="str">
        <f t="shared" si="9"/>
        <v>https://www.kegg.jp/dbget-bin/www_bget?ec:6.3.2.5</v>
      </c>
      <c r="F149" t="s">
        <v>9318</v>
      </c>
      <c r="G149" s="10" t="s">
        <v>9319</v>
      </c>
      <c r="H149" s="13" t="s">
        <v>9320</v>
      </c>
    </row>
    <row r="150" spans="1:8">
      <c r="A150" t="s">
        <v>292</v>
      </c>
      <c r="B150" t="s">
        <v>293</v>
      </c>
      <c r="E150" s="1"/>
    </row>
    <row r="151" spans="1:8">
      <c r="A151" t="s">
        <v>294</v>
      </c>
      <c r="B151" t="s">
        <v>295</v>
      </c>
      <c r="E151" s="1"/>
    </row>
    <row r="152" spans="1:8">
      <c r="A152" t="s">
        <v>296</v>
      </c>
      <c r="B152" t="s">
        <v>297</v>
      </c>
      <c r="C152" s="1" t="s">
        <v>298</v>
      </c>
      <c r="D152" s="1"/>
      <c r="E152" s="1" t="str">
        <f t="shared" ref="E152:E156" si="10">HYPERLINK("https://www.kegg.jp/dbget-bin/www_bget?ec:" &amp; C152, "https://www.kegg.jp/dbget-bin/www_bget?ec:" &amp; C152)</f>
        <v>https://www.kegg.jp/dbget-bin/www_bget?ec:2.7.7.7</v>
      </c>
      <c r="F152" t="s">
        <v>9321</v>
      </c>
      <c r="G152" s="10" t="s">
        <v>9580</v>
      </c>
      <c r="H152" s="13" t="s">
        <v>9322</v>
      </c>
    </row>
    <row r="153" spans="1:8">
      <c r="A153" t="s">
        <v>296</v>
      </c>
      <c r="B153" t="s">
        <v>297</v>
      </c>
      <c r="C153" s="1" t="s">
        <v>298</v>
      </c>
      <c r="D153" s="1"/>
      <c r="E153" s="1" t="str">
        <f t="shared" si="10"/>
        <v>https://www.kegg.jp/dbget-bin/www_bget?ec:2.7.7.7</v>
      </c>
      <c r="F153" t="s">
        <v>9321</v>
      </c>
      <c r="G153" s="10" t="s">
        <v>9514</v>
      </c>
      <c r="H153" s="13" t="s">
        <v>9515</v>
      </c>
    </row>
    <row r="154" spans="1:8">
      <c r="A154" t="s">
        <v>296</v>
      </c>
      <c r="B154" t="s">
        <v>297</v>
      </c>
      <c r="C154" s="1" t="s">
        <v>298</v>
      </c>
      <c r="D154" s="1"/>
      <c r="E154" s="1" t="str">
        <f t="shared" si="10"/>
        <v>https://www.kegg.jp/dbget-bin/www_bget?ec:2.7.7.7</v>
      </c>
      <c r="F154" t="s">
        <v>9321</v>
      </c>
      <c r="G154" s="10" t="s">
        <v>9516</v>
      </c>
      <c r="H154" s="13" t="s">
        <v>9515</v>
      </c>
    </row>
    <row r="155" spans="1:8">
      <c r="A155" t="s">
        <v>296</v>
      </c>
      <c r="B155" t="s">
        <v>297</v>
      </c>
      <c r="C155" s="1" t="s">
        <v>298</v>
      </c>
      <c r="D155" s="1"/>
      <c r="E155" s="1" t="str">
        <f t="shared" si="10"/>
        <v>https://www.kegg.jp/dbget-bin/www_bget?ec:2.7.7.7</v>
      </c>
      <c r="F155" t="s">
        <v>9321</v>
      </c>
      <c r="G155" s="10" t="s">
        <v>9517</v>
      </c>
      <c r="H155" s="13" t="s">
        <v>9515</v>
      </c>
    </row>
    <row r="156" spans="1:8">
      <c r="A156" t="s">
        <v>296</v>
      </c>
      <c r="B156" t="s">
        <v>297</v>
      </c>
      <c r="C156" s="1" t="s">
        <v>298</v>
      </c>
      <c r="D156" s="1"/>
      <c r="E156" s="1" t="str">
        <f t="shared" si="10"/>
        <v>https://www.kegg.jp/dbget-bin/www_bget?ec:2.7.7.7</v>
      </c>
      <c r="F156" t="s">
        <v>9321</v>
      </c>
      <c r="G156" s="10" t="s">
        <v>9571</v>
      </c>
      <c r="H156" s="13" t="s">
        <v>10657</v>
      </c>
    </row>
    <row r="157" spans="1:8">
      <c r="A157" t="s">
        <v>296</v>
      </c>
      <c r="B157" t="s">
        <v>297</v>
      </c>
      <c r="C157" s="1" t="s">
        <v>298</v>
      </c>
      <c r="D157" s="1"/>
      <c r="E157" s="1" t="str">
        <f t="shared" si="9"/>
        <v>https://www.kegg.jp/dbget-bin/www_bget?ec:2.7.7.7</v>
      </c>
      <c r="F157" t="s">
        <v>9321</v>
      </c>
      <c r="G157" s="10" t="s">
        <v>9995</v>
      </c>
      <c r="H157" s="13" t="s">
        <v>9996</v>
      </c>
    </row>
    <row r="158" spans="1:8">
      <c r="A158" t="s">
        <v>299</v>
      </c>
      <c r="B158" t="s">
        <v>300</v>
      </c>
      <c r="E158" s="1"/>
    </row>
    <row r="159" spans="1:8">
      <c r="A159" t="s">
        <v>301</v>
      </c>
      <c r="B159" t="s">
        <v>302</v>
      </c>
      <c r="E159" s="1"/>
    </row>
    <row r="160" spans="1:8">
      <c r="A160" t="s">
        <v>303</v>
      </c>
      <c r="B160" t="s">
        <v>304</v>
      </c>
      <c r="E160" s="1"/>
    </row>
    <row r="161" spans="1:8">
      <c r="A161" t="s">
        <v>305</v>
      </c>
      <c r="B161" t="s">
        <v>306</v>
      </c>
      <c r="E161" s="1"/>
    </row>
    <row r="162" spans="1:8">
      <c r="A162" t="s">
        <v>307</v>
      </c>
      <c r="B162" t="s">
        <v>308</v>
      </c>
      <c r="C162" s="1" t="s">
        <v>309</v>
      </c>
      <c r="D162" s="1"/>
      <c r="E162" s="1" t="str">
        <f t="shared" si="9"/>
        <v>https://www.kegg.jp/dbget-bin/www_bget?ec:1.8.1.4</v>
      </c>
      <c r="F162" t="s">
        <v>9323</v>
      </c>
      <c r="G162" s="10" t="s">
        <v>9324</v>
      </c>
      <c r="H162" s="13" t="s">
        <v>9325</v>
      </c>
    </row>
    <row r="163" spans="1:8">
      <c r="A163" t="s">
        <v>310</v>
      </c>
      <c r="B163" t="s">
        <v>311</v>
      </c>
      <c r="E163" s="1"/>
    </row>
    <row r="164" spans="1:8">
      <c r="A164" t="s">
        <v>312</v>
      </c>
      <c r="B164" t="s">
        <v>313</v>
      </c>
      <c r="E164" s="1"/>
    </row>
    <row r="165" spans="1:8">
      <c r="A165" t="s">
        <v>314</v>
      </c>
      <c r="B165" t="s">
        <v>315</v>
      </c>
      <c r="E165" s="1"/>
    </row>
    <row r="166" spans="1:8">
      <c r="A166" t="s">
        <v>316</v>
      </c>
      <c r="B166" t="s">
        <v>317</v>
      </c>
      <c r="E166" s="1"/>
    </row>
    <row r="167" spans="1:8">
      <c r="A167" t="s">
        <v>318</v>
      </c>
      <c r="B167" t="s">
        <v>319</v>
      </c>
      <c r="E167" s="1"/>
    </row>
    <row r="168" spans="1:8">
      <c r="A168" t="s">
        <v>320</v>
      </c>
      <c r="B168" t="s">
        <v>321</v>
      </c>
      <c r="E168" s="1"/>
    </row>
    <row r="169" spans="1:8">
      <c r="A169" t="s">
        <v>322</v>
      </c>
      <c r="B169" t="s">
        <v>323</v>
      </c>
      <c r="E169" s="1"/>
    </row>
    <row r="170" spans="1:8">
      <c r="A170" t="s">
        <v>324</v>
      </c>
      <c r="B170" t="s">
        <v>325</v>
      </c>
      <c r="E170" s="1"/>
    </row>
    <row r="171" spans="1:8">
      <c r="A171" t="s">
        <v>326</v>
      </c>
      <c r="B171" t="s">
        <v>327</v>
      </c>
      <c r="E171" s="1"/>
    </row>
    <row r="172" spans="1:8">
      <c r="A172" t="s">
        <v>328</v>
      </c>
      <c r="B172" t="s">
        <v>329</v>
      </c>
      <c r="E172" s="1"/>
    </row>
    <row r="173" spans="1:8">
      <c r="A173" t="s">
        <v>330</v>
      </c>
      <c r="B173" t="s">
        <v>331</v>
      </c>
      <c r="E173" s="1"/>
    </row>
    <row r="174" spans="1:8">
      <c r="B174" t="s">
        <v>332</v>
      </c>
      <c r="E174" s="1"/>
    </row>
    <row r="175" spans="1:8">
      <c r="B175" t="s">
        <v>333</v>
      </c>
      <c r="E175" s="1"/>
    </row>
    <row r="176" spans="1:8">
      <c r="B176" t="s">
        <v>334</v>
      </c>
      <c r="E176" s="1"/>
    </row>
    <row r="177" spans="1:8">
      <c r="A177" t="s">
        <v>335</v>
      </c>
      <c r="B177" t="s">
        <v>336</v>
      </c>
      <c r="C177" s="1" t="s">
        <v>337</v>
      </c>
      <c r="D177" s="1"/>
      <c r="E177" s="1" t="str">
        <f t="shared" si="9"/>
        <v>https://www.kegg.jp/dbget-bin/www_bget?ec:1.7.2.2</v>
      </c>
      <c r="F177" t="s">
        <v>9326</v>
      </c>
      <c r="G177" s="10" t="s">
        <v>9327</v>
      </c>
      <c r="H177" s="13" t="s">
        <v>9328</v>
      </c>
    </row>
    <row r="178" spans="1:8">
      <c r="A178" t="s">
        <v>338</v>
      </c>
      <c r="B178" t="s">
        <v>339</v>
      </c>
      <c r="E178" s="1"/>
    </row>
    <row r="179" spans="1:8">
      <c r="A179" t="s">
        <v>340</v>
      </c>
      <c r="B179" t="s">
        <v>341</v>
      </c>
      <c r="E179" s="1"/>
    </row>
    <row r="180" spans="1:8">
      <c r="A180" t="s">
        <v>342</v>
      </c>
      <c r="B180" t="s">
        <v>343</v>
      </c>
      <c r="E180" s="1"/>
    </row>
    <row r="181" spans="1:8">
      <c r="A181" t="s">
        <v>344</v>
      </c>
      <c r="B181" t="s">
        <v>345</v>
      </c>
      <c r="C181" s="1" t="s">
        <v>346</v>
      </c>
      <c r="D181" s="1"/>
      <c r="E181" s="1" t="str">
        <f>HYPERLINK("https://www.kegg.jp/dbget-bin/www_bget?ec:" &amp; C181, "https://www.kegg.jp/dbget-bin/www_bget?ec:" &amp; C181)</f>
        <v>https://www.kegg.jp/dbget-bin/www_bget?ec:3.2.1.41</v>
      </c>
      <c r="F181" t="s">
        <v>9650</v>
      </c>
    </row>
    <row r="182" spans="1:8">
      <c r="A182" t="s">
        <v>347</v>
      </c>
      <c r="B182" t="s">
        <v>348</v>
      </c>
      <c r="C182" s="1" t="s">
        <v>349</v>
      </c>
      <c r="D182" s="1" t="s">
        <v>11421</v>
      </c>
      <c r="E182" s="1" t="s">
        <v>11422</v>
      </c>
      <c r="F182" t="s">
        <v>9650</v>
      </c>
    </row>
    <row r="183" spans="1:8">
      <c r="A183" t="s">
        <v>350</v>
      </c>
      <c r="B183" t="s">
        <v>351</v>
      </c>
      <c r="E183" s="1"/>
    </row>
    <row r="184" spans="1:8">
      <c r="A184" t="s">
        <v>352</v>
      </c>
      <c r="B184" t="s">
        <v>353</v>
      </c>
      <c r="E184" s="1"/>
    </row>
    <row r="185" spans="1:8">
      <c r="A185" t="s">
        <v>354</v>
      </c>
      <c r="B185" t="s">
        <v>355</v>
      </c>
      <c r="E185" s="1"/>
    </row>
    <row r="186" spans="1:8">
      <c r="A186" t="s">
        <v>356</v>
      </c>
      <c r="B186" t="s">
        <v>357</v>
      </c>
      <c r="E186" s="1"/>
    </row>
    <row r="187" spans="1:8">
      <c r="A187" t="s">
        <v>358</v>
      </c>
      <c r="B187" t="s">
        <v>359</v>
      </c>
      <c r="E187" s="1"/>
    </row>
    <row r="188" spans="1:8">
      <c r="B188" t="s">
        <v>360</v>
      </c>
      <c r="E188" s="1"/>
    </row>
    <row r="189" spans="1:8">
      <c r="A189" t="s">
        <v>361</v>
      </c>
      <c r="B189" t="s">
        <v>362</v>
      </c>
      <c r="E189" s="1"/>
    </row>
    <row r="190" spans="1:8">
      <c r="A190" t="s">
        <v>363</v>
      </c>
      <c r="B190" t="s">
        <v>364</v>
      </c>
      <c r="E190" s="1"/>
    </row>
    <row r="191" spans="1:8">
      <c r="A191" t="s">
        <v>365</v>
      </c>
      <c r="B191" t="s">
        <v>366</v>
      </c>
      <c r="E191" s="1"/>
    </row>
    <row r="192" spans="1:8">
      <c r="A192" t="s">
        <v>367</v>
      </c>
      <c r="B192" t="s">
        <v>368</v>
      </c>
      <c r="C192" s="1" t="s">
        <v>369</v>
      </c>
      <c r="D192" s="1"/>
      <c r="E192" s="1" t="str">
        <f>HYPERLINK("https://www.kegg.jp/dbget-bin/www_bget?ec:" &amp; C192, "https://www.kegg.jp/dbget-bin/www_bget?ec:" &amp; C192)</f>
        <v>https://www.kegg.jp/dbget-bin/www_bget?ec:6.1.1.3</v>
      </c>
      <c r="F192" t="s">
        <v>9329</v>
      </c>
      <c r="G192" s="10" t="s">
        <v>9330</v>
      </c>
      <c r="H192" s="13" t="s">
        <v>9572</v>
      </c>
    </row>
    <row r="193" spans="1:8">
      <c r="A193" t="s">
        <v>370</v>
      </c>
      <c r="B193" t="s">
        <v>371</v>
      </c>
      <c r="E193" s="1"/>
    </row>
    <row r="194" spans="1:8">
      <c r="A194" t="s">
        <v>372</v>
      </c>
      <c r="B194" t="s">
        <v>373</v>
      </c>
      <c r="E194" s="1"/>
    </row>
    <row r="195" spans="1:8">
      <c r="A195" t="s">
        <v>374</v>
      </c>
      <c r="B195" t="s">
        <v>375</v>
      </c>
      <c r="E195" s="1"/>
    </row>
    <row r="196" spans="1:8">
      <c r="A196" t="s">
        <v>376</v>
      </c>
      <c r="B196" t="s">
        <v>377</v>
      </c>
      <c r="C196" s="1" t="s">
        <v>378</v>
      </c>
      <c r="D196" s="1"/>
      <c r="E196" s="1" t="str">
        <f>HYPERLINK("https://www.kegg.jp/dbget-bin/www_bget?ec:" &amp; C196, "https://www.kegg.jp/dbget-bin/www_bget?ec:" &amp; C196)</f>
        <v>https://www.kegg.jp/dbget-bin/www_bget?ec:3.5.1.88</v>
      </c>
      <c r="F196" t="s">
        <v>9332</v>
      </c>
      <c r="G196" s="10" t="s">
        <v>9333</v>
      </c>
      <c r="H196" s="13" t="s">
        <v>9334</v>
      </c>
    </row>
    <row r="197" spans="1:8">
      <c r="A197" t="s">
        <v>376</v>
      </c>
      <c r="B197" t="s">
        <v>377</v>
      </c>
      <c r="C197" s="1" t="s">
        <v>378</v>
      </c>
      <c r="D197" s="1"/>
      <c r="E197" s="1" t="str">
        <f>HYPERLINK("https://www.kegg.jp/dbget-bin/www_bget?ec:" &amp; C197, "https://www.kegg.jp/dbget-bin/www_bget?ec:" &amp; C197)</f>
        <v>https://www.kegg.jp/dbget-bin/www_bget?ec:3.5.1.88</v>
      </c>
      <c r="F197" t="s">
        <v>9332</v>
      </c>
      <c r="G197" s="10" t="s">
        <v>9335</v>
      </c>
      <c r="H197" s="13" t="s">
        <v>9336</v>
      </c>
    </row>
    <row r="198" spans="1:8">
      <c r="A198" t="s">
        <v>379</v>
      </c>
      <c r="B198" t="s">
        <v>380</v>
      </c>
      <c r="E198" s="1"/>
    </row>
    <row r="199" spans="1:8">
      <c r="A199" t="s">
        <v>381</v>
      </c>
      <c r="B199" t="s">
        <v>382</v>
      </c>
      <c r="C199" s="1" t="s">
        <v>383</v>
      </c>
      <c r="D199" s="1"/>
      <c r="E199" s="1" t="str">
        <f>HYPERLINK("https://www.kegg.jp/dbget-bin/www_bget?ec:" &amp; C199, "https://www.kegg.jp/dbget-bin/www_bget?ec:" &amp; C199)</f>
        <v>https://www.kegg.jp/dbget-bin/www_bget?ec:2.7.8.31</v>
      </c>
      <c r="F199" t="s">
        <v>9337</v>
      </c>
      <c r="G199" s="10" t="s">
        <v>9338</v>
      </c>
      <c r="H199" s="13" t="s">
        <v>9339</v>
      </c>
    </row>
    <row r="200" spans="1:8">
      <c r="A200" t="s">
        <v>384</v>
      </c>
      <c r="B200" t="s">
        <v>385</v>
      </c>
      <c r="E200" s="1"/>
    </row>
    <row r="201" spans="1:8">
      <c r="A201" t="s">
        <v>386</v>
      </c>
      <c r="B201" t="s">
        <v>387</v>
      </c>
      <c r="C201" s="1" t="s">
        <v>388</v>
      </c>
      <c r="D201" s="1"/>
      <c r="E201" s="1" t="str">
        <f t="shared" si="9"/>
        <v>https://www.kegg.jp/dbget-bin/www_bget?ec:4.2.1.47</v>
      </c>
      <c r="F201" t="s">
        <v>9340</v>
      </c>
      <c r="G201" s="1" t="s">
        <v>9341</v>
      </c>
      <c r="H201" s="13" t="s">
        <v>9342</v>
      </c>
    </row>
    <row r="202" spans="1:8">
      <c r="A202" t="s">
        <v>389</v>
      </c>
      <c r="B202" t="s">
        <v>390</v>
      </c>
      <c r="E202" s="1"/>
    </row>
    <row r="203" spans="1:8">
      <c r="A203" t="s">
        <v>391</v>
      </c>
      <c r="B203" t="s">
        <v>392</v>
      </c>
      <c r="C203" s="1" t="s">
        <v>393</v>
      </c>
      <c r="D203" s="1"/>
      <c r="E203" s="1" t="str">
        <f t="shared" si="9"/>
        <v>https://www.kegg.jp/dbget-bin/www_bget?ec:2.7.7.24</v>
      </c>
      <c r="F203" t="s">
        <v>9343</v>
      </c>
      <c r="G203" s="10" t="s">
        <v>9344</v>
      </c>
      <c r="H203" s="13" t="s">
        <v>9345</v>
      </c>
    </row>
    <row r="204" spans="1:8">
      <c r="A204" t="s">
        <v>394</v>
      </c>
      <c r="B204" t="s">
        <v>395</v>
      </c>
      <c r="E204" s="1"/>
    </row>
    <row r="205" spans="1:8">
      <c r="A205" t="s">
        <v>396</v>
      </c>
      <c r="B205" t="s">
        <v>397</v>
      </c>
      <c r="C205" s="1" t="s">
        <v>398</v>
      </c>
      <c r="D205" s="1"/>
      <c r="E205" s="1" t="str">
        <f>HYPERLINK("https://www.kegg.jp/dbget-bin/www_bget?ec:" &amp; C205, "https://www.kegg.jp/dbget-bin/www_bget?ec:" &amp; C205)</f>
        <v>https://www.kegg.jp/dbget-bin/www_bget?ec:3.1.1.31</v>
      </c>
      <c r="F205" s="1" t="s">
        <v>9346</v>
      </c>
      <c r="G205" s="10" t="s">
        <v>9347</v>
      </c>
      <c r="H205" s="13" t="s">
        <v>9843</v>
      </c>
    </row>
    <row r="206" spans="1:8">
      <c r="A206" t="s">
        <v>399</v>
      </c>
      <c r="B206" t="s">
        <v>400</v>
      </c>
      <c r="E206" s="1"/>
    </row>
    <row r="207" spans="1:8">
      <c r="A207" t="s">
        <v>401</v>
      </c>
      <c r="B207" t="s">
        <v>402</v>
      </c>
      <c r="C207" s="1" t="s">
        <v>403</v>
      </c>
      <c r="D207" s="1"/>
      <c r="E207" s="1" t="str">
        <f t="shared" si="9"/>
        <v>https://www.kegg.jp/dbget-bin/www_bget?ec:1.1.1.44</v>
      </c>
      <c r="F207" s="1" t="s">
        <v>9346</v>
      </c>
      <c r="G207" s="10" t="s">
        <v>9347</v>
      </c>
      <c r="H207" s="1" t="s">
        <v>9348</v>
      </c>
    </row>
    <row r="208" spans="1:8">
      <c r="A208" t="s">
        <v>404</v>
      </c>
      <c r="B208" t="s">
        <v>405</v>
      </c>
      <c r="E208" s="1"/>
    </row>
    <row r="209" spans="1:8">
      <c r="A209" t="s">
        <v>406</v>
      </c>
      <c r="B209" t="s">
        <v>407</v>
      </c>
      <c r="E209" s="1"/>
    </row>
    <row r="210" spans="1:8">
      <c r="A210" t="s">
        <v>408</v>
      </c>
      <c r="B210" t="s">
        <v>409</v>
      </c>
      <c r="E210" s="1"/>
    </row>
    <row r="211" spans="1:8">
      <c r="A211" t="s">
        <v>410</v>
      </c>
      <c r="B211" t="s">
        <v>411</v>
      </c>
      <c r="E211" s="1"/>
    </row>
    <row r="212" spans="1:8">
      <c r="A212" t="s">
        <v>412</v>
      </c>
      <c r="B212" t="s">
        <v>413</v>
      </c>
      <c r="E212" s="1"/>
    </row>
    <row r="213" spans="1:8">
      <c r="A213" t="s">
        <v>414</v>
      </c>
      <c r="B213" t="s">
        <v>415</v>
      </c>
      <c r="E213" s="1"/>
    </row>
    <row r="214" spans="1:8">
      <c r="A214" t="s">
        <v>416</v>
      </c>
      <c r="B214" t="s">
        <v>417</v>
      </c>
      <c r="E214" s="1"/>
    </row>
    <row r="215" spans="1:8">
      <c r="A215" t="s">
        <v>418</v>
      </c>
      <c r="B215" t="s">
        <v>419</v>
      </c>
      <c r="E215" s="1"/>
    </row>
    <row r="216" spans="1:8">
      <c r="B216" t="s">
        <v>420</v>
      </c>
      <c r="E216" s="1"/>
    </row>
    <row r="217" spans="1:8">
      <c r="A217" t="s">
        <v>421</v>
      </c>
      <c r="B217" t="s">
        <v>422</v>
      </c>
      <c r="E217" s="1"/>
    </row>
    <row r="218" spans="1:8">
      <c r="A218" t="s">
        <v>423</v>
      </c>
      <c r="B218" t="s">
        <v>424</v>
      </c>
      <c r="E218" s="1"/>
    </row>
    <row r="219" spans="1:8">
      <c r="A219" t="s">
        <v>425</v>
      </c>
      <c r="B219" t="s">
        <v>426</v>
      </c>
      <c r="E219" s="1"/>
    </row>
    <row r="220" spans="1:8">
      <c r="A220" t="s">
        <v>427</v>
      </c>
      <c r="B220" t="s">
        <v>428</v>
      </c>
      <c r="E220" s="1"/>
    </row>
    <row r="221" spans="1:8">
      <c r="A221" t="s">
        <v>429</v>
      </c>
      <c r="B221" t="s">
        <v>430</v>
      </c>
      <c r="E221" s="1"/>
    </row>
    <row r="222" spans="1:8">
      <c r="A222" t="s">
        <v>431</v>
      </c>
      <c r="B222" t="s">
        <v>432</v>
      </c>
      <c r="C222" s="1" t="s">
        <v>433</v>
      </c>
      <c r="D222" s="1"/>
      <c r="E222" s="1" t="str">
        <f t="shared" ref="E222:E281" si="11">HYPERLINK("https://www.kegg.jp/dbget-bin/www_bget?ec:" &amp; C222, "https://www.kegg.jp/dbget-bin/www_bget?ec:" &amp; C222)</f>
        <v>https://www.kegg.jp/dbget-bin/www_bget?ec:2.3.1.245</v>
      </c>
      <c r="F222" t="s">
        <v>9349</v>
      </c>
      <c r="G222" s="10" t="s">
        <v>9350</v>
      </c>
      <c r="H222" s="13" t="s">
        <v>9351</v>
      </c>
    </row>
    <row r="223" spans="1:8">
      <c r="A223" t="s">
        <v>434</v>
      </c>
      <c r="B223" t="s">
        <v>435</v>
      </c>
      <c r="E223" s="1"/>
    </row>
    <row r="224" spans="1:8">
      <c r="A224" t="s">
        <v>436</v>
      </c>
      <c r="B224" t="s">
        <v>437</v>
      </c>
      <c r="E224" s="1"/>
    </row>
    <row r="225" spans="1:5">
      <c r="A225" t="s">
        <v>438</v>
      </c>
      <c r="B225" t="s">
        <v>439</v>
      </c>
      <c r="E225" s="1"/>
    </row>
    <row r="226" spans="1:5">
      <c r="A226" t="s">
        <v>440</v>
      </c>
      <c r="B226" t="s">
        <v>441</v>
      </c>
      <c r="E226" s="1"/>
    </row>
    <row r="227" spans="1:5">
      <c r="A227" t="s">
        <v>442</v>
      </c>
      <c r="B227" t="s">
        <v>443</v>
      </c>
      <c r="E227" s="1"/>
    </row>
    <row r="228" spans="1:5">
      <c r="A228" t="s">
        <v>444</v>
      </c>
      <c r="B228" t="s">
        <v>445</v>
      </c>
      <c r="E228" s="1"/>
    </row>
    <row r="229" spans="1:5">
      <c r="A229" t="s">
        <v>446</v>
      </c>
      <c r="B229" t="s">
        <v>447</v>
      </c>
      <c r="E229" s="1"/>
    </row>
    <row r="230" spans="1:5">
      <c r="A230" t="s">
        <v>448</v>
      </c>
      <c r="B230" t="s">
        <v>449</v>
      </c>
      <c r="E230" s="1"/>
    </row>
    <row r="231" spans="1:5">
      <c r="A231" t="s">
        <v>450</v>
      </c>
      <c r="B231" t="s">
        <v>451</v>
      </c>
      <c r="E231" s="1"/>
    </row>
    <row r="232" spans="1:5">
      <c r="A232" t="s">
        <v>452</v>
      </c>
      <c r="B232" t="s">
        <v>453</v>
      </c>
      <c r="E232" s="1"/>
    </row>
    <row r="233" spans="1:5">
      <c r="A233" t="s">
        <v>454</v>
      </c>
      <c r="B233" t="s">
        <v>455</v>
      </c>
      <c r="E233" s="1"/>
    </row>
    <row r="234" spans="1:5">
      <c r="A234" t="s">
        <v>456</v>
      </c>
      <c r="B234" t="s">
        <v>457</v>
      </c>
      <c r="E234" s="1"/>
    </row>
    <row r="235" spans="1:5">
      <c r="A235" t="s">
        <v>458</v>
      </c>
      <c r="B235" t="s">
        <v>459</v>
      </c>
      <c r="E235" s="1"/>
    </row>
    <row r="236" spans="1:5">
      <c r="B236" t="s">
        <v>461</v>
      </c>
      <c r="E236" s="1"/>
    </row>
    <row r="237" spans="1:5">
      <c r="A237" t="s">
        <v>462</v>
      </c>
      <c r="B237" t="s">
        <v>463</v>
      </c>
      <c r="E237" s="1"/>
    </row>
    <row r="238" spans="1:5">
      <c r="A238" t="s">
        <v>464</v>
      </c>
      <c r="B238" t="s">
        <v>465</v>
      </c>
      <c r="E238" s="1"/>
    </row>
    <row r="239" spans="1:5">
      <c r="A239" t="s">
        <v>466</v>
      </c>
      <c r="B239" t="s">
        <v>467</v>
      </c>
      <c r="E239" s="1"/>
    </row>
    <row r="240" spans="1:5">
      <c r="A240" t="s">
        <v>468</v>
      </c>
      <c r="B240" t="s">
        <v>469</v>
      </c>
      <c r="E240" s="1"/>
    </row>
    <row r="241" spans="1:8">
      <c r="A241" t="s">
        <v>471</v>
      </c>
      <c r="B241" t="s">
        <v>472</v>
      </c>
      <c r="E241" s="1"/>
    </row>
    <row r="242" spans="1:8">
      <c r="A242" t="s">
        <v>473</v>
      </c>
      <c r="B242" t="s">
        <v>474</v>
      </c>
      <c r="E242" s="1"/>
    </row>
    <row r="243" spans="1:8">
      <c r="A243" t="s">
        <v>475</v>
      </c>
      <c r="B243" t="s">
        <v>476</v>
      </c>
      <c r="E243" s="1"/>
    </row>
    <row r="244" spans="1:8">
      <c r="A244" t="s">
        <v>477</v>
      </c>
      <c r="B244" t="s">
        <v>478</v>
      </c>
      <c r="E244" s="1"/>
    </row>
    <row r="245" spans="1:8">
      <c r="A245" t="s">
        <v>479</v>
      </c>
      <c r="B245" t="s">
        <v>480</v>
      </c>
      <c r="E245" s="1"/>
    </row>
    <row r="246" spans="1:8">
      <c r="A246" t="s">
        <v>481</v>
      </c>
      <c r="B246" t="s">
        <v>482</v>
      </c>
      <c r="E246" s="1"/>
    </row>
    <row r="247" spans="1:8">
      <c r="A247" t="s">
        <v>483</v>
      </c>
      <c r="B247" t="s">
        <v>484</v>
      </c>
      <c r="E247" s="1"/>
    </row>
    <row r="248" spans="1:8">
      <c r="A248" t="s">
        <v>485</v>
      </c>
      <c r="B248" t="s">
        <v>486</v>
      </c>
      <c r="E248" s="1"/>
    </row>
    <row r="249" spans="1:8">
      <c r="A249" t="s">
        <v>487</v>
      </c>
      <c r="B249" t="s">
        <v>488</v>
      </c>
      <c r="E249" s="1"/>
    </row>
    <row r="250" spans="1:8">
      <c r="A250" t="s">
        <v>489</v>
      </c>
      <c r="B250" t="s">
        <v>490</v>
      </c>
      <c r="E250" s="1"/>
    </row>
    <row r="251" spans="1:8">
      <c r="A251" t="s">
        <v>491</v>
      </c>
      <c r="B251" t="s">
        <v>492</v>
      </c>
      <c r="E251" s="1"/>
    </row>
    <row r="252" spans="1:8">
      <c r="A252" t="s">
        <v>493</v>
      </c>
      <c r="B252" t="s">
        <v>494</v>
      </c>
      <c r="E252" s="1"/>
    </row>
    <row r="253" spans="1:8">
      <c r="A253" t="s">
        <v>495</v>
      </c>
      <c r="B253" t="s">
        <v>496</v>
      </c>
      <c r="E253" s="1"/>
    </row>
    <row r="254" spans="1:8">
      <c r="A254" t="s">
        <v>497</v>
      </c>
      <c r="B254" t="s">
        <v>498</v>
      </c>
      <c r="E254" s="1"/>
    </row>
    <row r="255" spans="1:8">
      <c r="A255" t="s">
        <v>499</v>
      </c>
      <c r="B255" t="s">
        <v>500</v>
      </c>
      <c r="C255" s="1" t="s">
        <v>460</v>
      </c>
      <c r="D255" s="1"/>
      <c r="E255" s="1" t="str">
        <f t="shared" ref="E255" si="12">HYPERLINK("https://www.kegg.jp/dbget-bin/www_bget?ec:" &amp; C255, "https://www.kegg.jp/dbget-bin/www_bget?ec:" &amp; C255)</f>
        <v>https://www.kegg.jp/dbget-bin/www_bget?ec:5.4.2.11</v>
      </c>
      <c r="F255" t="s">
        <v>9352</v>
      </c>
      <c r="G255" s="10" t="s">
        <v>9353</v>
      </c>
      <c r="H255" s="13" t="s">
        <v>9354</v>
      </c>
    </row>
    <row r="256" spans="1:8">
      <c r="A256" t="s">
        <v>499</v>
      </c>
      <c r="B256" t="s">
        <v>500</v>
      </c>
      <c r="C256" s="1" t="s">
        <v>460</v>
      </c>
      <c r="D256" s="1"/>
      <c r="E256" s="1" t="str">
        <f t="shared" si="11"/>
        <v>https://www.kegg.jp/dbget-bin/www_bget?ec:5.4.2.11</v>
      </c>
      <c r="F256" t="s">
        <v>9352</v>
      </c>
      <c r="G256" s="10" t="s">
        <v>9355</v>
      </c>
      <c r="H256" s="13" t="s">
        <v>9356</v>
      </c>
    </row>
    <row r="257" spans="1:8">
      <c r="A257" t="s">
        <v>501</v>
      </c>
      <c r="B257" t="s">
        <v>502</v>
      </c>
      <c r="E257" s="1"/>
    </row>
    <row r="258" spans="1:8">
      <c r="A258" t="s">
        <v>503</v>
      </c>
      <c r="B258" t="s">
        <v>504</v>
      </c>
      <c r="E258" s="1"/>
    </row>
    <row r="259" spans="1:8">
      <c r="A259" t="s">
        <v>505</v>
      </c>
      <c r="B259" t="s">
        <v>506</v>
      </c>
      <c r="E259" s="1"/>
    </row>
    <row r="260" spans="1:8">
      <c r="B260" t="s">
        <v>507</v>
      </c>
      <c r="E260" s="1"/>
    </row>
    <row r="261" spans="1:8">
      <c r="A261" t="s">
        <v>508</v>
      </c>
      <c r="B261" t="s">
        <v>509</v>
      </c>
      <c r="C261" s="1" t="s">
        <v>470</v>
      </c>
      <c r="D261" s="1"/>
      <c r="E261" s="1" t="str">
        <f>HYPERLINK("https://www.kegg.jp/dbget-bin/www_bget?ec:" &amp; C261, "https://www.kegg.jp/dbget-bin/www_bget?ec:" &amp; C261)</f>
        <v>https://www.kegg.jp/dbget-bin/www_bget?ec:4.2.1.20</v>
      </c>
      <c r="F261" t="s">
        <v>9357</v>
      </c>
      <c r="G261" s="10" t="s">
        <v>9358</v>
      </c>
      <c r="H261" s="13" t="s">
        <v>9359</v>
      </c>
    </row>
    <row r="262" spans="1:8">
      <c r="A262" t="s">
        <v>508</v>
      </c>
      <c r="B262" t="s">
        <v>509</v>
      </c>
      <c r="C262" s="1" t="s">
        <v>470</v>
      </c>
      <c r="D262" s="1"/>
      <c r="E262" s="1" t="str">
        <f>HYPERLINK("https://www.kegg.jp/dbget-bin/www_bget?ec:" &amp; C262, "https://www.kegg.jp/dbget-bin/www_bget?ec:" &amp; C262)</f>
        <v>https://www.kegg.jp/dbget-bin/www_bget?ec:4.2.1.20</v>
      </c>
      <c r="F262" t="s">
        <v>9357</v>
      </c>
      <c r="G262" s="10" t="s">
        <v>9360</v>
      </c>
      <c r="H262" s="13" t="s">
        <v>9361</v>
      </c>
    </row>
    <row r="263" spans="1:8">
      <c r="A263" t="s">
        <v>510</v>
      </c>
      <c r="B263" t="s">
        <v>511</v>
      </c>
      <c r="E263" s="1"/>
    </row>
    <row r="264" spans="1:8">
      <c r="A264" t="s">
        <v>512</v>
      </c>
      <c r="B264" t="s">
        <v>513</v>
      </c>
      <c r="E264" s="1"/>
    </row>
    <row r="265" spans="1:8">
      <c r="A265" t="s">
        <v>514</v>
      </c>
      <c r="B265" t="s">
        <v>515</v>
      </c>
      <c r="C265" s="1" t="s">
        <v>516</v>
      </c>
      <c r="D265" s="1"/>
      <c r="E265" s="1" t="str">
        <f t="shared" si="11"/>
        <v>https://www.kegg.jp/dbget-bin/www_bget?ec:2.4.2.18</v>
      </c>
      <c r="F265" t="s">
        <v>9362</v>
      </c>
      <c r="G265" s="10" t="s">
        <v>9363</v>
      </c>
      <c r="H265" s="13" t="s">
        <v>9364</v>
      </c>
    </row>
    <row r="266" spans="1:8">
      <c r="A266" t="s">
        <v>517</v>
      </c>
      <c r="B266" t="s">
        <v>518</v>
      </c>
      <c r="C266" s="1" t="s">
        <v>519</v>
      </c>
      <c r="D266" s="1"/>
      <c r="E266" s="1" t="str">
        <f t="shared" si="11"/>
        <v>https://www.kegg.jp/dbget-bin/www_bget?ec:4.1.1.48</v>
      </c>
      <c r="F266" t="s">
        <v>9365</v>
      </c>
      <c r="G266" s="10" t="s">
        <v>9366</v>
      </c>
      <c r="H266" s="13" t="s">
        <v>9573</v>
      </c>
    </row>
    <row r="267" spans="1:8">
      <c r="A267" t="s">
        <v>520</v>
      </c>
      <c r="B267" t="s">
        <v>521</v>
      </c>
      <c r="E267" s="1"/>
    </row>
    <row r="268" spans="1:8">
      <c r="A268" t="s">
        <v>522</v>
      </c>
      <c r="B268" t="s">
        <v>523</v>
      </c>
      <c r="C268" s="1" t="s">
        <v>470</v>
      </c>
      <c r="D268" s="1"/>
      <c r="E268" s="1" t="str">
        <f t="shared" ref="E268" si="13">HYPERLINK("https://www.kegg.jp/dbget-bin/www_bget?ec:" &amp; C268, "https://www.kegg.jp/dbget-bin/www_bget?ec:" &amp; C268)</f>
        <v>https://www.kegg.jp/dbget-bin/www_bget?ec:4.2.1.20</v>
      </c>
      <c r="F268" t="s">
        <v>9357</v>
      </c>
      <c r="G268" s="10" t="s">
        <v>9367</v>
      </c>
      <c r="H268" s="13" t="s">
        <v>9359</v>
      </c>
    </row>
    <row r="269" spans="1:8">
      <c r="A269" t="s">
        <v>522</v>
      </c>
      <c r="B269" t="s">
        <v>523</v>
      </c>
      <c r="C269" s="1" t="s">
        <v>470</v>
      </c>
      <c r="D269" s="1"/>
      <c r="E269" s="1" t="str">
        <f t="shared" ref="E269" si="14">HYPERLINK("https://www.kegg.jp/dbget-bin/www_bget?ec:" &amp; C269, "https://www.kegg.jp/dbget-bin/www_bget?ec:" &amp; C269)</f>
        <v>https://www.kegg.jp/dbget-bin/www_bget?ec:4.2.1.20</v>
      </c>
      <c r="F269" t="s">
        <v>9357</v>
      </c>
      <c r="G269" s="10" t="s">
        <v>9360</v>
      </c>
      <c r="H269" s="13" t="s">
        <v>9368</v>
      </c>
    </row>
    <row r="270" spans="1:8">
      <c r="A270" t="s">
        <v>522</v>
      </c>
      <c r="B270" t="s">
        <v>523</v>
      </c>
      <c r="C270" s="1" t="s">
        <v>470</v>
      </c>
      <c r="D270" s="1"/>
      <c r="E270" s="1" t="str">
        <f t="shared" si="11"/>
        <v>https://www.kegg.jp/dbget-bin/www_bget?ec:4.2.1.20</v>
      </c>
      <c r="F270" t="s">
        <v>9357</v>
      </c>
      <c r="G270" s="10" t="s">
        <v>9369</v>
      </c>
      <c r="H270" s="13" t="s">
        <v>9370</v>
      </c>
    </row>
    <row r="271" spans="1:8">
      <c r="A271" t="s">
        <v>524</v>
      </c>
      <c r="B271" t="s">
        <v>525</v>
      </c>
      <c r="E271" s="1"/>
    </row>
    <row r="272" spans="1:8">
      <c r="A272" t="s">
        <v>526</v>
      </c>
      <c r="B272" t="s">
        <v>527</v>
      </c>
      <c r="E272" s="1"/>
    </row>
    <row r="273" spans="1:8">
      <c r="A273" t="s">
        <v>528</v>
      </c>
      <c r="B273" t="s">
        <v>529</v>
      </c>
      <c r="E273" s="1"/>
    </row>
    <row r="274" spans="1:8">
      <c r="A274" t="s">
        <v>530</v>
      </c>
      <c r="B274" t="s">
        <v>531</v>
      </c>
      <c r="E274" s="1"/>
    </row>
    <row r="275" spans="1:8">
      <c r="A275" t="s">
        <v>532</v>
      </c>
      <c r="B275" t="s">
        <v>533</v>
      </c>
      <c r="E275" s="1"/>
    </row>
    <row r="276" spans="1:8">
      <c r="A276" t="s">
        <v>534</v>
      </c>
      <c r="B276" t="s">
        <v>535</v>
      </c>
      <c r="C276" s="2" t="s">
        <v>536</v>
      </c>
      <c r="D276" s="2"/>
      <c r="E276" s="1" t="str">
        <f t="shared" ref="E276" si="15">HYPERLINK("https://www.kegg.jp/dbget-bin/www_bget?ec:" &amp; C276, "https://www.kegg.jp/dbget-bin/www_bget?ec:" &amp; C276)</f>
        <v>https://www.kegg.jp/dbget-bin/www_bget?ec:6.3.5.5</v>
      </c>
      <c r="F276" t="s">
        <v>9371</v>
      </c>
      <c r="G276" s="10" t="s">
        <v>9372</v>
      </c>
      <c r="H276" s="13" t="s">
        <v>9373</v>
      </c>
    </row>
    <row r="277" spans="1:8">
      <c r="A277" t="s">
        <v>534</v>
      </c>
      <c r="B277" t="s">
        <v>535</v>
      </c>
      <c r="C277" s="2" t="s">
        <v>536</v>
      </c>
      <c r="D277" s="2"/>
      <c r="E277" s="1" t="str">
        <f t="shared" ref="E277" si="16">HYPERLINK("https://www.kegg.jp/dbget-bin/www_bget?ec:" &amp; C277, "https://www.kegg.jp/dbget-bin/www_bget?ec:" &amp; C277)</f>
        <v>https://www.kegg.jp/dbget-bin/www_bget?ec:6.3.5.5</v>
      </c>
      <c r="F277" t="s">
        <v>9371</v>
      </c>
      <c r="G277" s="10" t="s">
        <v>9374</v>
      </c>
      <c r="H277" s="13" t="s">
        <v>9375</v>
      </c>
    </row>
    <row r="278" spans="1:8">
      <c r="A278" t="s">
        <v>534</v>
      </c>
      <c r="B278" t="s">
        <v>535</v>
      </c>
      <c r="C278" s="2" t="s">
        <v>536</v>
      </c>
      <c r="D278" s="2"/>
      <c r="E278" s="1" t="str">
        <f t="shared" ref="E278" si="17">HYPERLINK("https://www.kegg.jp/dbget-bin/www_bget?ec:" &amp; C278, "https://www.kegg.jp/dbget-bin/www_bget?ec:" &amp; C278)</f>
        <v>https://www.kegg.jp/dbget-bin/www_bget?ec:6.3.5.5</v>
      </c>
      <c r="F278" t="s">
        <v>9371</v>
      </c>
      <c r="G278" s="10" t="s">
        <v>9376</v>
      </c>
      <c r="H278" s="13" t="s">
        <v>9377</v>
      </c>
    </row>
    <row r="279" spans="1:8">
      <c r="A279" t="s">
        <v>534</v>
      </c>
      <c r="B279" t="s">
        <v>535</v>
      </c>
      <c r="C279" s="2" t="s">
        <v>536</v>
      </c>
      <c r="D279" s="2"/>
      <c r="E279" s="1" t="str">
        <f t="shared" ref="E279" si="18">HYPERLINK("https://www.kegg.jp/dbget-bin/www_bget?ec:" &amp; C279, "https://www.kegg.jp/dbget-bin/www_bget?ec:" &amp; C279)</f>
        <v>https://www.kegg.jp/dbget-bin/www_bget?ec:6.3.5.5</v>
      </c>
      <c r="F279" t="s">
        <v>9371</v>
      </c>
      <c r="G279" s="10" t="s">
        <v>9378</v>
      </c>
      <c r="H279" s="13" t="s">
        <v>9379</v>
      </c>
    </row>
    <row r="280" spans="1:8">
      <c r="A280" t="s">
        <v>534</v>
      </c>
      <c r="B280" t="s">
        <v>535</v>
      </c>
      <c r="C280" s="2" t="s">
        <v>536</v>
      </c>
      <c r="D280" s="2"/>
      <c r="E280" s="1" t="str">
        <f t="shared" ref="E280" si="19">HYPERLINK("https://www.kegg.jp/dbget-bin/www_bget?ec:" &amp; C280, "https://www.kegg.jp/dbget-bin/www_bget?ec:" &amp; C280)</f>
        <v>https://www.kegg.jp/dbget-bin/www_bget?ec:6.3.5.5</v>
      </c>
      <c r="F280" t="s">
        <v>9371</v>
      </c>
      <c r="G280" s="10" t="s">
        <v>9380</v>
      </c>
      <c r="H280" s="13" t="s">
        <v>9381</v>
      </c>
    </row>
    <row r="281" spans="1:8">
      <c r="A281" t="s">
        <v>534</v>
      </c>
      <c r="B281" t="s">
        <v>535</v>
      </c>
      <c r="C281" s="2" t="s">
        <v>536</v>
      </c>
      <c r="D281" s="2"/>
      <c r="E281" s="1" t="str">
        <f t="shared" si="11"/>
        <v>https://www.kegg.jp/dbget-bin/www_bget?ec:6.3.5.5</v>
      </c>
      <c r="F281" t="s">
        <v>9371</v>
      </c>
      <c r="G281" s="10" t="s">
        <v>9382</v>
      </c>
      <c r="H281" s="13" t="s">
        <v>9383</v>
      </c>
    </row>
    <row r="282" spans="1:8">
      <c r="A282" t="s">
        <v>537</v>
      </c>
      <c r="B282" t="s">
        <v>538</v>
      </c>
      <c r="C282" s="1" t="s">
        <v>536</v>
      </c>
      <c r="D282" s="1"/>
      <c r="E282" s="1" t="str">
        <f t="shared" ref="E282:E305" si="20">HYPERLINK("https://www.kegg.jp/dbget-bin/www_bget?ec:" &amp; C282, "https://www.kegg.jp/dbget-bin/www_bget?ec:" &amp; C282)</f>
        <v>https://www.kegg.jp/dbget-bin/www_bget?ec:6.3.5.5</v>
      </c>
      <c r="F282" t="s">
        <v>9371</v>
      </c>
      <c r="G282" s="10" t="s">
        <v>9372</v>
      </c>
      <c r="H282" s="13" t="s">
        <v>9373</v>
      </c>
    </row>
    <row r="283" spans="1:8">
      <c r="A283" t="s">
        <v>537</v>
      </c>
      <c r="B283" t="s">
        <v>538</v>
      </c>
      <c r="C283" s="1" t="s">
        <v>536</v>
      </c>
      <c r="D283" s="1"/>
      <c r="E283" s="1" t="str">
        <f t="shared" ref="E283:E287" si="21">HYPERLINK("https://www.kegg.jp/dbget-bin/www_bget?ec:" &amp; C283, "https://www.kegg.jp/dbget-bin/www_bget?ec:" &amp; C283)</f>
        <v>https://www.kegg.jp/dbget-bin/www_bget?ec:6.3.5.5</v>
      </c>
      <c r="F283" t="s">
        <v>9371</v>
      </c>
      <c r="G283" s="10" t="s">
        <v>9374</v>
      </c>
      <c r="H283" s="13" t="s">
        <v>9375</v>
      </c>
    </row>
    <row r="284" spans="1:8">
      <c r="A284" t="s">
        <v>537</v>
      </c>
      <c r="B284" t="s">
        <v>538</v>
      </c>
      <c r="C284" s="1" t="s">
        <v>536</v>
      </c>
      <c r="D284" s="1"/>
      <c r="E284" s="1" t="str">
        <f t="shared" si="21"/>
        <v>https://www.kegg.jp/dbget-bin/www_bget?ec:6.3.5.5</v>
      </c>
      <c r="F284" t="s">
        <v>9371</v>
      </c>
      <c r="G284" s="10" t="s">
        <v>9376</v>
      </c>
      <c r="H284" s="13" t="s">
        <v>9377</v>
      </c>
    </row>
    <row r="285" spans="1:8">
      <c r="A285" t="s">
        <v>537</v>
      </c>
      <c r="B285" t="s">
        <v>538</v>
      </c>
      <c r="C285" s="1" t="s">
        <v>536</v>
      </c>
      <c r="D285" s="1"/>
      <c r="E285" s="1" t="str">
        <f t="shared" si="21"/>
        <v>https://www.kegg.jp/dbget-bin/www_bget?ec:6.3.5.5</v>
      </c>
      <c r="F285" t="s">
        <v>9371</v>
      </c>
      <c r="G285" s="10" t="s">
        <v>9378</v>
      </c>
      <c r="H285" s="13" t="s">
        <v>9379</v>
      </c>
    </row>
    <row r="286" spans="1:8">
      <c r="A286" t="s">
        <v>537</v>
      </c>
      <c r="B286" t="s">
        <v>538</v>
      </c>
      <c r="C286" s="1" t="s">
        <v>536</v>
      </c>
      <c r="D286" s="1"/>
      <c r="E286" s="1" t="str">
        <f t="shared" si="21"/>
        <v>https://www.kegg.jp/dbget-bin/www_bget?ec:6.3.5.5</v>
      </c>
      <c r="F286" t="s">
        <v>9371</v>
      </c>
      <c r="G286" s="10" t="s">
        <v>9380</v>
      </c>
      <c r="H286" s="13" t="s">
        <v>9381</v>
      </c>
    </row>
    <row r="287" spans="1:8">
      <c r="A287" t="s">
        <v>537</v>
      </c>
      <c r="B287" t="s">
        <v>538</v>
      </c>
      <c r="C287" s="1" t="s">
        <v>536</v>
      </c>
      <c r="D287" s="1"/>
      <c r="E287" s="1" t="str">
        <f t="shared" si="21"/>
        <v>https://www.kegg.jp/dbget-bin/www_bget?ec:6.3.5.5</v>
      </c>
      <c r="F287" t="s">
        <v>9371</v>
      </c>
      <c r="G287" s="10" t="s">
        <v>9382</v>
      </c>
      <c r="H287" s="13" t="s">
        <v>9383</v>
      </c>
    </row>
    <row r="288" spans="1:8">
      <c r="A288" t="s">
        <v>539</v>
      </c>
      <c r="B288" t="s">
        <v>540</v>
      </c>
      <c r="E288" s="1"/>
    </row>
    <row r="289" spans="1:8">
      <c r="A289" t="s">
        <v>541</v>
      </c>
      <c r="B289" t="s">
        <v>542</v>
      </c>
      <c r="E289" s="1"/>
    </row>
    <row r="290" spans="1:8">
      <c r="A290" t="s">
        <v>543</v>
      </c>
      <c r="B290" t="s">
        <v>544</v>
      </c>
      <c r="E290" s="1"/>
    </row>
    <row r="291" spans="1:8">
      <c r="A291" t="s">
        <v>545</v>
      </c>
      <c r="B291" t="s">
        <v>546</v>
      </c>
      <c r="E291" s="1"/>
    </row>
    <row r="292" spans="1:8">
      <c r="A292" t="s">
        <v>547</v>
      </c>
      <c r="B292" t="s">
        <v>548</v>
      </c>
      <c r="E292" s="1"/>
    </row>
    <row r="293" spans="1:8">
      <c r="A293" t="s">
        <v>549</v>
      </c>
      <c r="B293" t="s">
        <v>550</v>
      </c>
      <c r="C293" s="1" t="s">
        <v>388</v>
      </c>
      <c r="D293" s="1"/>
      <c r="E293" s="1" t="str">
        <f t="shared" si="20"/>
        <v>https://www.kegg.jp/dbget-bin/www_bget?ec:4.2.1.47</v>
      </c>
      <c r="F293" t="s">
        <v>9340</v>
      </c>
      <c r="G293" s="1" t="s">
        <v>9341</v>
      </c>
      <c r="H293" s="13" t="s">
        <v>9342</v>
      </c>
    </row>
    <row r="294" spans="1:8">
      <c r="A294" t="s">
        <v>551</v>
      </c>
      <c r="B294" t="s">
        <v>552</v>
      </c>
      <c r="E294" s="1"/>
    </row>
    <row r="295" spans="1:8">
      <c r="A295" t="s">
        <v>553</v>
      </c>
      <c r="B295" t="s">
        <v>554</v>
      </c>
      <c r="E295" s="1"/>
    </row>
    <row r="296" spans="1:8">
      <c r="A296" t="s">
        <v>555</v>
      </c>
      <c r="B296" t="s">
        <v>556</v>
      </c>
      <c r="E296" s="1"/>
    </row>
    <row r="297" spans="1:8">
      <c r="A297" t="s">
        <v>557</v>
      </c>
      <c r="B297" t="s">
        <v>558</v>
      </c>
      <c r="E297" s="1"/>
    </row>
    <row r="298" spans="1:8">
      <c r="A298" t="s">
        <v>559</v>
      </c>
      <c r="B298" t="s">
        <v>560</v>
      </c>
      <c r="E298" s="1"/>
    </row>
    <row r="299" spans="1:8">
      <c r="A299" t="s">
        <v>561</v>
      </c>
      <c r="B299" t="s">
        <v>562</v>
      </c>
      <c r="E299" s="1"/>
    </row>
    <row r="300" spans="1:8">
      <c r="A300" t="s">
        <v>563</v>
      </c>
      <c r="B300" t="s">
        <v>564</v>
      </c>
      <c r="E300" s="1"/>
    </row>
    <row r="301" spans="1:8">
      <c r="A301" t="s">
        <v>565</v>
      </c>
      <c r="B301" t="s">
        <v>566</v>
      </c>
      <c r="E301" s="1"/>
    </row>
    <row r="302" spans="1:8">
      <c r="B302" t="s">
        <v>567</v>
      </c>
      <c r="E302" s="1"/>
    </row>
    <row r="303" spans="1:8">
      <c r="A303" t="s">
        <v>568</v>
      </c>
      <c r="B303" t="s">
        <v>569</v>
      </c>
      <c r="C303" s="1" t="s">
        <v>570</v>
      </c>
      <c r="D303" s="1"/>
      <c r="E303" s="1" t="str">
        <f t="shared" ref="E303" si="22">HYPERLINK("https://www.kegg.jp/dbget-bin/www_bget?ec:" &amp; C303, "https://www.kegg.jp/dbget-bin/www_bget?ec:" &amp; C303)</f>
        <v>https://www.kegg.jp/dbget-bin/www_bget?ec:5.1.3.14</v>
      </c>
      <c r="F303" s="1" t="s">
        <v>9385</v>
      </c>
      <c r="G303" s="10" t="s">
        <v>9386</v>
      </c>
      <c r="H303" s="1" t="s">
        <v>9387</v>
      </c>
    </row>
    <row r="304" spans="1:8">
      <c r="A304" t="s">
        <v>568</v>
      </c>
      <c r="B304" t="s">
        <v>569</v>
      </c>
      <c r="C304" s="1" t="s">
        <v>570</v>
      </c>
      <c r="D304" s="1"/>
      <c r="E304" s="1" t="str">
        <f t="shared" ref="E304" si="23">HYPERLINK("https://www.kegg.jp/dbget-bin/www_bget?ec:" &amp; C304, "https://www.kegg.jp/dbget-bin/www_bget?ec:" &amp; C304)</f>
        <v>https://www.kegg.jp/dbget-bin/www_bget?ec:5.1.3.14</v>
      </c>
      <c r="F304" s="1" t="s">
        <v>9385</v>
      </c>
      <c r="G304" s="10" t="s">
        <v>9388</v>
      </c>
      <c r="H304" s="13" t="s">
        <v>9390</v>
      </c>
    </row>
    <row r="305" spans="1:9">
      <c r="A305" t="s">
        <v>568</v>
      </c>
      <c r="B305" t="s">
        <v>569</v>
      </c>
      <c r="C305" s="1" t="s">
        <v>570</v>
      </c>
      <c r="D305" s="1"/>
      <c r="E305" s="1" t="str">
        <f t="shared" si="20"/>
        <v>https://www.kegg.jp/dbget-bin/www_bget?ec:5.1.3.14</v>
      </c>
      <c r="F305" s="1" t="s">
        <v>9385</v>
      </c>
      <c r="G305" s="10" t="s">
        <v>9389</v>
      </c>
      <c r="H305" s="13" t="s">
        <v>9391</v>
      </c>
    </row>
    <row r="306" spans="1:9">
      <c r="A306" t="s">
        <v>571</v>
      </c>
      <c r="B306" t="s">
        <v>572</v>
      </c>
      <c r="E306" s="1"/>
    </row>
    <row r="307" spans="1:9">
      <c r="A307" t="s">
        <v>573</v>
      </c>
      <c r="B307" t="s">
        <v>574</v>
      </c>
      <c r="E307" s="1"/>
    </row>
    <row r="308" spans="1:9">
      <c r="A308" t="s">
        <v>575</v>
      </c>
      <c r="B308" t="s">
        <v>576</v>
      </c>
      <c r="E308" s="1"/>
    </row>
    <row r="309" spans="1:9">
      <c r="A309" t="s">
        <v>577</v>
      </c>
      <c r="B309" t="s">
        <v>578</v>
      </c>
      <c r="E309" s="1"/>
    </row>
    <row r="310" spans="1:9">
      <c r="A310" t="s">
        <v>579</v>
      </c>
      <c r="B310" t="s">
        <v>580</v>
      </c>
      <c r="E310" s="1"/>
    </row>
    <row r="311" spans="1:9">
      <c r="A311" t="s">
        <v>581</v>
      </c>
      <c r="B311" t="s">
        <v>582</v>
      </c>
      <c r="E311" s="1"/>
    </row>
    <row r="312" spans="1:9">
      <c r="A312" t="s">
        <v>583</v>
      </c>
      <c r="B312" t="s">
        <v>584</v>
      </c>
      <c r="E312" s="1"/>
    </row>
    <row r="313" spans="1:9">
      <c r="A313" t="s">
        <v>585</v>
      </c>
      <c r="B313" t="s">
        <v>586</v>
      </c>
      <c r="E313" s="1"/>
    </row>
    <row r="314" spans="1:9">
      <c r="A314" t="s">
        <v>587</v>
      </c>
      <c r="B314" t="s">
        <v>588</v>
      </c>
      <c r="E314" s="1"/>
    </row>
    <row r="315" spans="1:9">
      <c r="B315" t="s">
        <v>589</v>
      </c>
      <c r="E315" s="1"/>
    </row>
    <row r="316" spans="1:9">
      <c r="A316" t="s">
        <v>590</v>
      </c>
      <c r="B316" t="s">
        <v>591</v>
      </c>
      <c r="E316" s="1"/>
    </row>
    <row r="317" spans="1:9">
      <c r="A317" t="s">
        <v>592</v>
      </c>
      <c r="B317" t="s">
        <v>593</v>
      </c>
      <c r="E317" s="1"/>
    </row>
    <row r="318" spans="1:9">
      <c r="A318" t="s">
        <v>594</v>
      </c>
      <c r="B318" t="s">
        <v>595</v>
      </c>
      <c r="C318" s="1" t="s">
        <v>70</v>
      </c>
      <c r="D318" s="1"/>
      <c r="E318" s="1" t="s">
        <v>9286</v>
      </c>
      <c r="F318" s="19" t="s">
        <v>9269</v>
      </c>
      <c r="G318" s="12" t="s">
        <v>9270</v>
      </c>
      <c r="H318" s="20" t="s">
        <v>9287</v>
      </c>
      <c r="I318" s="20"/>
    </row>
    <row r="319" spans="1:9">
      <c r="A319" t="s">
        <v>596</v>
      </c>
      <c r="B319" t="s">
        <v>597</v>
      </c>
      <c r="E319" s="1"/>
    </row>
    <row r="320" spans="1:9">
      <c r="A320" t="s">
        <v>598</v>
      </c>
      <c r="B320" t="s">
        <v>599</v>
      </c>
      <c r="E320" s="1"/>
    </row>
    <row r="321" spans="1:5">
      <c r="A321" t="s">
        <v>600</v>
      </c>
      <c r="B321" t="s">
        <v>601</v>
      </c>
      <c r="E321" s="1"/>
    </row>
    <row r="322" spans="1:5">
      <c r="A322" t="s">
        <v>602</v>
      </c>
      <c r="B322" t="s">
        <v>603</v>
      </c>
      <c r="E322" s="1"/>
    </row>
    <row r="323" spans="1:5">
      <c r="B323" t="s">
        <v>604</v>
      </c>
      <c r="E323" s="1"/>
    </row>
    <row r="324" spans="1:5">
      <c r="A324" t="s">
        <v>605</v>
      </c>
      <c r="B324" t="s">
        <v>606</v>
      </c>
      <c r="E324" s="1"/>
    </row>
    <row r="325" spans="1:5">
      <c r="A325" t="s">
        <v>607</v>
      </c>
      <c r="B325" t="s">
        <v>608</v>
      </c>
      <c r="E325" s="1"/>
    </row>
    <row r="326" spans="1:5">
      <c r="A326" t="s">
        <v>609</v>
      </c>
      <c r="B326" t="s">
        <v>610</v>
      </c>
      <c r="E326" s="1"/>
    </row>
    <row r="327" spans="1:5">
      <c r="A327" t="s">
        <v>611</v>
      </c>
      <c r="B327" t="s">
        <v>612</v>
      </c>
      <c r="E327" s="1"/>
    </row>
    <row r="328" spans="1:5">
      <c r="A328" t="s">
        <v>613</v>
      </c>
      <c r="B328" t="s">
        <v>614</v>
      </c>
      <c r="E328" s="1"/>
    </row>
    <row r="329" spans="1:5">
      <c r="A329" t="s">
        <v>615</v>
      </c>
      <c r="B329" t="s">
        <v>616</v>
      </c>
      <c r="E329" s="1"/>
    </row>
    <row r="330" spans="1:5">
      <c r="A330" t="s">
        <v>617</v>
      </c>
      <c r="B330" t="s">
        <v>618</v>
      </c>
      <c r="E330" s="1"/>
    </row>
    <row r="331" spans="1:5">
      <c r="A331" t="s">
        <v>619</v>
      </c>
      <c r="B331" t="s">
        <v>620</v>
      </c>
      <c r="E331" s="1"/>
    </row>
    <row r="332" spans="1:5">
      <c r="A332" t="s">
        <v>621</v>
      </c>
      <c r="B332" t="s">
        <v>622</v>
      </c>
      <c r="E332" s="1"/>
    </row>
    <row r="333" spans="1:5">
      <c r="A333" t="s">
        <v>623</v>
      </c>
      <c r="B333" t="s">
        <v>624</v>
      </c>
      <c r="E333" s="1"/>
    </row>
    <row r="334" spans="1:5">
      <c r="A334" t="s">
        <v>625</v>
      </c>
      <c r="B334" t="s">
        <v>626</v>
      </c>
      <c r="E334" s="1"/>
    </row>
    <row r="335" spans="1:5">
      <c r="A335" t="s">
        <v>627</v>
      </c>
      <c r="B335" t="s">
        <v>628</v>
      </c>
      <c r="E335" s="1"/>
    </row>
    <row r="336" spans="1:5">
      <c r="A336" t="s">
        <v>629</v>
      </c>
      <c r="B336" t="s">
        <v>630</v>
      </c>
      <c r="E336" s="1"/>
    </row>
    <row r="337" spans="1:5">
      <c r="A337" t="s">
        <v>631</v>
      </c>
      <c r="B337" t="s">
        <v>632</v>
      </c>
      <c r="E337" s="1"/>
    </row>
    <row r="338" spans="1:5">
      <c r="B338" t="s">
        <v>633</v>
      </c>
      <c r="E338" s="1"/>
    </row>
    <row r="339" spans="1:5">
      <c r="B339" t="s">
        <v>634</v>
      </c>
      <c r="E339" s="1"/>
    </row>
    <row r="340" spans="1:5">
      <c r="A340" t="s">
        <v>635</v>
      </c>
      <c r="B340" t="s">
        <v>636</v>
      </c>
      <c r="E340" s="1"/>
    </row>
    <row r="341" spans="1:5">
      <c r="A341" t="s">
        <v>637</v>
      </c>
      <c r="B341" t="s">
        <v>638</v>
      </c>
      <c r="E341" s="1"/>
    </row>
    <row r="342" spans="1:5">
      <c r="A342" t="s">
        <v>639</v>
      </c>
      <c r="B342" t="s">
        <v>640</v>
      </c>
      <c r="E342" s="1"/>
    </row>
    <row r="343" spans="1:5">
      <c r="A343" t="s">
        <v>641</v>
      </c>
      <c r="B343" t="s">
        <v>642</v>
      </c>
      <c r="E343" s="1"/>
    </row>
    <row r="344" spans="1:5">
      <c r="A344" t="s">
        <v>643</v>
      </c>
      <c r="B344" t="s">
        <v>644</v>
      </c>
      <c r="E344" s="1"/>
    </row>
    <row r="345" spans="1:5">
      <c r="A345" t="s">
        <v>645</v>
      </c>
      <c r="B345" t="s">
        <v>646</v>
      </c>
      <c r="E345" s="1"/>
    </row>
    <row r="346" spans="1:5">
      <c r="A346" t="s">
        <v>647</v>
      </c>
      <c r="B346" t="s">
        <v>648</v>
      </c>
      <c r="E346" s="1"/>
    </row>
    <row r="347" spans="1:5">
      <c r="B347" t="s">
        <v>649</v>
      </c>
      <c r="E347" s="1"/>
    </row>
    <row r="348" spans="1:5">
      <c r="B348" t="s">
        <v>650</v>
      </c>
      <c r="E348" s="1"/>
    </row>
    <row r="349" spans="1:5">
      <c r="A349" t="s">
        <v>651</v>
      </c>
      <c r="B349" t="s">
        <v>652</v>
      </c>
      <c r="E349" s="1"/>
    </row>
    <row r="350" spans="1:5">
      <c r="A350" t="s">
        <v>653</v>
      </c>
      <c r="B350" t="s">
        <v>654</v>
      </c>
      <c r="E350" s="1"/>
    </row>
    <row r="351" spans="1:5">
      <c r="A351" t="s">
        <v>655</v>
      </c>
      <c r="B351" t="s">
        <v>656</v>
      </c>
      <c r="E351" s="1"/>
    </row>
    <row r="352" spans="1:5">
      <c r="B352" t="s">
        <v>657</v>
      </c>
      <c r="E352" s="1"/>
    </row>
    <row r="353" spans="1:5">
      <c r="A353" t="s">
        <v>658</v>
      </c>
      <c r="B353" t="s">
        <v>659</v>
      </c>
      <c r="E353" s="1"/>
    </row>
    <row r="354" spans="1:5">
      <c r="A354" t="s">
        <v>660</v>
      </c>
      <c r="B354" t="s">
        <v>661</v>
      </c>
      <c r="E354" s="1"/>
    </row>
    <row r="355" spans="1:5">
      <c r="A355" t="s">
        <v>662</v>
      </c>
      <c r="B355" t="s">
        <v>663</v>
      </c>
      <c r="E355" s="1"/>
    </row>
    <row r="356" spans="1:5">
      <c r="A356" t="s">
        <v>664</v>
      </c>
      <c r="B356" t="s">
        <v>665</v>
      </c>
      <c r="E356" s="1"/>
    </row>
    <row r="357" spans="1:5">
      <c r="A357" t="s">
        <v>666</v>
      </c>
      <c r="B357" t="s">
        <v>667</v>
      </c>
      <c r="E357" s="1"/>
    </row>
    <row r="358" spans="1:5">
      <c r="A358" t="s">
        <v>668</v>
      </c>
      <c r="B358" t="s">
        <v>669</v>
      </c>
      <c r="E358" s="1"/>
    </row>
    <row r="359" spans="1:5">
      <c r="A359" t="s">
        <v>670</v>
      </c>
      <c r="B359" t="s">
        <v>671</v>
      </c>
      <c r="E359" s="1"/>
    </row>
    <row r="360" spans="1:5">
      <c r="A360" t="s">
        <v>672</v>
      </c>
      <c r="B360" t="s">
        <v>673</v>
      </c>
      <c r="E360" s="1"/>
    </row>
    <row r="361" spans="1:5">
      <c r="A361" t="s">
        <v>674</v>
      </c>
      <c r="B361" t="s">
        <v>675</v>
      </c>
      <c r="E361" s="1"/>
    </row>
    <row r="362" spans="1:5">
      <c r="A362" t="s">
        <v>676</v>
      </c>
      <c r="B362" t="s">
        <v>677</v>
      </c>
      <c r="E362" s="1"/>
    </row>
    <row r="363" spans="1:5">
      <c r="A363" t="s">
        <v>678</v>
      </c>
      <c r="B363" t="s">
        <v>679</v>
      </c>
      <c r="E363" s="1"/>
    </row>
    <row r="364" spans="1:5">
      <c r="A364" t="s">
        <v>680</v>
      </c>
      <c r="B364" t="s">
        <v>681</v>
      </c>
      <c r="E364" s="1"/>
    </row>
    <row r="365" spans="1:5">
      <c r="A365" t="s">
        <v>682</v>
      </c>
      <c r="B365" t="s">
        <v>683</v>
      </c>
      <c r="E365" s="1"/>
    </row>
    <row r="366" spans="1:5">
      <c r="A366" t="s">
        <v>684</v>
      </c>
      <c r="B366" t="s">
        <v>685</v>
      </c>
      <c r="E366" s="1"/>
    </row>
    <row r="367" spans="1:5">
      <c r="A367" t="s">
        <v>686</v>
      </c>
      <c r="B367" t="s">
        <v>687</v>
      </c>
      <c r="E367" s="1"/>
    </row>
    <row r="368" spans="1:5">
      <c r="A368" t="s">
        <v>688</v>
      </c>
      <c r="B368" t="s">
        <v>689</v>
      </c>
      <c r="E368" s="1"/>
    </row>
    <row r="369" spans="1:5">
      <c r="A369" t="s">
        <v>690</v>
      </c>
      <c r="B369" t="s">
        <v>691</v>
      </c>
      <c r="E369" s="1"/>
    </row>
    <row r="370" spans="1:5">
      <c r="A370" t="s">
        <v>692</v>
      </c>
      <c r="B370" t="s">
        <v>693</v>
      </c>
      <c r="E370" s="1"/>
    </row>
    <row r="371" spans="1:5">
      <c r="A371" t="s">
        <v>694</v>
      </c>
      <c r="B371" t="s">
        <v>695</v>
      </c>
      <c r="E371" s="1"/>
    </row>
    <row r="372" spans="1:5">
      <c r="A372" t="s">
        <v>696</v>
      </c>
      <c r="B372" t="s">
        <v>697</v>
      </c>
      <c r="E372" s="1"/>
    </row>
    <row r="373" spans="1:5">
      <c r="A373" t="s">
        <v>698</v>
      </c>
      <c r="B373" t="s">
        <v>699</v>
      </c>
      <c r="E373" s="1"/>
    </row>
    <row r="374" spans="1:5">
      <c r="B374" t="s">
        <v>700</v>
      </c>
      <c r="E374" s="1"/>
    </row>
    <row r="375" spans="1:5">
      <c r="B375" t="s">
        <v>701</v>
      </c>
      <c r="E375" s="1"/>
    </row>
    <row r="376" spans="1:5">
      <c r="A376" t="s">
        <v>702</v>
      </c>
      <c r="B376" t="s">
        <v>703</v>
      </c>
      <c r="E376" s="1"/>
    </row>
    <row r="377" spans="1:5">
      <c r="A377" t="s">
        <v>704</v>
      </c>
      <c r="B377" t="s">
        <v>705</v>
      </c>
      <c r="E377" s="1"/>
    </row>
    <row r="378" spans="1:5">
      <c r="A378" t="s">
        <v>706</v>
      </c>
      <c r="B378" t="s">
        <v>707</v>
      </c>
      <c r="E378" s="1"/>
    </row>
    <row r="379" spans="1:5">
      <c r="A379" t="s">
        <v>708</v>
      </c>
      <c r="B379" t="s">
        <v>709</v>
      </c>
      <c r="E379" s="1"/>
    </row>
    <row r="380" spans="1:5">
      <c r="A380" t="s">
        <v>710</v>
      </c>
      <c r="B380" t="s">
        <v>711</v>
      </c>
      <c r="E380" s="1"/>
    </row>
    <row r="381" spans="1:5">
      <c r="A381" t="s">
        <v>712</v>
      </c>
      <c r="B381" t="s">
        <v>713</v>
      </c>
      <c r="E381" s="1"/>
    </row>
    <row r="382" spans="1:5">
      <c r="B382" t="s">
        <v>714</v>
      </c>
      <c r="E382" s="1"/>
    </row>
    <row r="383" spans="1:5">
      <c r="A383" t="s">
        <v>715</v>
      </c>
      <c r="B383" t="s">
        <v>716</v>
      </c>
      <c r="E383" s="1"/>
    </row>
    <row r="384" spans="1:5">
      <c r="A384" t="s">
        <v>717</v>
      </c>
      <c r="B384" t="s">
        <v>718</v>
      </c>
      <c r="E384" s="1"/>
    </row>
    <row r="385" spans="1:5">
      <c r="A385" t="s">
        <v>719</v>
      </c>
      <c r="B385" t="s">
        <v>720</v>
      </c>
      <c r="E385" s="1"/>
    </row>
    <row r="386" spans="1:5">
      <c r="A386" t="s">
        <v>721</v>
      </c>
      <c r="B386" t="s">
        <v>722</v>
      </c>
      <c r="E386" s="1"/>
    </row>
    <row r="387" spans="1:5">
      <c r="A387" t="s">
        <v>723</v>
      </c>
      <c r="B387" t="s">
        <v>724</v>
      </c>
      <c r="E387" s="1"/>
    </row>
    <row r="388" spans="1:5">
      <c r="A388" t="s">
        <v>725</v>
      </c>
      <c r="B388" t="s">
        <v>726</v>
      </c>
      <c r="E388" s="1"/>
    </row>
    <row r="389" spans="1:5">
      <c r="A389" t="s">
        <v>727</v>
      </c>
      <c r="B389" t="s">
        <v>728</v>
      </c>
      <c r="E389" s="1"/>
    </row>
    <row r="390" spans="1:5">
      <c r="A390" t="s">
        <v>729</v>
      </c>
      <c r="B390" t="s">
        <v>730</v>
      </c>
      <c r="E390" s="1"/>
    </row>
    <row r="391" spans="1:5">
      <c r="A391" t="s">
        <v>731</v>
      </c>
      <c r="B391" t="s">
        <v>732</v>
      </c>
      <c r="E391" s="1"/>
    </row>
    <row r="392" spans="1:5">
      <c r="A392" t="s">
        <v>733</v>
      </c>
      <c r="B392" t="s">
        <v>734</v>
      </c>
      <c r="E392" s="1"/>
    </row>
    <row r="393" spans="1:5">
      <c r="A393" t="s">
        <v>735</v>
      </c>
      <c r="B393" t="s">
        <v>736</v>
      </c>
      <c r="E393" s="1"/>
    </row>
    <row r="394" spans="1:5">
      <c r="B394" t="s">
        <v>737</v>
      </c>
      <c r="E394" s="1"/>
    </row>
    <row r="395" spans="1:5">
      <c r="A395" t="s">
        <v>738</v>
      </c>
      <c r="B395" t="s">
        <v>739</v>
      </c>
      <c r="E395" s="1"/>
    </row>
    <row r="396" spans="1:5">
      <c r="A396" t="s">
        <v>740</v>
      </c>
      <c r="B396" t="s">
        <v>741</v>
      </c>
      <c r="E396" s="1"/>
    </row>
    <row r="397" spans="1:5">
      <c r="A397" t="s">
        <v>742</v>
      </c>
      <c r="B397" t="s">
        <v>743</v>
      </c>
      <c r="E397" s="1"/>
    </row>
    <row r="398" spans="1:5">
      <c r="A398" t="s">
        <v>744</v>
      </c>
      <c r="B398" t="s">
        <v>745</v>
      </c>
      <c r="E398" s="1"/>
    </row>
    <row r="399" spans="1:5">
      <c r="A399" t="s">
        <v>746</v>
      </c>
      <c r="B399" t="s">
        <v>747</v>
      </c>
      <c r="E399" s="1"/>
    </row>
    <row r="400" spans="1:5">
      <c r="A400" t="s">
        <v>748</v>
      </c>
      <c r="B400" t="s">
        <v>749</v>
      </c>
      <c r="E400" s="1"/>
    </row>
    <row r="401" spans="1:6">
      <c r="A401" t="s">
        <v>750</v>
      </c>
      <c r="B401" t="s">
        <v>751</v>
      </c>
      <c r="E401" s="1"/>
    </row>
    <row r="402" spans="1:6">
      <c r="A402" t="s">
        <v>752</v>
      </c>
      <c r="B402" t="s">
        <v>753</v>
      </c>
      <c r="E402" s="1"/>
    </row>
    <row r="403" spans="1:6">
      <c r="A403" t="s">
        <v>754</v>
      </c>
      <c r="B403" t="s">
        <v>755</v>
      </c>
      <c r="E403" s="1"/>
    </row>
    <row r="404" spans="1:6">
      <c r="A404" t="s">
        <v>756</v>
      </c>
      <c r="B404" t="s">
        <v>757</v>
      </c>
      <c r="E404" s="1"/>
    </row>
    <row r="405" spans="1:6">
      <c r="A405" t="s">
        <v>758</v>
      </c>
      <c r="B405" t="s">
        <v>759</v>
      </c>
      <c r="E405" s="1"/>
    </row>
    <row r="406" spans="1:6">
      <c r="A406" t="s">
        <v>760</v>
      </c>
      <c r="B406" t="s">
        <v>761</v>
      </c>
      <c r="E406" s="1"/>
    </row>
    <row r="407" spans="1:6">
      <c r="A407" t="s">
        <v>762</v>
      </c>
      <c r="B407" t="s">
        <v>763</v>
      </c>
      <c r="E407" s="1"/>
    </row>
    <row r="408" spans="1:6">
      <c r="A408" t="s">
        <v>764</v>
      </c>
      <c r="B408" t="s">
        <v>765</v>
      </c>
      <c r="E408" s="1"/>
    </row>
    <row r="409" spans="1:6">
      <c r="A409" t="s">
        <v>766</v>
      </c>
      <c r="B409" t="s">
        <v>767</v>
      </c>
      <c r="E409" s="1"/>
    </row>
    <row r="410" spans="1:6">
      <c r="A410" t="s">
        <v>768</v>
      </c>
      <c r="B410" t="s">
        <v>769</v>
      </c>
      <c r="E410" s="1"/>
    </row>
    <row r="411" spans="1:6">
      <c r="A411" t="s">
        <v>770</v>
      </c>
      <c r="B411" t="s">
        <v>771</v>
      </c>
      <c r="E411" s="1"/>
    </row>
    <row r="412" spans="1:6">
      <c r="A412" t="s">
        <v>772</v>
      </c>
      <c r="B412" t="s">
        <v>773</v>
      </c>
      <c r="C412" s="1" t="s">
        <v>774</v>
      </c>
      <c r="D412" s="1"/>
      <c r="E412" s="1" t="str">
        <f t="shared" ref="E412" si="24">HYPERLINK("https://www.kegg.jp/dbget-bin/www_bget?ec:" &amp; C412, "https://www.kegg.jp/dbget-bin/www_bget?ec:" &amp; C412)</f>
        <v>https://www.kegg.jp/dbget-bin/www_bget?ec:3.4.21.53</v>
      </c>
      <c r="F412" t="s">
        <v>9331</v>
      </c>
    </row>
    <row r="413" spans="1:6">
      <c r="A413" t="s">
        <v>775</v>
      </c>
      <c r="B413" t="s">
        <v>776</v>
      </c>
      <c r="E413" s="1"/>
    </row>
    <row r="414" spans="1:6">
      <c r="A414" t="s">
        <v>777</v>
      </c>
      <c r="B414" t="s">
        <v>778</v>
      </c>
      <c r="E414" s="1"/>
    </row>
    <row r="415" spans="1:6">
      <c r="A415" t="s">
        <v>779</v>
      </c>
      <c r="B415" t="s">
        <v>780</v>
      </c>
      <c r="E415" s="1"/>
    </row>
    <row r="416" spans="1:6">
      <c r="A416" t="s">
        <v>781</v>
      </c>
      <c r="B416" t="s">
        <v>782</v>
      </c>
      <c r="E416" s="1"/>
    </row>
    <row r="417" spans="1:8">
      <c r="A417" t="s">
        <v>783</v>
      </c>
      <c r="B417" t="s">
        <v>784</v>
      </c>
      <c r="E417" s="1"/>
    </row>
    <row r="418" spans="1:8">
      <c r="A418" t="s">
        <v>785</v>
      </c>
      <c r="B418" t="s">
        <v>786</v>
      </c>
      <c r="E418" s="1"/>
    </row>
    <row r="419" spans="1:8">
      <c r="A419" t="s">
        <v>787</v>
      </c>
      <c r="B419" t="s">
        <v>788</v>
      </c>
      <c r="C419" s="1" t="s">
        <v>789</v>
      </c>
      <c r="D419" s="1"/>
      <c r="E419" s="1" t="str">
        <f>HYPERLINK("https://www.kegg.jp/dbget-bin/www_bget?ec:" &amp; C419, "https://www.kegg.jp/dbget-bin/www_bget?ec:" &amp; C419)</f>
        <v>https://www.kegg.jp/dbget-bin/www_bget?ec:3.4.16.4</v>
      </c>
      <c r="F419" t="s">
        <v>9331</v>
      </c>
    </row>
    <row r="420" spans="1:8">
      <c r="A420" t="s">
        <v>790</v>
      </c>
      <c r="B420" t="s">
        <v>791</v>
      </c>
      <c r="E420" s="1"/>
    </row>
    <row r="421" spans="1:8">
      <c r="A421" t="s">
        <v>792</v>
      </c>
      <c r="B421" t="s">
        <v>793</v>
      </c>
      <c r="E421" s="1"/>
    </row>
    <row r="422" spans="1:8">
      <c r="A422" t="s">
        <v>794</v>
      </c>
      <c r="B422" t="s">
        <v>795</v>
      </c>
      <c r="E422" s="1"/>
    </row>
    <row r="423" spans="1:8">
      <c r="A423" t="s">
        <v>796</v>
      </c>
      <c r="B423" t="s">
        <v>797</v>
      </c>
      <c r="C423" s="1" t="s">
        <v>798</v>
      </c>
      <c r="D423" s="1"/>
      <c r="E423" s="1" t="str">
        <f t="shared" ref="E423:E486" si="25">HYPERLINK("https://www.kegg.jp/dbget-bin/www_bget?ec:" &amp; C423, "https://www.kegg.jp/dbget-bin/www_bget?ec:" &amp; C423)</f>
        <v>https://www.kegg.jp/dbget-bin/www_bget?ec:2.1.2.3</v>
      </c>
      <c r="F423" t="s">
        <v>9395</v>
      </c>
      <c r="G423" t="s">
        <v>9392</v>
      </c>
      <c r="H423" s="10" t="s">
        <v>9393</v>
      </c>
    </row>
    <row r="424" spans="1:8">
      <c r="A424" t="s">
        <v>796</v>
      </c>
      <c r="B424" t="s">
        <v>797</v>
      </c>
      <c r="C424" s="1" t="s">
        <v>799</v>
      </c>
      <c r="D424" s="1"/>
      <c r="E424" s="1" t="str">
        <f t="shared" si="25"/>
        <v>https://www.kegg.jp/dbget-bin/www_bget?ec:3.5.4.10</v>
      </c>
      <c r="F424" t="s">
        <v>9394</v>
      </c>
      <c r="G424" s="10" t="s">
        <v>9396</v>
      </c>
      <c r="H424" s="13" t="s">
        <v>9397</v>
      </c>
    </row>
    <row r="425" spans="1:8">
      <c r="B425" t="s">
        <v>800</v>
      </c>
      <c r="E425" s="1"/>
    </row>
    <row r="426" spans="1:8">
      <c r="A426" t="s">
        <v>801</v>
      </c>
      <c r="B426" t="s">
        <v>802</v>
      </c>
      <c r="E426" s="1"/>
    </row>
    <row r="427" spans="1:8">
      <c r="A427" t="s">
        <v>803</v>
      </c>
      <c r="B427" t="s">
        <v>804</v>
      </c>
      <c r="E427" s="1"/>
    </row>
    <row r="428" spans="1:8">
      <c r="A428" t="s">
        <v>805</v>
      </c>
      <c r="B428" t="s">
        <v>806</v>
      </c>
      <c r="E428" s="1"/>
    </row>
    <row r="429" spans="1:8">
      <c r="A429" t="s">
        <v>807</v>
      </c>
      <c r="B429" t="s">
        <v>808</v>
      </c>
      <c r="E429" s="1"/>
    </row>
    <row r="430" spans="1:8">
      <c r="A430" t="s">
        <v>809</v>
      </c>
      <c r="B430" t="s">
        <v>810</v>
      </c>
      <c r="E430" s="1"/>
    </row>
    <row r="431" spans="1:8">
      <c r="A431" t="s">
        <v>811</v>
      </c>
      <c r="B431" t="s">
        <v>812</v>
      </c>
      <c r="E431" s="1"/>
    </row>
    <row r="432" spans="1:8">
      <c r="A432" t="s">
        <v>813</v>
      </c>
      <c r="B432" t="s">
        <v>814</v>
      </c>
      <c r="E432" s="1"/>
    </row>
    <row r="433" spans="1:8">
      <c r="A433" t="s">
        <v>815</v>
      </c>
      <c r="B433" t="s">
        <v>816</v>
      </c>
      <c r="E433" s="1"/>
    </row>
    <row r="434" spans="1:8">
      <c r="A434" t="s">
        <v>817</v>
      </c>
      <c r="B434" t="s">
        <v>818</v>
      </c>
      <c r="E434" s="1"/>
    </row>
    <row r="435" spans="1:8">
      <c r="A435" t="s">
        <v>819</v>
      </c>
      <c r="B435" t="s">
        <v>820</v>
      </c>
      <c r="E435" s="1"/>
    </row>
    <row r="436" spans="1:8">
      <c r="A436" t="s">
        <v>821</v>
      </c>
      <c r="B436" t="s">
        <v>822</v>
      </c>
      <c r="E436" s="1"/>
    </row>
    <row r="437" spans="1:8">
      <c r="A437" t="s">
        <v>823</v>
      </c>
      <c r="B437" t="s">
        <v>824</v>
      </c>
      <c r="E437" s="1"/>
    </row>
    <row r="438" spans="1:8">
      <c r="A438" t="s">
        <v>825</v>
      </c>
      <c r="B438" t="s">
        <v>826</v>
      </c>
      <c r="C438" s="1" t="s">
        <v>827</v>
      </c>
      <c r="D438" s="1"/>
      <c r="E438" s="1" t="str">
        <f t="shared" ref="E438:E439" si="26">HYPERLINK("https://www.kegg.jp/dbget-bin/www_bget?ec:" &amp; C438, "https://www.kegg.jp/dbget-bin/www_bget?ec:" &amp; C438)</f>
        <v>https://www.kegg.jp/dbget-bin/www_bget?ec:2.7.4.3</v>
      </c>
      <c r="F438" s="1" t="s">
        <v>9398</v>
      </c>
      <c r="G438" s="10" t="s">
        <v>9399</v>
      </c>
      <c r="H438" s="13" t="s">
        <v>9400</v>
      </c>
    </row>
    <row r="439" spans="1:8">
      <c r="A439" t="s">
        <v>825</v>
      </c>
      <c r="B439" t="s">
        <v>826</v>
      </c>
      <c r="C439" s="1" t="s">
        <v>827</v>
      </c>
      <c r="D439" s="1"/>
      <c r="E439" s="1" t="str">
        <f t="shared" si="26"/>
        <v>https://www.kegg.jp/dbget-bin/www_bget?ec:2.7.4.3</v>
      </c>
      <c r="F439" t="s">
        <v>9398</v>
      </c>
      <c r="G439" s="10" t="s">
        <v>9401</v>
      </c>
      <c r="H439" s="13" t="s">
        <v>9402</v>
      </c>
    </row>
    <row r="440" spans="1:8">
      <c r="A440" t="s">
        <v>825</v>
      </c>
      <c r="B440" t="s">
        <v>826</v>
      </c>
      <c r="C440" s="1" t="s">
        <v>827</v>
      </c>
      <c r="D440" s="1"/>
      <c r="E440" s="1" t="str">
        <f t="shared" si="25"/>
        <v>https://www.kegg.jp/dbget-bin/www_bget?ec:2.7.4.3</v>
      </c>
      <c r="F440" t="s">
        <v>9398</v>
      </c>
      <c r="G440" s="10" t="s">
        <v>9404</v>
      </c>
      <c r="H440" s="13" t="s">
        <v>9403</v>
      </c>
    </row>
    <row r="441" spans="1:8">
      <c r="A441" t="s">
        <v>828</v>
      </c>
      <c r="B441" t="s">
        <v>829</v>
      </c>
      <c r="C441" s="1" t="s">
        <v>830</v>
      </c>
      <c r="D441" s="1"/>
      <c r="E441" s="1" t="str">
        <f t="shared" ref="E441:E442" si="27">HYPERLINK("https://www.kegg.jp/dbget-bin/www_bget?ec:" &amp; C441, "https://www.kegg.jp/dbget-bin/www_bget?ec:" &amp; C441)</f>
        <v>https://www.kegg.jp/dbget-bin/www_bget?ec:2.4.2.8</v>
      </c>
      <c r="F441" t="s">
        <v>9405</v>
      </c>
      <c r="G441" s="10" t="s">
        <v>9406</v>
      </c>
      <c r="H441" s="13" t="s">
        <v>9407</v>
      </c>
    </row>
    <row r="442" spans="1:8">
      <c r="A442" t="s">
        <v>828</v>
      </c>
      <c r="B442" t="s">
        <v>829</v>
      </c>
      <c r="C442" s="1" t="s">
        <v>830</v>
      </c>
      <c r="D442" s="1"/>
      <c r="E442" s="1" t="str">
        <f t="shared" si="27"/>
        <v>https://www.kegg.jp/dbget-bin/www_bget?ec:2.4.2.8</v>
      </c>
      <c r="F442" t="s">
        <v>9405</v>
      </c>
      <c r="G442" s="21" t="s">
        <v>9408</v>
      </c>
      <c r="H442" s="13" t="s">
        <v>9409</v>
      </c>
    </row>
    <row r="443" spans="1:8">
      <c r="A443" t="s">
        <v>828</v>
      </c>
      <c r="B443" t="s">
        <v>829</v>
      </c>
      <c r="C443" s="1" t="s">
        <v>830</v>
      </c>
      <c r="D443" s="1"/>
      <c r="E443" s="1" t="str">
        <f t="shared" ref="E443" si="28">HYPERLINK("https://www.kegg.jp/dbget-bin/www_bget?ec:" &amp; C443, "https://www.kegg.jp/dbget-bin/www_bget?ec:" &amp; C443)</f>
        <v>https://www.kegg.jp/dbget-bin/www_bget?ec:2.4.2.8</v>
      </c>
      <c r="F443" t="s">
        <v>9405</v>
      </c>
      <c r="G443" s="10" t="s">
        <v>9410</v>
      </c>
      <c r="H443" s="13" t="s">
        <v>9411</v>
      </c>
    </row>
    <row r="444" spans="1:8">
      <c r="A444" t="s">
        <v>828</v>
      </c>
      <c r="B444" t="s">
        <v>829</v>
      </c>
      <c r="C444" s="1" t="s">
        <v>830</v>
      </c>
      <c r="D444" s="1"/>
      <c r="E444" s="1" t="str">
        <f t="shared" ref="E444" si="29">HYPERLINK("https://www.kegg.jp/dbget-bin/www_bget?ec:" &amp; C444, "https://www.kegg.jp/dbget-bin/www_bget?ec:" &amp; C444)</f>
        <v>https://www.kegg.jp/dbget-bin/www_bget?ec:2.4.2.8</v>
      </c>
      <c r="F444" t="s">
        <v>9405</v>
      </c>
      <c r="G444" s="10" t="s">
        <v>9412</v>
      </c>
      <c r="H444" s="13" t="s">
        <v>9413</v>
      </c>
    </row>
    <row r="445" spans="1:8">
      <c r="A445" t="s">
        <v>828</v>
      </c>
      <c r="B445" t="s">
        <v>829</v>
      </c>
      <c r="C445" s="1" t="s">
        <v>830</v>
      </c>
      <c r="D445" s="1"/>
      <c r="E445" s="1" t="str">
        <f t="shared" ref="E445" si="30">HYPERLINK("https://www.kegg.jp/dbget-bin/www_bget?ec:" &amp; C445, "https://www.kegg.jp/dbget-bin/www_bget?ec:" &amp; C445)</f>
        <v>https://www.kegg.jp/dbget-bin/www_bget?ec:2.4.2.8</v>
      </c>
      <c r="F445" t="s">
        <v>9405</v>
      </c>
      <c r="G445" s="10" t="s">
        <v>9414</v>
      </c>
      <c r="H445" s="13" t="s">
        <v>9415</v>
      </c>
    </row>
    <row r="446" spans="1:8">
      <c r="A446" t="s">
        <v>828</v>
      </c>
      <c r="B446" t="s">
        <v>829</v>
      </c>
      <c r="C446" s="1" t="s">
        <v>830</v>
      </c>
      <c r="D446" s="1"/>
      <c r="E446" s="1" t="str">
        <f t="shared" si="25"/>
        <v>https://www.kegg.jp/dbget-bin/www_bget?ec:2.4.2.8</v>
      </c>
      <c r="F446" t="s">
        <v>9405</v>
      </c>
      <c r="G446" s="10" t="s">
        <v>9416</v>
      </c>
      <c r="H446" s="13" t="s">
        <v>9417</v>
      </c>
    </row>
    <row r="447" spans="1:8">
      <c r="A447" t="s">
        <v>831</v>
      </c>
      <c r="B447" t="s">
        <v>832</v>
      </c>
      <c r="E447" s="1"/>
    </row>
    <row r="448" spans="1:8">
      <c r="B448" t="s">
        <v>833</v>
      </c>
      <c r="E448" s="1"/>
    </row>
    <row r="449" spans="1:8">
      <c r="A449" t="s">
        <v>834</v>
      </c>
      <c r="B449" t="s">
        <v>835</v>
      </c>
      <c r="E449" s="1"/>
    </row>
    <row r="450" spans="1:8">
      <c r="A450" t="s">
        <v>836</v>
      </c>
      <c r="B450" t="s">
        <v>837</v>
      </c>
      <c r="E450" s="1"/>
    </row>
    <row r="451" spans="1:8">
      <c r="A451" t="s">
        <v>838</v>
      </c>
      <c r="B451" t="s">
        <v>839</v>
      </c>
      <c r="E451" s="1"/>
    </row>
    <row r="452" spans="1:8">
      <c r="A452" t="s">
        <v>840</v>
      </c>
      <c r="B452" t="s">
        <v>841</v>
      </c>
      <c r="E452" s="1"/>
    </row>
    <row r="453" spans="1:8">
      <c r="A453" t="s">
        <v>842</v>
      </c>
      <c r="B453" t="s">
        <v>843</v>
      </c>
      <c r="E453" s="1"/>
    </row>
    <row r="454" spans="1:8">
      <c r="A454" t="s">
        <v>844</v>
      </c>
      <c r="B454" t="s">
        <v>845</v>
      </c>
      <c r="E454" s="1"/>
    </row>
    <row r="455" spans="1:8">
      <c r="A455" t="s">
        <v>846</v>
      </c>
      <c r="B455" t="s">
        <v>847</v>
      </c>
      <c r="E455" s="1"/>
    </row>
    <row r="456" spans="1:8">
      <c r="A456" t="s">
        <v>848</v>
      </c>
      <c r="B456" t="s">
        <v>849</v>
      </c>
      <c r="E456" s="1"/>
    </row>
    <row r="457" spans="1:8">
      <c r="A457" t="s">
        <v>850</v>
      </c>
      <c r="B457" t="s">
        <v>851</v>
      </c>
      <c r="E457" s="1"/>
    </row>
    <row r="458" spans="1:8">
      <c r="A458" t="s">
        <v>852</v>
      </c>
      <c r="B458" t="s">
        <v>853</v>
      </c>
      <c r="E458" s="1"/>
    </row>
    <row r="459" spans="1:8">
      <c r="A459" t="s">
        <v>854</v>
      </c>
      <c r="B459" t="s">
        <v>855</v>
      </c>
      <c r="E459" s="1"/>
    </row>
    <row r="460" spans="1:8">
      <c r="A460" t="s">
        <v>856</v>
      </c>
      <c r="B460" t="s">
        <v>857</v>
      </c>
      <c r="E460" s="1"/>
    </row>
    <row r="461" spans="1:8">
      <c r="A461" t="s">
        <v>858</v>
      </c>
      <c r="B461" t="s">
        <v>859</v>
      </c>
      <c r="C461" s="1" t="s">
        <v>860</v>
      </c>
      <c r="D461" s="1"/>
      <c r="E461" s="1" t="str">
        <f>HYPERLINK("https://www.kegg.jp/dbget-bin/www_bget?ec:" &amp; C461, "https://www.kegg.jp/dbget-bin/www_bget?ec:" &amp; C461)</f>
        <v>https://www.kegg.jp/dbget-bin/www_bget?ec:2.8.1.6</v>
      </c>
      <c r="F461" t="s">
        <v>9420</v>
      </c>
      <c r="G461" s="10" t="s">
        <v>9418</v>
      </c>
      <c r="H461" s="13" t="s">
        <v>9419</v>
      </c>
    </row>
    <row r="462" spans="1:8">
      <c r="A462" t="s">
        <v>861</v>
      </c>
      <c r="B462" t="s">
        <v>862</v>
      </c>
      <c r="C462" s="1" t="s">
        <v>863</v>
      </c>
      <c r="D462" s="1"/>
      <c r="E462" s="1" t="str">
        <f t="shared" si="25"/>
        <v>https://www.kegg.jp/dbget-bin/www_bget?ec:2.6.1.62</v>
      </c>
      <c r="F462" t="s">
        <v>9421</v>
      </c>
      <c r="G462" s="10" t="s">
        <v>9422</v>
      </c>
      <c r="H462" s="13" t="s">
        <v>9423</v>
      </c>
    </row>
    <row r="463" spans="1:8">
      <c r="A463" t="s">
        <v>864</v>
      </c>
      <c r="B463" t="s">
        <v>865</v>
      </c>
      <c r="E463" s="1"/>
    </row>
    <row r="464" spans="1:8">
      <c r="A464" t="s">
        <v>866</v>
      </c>
      <c r="B464" t="s">
        <v>867</v>
      </c>
      <c r="E464" s="1"/>
    </row>
    <row r="465" spans="1:8">
      <c r="A465" t="s">
        <v>868</v>
      </c>
      <c r="B465" t="s">
        <v>869</v>
      </c>
      <c r="C465" s="1" t="s">
        <v>870</v>
      </c>
      <c r="D465" s="1"/>
      <c r="E465" s="1" t="str">
        <f t="shared" si="25"/>
        <v>https://www.kegg.jp/dbget-bin/www_bget?ec:2.1.1.197</v>
      </c>
      <c r="F465" t="s">
        <v>9424</v>
      </c>
      <c r="G465" s="10" t="s">
        <v>9425</v>
      </c>
      <c r="H465" s="13" t="s">
        <v>9426</v>
      </c>
    </row>
    <row r="466" spans="1:8">
      <c r="A466" t="s">
        <v>871</v>
      </c>
      <c r="B466" t="s">
        <v>872</v>
      </c>
      <c r="C466" s="1" t="s">
        <v>873</v>
      </c>
      <c r="D466" s="1"/>
      <c r="E466" s="1" t="str">
        <f t="shared" ref="E466:E467" si="31">HYPERLINK("https://www.kegg.jp/dbget-bin/www_bget?ec:" &amp; C466, "https://www.kegg.jp/dbget-bin/www_bget?ec:" &amp; C466)</f>
        <v>https://www.kegg.jp/dbget-bin/www_bget?ec:6.3.3.3</v>
      </c>
      <c r="F466" s="1" t="s">
        <v>9427</v>
      </c>
      <c r="G466" s="10" t="s">
        <v>9428</v>
      </c>
      <c r="H466" s="13" t="s">
        <v>9429</v>
      </c>
    </row>
    <row r="467" spans="1:8">
      <c r="A467" t="s">
        <v>871</v>
      </c>
      <c r="B467" t="s">
        <v>872</v>
      </c>
      <c r="C467" s="1" t="s">
        <v>873</v>
      </c>
      <c r="D467" s="1"/>
      <c r="E467" s="1" t="str">
        <f t="shared" si="31"/>
        <v>https://www.kegg.jp/dbget-bin/www_bget?ec:6.3.3.3</v>
      </c>
      <c r="F467" s="1" t="s">
        <v>9427</v>
      </c>
      <c r="G467" s="10" t="s">
        <v>9430</v>
      </c>
      <c r="H467" s="13" t="s">
        <v>9431</v>
      </c>
    </row>
    <row r="468" spans="1:8">
      <c r="A468" t="s">
        <v>871</v>
      </c>
      <c r="B468" t="s">
        <v>872</v>
      </c>
      <c r="C468" s="1" t="s">
        <v>873</v>
      </c>
      <c r="D468" s="1"/>
      <c r="E468" s="1" t="str">
        <f t="shared" si="25"/>
        <v>https://www.kegg.jp/dbget-bin/www_bget?ec:6.3.3.3</v>
      </c>
      <c r="F468" s="1" t="s">
        <v>9427</v>
      </c>
      <c r="G468" s="10" t="s">
        <v>9432</v>
      </c>
      <c r="H468" s="13" t="s">
        <v>9433</v>
      </c>
    </row>
    <row r="469" spans="1:8">
      <c r="A469" t="s">
        <v>874</v>
      </c>
      <c r="B469" t="s">
        <v>875</v>
      </c>
      <c r="E469" s="1"/>
    </row>
    <row r="470" spans="1:8">
      <c r="A470" t="s">
        <v>876</v>
      </c>
      <c r="B470" t="s">
        <v>877</v>
      </c>
      <c r="E470" s="1"/>
    </row>
    <row r="471" spans="1:8">
      <c r="A471" t="s">
        <v>878</v>
      </c>
      <c r="B471" t="s">
        <v>879</v>
      </c>
      <c r="E471" s="1"/>
    </row>
    <row r="472" spans="1:8">
      <c r="A472" t="s">
        <v>880</v>
      </c>
      <c r="B472" t="s">
        <v>881</v>
      </c>
      <c r="E472" s="1"/>
    </row>
    <row r="473" spans="1:8">
      <c r="A473" t="s">
        <v>882</v>
      </c>
      <c r="B473" t="s">
        <v>883</v>
      </c>
      <c r="E473" s="1"/>
    </row>
    <row r="474" spans="1:8">
      <c r="A474" t="s">
        <v>884</v>
      </c>
      <c r="B474" t="s">
        <v>885</v>
      </c>
      <c r="E474" s="1"/>
    </row>
    <row r="475" spans="1:8">
      <c r="A475" t="s">
        <v>886</v>
      </c>
      <c r="B475" t="s">
        <v>887</v>
      </c>
      <c r="E475" s="1"/>
    </row>
    <row r="476" spans="1:8">
      <c r="A476" t="s">
        <v>888</v>
      </c>
      <c r="B476" t="s">
        <v>889</v>
      </c>
      <c r="E476" s="1"/>
    </row>
    <row r="477" spans="1:8">
      <c r="A477" t="s">
        <v>890</v>
      </c>
      <c r="B477" t="s">
        <v>891</v>
      </c>
      <c r="E477" s="1"/>
    </row>
    <row r="478" spans="1:8">
      <c r="A478" t="s">
        <v>892</v>
      </c>
      <c r="B478" t="s">
        <v>893</v>
      </c>
      <c r="E478" s="1"/>
    </row>
    <row r="479" spans="1:8">
      <c r="A479" t="s">
        <v>894</v>
      </c>
      <c r="B479" t="s">
        <v>895</v>
      </c>
      <c r="E479" s="1"/>
    </row>
    <row r="480" spans="1:8">
      <c r="A480" t="s">
        <v>896</v>
      </c>
      <c r="B480" t="s">
        <v>897</v>
      </c>
      <c r="E480" s="1"/>
    </row>
    <row r="481" spans="1:8">
      <c r="A481" t="s">
        <v>898</v>
      </c>
      <c r="B481" t="s">
        <v>899</v>
      </c>
      <c r="E481" s="1"/>
    </row>
    <row r="482" spans="1:8">
      <c r="A482" t="s">
        <v>900</v>
      </c>
      <c r="B482" t="s">
        <v>901</v>
      </c>
      <c r="E482" s="1"/>
    </row>
    <row r="483" spans="1:8">
      <c r="A483" t="s">
        <v>902</v>
      </c>
      <c r="B483" t="s">
        <v>903</v>
      </c>
      <c r="E483" s="1"/>
    </row>
    <row r="484" spans="1:8">
      <c r="A484" t="s">
        <v>904</v>
      </c>
      <c r="B484" t="s">
        <v>905</v>
      </c>
      <c r="E484" s="1"/>
    </row>
    <row r="485" spans="1:8">
      <c r="A485" t="s">
        <v>906</v>
      </c>
      <c r="B485" t="s">
        <v>907</v>
      </c>
      <c r="E485" s="1"/>
    </row>
    <row r="486" spans="1:8">
      <c r="A486" t="s">
        <v>908</v>
      </c>
      <c r="B486" t="s">
        <v>909</v>
      </c>
      <c r="C486" s="1" t="s">
        <v>910</v>
      </c>
      <c r="D486" s="1"/>
      <c r="E486" s="1" t="str">
        <f t="shared" si="25"/>
        <v>https://www.kegg.jp/dbget-bin/www_bget?ec:5.4.99.12</v>
      </c>
      <c r="F486" t="s">
        <v>9434</v>
      </c>
      <c r="G486" s="1" t="s">
        <v>9435</v>
      </c>
      <c r="H486" s="1" t="s">
        <v>9436</v>
      </c>
    </row>
    <row r="487" spans="1:8">
      <c r="A487" t="s">
        <v>911</v>
      </c>
      <c r="B487" t="s">
        <v>912</v>
      </c>
      <c r="E487" s="1"/>
    </row>
    <row r="488" spans="1:8">
      <c r="A488" t="s">
        <v>913</v>
      </c>
      <c r="B488" t="s">
        <v>914</v>
      </c>
      <c r="E488" s="1"/>
    </row>
    <row r="489" spans="1:8">
      <c r="A489" t="s">
        <v>915</v>
      </c>
      <c r="B489" t="s">
        <v>916</v>
      </c>
      <c r="E489" s="1"/>
    </row>
    <row r="490" spans="1:8">
      <c r="A490" t="s">
        <v>917</v>
      </c>
      <c r="B490" t="s">
        <v>918</v>
      </c>
      <c r="E490" s="1"/>
    </row>
    <row r="491" spans="1:8">
      <c r="A491" t="s">
        <v>919</v>
      </c>
      <c r="B491" t="s">
        <v>920</v>
      </c>
      <c r="E491" s="1"/>
    </row>
    <row r="492" spans="1:8">
      <c r="A492" t="s">
        <v>921</v>
      </c>
      <c r="B492" t="s">
        <v>922</v>
      </c>
      <c r="E492" s="1"/>
    </row>
    <row r="493" spans="1:8">
      <c r="A493" t="s">
        <v>923</v>
      </c>
      <c r="B493" t="s">
        <v>924</v>
      </c>
      <c r="E493" s="1"/>
    </row>
    <row r="494" spans="1:8">
      <c r="A494" t="s">
        <v>925</v>
      </c>
      <c r="B494" t="s">
        <v>926</v>
      </c>
      <c r="E494" s="1"/>
    </row>
    <row r="495" spans="1:8">
      <c r="A495" t="s">
        <v>927</v>
      </c>
      <c r="B495" t="s">
        <v>928</v>
      </c>
      <c r="E495" s="1"/>
    </row>
    <row r="496" spans="1:8">
      <c r="A496" t="s">
        <v>929</v>
      </c>
      <c r="B496" t="s">
        <v>930</v>
      </c>
      <c r="E496" s="1"/>
    </row>
    <row r="497" spans="1:5">
      <c r="A497" t="s">
        <v>931</v>
      </c>
      <c r="B497" t="s">
        <v>932</v>
      </c>
      <c r="E497" s="1"/>
    </row>
    <row r="498" spans="1:5">
      <c r="A498" t="s">
        <v>933</v>
      </c>
      <c r="B498" t="s">
        <v>934</v>
      </c>
      <c r="E498" s="1"/>
    </row>
    <row r="499" spans="1:5">
      <c r="A499" t="s">
        <v>935</v>
      </c>
      <c r="B499" t="s">
        <v>936</v>
      </c>
      <c r="E499" s="1"/>
    </row>
    <row r="500" spans="1:5">
      <c r="A500" t="s">
        <v>937</v>
      </c>
      <c r="B500" t="s">
        <v>938</v>
      </c>
      <c r="E500" s="1"/>
    </row>
    <row r="501" spans="1:5">
      <c r="A501" t="s">
        <v>939</v>
      </c>
      <c r="B501" t="s">
        <v>940</v>
      </c>
      <c r="E501" s="1"/>
    </row>
    <row r="502" spans="1:5">
      <c r="A502" t="s">
        <v>941</v>
      </c>
      <c r="B502" t="s">
        <v>942</v>
      </c>
      <c r="E502" s="1"/>
    </row>
    <row r="503" spans="1:5">
      <c r="A503" t="s">
        <v>943</v>
      </c>
      <c r="B503" t="s">
        <v>944</v>
      </c>
      <c r="E503" s="1"/>
    </row>
    <row r="504" spans="1:5">
      <c r="A504" t="s">
        <v>945</v>
      </c>
      <c r="B504" t="s">
        <v>946</v>
      </c>
      <c r="E504" s="1"/>
    </row>
    <row r="505" spans="1:5">
      <c r="A505" t="s">
        <v>947</v>
      </c>
      <c r="B505" t="s">
        <v>948</v>
      </c>
      <c r="E505" s="1"/>
    </row>
    <row r="506" spans="1:5">
      <c r="A506" t="s">
        <v>949</v>
      </c>
      <c r="B506" t="s">
        <v>950</v>
      </c>
      <c r="E506" s="1"/>
    </row>
    <row r="507" spans="1:5">
      <c r="A507" t="s">
        <v>951</v>
      </c>
      <c r="B507" t="s">
        <v>952</v>
      </c>
      <c r="E507" s="1"/>
    </row>
    <row r="508" spans="1:5">
      <c r="A508" t="s">
        <v>953</v>
      </c>
      <c r="B508" t="s">
        <v>954</v>
      </c>
      <c r="E508" s="1"/>
    </row>
    <row r="509" spans="1:5">
      <c r="A509" t="s">
        <v>955</v>
      </c>
      <c r="B509" t="s">
        <v>956</v>
      </c>
      <c r="E509" s="1"/>
    </row>
    <row r="510" spans="1:5">
      <c r="A510" t="s">
        <v>957</v>
      </c>
      <c r="B510" t="s">
        <v>958</v>
      </c>
      <c r="E510" s="1"/>
    </row>
    <row r="511" spans="1:5">
      <c r="A511" t="s">
        <v>959</v>
      </c>
      <c r="B511" t="s">
        <v>960</v>
      </c>
      <c r="E511" s="1"/>
    </row>
    <row r="512" spans="1:5">
      <c r="A512" t="s">
        <v>961</v>
      </c>
      <c r="B512" t="s">
        <v>962</v>
      </c>
      <c r="E512" s="1"/>
    </row>
    <row r="513" spans="1:8">
      <c r="A513" t="s">
        <v>963</v>
      </c>
      <c r="B513" t="s">
        <v>964</v>
      </c>
      <c r="E513" s="1"/>
    </row>
    <row r="514" spans="1:8">
      <c r="A514" t="s">
        <v>965</v>
      </c>
      <c r="B514" t="s">
        <v>966</v>
      </c>
      <c r="E514" s="1"/>
    </row>
    <row r="515" spans="1:8">
      <c r="A515" t="s">
        <v>967</v>
      </c>
      <c r="B515" t="s">
        <v>968</v>
      </c>
      <c r="E515" s="1"/>
    </row>
    <row r="516" spans="1:8">
      <c r="A516" t="s">
        <v>969</v>
      </c>
      <c r="B516" t="s">
        <v>970</v>
      </c>
      <c r="E516" s="1"/>
    </row>
    <row r="517" spans="1:8">
      <c r="A517" t="s">
        <v>971</v>
      </c>
      <c r="B517" t="s">
        <v>972</v>
      </c>
      <c r="E517" s="1"/>
    </row>
    <row r="518" spans="1:8">
      <c r="A518" t="s">
        <v>973</v>
      </c>
      <c r="B518" t="s">
        <v>974</v>
      </c>
      <c r="E518" s="1"/>
    </row>
    <row r="519" spans="1:8">
      <c r="A519" t="s">
        <v>975</v>
      </c>
      <c r="B519" t="s">
        <v>976</v>
      </c>
      <c r="E519" s="1"/>
    </row>
    <row r="520" spans="1:8">
      <c r="A520" t="s">
        <v>977</v>
      </c>
      <c r="B520" t="s">
        <v>978</v>
      </c>
      <c r="E520" s="1"/>
    </row>
    <row r="521" spans="1:8">
      <c r="A521" t="s">
        <v>979</v>
      </c>
      <c r="B521" t="s">
        <v>980</v>
      </c>
      <c r="E521" s="1"/>
    </row>
    <row r="522" spans="1:8">
      <c r="A522" t="s">
        <v>981</v>
      </c>
      <c r="B522" t="s">
        <v>982</v>
      </c>
      <c r="E522" s="1"/>
    </row>
    <row r="523" spans="1:8">
      <c r="A523" t="s">
        <v>983</v>
      </c>
      <c r="B523" t="s">
        <v>984</v>
      </c>
      <c r="E523" s="1"/>
    </row>
    <row r="524" spans="1:8">
      <c r="A524" t="s">
        <v>985</v>
      </c>
      <c r="B524" t="s">
        <v>986</v>
      </c>
      <c r="E524" s="1"/>
    </row>
    <row r="525" spans="1:8" ht="18" customHeight="1">
      <c r="A525" t="s">
        <v>987</v>
      </c>
      <c r="B525" t="s">
        <v>988</v>
      </c>
      <c r="E525" s="1"/>
    </row>
    <row r="526" spans="1:8">
      <c r="A526" t="s">
        <v>989</v>
      </c>
      <c r="B526" t="s">
        <v>990</v>
      </c>
      <c r="C526" s="1" t="s">
        <v>991</v>
      </c>
      <c r="D526" s="1"/>
      <c r="E526" s="1" t="str">
        <f>HYPERLINK("https://www.kegg.jp/dbget-bin/www_bget?ec:" &amp; C526, "https://www.kegg.jp/dbget-bin/www_bget?ec:" &amp; C526)</f>
        <v>https://www.kegg.jp/dbget-bin/www_bget?ec:4.3.1.19</v>
      </c>
      <c r="F526" s="1" t="s">
        <v>9437</v>
      </c>
      <c r="G526" s="10" t="s">
        <v>9438</v>
      </c>
      <c r="H526" s="13" t="s">
        <v>9439</v>
      </c>
    </row>
    <row r="527" spans="1:8">
      <c r="A527" t="s">
        <v>989</v>
      </c>
      <c r="B527" t="s">
        <v>990</v>
      </c>
      <c r="C527" s="1" t="s">
        <v>991</v>
      </c>
      <c r="D527" s="1"/>
      <c r="E527" s="1" t="str">
        <f>HYPERLINK("https://www.kegg.jp/dbget-bin/www_bget?ec:" &amp; C527, "https://www.kegg.jp/dbget-bin/www_bget?ec:" &amp; C527)</f>
        <v>https://www.kegg.jp/dbget-bin/www_bget?ec:4.3.1.19</v>
      </c>
      <c r="F527" t="s">
        <v>9437</v>
      </c>
      <c r="G527" s="10" t="s">
        <v>9440</v>
      </c>
      <c r="H527" s="13" t="s">
        <v>9441</v>
      </c>
    </row>
    <row r="528" spans="1:8">
      <c r="A528" t="s">
        <v>989</v>
      </c>
      <c r="B528" t="s">
        <v>990</v>
      </c>
      <c r="C528" s="1" t="s">
        <v>991</v>
      </c>
      <c r="D528" s="1"/>
      <c r="E528" s="1" t="str">
        <f>HYPERLINK("https://www.kegg.jp/dbget-bin/www_bget?ec:" &amp; C528, "https://www.kegg.jp/dbget-bin/www_bget?ec:" &amp; C528)</f>
        <v>https://www.kegg.jp/dbget-bin/www_bget?ec:4.3.1.19</v>
      </c>
      <c r="F528" t="s">
        <v>9437</v>
      </c>
      <c r="G528" s="10" t="s">
        <v>9442</v>
      </c>
      <c r="H528" s="1" t="s">
        <v>9443</v>
      </c>
    </row>
    <row r="529" spans="1:8">
      <c r="A529" t="s">
        <v>989</v>
      </c>
      <c r="B529" t="s">
        <v>990</v>
      </c>
      <c r="C529" s="1" t="s">
        <v>991</v>
      </c>
      <c r="D529" s="1"/>
      <c r="E529" s="1" t="str">
        <f>HYPERLINK("https://www.kegg.jp/dbget-bin/www_bget?ec:" &amp; C529, "https://www.kegg.jp/dbget-bin/www_bget?ec:" &amp; C529)</f>
        <v>https://www.kegg.jp/dbget-bin/www_bget?ec:4.3.1.19</v>
      </c>
      <c r="F529" t="s">
        <v>9437</v>
      </c>
      <c r="G529" s="10" t="s">
        <v>9444</v>
      </c>
      <c r="H529" s="13" t="s">
        <v>9445</v>
      </c>
    </row>
    <row r="530" spans="1:8">
      <c r="A530" t="s">
        <v>989</v>
      </c>
      <c r="B530" t="s">
        <v>990</v>
      </c>
      <c r="C530" s="1" t="s">
        <v>991</v>
      </c>
      <c r="D530" s="1"/>
      <c r="E530" s="1" t="str">
        <f>HYPERLINK("https://www.kegg.jp/dbget-bin/www_bget?ec:" &amp; C530, "https://www.kegg.jp/dbget-bin/www_bget?ec:" &amp; C530)</f>
        <v>https://www.kegg.jp/dbget-bin/www_bget?ec:4.3.1.19</v>
      </c>
      <c r="F530" t="s">
        <v>9437</v>
      </c>
      <c r="G530" s="1" t="s">
        <v>9446</v>
      </c>
      <c r="H530" s="13" t="s">
        <v>9447</v>
      </c>
    </row>
    <row r="531" spans="1:8">
      <c r="A531" t="s">
        <v>992</v>
      </c>
      <c r="B531" t="s">
        <v>993</v>
      </c>
      <c r="E531" s="1"/>
    </row>
    <row r="532" spans="1:8">
      <c r="A532" t="s">
        <v>994</v>
      </c>
      <c r="B532" t="s">
        <v>995</v>
      </c>
      <c r="E532" s="1"/>
    </row>
    <row r="533" spans="1:8">
      <c r="A533" t="s">
        <v>996</v>
      </c>
      <c r="B533" t="s">
        <v>997</v>
      </c>
      <c r="E533" s="1"/>
    </row>
    <row r="534" spans="1:8">
      <c r="A534" t="s">
        <v>998</v>
      </c>
      <c r="B534" t="s">
        <v>999</v>
      </c>
      <c r="E534" s="1"/>
    </row>
    <row r="535" spans="1:8">
      <c r="A535" t="s">
        <v>1000</v>
      </c>
      <c r="B535" t="s">
        <v>1001</v>
      </c>
      <c r="E535" s="1"/>
    </row>
    <row r="536" spans="1:8">
      <c r="A536" t="s">
        <v>1002</v>
      </c>
      <c r="B536" t="s">
        <v>1003</v>
      </c>
      <c r="E536" s="1"/>
    </row>
    <row r="537" spans="1:8">
      <c r="A537" t="s">
        <v>1004</v>
      </c>
      <c r="B537" t="s">
        <v>1005</v>
      </c>
      <c r="E537" s="1"/>
    </row>
    <row r="538" spans="1:8">
      <c r="A538" t="s">
        <v>1006</v>
      </c>
      <c r="B538" t="s">
        <v>1007</v>
      </c>
      <c r="C538" s="1" t="s">
        <v>1008</v>
      </c>
      <c r="D538" s="1"/>
      <c r="E538" s="1" t="str">
        <f t="shared" ref="E538" si="32">HYPERLINK("https://www.kegg.jp/dbget-bin/www_bget?ec:" &amp; C538, "https://www.kegg.jp/dbget-bin/www_bget?ec:" &amp; C538)</f>
        <v>https://www.kegg.jp/dbget-bin/www_bget?ec:6.3.2.6</v>
      </c>
      <c r="F538" t="s">
        <v>9448</v>
      </c>
      <c r="G538" s="10" t="s">
        <v>9449</v>
      </c>
      <c r="H538" s="13" t="s">
        <v>9450</v>
      </c>
    </row>
    <row r="539" spans="1:8">
      <c r="A539" t="s">
        <v>1009</v>
      </c>
      <c r="B539" t="s">
        <v>1010</v>
      </c>
      <c r="E539" s="1"/>
    </row>
    <row r="540" spans="1:8">
      <c r="A540" t="s">
        <v>1011</v>
      </c>
      <c r="B540" t="s">
        <v>1012</v>
      </c>
      <c r="E540" s="1"/>
    </row>
    <row r="541" spans="1:8">
      <c r="A541" t="s">
        <v>1013</v>
      </c>
      <c r="B541" t="s">
        <v>1014</v>
      </c>
      <c r="E541" s="1"/>
    </row>
    <row r="542" spans="1:8">
      <c r="A542" t="s">
        <v>1015</v>
      </c>
      <c r="B542" t="s">
        <v>1016</v>
      </c>
      <c r="E542" s="1"/>
    </row>
    <row r="543" spans="1:8">
      <c r="A543" t="s">
        <v>1017</v>
      </c>
      <c r="B543" t="s">
        <v>1018</v>
      </c>
      <c r="E543" s="1"/>
    </row>
    <row r="544" spans="1:8">
      <c r="A544" t="s">
        <v>1019</v>
      </c>
      <c r="B544" t="s">
        <v>1020</v>
      </c>
      <c r="E544" s="1"/>
    </row>
    <row r="545" spans="1:5">
      <c r="A545" t="s">
        <v>1021</v>
      </c>
      <c r="B545" t="s">
        <v>1022</v>
      </c>
      <c r="E545" s="1"/>
    </row>
    <row r="546" spans="1:5">
      <c r="A546" t="s">
        <v>1023</v>
      </c>
      <c r="B546" t="s">
        <v>1024</v>
      </c>
      <c r="E546" s="1"/>
    </row>
    <row r="547" spans="1:5">
      <c r="A547" t="s">
        <v>1025</v>
      </c>
      <c r="B547" t="s">
        <v>1026</v>
      </c>
      <c r="E547" s="1"/>
    </row>
    <row r="548" spans="1:5">
      <c r="A548" t="s">
        <v>1027</v>
      </c>
      <c r="B548" t="s">
        <v>1028</v>
      </c>
      <c r="E548" s="1"/>
    </row>
    <row r="549" spans="1:5">
      <c r="A549" t="s">
        <v>1029</v>
      </c>
      <c r="B549" t="s">
        <v>1030</v>
      </c>
      <c r="E549" s="1"/>
    </row>
    <row r="550" spans="1:5">
      <c r="A550" t="s">
        <v>1031</v>
      </c>
      <c r="B550" t="s">
        <v>1032</v>
      </c>
      <c r="E550" s="1"/>
    </row>
    <row r="551" spans="1:5">
      <c r="A551" t="s">
        <v>1033</v>
      </c>
      <c r="B551" t="s">
        <v>1034</v>
      </c>
      <c r="E551" s="1"/>
    </row>
    <row r="552" spans="1:5">
      <c r="A552" t="s">
        <v>1035</v>
      </c>
      <c r="B552" t="s">
        <v>1036</v>
      </c>
      <c r="E552" s="1"/>
    </row>
    <row r="553" spans="1:5">
      <c r="A553" t="s">
        <v>1037</v>
      </c>
      <c r="B553" t="s">
        <v>1038</v>
      </c>
      <c r="E553" s="1"/>
    </row>
    <row r="554" spans="1:5">
      <c r="A554" t="s">
        <v>1039</v>
      </c>
      <c r="B554" t="s">
        <v>1040</v>
      </c>
      <c r="E554" s="1"/>
    </row>
    <row r="555" spans="1:5">
      <c r="A555" t="s">
        <v>1041</v>
      </c>
      <c r="B555" t="s">
        <v>1042</v>
      </c>
      <c r="E555" s="1"/>
    </row>
    <row r="556" spans="1:5">
      <c r="A556" t="s">
        <v>1043</v>
      </c>
      <c r="B556" t="s">
        <v>1044</v>
      </c>
      <c r="E556" s="1"/>
    </row>
    <row r="557" spans="1:5">
      <c r="A557" t="s">
        <v>1045</v>
      </c>
      <c r="B557" t="s">
        <v>1046</v>
      </c>
      <c r="E557" s="1"/>
    </row>
    <row r="558" spans="1:5">
      <c r="A558" t="s">
        <v>1047</v>
      </c>
      <c r="B558" t="s">
        <v>1048</v>
      </c>
      <c r="E558" s="1"/>
    </row>
    <row r="559" spans="1:5">
      <c r="A559" t="s">
        <v>1049</v>
      </c>
      <c r="B559" t="s">
        <v>1050</v>
      </c>
      <c r="E559" s="1"/>
    </row>
    <row r="560" spans="1:5">
      <c r="A560" t="s">
        <v>1051</v>
      </c>
      <c r="B560" t="s">
        <v>1052</v>
      </c>
      <c r="E560" s="1"/>
    </row>
    <row r="561" spans="1:9">
      <c r="A561" t="s">
        <v>1053</v>
      </c>
      <c r="B561" t="s">
        <v>1054</v>
      </c>
      <c r="E561" s="1"/>
    </row>
    <row r="562" spans="1:9">
      <c r="A562" t="s">
        <v>1055</v>
      </c>
      <c r="B562" t="s">
        <v>1056</v>
      </c>
      <c r="E562" s="1"/>
    </row>
    <row r="563" spans="1:9">
      <c r="A563" t="s">
        <v>1057</v>
      </c>
      <c r="B563" t="s">
        <v>1058</v>
      </c>
      <c r="E563" s="1"/>
    </row>
    <row r="564" spans="1:9">
      <c r="A564" t="s">
        <v>1059</v>
      </c>
      <c r="B564" t="s">
        <v>1060</v>
      </c>
      <c r="E564" s="1"/>
    </row>
    <row r="565" spans="1:9">
      <c r="B565" t="s">
        <v>1061</v>
      </c>
      <c r="E565" s="1"/>
    </row>
    <row r="566" spans="1:9">
      <c r="B566" t="s">
        <v>1062</v>
      </c>
      <c r="E566" s="1"/>
    </row>
    <row r="567" spans="1:9">
      <c r="A567" t="s">
        <v>1063</v>
      </c>
      <c r="B567" t="s">
        <v>1064</v>
      </c>
      <c r="E567" s="1"/>
    </row>
    <row r="568" spans="1:9">
      <c r="A568" t="s">
        <v>1065</v>
      </c>
      <c r="B568" t="s">
        <v>1066</v>
      </c>
      <c r="C568" s="1" t="s">
        <v>1067</v>
      </c>
      <c r="D568" s="1"/>
      <c r="E568" s="1" t="str">
        <f t="shared" ref="E568:E601" si="33">HYPERLINK("https://www.kegg.jp/dbget-bin/www_bget?ec:" &amp; C568, "https://www.kegg.jp/dbget-bin/www_bget?ec:" &amp; C568)</f>
        <v>https://www.kegg.jp/dbget-bin/www_bget?ec:5.3.1.16</v>
      </c>
      <c r="F568" t="s">
        <v>9451</v>
      </c>
      <c r="G568" s="10" t="s">
        <v>9452</v>
      </c>
      <c r="H568" s="13" t="s">
        <v>9453</v>
      </c>
    </row>
    <row r="569" spans="1:9">
      <c r="A569" t="s">
        <v>1068</v>
      </c>
      <c r="B569" t="s">
        <v>1069</v>
      </c>
      <c r="C569" s="1" t="s">
        <v>1070</v>
      </c>
      <c r="D569" s="1"/>
      <c r="E569" s="1" t="str">
        <f t="shared" si="33"/>
        <v>https://www.kegg.jp/dbget-bin/www_bget?ec:4.1.3.-</v>
      </c>
      <c r="F569" t="s">
        <v>9454</v>
      </c>
    </row>
    <row r="570" spans="1:9">
      <c r="A570" t="s">
        <v>1071</v>
      </c>
      <c r="B570" t="s">
        <v>1072</v>
      </c>
      <c r="C570" s="1" t="s">
        <v>1073</v>
      </c>
      <c r="D570" s="1"/>
      <c r="E570" s="1" t="str">
        <f t="shared" si="33"/>
        <v>https://www.kegg.jp/dbget-bin/www_bget?ec:3.5.4.19</v>
      </c>
      <c r="F570" t="s">
        <v>9455</v>
      </c>
      <c r="G570" s="10" t="s">
        <v>9456</v>
      </c>
      <c r="H570" s="1" t="s">
        <v>9452</v>
      </c>
    </row>
    <row r="571" spans="1:9">
      <c r="A571" t="s">
        <v>1071</v>
      </c>
      <c r="B571" t="s">
        <v>1072</v>
      </c>
      <c r="C571" s="1" t="s">
        <v>1074</v>
      </c>
      <c r="D571" s="1"/>
      <c r="E571" s="1" t="str">
        <f t="shared" si="33"/>
        <v>https://www.kegg.jp/dbget-bin/www_bget?ec:3.6.1.31</v>
      </c>
      <c r="F571" t="s">
        <v>9457</v>
      </c>
      <c r="G571" s="10" t="s">
        <v>9458</v>
      </c>
      <c r="H571" s="13" t="s">
        <v>9459</v>
      </c>
    </row>
    <row r="572" spans="1:9">
      <c r="A572" t="s">
        <v>1075</v>
      </c>
      <c r="B572" t="s">
        <v>1076</v>
      </c>
      <c r="E572" s="1"/>
    </row>
    <row r="573" spans="1:9">
      <c r="A573" t="s">
        <v>1077</v>
      </c>
      <c r="B573" t="s">
        <v>1078</v>
      </c>
      <c r="C573" s="1" t="s">
        <v>1079</v>
      </c>
      <c r="D573" s="1"/>
      <c r="E573" s="1" t="str">
        <f t="shared" si="33"/>
        <v>https://www.kegg.jp/dbget-bin/www_bget?ec:2.7.2.4</v>
      </c>
      <c r="F573" t="s">
        <v>9460</v>
      </c>
      <c r="G573" s="10" t="s">
        <v>9461</v>
      </c>
      <c r="H573" s="13" t="s">
        <v>9462</v>
      </c>
    </row>
    <row r="574" spans="1:9">
      <c r="A574" t="s">
        <v>1080</v>
      </c>
      <c r="B574" t="s">
        <v>1081</v>
      </c>
      <c r="E574" s="1"/>
    </row>
    <row r="575" spans="1:9">
      <c r="A575" t="s">
        <v>1082</v>
      </c>
      <c r="B575" t="s">
        <v>1083</v>
      </c>
      <c r="E575" s="1"/>
    </row>
    <row r="576" spans="1:9">
      <c r="A576" t="s">
        <v>1084</v>
      </c>
      <c r="B576" t="s">
        <v>1085</v>
      </c>
      <c r="E576" s="1"/>
      <c r="G576"/>
      <c r="H576" s="10"/>
      <c r="I576" s="13"/>
    </row>
    <row r="577" spans="1:6">
      <c r="A577" t="s">
        <v>1086</v>
      </c>
      <c r="B577" t="s">
        <v>1087</v>
      </c>
      <c r="E577" s="1"/>
    </row>
    <row r="578" spans="1:6">
      <c r="A578" t="s">
        <v>1088</v>
      </c>
      <c r="B578" t="s">
        <v>1089</v>
      </c>
      <c r="E578" s="1"/>
    </row>
    <row r="579" spans="1:6">
      <c r="A579" t="s">
        <v>1090</v>
      </c>
      <c r="B579" t="s">
        <v>1091</v>
      </c>
      <c r="E579" s="1"/>
    </row>
    <row r="580" spans="1:6">
      <c r="A580" t="s">
        <v>1092</v>
      </c>
      <c r="B580" t="s">
        <v>1093</v>
      </c>
      <c r="E580" s="1"/>
    </row>
    <row r="581" spans="1:6">
      <c r="B581" t="s">
        <v>1094</v>
      </c>
      <c r="E581" s="1"/>
    </row>
    <row r="582" spans="1:6">
      <c r="A582" t="s">
        <v>1095</v>
      </c>
      <c r="B582" t="s">
        <v>1096</v>
      </c>
      <c r="E582" s="1"/>
    </row>
    <row r="583" spans="1:6">
      <c r="A583" t="s">
        <v>1097</v>
      </c>
      <c r="B583" t="s">
        <v>1098</v>
      </c>
      <c r="E583" s="1"/>
    </row>
    <row r="584" spans="1:6">
      <c r="A584" t="s">
        <v>1099</v>
      </c>
      <c r="B584" t="s">
        <v>1100</v>
      </c>
      <c r="E584" s="1"/>
    </row>
    <row r="585" spans="1:6">
      <c r="A585" t="s">
        <v>1101</v>
      </c>
      <c r="B585" t="s">
        <v>1102</v>
      </c>
      <c r="E585" s="1"/>
    </row>
    <row r="586" spans="1:6">
      <c r="A586" t="s">
        <v>1103</v>
      </c>
      <c r="B586" t="s">
        <v>1104</v>
      </c>
      <c r="E586" s="1"/>
    </row>
    <row r="587" spans="1:6">
      <c r="A587" t="s">
        <v>1105</v>
      </c>
      <c r="B587" t="s">
        <v>1106</v>
      </c>
      <c r="E587" s="1"/>
    </row>
    <row r="588" spans="1:6">
      <c r="A588" t="s">
        <v>1107</v>
      </c>
      <c r="B588" t="s">
        <v>1108</v>
      </c>
      <c r="E588" s="1"/>
    </row>
    <row r="589" spans="1:6">
      <c r="A589" t="s">
        <v>1109</v>
      </c>
      <c r="B589" t="s">
        <v>1110</v>
      </c>
      <c r="E589" s="1"/>
    </row>
    <row r="590" spans="1:6">
      <c r="A590" t="s">
        <v>1111</v>
      </c>
      <c r="B590" t="s">
        <v>1112</v>
      </c>
      <c r="E590" s="1"/>
    </row>
    <row r="591" spans="1:6">
      <c r="A591" t="s">
        <v>1113</v>
      </c>
      <c r="B591" t="s">
        <v>1114</v>
      </c>
      <c r="E591" s="1"/>
    </row>
    <row r="592" spans="1:6">
      <c r="A592" t="s">
        <v>1115</v>
      </c>
      <c r="B592" t="s">
        <v>1116</v>
      </c>
      <c r="C592" s="1" t="s">
        <v>1117</v>
      </c>
      <c r="D592" s="1"/>
      <c r="E592" s="1" t="str">
        <f t="shared" si="33"/>
        <v>https://www.kegg.jp/dbget-bin/www_bget?ec:3.2.2.27</v>
      </c>
      <c r="F592" t="s">
        <v>9463</v>
      </c>
    </row>
    <row r="593" spans="1:8">
      <c r="A593" t="s">
        <v>1118</v>
      </c>
      <c r="B593" t="s">
        <v>1119</v>
      </c>
      <c r="E593" s="1"/>
    </row>
    <row r="594" spans="1:8">
      <c r="A594" t="s">
        <v>1120</v>
      </c>
      <c r="B594" t="s">
        <v>1121</v>
      </c>
      <c r="C594" s="1" t="s">
        <v>1122</v>
      </c>
      <c r="D594" s="1"/>
      <c r="E594" s="1" t="str">
        <f t="shared" si="33"/>
        <v>https://www.kegg.jp/dbget-bin/www_bget?ec:2.1.1.63</v>
      </c>
      <c r="F594" t="s">
        <v>9464</v>
      </c>
      <c r="G594" s="10" t="s">
        <v>9465</v>
      </c>
      <c r="H594" s="13" t="s">
        <v>12875</v>
      </c>
    </row>
    <row r="595" spans="1:8">
      <c r="A595" t="s">
        <v>1123</v>
      </c>
      <c r="B595" t="s">
        <v>1124</v>
      </c>
      <c r="E595" s="1"/>
    </row>
    <row r="596" spans="1:8">
      <c r="A596" t="s">
        <v>1125</v>
      </c>
      <c r="B596" t="s">
        <v>1126</v>
      </c>
      <c r="E596" s="1"/>
    </row>
    <row r="597" spans="1:8">
      <c r="A597" t="s">
        <v>1127</v>
      </c>
      <c r="B597" t="s">
        <v>1128</v>
      </c>
      <c r="E597" s="1"/>
    </row>
    <row r="598" spans="1:8">
      <c r="A598" t="s">
        <v>1129</v>
      </c>
      <c r="B598" t="s">
        <v>1130</v>
      </c>
      <c r="E598" s="1"/>
    </row>
    <row r="599" spans="1:8">
      <c r="A599" t="s">
        <v>1131</v>
      </c>
      <c r="B599" t="s">
        <v>1132</v>
      </c>
      <c r="E599" s="1"/>
    </row>
    <row r="600" spans="1:8">
      <c r="A600" t="s">
        <v>1133</v>
      </c>
      <c r="B600" t="s">
        <v>1134</v>
      </c>
      <c r="E600" s="1"/>
    </row>
    <row r="601" spans="1:8">
      <c r="A601" t="s">
        <v>1135</v>
      </c>
      <c r="B601" t="s">
        <v>1136</v>
      </c>
      <c r="C601" s="1" t="s">
        <v>1137</v>
      </c>
      <c r="D601" s="1"/>
      <c r="E601" s="1" t="str">
        <f t="shared" si="33"/>
        <v>https://www.kegg.jp/dbget-bin/www_bget?ec:1.8.4.12</v>
      </c>
      <c r="F601" t="s">
        <v>9466</v>
      </c>
      <c r="G601" s="10" t="s">
        <v>9467</v>
      </c>
      <c r="H601" s="13" t="s">
        <v>9468</v>
      </c>
    </row>
    <row r="602" spans="1:8">
      <c r="A602" t="s">
        <v>1138</v>
      </c>
      <c r="B602" t="s">
        <v>1139</v>
      </c>
      <c r="E602" s="1"/>
    </row>
    <row r="603" spans="1:8">
      <c r="A603" t="s">
        <v>1140</v>
      </c>
      <c r="B603" t="s">
        <v>1141</v>
      </c>
      <c r="E603" s="1"/>
    </row>
    <row r="604" spans="1:8">
      <c r="A604" t="s">
        <v>1142</v>
      </c>
      <c r="B604" t="s">
        <v>1143</v>
      </c>
      <c r="E604" s="1"/>
    </row>
    <row r="605" spans="1:8">
      <c r="A605" t="s">
        <v>1144</v>
      </c>
      <c r="B605" t="s">
        <v>1145</v>
      </c>
      <c r="E605" s="1"/>
    </row>
    <row r="606" spans="1:8">
      <c r="A606" t="s">
        <v>1146</v>
      </c>
      <c r="B606" t="s">
        <v>1147</v>
      </c>
      <c r="E606" s="1"/>
    </row>
    <row r="607" spans="1:8">
      <c r="A607" t="s">
        <v>1148</v>
      </c>
      <c r="B607" t="s">
        <v>1149</v>
      </c>
      <c r="E607" s="1"/>
    </row>
    <row r="608" spans="1:8">
      <c r="A608" t="s">
        <v>1150</v>
      </c>
      <c r="B608" t="s">
        <v>1151</v>
      </c>
      <c r="E608" s="1"/>
    </row>
    <row r="609" spans="1:8">
      <c r="A609" t="s">
        <v>1152</v>
      </c>
      <c r="B609" t="s">
        <v>1153</v>
      </c>
      <c r="E609" s="1"/>
    </row>
    <row r="610" spans="1:8">
      <c r="A610" t="s">
        <v>1154</v>
      </c>
      <c r="B610" t="s">
        <v>1155</v>
      </c>
      <c r="E610" s="1"/>
    </row>
    <row r="611" spans="1:8">
      <c r="A611" t="s">
        <v>1156</v>
      </c>
      <c r="B611" t="s">
        <v>1157</v>
      </c>
      <c r="E611" s="1"/>
    </row>
    <row r="612" spans="1:8">
      <c r="A612" t="s">
        <v>1158</v>
      </c>
      <c r="B612" t="s">
        <v>1159</v>
      </c>
      <c r="E612" s="1"/>
    </row>
    <row r="613" spans="1:8">
      <c r="A613" t="s">
        <v>1160</v>
      </c>
      <c r="B613" t="s">
        <v>1161</v>
      </c>
      <c r="E613" s="1"/>
    </row>
    <row r="614" spans="1:8">
      <c r="A614" t="s">
        <v>1162</v>
      </c>
      <c r="B614" t="s">
        <v>1163</v>
      </c>
      <c r="E614" s="1"/>
    </row>
    <row r="615" spans="1:8">
      <c r="A615" t="s">
        <v>1164</v>
      </c>
      <c r="B615" t="s">
        <v>1165</v>
      </c>
      <c r="E615" s="1"/>
    </row>
    <row r="616" spans="1:8">
      <c r="A616" t="s">
        <v>1166</v>
      </c>
      <c r="B616" t="s">
        <v>1167</v>
      </c>
      <c r="E616" s="1"/>
    </row>
    <row r="617" spans="1:8">
      <c r="A617" t="s">
        <v>1168</v>
      </c>
      <c r="B617" t="s">
        <v>1169</v>
      </c>
      <c r="E617" s="1"/>
    </row>
    <row r="618" spans="1:8">
      <c r="A618" t="s">
        <v>1170</v>
      </c>
      <c r="B618" t="s">
        <v>1171</v>
      </c>
      <c r="E618" s="1"/>
    </row>
    <row r="619" spans="1:8">
      <c r="A619" t="s">
        <v>1172</v>
      </c>
      <c r="B619" t="s">
        <v>1173</v>
      </c>
      <c r="E619" s="1"/>
    </row>
    <row r="620" spans="1:8">
      <c r="A620" t="s">
        <v>1174</v>
      </c>
      <c r="B620" t="s">
        <v>1175</v>
      </c>
      <c r="E620" s="1"/>
    </row>
    <row r="621" spans="1:8">
      <c r="A621" t="s">
        <v>1176</v>
      </c>
      <c r="B621" t="s">
        <v>1177</v>
      </c>
      <c r="E621" s="1"/>
    </row>
    <row r="622" spans="1:8">
      <c r="A622" t="s">
        <v>1178</v>
      </c>
      <c r="B622" t="s">
        <v>1179</v>
      </c>
      <c r="E622" s="1"/>
    </row>
    <row r="623" spans="1:8">
      <c r="A623" t="s">
        <v>1180</v>
      </c>
      <c r="B623" t="s">
        <v>1181</v>
      </c>
      <c r="E623" s="1"/>
    </row>
    <row r="624" spans="1:8">
      <c r="A624" t="s">
        <v>1182</v>
      </c>
      <c r="B624" t="s">
        <v>1183</v>
      </c>
      <c r="C624" s="1" t="s">
        <v>1184</v>
      </c>
      <c r="D624" s="1"/>
      <c r="E624" s="1" t="str">
        <f t="shared" ref="E624" si="34">HYPERLINK("https://www.kegg.jp/dbget-bin/www_bget?ec:" &amp; C624, "https://www.kegg.jp/dbget-bin/www_bget?ec:" &amp; C624)</f>
        <v>https://www.kegg.jp/dbget-bin/www_bget?ec:1.1.1.85</v>
      </c>
      <c r="F624" s="1" t="s">
        <v>9469</v>
      </c>
      <c r="G624" s="10" t="s">
        <v>9470</v>
      </c>
      <c r="H624" s="13" t="s">
        <v>9471</v>
      </c>
    </row>
    <row r="625" spans="1:8">
      <c r="A625" t="s">
        <v>1182</v>
      </c>
      <c r="B625" t="s">
        <v>1183</v>
      </c>
      <c r="C625" s="1" t="s">
        <v>1184</v>
      </c>
      <c r="D625" s="1"/>
      <c r="E625" s="1" t="str">
        <f t="shared" ref="E625" si="35">HYPERLINK("https://www.kegg.jp/dbget-bin/www_bget?ec:" &amp; C625, "https://www.kegg.jp/dbget-bin/www_bget?ec:" &amp; C625)</f>
        <v>https://www.kegg.jp/dbget-bin/www_bget?ec:1.1.1.85</v>
      </c>
      <c r="F625" s="1" t="s">
        <v>9469</v>
      </c>
      <c r="G625" s="10" t="s">
        <v>9472</v>
      </c>
      <c r="H625" s="13" t="s">
        <v>9473</v>
      </c>
    </row>
    <row r="626" spans="1:8">
      <c r="A626" t="s">
        <v>1182</v>
      </c>
      <c r="B626" t="s">
        <v>1183</v>
      </c>
      <c r="C626" s="1" t="s">
        <v>1184</v>
      </c>
      <c r="D626" s="1"/>
      <c r="E626" s="1" t="str">
        <f t="shared" ref="E626" si="36">HYPERLINK("https://www.kegg.jp/dbget-bin/www_bget?ec:" &amp; C626, "https://www.kegg.jp/dbget-bin/www_bget?ec:" &amp; C626)</f>
        <v>https://www.kegg.jp/dbget-bin/www_bget?ec:1.1.1.85</v>
      </c>
      <c r="F626" s="1" t="s">
        <v>9469</v>
      </c>
      <c r="G626" s="10" t="s">
        <v>9472</v>
      </c>
      <c r="H626" s="13" t="s">
        <v>9474</v>
      </c>
    </row>
    <row r="627" spans="1:8">
      <c r="A627" t="s">
        <v>1182</v>
      </c>
      <c r="B627" t="s">
        <v>1183</v>
      </c>
      <c r="C627" s="1" t="s">
        <v>1184</v>
      </c>
      <c r="D627" s="1"/>
      <c r="E627" s="1" t="str">
        <f t="shared" ref="E627" si="37">HYPERLINK("https://www.kegg.jp/dbget-bin/www_bget?ec:" &amp; C627, "https://www.kegg.jp/dbget-bin/www_bget?ec:" &amp; C627)</f>
        <v>https://www.kegg.jp/dbget-bin/www_bget?ec:1.1.1.85</v>
      </c>
      <c r="F627" s="1" t="s">
        <v>9469</v>
      </c>
      <c r="G627" s="10" t="s">
        <v>9475</v>
      </c>
      <c r="H627" s="13" t="s">
        <v>9476</v>
      </c>
    </row>
    <row r="628" spans="1:8">
      <c r="A628" t="s">
        <v>1185</v>
      </c>
      <c r="B628" t="s">
        <v>1186</v>
      </c>
      <c r="C628" s="1" t="s">
        <v>1187</v>
      </c>
      <c r="D628" s="1"/>
      <c r="E628" s="1" t="str">
        <f t="shared" ref="E628:E710" si="38">HYPERLINK("https://www.kegg.jp/dbget-bin/www_bget?ec:" &amp; C628, "https://www.kegg.jp/dbget-bin/www_bget?ec:" &amp; C628)</f>
        <v>https://www.kegg.jp/dbget-bin/www_bget?ec:4.2.3.3</v>
      </c>
      <c r="F628" s="1" t="s">
        <v>9477</v>
      </c>
      <c r="G628" s="1" t="s">
        <v>9478</v>
      </c>
      <c r="H628" s="13" t="s">
        <v>9479</v>
      </c>
    </row>
    <row r="629" spans="1:8">
      <c r="A629" t="s">
        <v>1188</v>
      </c>
      <c r="B629" t="s">
        <v>1189</v>
      </c>
      <c r="E629" s="1"/>
    </row>
    <row r="630" spans="1:8">
      <c r="A630" t="s">
        <v>1190</v>
      </c>
      <c r="B630" t="s">
        <v>1191</v>
      </c>
      <c r="C630" s="1" t="s">
        <v>1192</v>
      </c>
      <c r="D630" s="1"/>
      <c r="E630" s="1" t="str">
        <f t="shared" ref="E630" si="39">HYPERLINK("https://www.kegg.jp/dbget-bin/www_bget?ec:" &amp; C630, "https://www.kegg.jp/dbget-bin/www_bget?ec:" &amp; C630)</f>
        <v>https://www.kegg.jp/dbget-bin/www_bget?ec:4.2.1.33</v>
      </c>
      <c r="F630" t="s">
        <v>9480</v>
      </c>
      <c r="G630" s="21" t="s">
        <v>9481</v>
      </c>
      <c r="H630" s="13" t="s">
        <v>9482</v>
      </c>
    </row>
    <row r="631" spans="1:8">
      <c r="A631" t="s">
        <v>1190</v>
      </c>
      <c r="B631" t="s">
        <v>1191</v>
      </c>
      <c r="C631" s="1" t="s">
        <v>1192</v>
      </c>
      <c r="D631" s="1"/>
      <c r="E631" s="1" t="str">
        <f t="shared" ref="E631" si="40">HYPERLINK("https://www.kegg.jp/dbget-bin/www_bget?ec:" &amp; C631, "https://www.kegg.jp/dbget-bin/www_bget?ec:" &amp; C631)</f>
        <v>https://www.kegg.jp/dbget-bin/www_bget?ec:4.2.1.33</v>
      </c>
      <c r="F631" t="s">
        <v>9480</v>
      </c>
      <c r="G631" s="10" t="s">
        <v>9483</v>
      </c>
      <c r="H631" s="13" t="s">
        <v>9482</v>
      </c>
    </row>
    <row r="632" spans="1:8">
      <c r="A632" t="s">
        <v>1190</v>
      </c>
      <c r="B632" t="s">
        <v>1191</v>
      </c>
      <c r="C632" s="1" t="s">
        <v>1192</v>
      </c>
      <c r="D632" s="1"/>
      <c r="E632" s="1" t="str">
        <f t="shared" si="38"/>
        <v>https://www.kegg.jp/dbget-bin/www_bget?ec:4.2.1.33</v>
      </c>
      <c r="F632" t="s">
        <v>9480</v>
      </c>
      <c r="G632" s="10" t="s">
        <v>9484</v>
      </c>
      <c r="H632" s="13" t="s">
        <v>9481</v>
      </c>
    </row>
    <row r="633" spans="1:8">
      <c r="A633" t="s">
        <v>1193</v>
      </c>
      <c r="B633" t="s">
        <v>1194</v>
      </c>
      <c r="C633" s="1" t="s">
        <v>1192</v>
      </c>
      <c r="D633" s="1"/>
      <c r="E633" s="1" t="str">
        <f t="shared" ref="E633" si="41">HYPERLINK("https://www.kegg.jp/dbget-bin/www_bget?ec:" &amp; C633, "https://www.kegg.jp/dbget-bin/www_bget?ec:" &amp; C633)</f>
        <v>https://www.kegg.jp/dbget-bin/www_bget?ec:4.2.1.33</v>
      </c>
      <c r="F633" t="s">
        <v>9480</v>
      </c>
      <c r="G633" s="21" t="s">
        <v>9481</v>
      </c>
      <c r="H633" s="13" t="s">
        <v>9482</v>
      </c>
    </row>
    <row r="634" spans="1:8">
      <c r="A634" t="s">
        <v>1193</v>
      </c>
      <c r="B634" t="s">
        <v>1194</v>
      </c>
      <c r="C634" s="1" t="s">
        <v>1192</v>
      </c>
      <c r="D634" s="1"/>
      <c r="E634" s="1" t="str">
        <f t="shared" ref="E634" si="42">HYPERLINK("https://www.kegg.jp/dbget-bin/www_bget?ec:" &amp; C634, "https://www.kegg.jp/dbget-bin/www_bget?ec:" &amp; C634)</f>
        <v>https://www.kegg.jp/dbget-bin/www_bget?ec:4.2.1.33</v>
      </c>
      <c r="F634" t="s">
        <v>9480</v>
      </c>
      <c r="G634" s="10" t="s">
        <v>9483</v>
      </c>
      <c r="H634" s="13" t="s">
        <v>9482</v>
      </c>
    </row>
    <row r="635" spans="1:8">
      <c r="A635" t="s">
        <v>1193</v>
      </c>
      <c r="B635" t="s">
        <v>1194</v>
      </c>
      <c r="C635" s="1" t="s">
        <v>1192</v>
      </c>
      <c r="D635" s="1"/>
      <c r="E635" s="1" t="str">
        <f t="shared" si="38"/>
        <v>https://www.kegg.jp/dbget-bin/www_bget?ec:4.2.1.33</v>
      </c>
      <c r="F635" t="s">
        <v>9480</v>
      </c>
      <c r="G635" s="10" t="s">
        <v>9484</v>
      </c>
      <c r="H635" s="13" t="s">
        <v>9481</v>
      </c>
    </row>
    <row r="636" spans="1:8">
      <c r="A636" t="s">
        <v>1195</v>
      </c>
      <c r="B636" t="s">
        <v>1196</v>
      </c>
      <c r="C636" s="1" t="s">
        <v>1197</v>
      </c>
      <c r="D636" s="1"/>
      <c r="E636" s="1" t="str">
        <f t="shared" si="38"/>
        <v>https://www.kegg.jp/dbget-bin/www_bget?ec:2.3.3.13</v>
      </c>
      <c r="F636" t="s">
        <v>9485</v>
      </c>
      <c r="G636" s="10" t="s">
        <v>9486</v>
      </c>
      <c r="H636" s="13" t="s">
        <v>9487</v>
      </c>
    </row>
    <row r="637" spans="1:8">
      <c r="A637" t="s">
        <v>1198</v>
      </c>
      <c r="B637" t="s">
        <v>1199</v>
      </c>
      <c r="E637" s="1"/>
    </row>
    <row r="638" spans="1:8">
      <c r="A638" t="s">
        <v>1200</v>
      </c>
      <c r="B638" t="s">
        <v>1201</v>
      </c>
      <c r="E638" s="1"/>
    </row>
    <row r="639" spans="1:8">
      <c r="A639" t="s">
        <v>1202</v>
      </c>
      <c r="B639" t="s">
        <v>1203</v>
      </c>
      <c r="E639" s="1"/>
    </row>
    <row r="640" spans="1:8">
      <c r="A640" t="s">
        <v>1204</v>
      </c>
      <c r="B640" t="s">
        <v>1205</v>
      </c>
      <c r="E640" s="1"/>
    </row>
    <row r="641" spans="1:8">
      <c r="A641" t="s">
        <v>1206</v>
      </c>
      <c r="B641" t="s">
        <v>1207</v>
      </c>
      <c r="E641" s="1"/>
    </row>
    <row r="642" spans="1:8">
      <c r="A642" t="s">
        <v>1208</v>
      </c>
      <c r="B642" t="s">
        <v>1209</v>
      </c>
      <c r="E642" s="1"/>
    </row>
    <row r="643" spans="1:8">
      <c r="A643" t="s">
        <v>1210</v>
      </c>
      <c r="B643" t="s">
        <v>1211</v>
      </c>
      <c r="C643" s="1" t="s">
        <v>1212</v>
      </c>
      <c r="D643" s="1"/>
      <c r="E643" s="1" t="str">
        <f t="shared" si="38"/>
        <v>https://www.kegg.jp/dbget-bin/www_bget?ec:1.1.1.-</v>
      </c>
    </row>
    <row r="644" spans="1:8">
      <c r="A644" t="s">
        <v>1213</v>
      </c>
      <c r="B644" t="s">
        <v>1214</v>
      </c>
      <c r="E644" s="1" t="str">
        <f t="shared" si="38"/>
        <v>https://www.kegg.jp/dbget-bin/www_bget?ec:</v>
      </c>
      <c r="G644" s="21"/>
    </row>
    <row r="645" spans="1:8">
      <c r="A645" t="s">
        <v>1215</v>
      </c>
      <c r="B645" t="s">
        <v>1216</v>
      </c>
      <c r="C645" s="1" t="s">
        <v>1217</v>
      </c>
      <c r="D645" s="1"/>
      <c r="E645" s="1" t="str">
        <f t="shared" ref="E645" si="43">HYPERLINK("https://www.kegg.jp/dbget-bin/www_bget?ec:" &amp; C645, "https://www.kegg.jp/dbget-bin/www_bget?ec:" &amp; C645)</f>
        <v>https://www.kegg.jp/dbget-bin/www_bget?ec:2.2.1.6</v>
      </c>
      <c r="F645" s="1" t="s">
        <v>9488</v>
      </c>
      <c r="G645" s="10" t="s">
        <v>9491</v>
      </c>
      <c r="H645" s="13" t="s">
        <v>9492</v>
      </c>
    </row>
    <row r="646" spans="1:8">
      <c r="A646" t="s">
        <v>1215</v>
      </c>
      <c r="B646" t="s">
        <v>1216</v>
      </c>
      <c r="C646" s="1" t="s">
        <v>1217</v>
      </c>
      <c r="D646" s="1"/>
      <c r="E646" s="1" t="str">
        <f t="shared" ref="E646" si="44">HYPERLINK("https://www.kegg.jp/dbget-bin/www_bget?ec:" &amp; C646, "https://www.kegg.jp/dbget-bin/www_bget?ec:" &amp; C646)</f>
        <v>https://www.kegg.jp/dbget-bin/www_bget?ec:2.2.1.6</v>
      </c>
      <c r="F646" s="1" t="s">
        <v>9488</v>
      </c>
      <c r="G646" s="10" t="s">
        <v>9493</v>
      </c>
      <c r="H646" s="13" t="s">
        <v>9492</v>
      </c>
    </row>
    <row r="647" spans="1:8">
      <c r="A647" t="s">
        <v>1215</v>
      </c>
      <c r="B647" t="s">
        <v>1216</v>
      </c>
      <c r="C647" s="1" t="s">
        <v>1217</v>
      </c>
      <c r="D647" s="1"/>
      <c r="E647" s="1" t="str">
        <f t="shared" ref="E647" si="45">HYPERLINK("https://www.kegg.jp/dbget-bin/www_bget?ec:" &amp; C647, "https://www.kegg.jp/dbget-bin/www_bget?ec:" &amp; C647)</f>
        <v>https://www.kegg.jp/dbget-bin/www_bget?ec:2.2.1.6</v>
      </c>
      <c r="F647" s="1" t="s">
        <v>9488</v>
      </c>
      <c r="G647" s="10" t="s">
        <v>9494</v>
      </c>
      <c r="H647" s="13" t="s">
        <v>9495</v>
      </c>
    </row>
    <row r="648" spans="1:8">
      <c r="A648" t="s">
        <v>1215</v>
      </c>
      <c r="B648" t="s">
        <v>1216</v>
      </c>
      <c r="C648" s="1" t="s">
        <v>1217</v>
      </c>
      <c r="D648" s="1"/>
      <c r="E648" s="1" t="str">
        <f t="shared" ref="E648" si="46">HYPERLINK("https://www.kegg.jp/dbget-bin/www_bget?ec:" &amp; C648, "https://www.kegg.jp/dbget-bin/www_bget?ec:" &amp; C648)</f>
        <v>https://www.kegg.jp/dbget-bin/www_bget?ec:2.2.1.6</v>
      </c>
      <c r="F648" s="1" t="s">
        <v>9488</v>
      </c>
      <c r="G648" s="10" t="s">
        <v>9496</v>
      </c>
      <c r="H648" s="13" t="s">
        <v>9497</v>
      </c>
    </row>
    <row r="649" spans="1:8">
      <c r="A649" t="s">
        <v>1215</v>
      </c>
      <c r="B649" t="s">
        <v>1216</v>
      </c>
      <c r="C649" s="1" t="s">
        <v>1217</v>
      </c>
      <c r="D649" s="1"/>
      <c r="E649" s="1" t="str">
        <f t="shared" ref="E649" si="47">HYPERLINK("https://www.kegg.jp/dbget-bin/www_bget?ec:" &amp; C649, "https://www.kegg.jp/dbget-bin/www_bget?ec:" &amp; C649)</f>
        <v>https://www.kegg.jp/dbget-bin/www_bget?ec:2.2.1.6</v>
      </c>
      <c r="F649" s="1" t="s">
        <v>9488</v>
      </c>
      <c r="G649" s="10" t="s">
        <v>9498</v>
      </c>
      <c r="H649" s="13" t="s">
        <v>9499</v>
      </c>
    </row>
    <row r="650" spans="1:8">
      <c r="A650" t="s">
        <v>1215</v>
      </c>
      <c r="B650" t="s">
        <v>1216</v>
      </c>
      <c r="C650" s="1" t="s">
        <v>1217</v>
      </c>
      <c r="D650" s="1"/>
      <c r="E650" s="1" t="str">
        <f t="shared" ref="E650" si="48">HYPERLINK("https://www.kegg.jp/dbget-bin/www_bget?ec:" &amp; C650, "https://www.kegg.jp/dbget-bin/www_bget?ec:" &amp; C650)</f>
        <v>https://www.kegg.jp/dbget-bin/www_bget?ec:2.2.1.6</v>
      </c>
      <c r="F650" s="1" t="s">
        <v>9488</v>
      </c>
      <c r="G650" s="10" t="s">
        <v>9500</v>
      </c>
      <c r="H650" s="13" t="s">
        <v>9501</v>
      </c>
    </row>
    <row r="651" spans="1:8">
      <c r="A651" t="s">
        <v>1215</v>
      </c>
      <c r="B651" t="s">
        <v>1216</v>
      </c>
      <c r="C651" s="1" t="s">
        <v>1217</v>
      </c>
      <c r="D651" s="1"/>
      <c r="E651" s="1" t="str">
        <f t="shared" si="38"/>
        <v>https://www.kegg.jp/dbget-bin/www_bget?ec:2.2.1.6</v>
      </c>
      <c r="F651" s="1" t="s">
        <v>9488</v>
      </c>
      <c r="G651" s="10" t="s">
        <v>9489</v>
      </c>
      <c r="H651" s="13" t="s">
        <v>9490</v>
      </c>
    </row>
    <row r="652" spans="1:8">
      <c r="A652" t="s">
        <v>1218</v>
      </c>
      <c r="B652" t="s">
        <v>1219</v>
      </c>
      <c r="C652" s="1" t="s">
        <v>1217</v>
      </c>
      <c r="D652" s="1"/>
      <c r="E652" s="1" t="str">
        <f t="shared" ref="E652" si="49">HYPERLINK("https://www.kegg.jp/dbget-bin/www_bget?ec:" &amp; C652, "https://www.kegg.jp/dbget-bin/www_bget?ec:" &amp; C652)</f>
        <v>https://www.kegg.jp/dbget-bin/www_bget?ec:2.2.1.6</v>
      </c>
      <c r="F652" s="1" t="s">
        <v>9488</v>
      </c>
      <c r="G652" s="10" t="s">
        <v>9491</v>
      </c>
      <c r="H652" s="13" t="s">
        <v>9492</v>
      </c>
    </row>
    <row r="653" spans="1:8">
      <c r="A653" t="s">
        <v>1218</v>
      </c>
      <c r="B653" t="s">
        <v>1219</v>
      </c>
      <c r="C653" s="1" t="s">
        <v>1217</v>
      </c>
      <c r="D653" s="1"/>
      <c r="E653" s="1" t="str">
        <f t="shared" ref="E653" si="50">HYPERLINK("https://www.kegg.jp/dbget-bin/www_bget?ec:" &amp; C653, "https://www.kegg.jp/dbget-bin/www_bget?ec:" &amp; C653)</f>
        <v>https://www.kegg.jp/dbget-bin/www_bget?ec:2.2.1.6</v>
      </c>
      <c r="F653" s="1" t="s">
        <v>9488</v>
      </c>
      <c r="G653" s="10" t="s">
        <v>9493</v>
      </c>
      <c r="H653" s="13" t="s">
        <v>9492</v>
      </c>
    </row>
    <row r="654" spans="1:8">
      <c r="A654" t="s">
        <v>1218</v>
      </c>
      <c r="B654" t="s">
        <v>1219</v>
      </c>
      <c r="C654" s="1" t="s">
        <v>1217</v>
      </c>
      <c r="D654" s="1"/>
      <c r="E654" s="1" t="str">
        <f t="shared" ref="E654" si="51">HYPERLINK("https://www.kegg.jp/dbget-bin/www_bget?ec:" &amp; C654, "https://www.kegg.jp/dbget-bin/www_bget?ec:" &amp; C654)</f>
        <v>https://www.kegg.jp/dbget-bin/www_bget?ec:2.2.1.6</v>
      </c>
      <c r="F654" s="1" t="s">
        <v>9488</v>
      </c>
      <c r="G654" s="10" t="s">
        <v>9494</v>
      </c>
      <c r="H654" s="13" t="s">
        <v>9495</v>
      </c>
    </row>
    <row r="655" spans="1:8">
      <c r="A655" t="s">
        <v>1218</v>
      </c>
      <c r="B655" t="s">
        <v>1219</v>
      </c>
      <c r="C655" s="1" t="s">
        <v>1217</v>
      </c>
      <c r="D655" s="1"/>
      <c r="E655" s="1" t="str">
        <f t="shared" ref="E655" si="52">HYPERLINK("https://www.kegg.jp/dbget-bin/www_bget?ec:" &amp; C655, "https://www.kegg.jp/dbget-bin/www_bget?ec:" &amp; C655)</f>
        <v>https://www.kegg.jp/dbget-bin/www_bget?ec:2.2.1.6</v>
      </c>
      <c r="F655" s="1" t="s">
        <v>9488</v>
      </c>
      <c r="G655" s="10" t="s">
        <v>9496</v>
      </c>
      <c r="H655" s="13" t="s">
        <v>9497</v>
      </c>
    </row>
    <row r="656" spans="1:8">
      <c r="A656" t="s">
        <v>1218</v>
      </c>
      <c r="B656" t="s">
        <v>1219</v>
      </c>
      <c r="C656" s="1" t="s">
        <v>1217</v>
      </c>
      <c r="D656" s="1"/>
      <c r="E656" s="1" t="str">
        <f t="shared" ref="E656" si="53">HYPERLINK("https://www.kegg.jp/dbget-bin/www_bget?ec:" &amp; C656, "https://www.kegg.jp/dbget-bin/www_bget?ec:" &amp; C656)</f>
        <v>https://www.kegg.jp/dbget-bin/www_bget?ec:2.2.1.6</v>
      </c>
      <c r="F656" s="1" t="s">
        <v>9488</v>
      </c>
      <c r="G656" s="10" t="s">
        <v>9498</v>
      </c>
      <c r="H656" s="13" t="s">
        <v>9499</v>
      </c>
    </row>
    <row r="657" spans="1:8">
      <c r="A657" t="s">
        <v>1218</v>
      </c>
      <c r="B657" t="s">
        <v>1219</v>
      </c>
      <c r="C657" s="1" t="s">
        <v>1217</v>
      </c>
      <c r="D657" s="1"/>
      <c r="E657" s="1" t="str">
        <f t="shared" ref="E657" si="54">HYPERLINK("https://www.kegg.jp/dbget-bin/www_bget?ec:" &amp; C657, "https://www.kegg.jp/dbget-bin/www_bget?ec:" &amp; C657)</f>
        <v>https://www.kegg.jp/dbget-bin/www_bget?ec:2.2.1.6</v>
      </c>
      <c r="F657" s="1" t="s">
        <v>9488</v>
      </c>
      <c r="G657" s="10" t="s">
        <v>9500</v>
      </c>
      <c r="H657" s="13" t="s">
        <v>9501</v>
      </c>
    </row>
    <row r="658" spans="1:8">
      <c r="A658" t="s">
        <v>1218</v>
      </c>
      <c r="B658" t="s">
        <v>1219</v>
      </c>
      <c r="C658" s="1" t="s">
        <v>1217</v>
      </c>
      <c r="D658" s="1"/>
      <c r="E658" s="1" t="str">
        <f t="shared" si="38"/>
        <v>https://www.kegg.jp/dbget-bin/www_bget?ec:2.2.1.6</v>
      </c>
      <c r="F658" s="1" t="s">
        <v>9488</v>
      </c>
      <c r="G658" s="10" t="s">
        <v>9489</v>
      </c>
      <c r="H658" s="13" t="s">
        <v>9490</v>
      </c>
    </row>
    <row r="659" spans="1:8">
      <c r="A659" t="s">
        <v>1220</v>
      </c>
      <c r="B659" t="s">
        <v>1221</v>
      </c>
      <c r="C659" s="1" t="s">
        <v>1222</v>
      </c>
      <c r="D659" s="1"/>
      <c r="E659" s="1" t="str">
        <f t="shared" ref="E659" si="55">HYPERLINK("https://www.kegg.jp/dbget-bin/www_bget?ec:" &amp; C659, "https://www.kegg.jp/dbget-bin/www_bget?ec:" &amp; C659)</f>
        <v>https://www.kegg.jp/dbget-bin/www_bget?ec:4.2.1.9</v>
      </c>
      <c r="F659" t="s">
        <v>9502</v>
      </c>
      <c r="G659" s="10" t="s">
        <v>9503</v>
      </c>
      <c r="H659" s="13" t="s">
        <v>9504</v>
      </c>
    </row>
    <row r="660" spans="1:8">
      <c r="A660" t="s">
        <v>1220</v>
      </c>
      <c r="B660" t="s">
        <v>1221</v>
      </c>
      <c r="C660" s="1" t="s">
        <v>1222</v>
      </c>
      <c r="D660" s="1"/>
      <c r="E660" s="1" t="str">
        <f t="shared" ref="E660" si="56">HYPERLINK("https://www.kegg.jp/dbget-bin/www_bget?ec:" &amp; C660, "https://www.kegg.jp/dbget-bin/www_bget?ec:" &amp; C660)</f>
        <v>https://www.kegg.jp/dbget-bin/www_bget?ec:4.2.1.9</v>
      </c>
      <c r="F660" t="s">
        <v>9502</v>
      </c>
      <c r="G660" s="10" t="s">
        <v>9505</v>
      </c>
      <c r="H660" s="13" t="s">
        <v>9506</v>
      </c>
    </row>
    <row r="661" spans="1:8">
      <c r="A661" t="s">
        <v>1220</v>
      </c>
      <c r="B661" t="s">
        <v>1221</v>
      </c>
      <c r="C661" s="1" t="s">
        <v>1222</v>
      </c>
      <c r="D661" s="1"/>
      <c r="E661" s="1" t="str">
        <f t="shared" si="38"/>
        <v>https://www.kegg.jp/dbget-bin/www_bget?ec:4.2.1.9</v>
      </c>
      <c r="F661" t="s">
        <v>9502</v>
      </c>
      <c r="G661" s="10" t="s">
        <v>9507</v>
      </c>
      <c r="H661" s="13" t="s">
        <v>9508</v>
      </c>
    </row>
    <row r="662" spans="1:8">
      <c r="A662" t="s">
        <v>1223</v>
      </c>
      <c r="B662" t="s">
        <v>1224</v>
      </c>
      <c r="E662" s="1"/>
    </row>
    <row r="663" spans="1:8">
      <c r="A663" t="s">
        <v>1225</v>
      </c>
      <c r="B663" t="s">
        <v>1226</v>
      </c>
      <c r="E663" s="1"/>
    </row>
    <row r="664" spans="1:8">
      <c r="A664" t="s">
        <v>1227</v>
      </c>
      <c r="B664" t="s">
        <v>1228</v>
      </c>
      <c r="C664" s="1" t="s">
        <v>1229</v>
      </c>
      <c r="D664" s="1"/>
      <c r="E664" s="1" t="str">
        <f t="shared" si="38"/>
        <v>https://www.kegg.jp/dbget-bin/www_bget?ec:4.2.3.5</v>
      </c>
      <c r="F664" s="1" t="s">
        <v>9511</v>
      </c>
      <c r="G664" s="10" t="s">
        <v>9509</v>
      </c>
      <c r="H664" s="13" t="s">
        <v>9510</v>
      </c>
    </row>
    <row r="665" spans="1:8">
      <c r="A665" t="s">
        <v>1230</v>
      </c>
      <c r="B665" t="s">
        <v>1231</v>
      </c>
      <c r="E665" s="1"/>
    </row>
    <row r="666" spans="1:8">
      <c r="A666" t="s">
        <v>1232</v>
      </c>
      <c r="B666" t="s">
        <v>1233</v>
      </c>
      <c r="E666" s="1"/>
      <c r="F666" s="1"/>
    </row>
    <row r="667" spans="1:8">
      <c r="A667" t="s">
        <v>1234</v>
      </c>
      <c r="B667" t="s">
        <v>1235</v>
      </c>
      <c r="E667" s="1"/>
    </row>
    <row r="668" spans="1:8">
      <c r="A668" t="s">
        <v>1236</v>
      </c>
      <c r="B668" t="s">
        <v>1237</v>
      </c>
      <c r="C668" s="1" t="s">
        <v>1238</v>
      </c>
      <c r="D668" s="1"/>
      <c r="E668" s="1" t="str">
        <f t="shared" si="38"/>
        <v>https://www.kegg.jp/dbget-bin/www_bget?ec:2.4.2.19</v>
      </c>
      <c r="F668" t="s">
        <v>9512</v>
      </c>
      <c r="G668" s="10" t="s">
        <v>9513</v>
      </c>
      <c r="H668" s="13" t="s">
        <v>12790</v>
      </c>
    </row>
    <row r="669" spans="1:8">
      <c r="A669" t="s">
        <v>1239</v>
      </c>
      <c r="B669" t="s">
        <v>1240</v>
      </c>
      <c r="E669" s="1"/>
    </row>
    <row r="670" spans="1:8">
      <c r="A670" t="s">
        <v>1241</v>
      </c>
      <c r="B670" t="s">
        <v>1242</v>
      </c>
      <c r="C670" s="1" t="s">
        <v>298</v>
      </c>
      <c r="D670" s="1"/>
      <c r="E670" s="1" t="str">
        <f t="shared" ref="E670" si="57">HYPERLINK("https://www.kegg.jp/dbget-bin/www_bget?ec:" &amp; C670, "https://www.kegg.jp/dbget-bin/www_bget?ec:" &amp; C670)</f>
        <v>https://www.kegg.jp/dbget-bin/www_bget?ec:2.7.7.7</v>
      </c>
      <c r="F670" s="19" t="s">
        <v>9321</v>
      </c>
      <c r="G670" s="22" t="s">
        <v>9580</v>
      </c>
      <c r="H670" s="20" t="s">
        <v>9322</v>
      </c>
    </row>
    <row r="671" spans="1:8">
      <c r="A671" t="s">
        <v>1241</v>
      </c>
      <c r="B671" t="s">
        <v>1242</v>
      </c>
      <c r="C671" s="1" t="s">
        <v>298</v>
      </c>
      <c r="D671" s="1"/>
      <c r="E671" s="1" t="str">
        <f t="shared" ref="E671" si="58">HYPERLINK("https://www.kegg.jp/dbget-bin/www_bget?ec:" &amp; C671, "https://www.kegg.jp/dbget-bin/www_bget?ec:" &amp; C671)</f>
        <v>https://www.kegg.jp/dbget-bin/www_bget?ec:2.7.7.7</v>
      </c>
      <c r="F671" s="19" t="s">
        <v>9321</v>
      </c>
      <c r="G671" s="22" t="s">
        <v>9514</v>
      </c>
      <c r="H671" s="20" t="s">
        <v>9515</v>
      </c>
    </row>
    <row r="672" spans="1:8">
      <c r="A672" t="s">
        <v>1241</v>
      </c>
      <c r="B672" t="s">
        <v>1242</v>
      </c>
      <c r="C672" s="1" t="s">
        <v>298</v>
      </c>
      <c r="D672" s="1"/>
      <c r="E672" s="1" t="str">
        <f t="shared" ref="E672" si="59">HYPERLINK("https://www.kegg.jp/dbget-bin/www_bget?ec:" &amp; C672, "https://www.kegg.jp/dbget-bin/www_bget?ec:" &amp; C672)</f>
        <v>https://www.kegg.jp/dbget-bin/www_bget?ec:2.7.7.7</v>
      </c>
      <c r="F672" s="19" t="s">
        <v>9321</v>
      </c>
      <c r="G672" s="22" t="s">
        <v>9516</v>
      </c>
      <c r="H672" s="20" t="s">
        <v>9515</v>
      </c>
    </row>
    <row r="673" spans="1:8">
      <c r="A673" t="s">
        <v>1241</v>
      </c>
      <c r="B673" t="s">
        <v>1242</v>
      </c>
      <c r="C673" s="1" t="s">
        <v>298</v>
      </c>
      <c r="D673" s="1"/>
      <c r="E673" s="1" t="str">
        <f t="shared" ref="E673" si="60">HYPERLINK("https://www.kegg.jp/dbget-bin/www_bget?ec:" &amp; C673, "https://www.kegg.jp/dbget-bin/www_bget?ec:" &amp; C673)</f>
        <v>https://www.kegg.jp/dbget-bin/www_bget?ec:2.7.7.7</v>
      </c>
      <c r="F673" s="19" t="s">
        <v>9321</v>
      </c>
      <c r="G673" s="22" t="s">
        <v>9517</v>
      </c>
      <c r="H673" s="20" t="s">
        <v>9515</v>
      </c>
    </row>
    <row r="674" spans="1:8">
      <c r="A674" t="s">
        <v>1241</v>
      </c>
      <c r="B674" t="s">
        <v>1242</v>
      </c>
      <c r="C674" s="1" t="s">
        <v>298</v>
      </c>
      <c r="D674" s="1"/>
      <c r="E674" s="1" t="str">
        <f t="shared" ref="E674" si="61">HYPERLINK("https://www.kegg.jp/dbget-bin/www_bget?ec:" &amp; C674, "https://www.kegg.jp/dbget-bin/www_bget?ec:" &amp; C674)</f>
        <v>https://www.kegg.jp/dbget-bin/www_bget?ec:2.7.7.7</v>
      </c>
      <c r="F674" s="19" t="s">
        <v>9321</v>
      </c>
      <c r="G674" s="22" t="s">
        <v>9571</v>
      </c>
      <c r="H674" s="20" t="s">
        <v>10657</v>
      </c>
    </row>
    <row r="675" spans="1:8">
      <c r="A675" t="s">
        <v>1241</v>
      </c>
      <c r="B675" t="s">
        <v>1242</v>
      </c>
      <c r="C675" s="1" t="s">
        <v>298</v>
      </c>
      <c r="D675" s="1"/>
      <c r="E675" s="1" t="str">
        <f t="shared" si="38"/>
        <v>https://www.kegg.jp/dbget-bin/www_bget?ec:2.7.7.7</v>
      </c>
      <c r="F675" s="19" t="s">
        <v>9321</v>
      </c>
      <c r="G675" s="22" t="s">
        <v>9995</v>
      </c>
      <c r="H675" s="20" t="s">
        <v>9996</v>
      </c>
    </row>
    <row r="676" spans="1:8">
      <c r="A676" t="s">
        <v>1243</v>
      </c>
      <c r="B676" t="s">
        <v>1244</v>
      </c>
      <c r="E676" s="1"/>
    </row>
    <row r="677" spans="1:8">
      <c r="A677" t="s">
        <v>1245</v>
      </c>
      <c r="B677" t="s">
        <v>1246</v>
      </c>
      <c r="E677" s="1"/>
    </row>
    <row r="678" spans="1:8">
      <c r="A678" t="s">
        <v>1247</v>
      </c>
      <c r="B678" t="s">
        <v>1248</v>
      </c>
      <c r="E678" s="1"/>
    </row>
    <row r="679" spans="1:8">
      <c r="A679" t="s">
        <v>1249</v>
      </c>
      <c r="B679" t="s">
        <v>1250</v>
      </c>
      <c r="E679" s="1"/>
    </row>
    <row r="680" spans="1:8">
      <c r="A680" t="s">
        <v>1251</v>
      </c>
      <c r="B680" t="s">
        <v>1252</v>
      </c>
      <c r="E680" s="1"/>
    </row>
    <row r="681" spans="1:8">
      <c r="A681" t="s">
        <v>1253</v>
      </c>
      <c r="B681" t="s">
        <v>1254</v>
      </c>
      <c r="E681" s="1"/>
    </row>
    <row r="682" spans="1:8">
      <c r="A682" t="s">
        <v>1255</v>
      </c>
      <c r="B682" t="s">
        <v>1256</v>
      </c>
      <c r="E682" s="1"/>
    </row>
    <row r="683" spans="1:8">
      <c r="A683" t="s">
        <v>1257</v>
      </c>
      <c r="B683" t="s">
        <v>1258</v>
      </c>
      <c r="E683" s="1"/>
    </row>
    <row r="684" spans="1:8">
      <c r="A684" t="s">
        <v>1259</v>
      </c>
      <c r="B684" t="s">
        <v>1260</v>
      </c>
      <c r="E684" s="1"/>
    </row>
    <row r="685" spans="1:8">
      <c r="A685" t="s">
        <v>1261</v>
      </c>
      <c r="B685" t="s">
        <v>1262</v>
      </c>
      <c r="C685" s="1" t="s">
        <v>1263</v>
      </c>
      <c r="D685" s="1"/>
      <c r="E685" s="1" t="str">
        <f t="shared" ref="E685" si="62">HYPERLINK("https://www.kegg.jp/dbget-bin/www_bget?ec:" &amp; C685, "https://www.kegg.jp/dbget-bin/www_bget?ec:" &amp; C685)</f>
        <v>https://www.kegg.jp/dbget-bin/www_bget?ec:3.5.4.5</v>
      </c>
      <c r="F685" t="s">
        <v>9518</v>
      </c>
      <c r="G685" s="10" t="s">
        <v>9520</v>
      </c>
      <c r="H685" s="13" t="s">
        <v>9521</v>
      </c>
    </row>
    <row r="686" spans="1:8">
      <c r="A686" t="s">
        <v>1261</v>
      </c>
      <c r="B686" t="s">
        <v>1262</v>
      </c>
      <c r="C686" s="1" t="s">
        <v>1263</v>
      </c>
      <c r="D686" s="1"/>
      <c r="E686" s="1" t="str">
        <f t="shared" ref="E686" si="63">HYPERLINK("https://www.kegg.jp/dbget-bin/www_bget?ec:" &amp; C686, "https://www.kegg.jp/dbget-bin/www_bget?ec:" &amp; C686)</f>
        <v>https://www.kegg.jp/dbget-bin/www_bget?ec:3.5.4.5</v>
      </c>
      <c r="F686" t="s">
        <v>9518</v>
      </c>
      <c r="G686" s="10" t="s">
        <v>9522</v>
      </c>
      <c r="H686" s="13" t="s">
        <v>9523</v>
      </c>
    </row>
    <row r="687" spans="1:8">
      <c r="A687" t="s">
        <v>1261</v>
      </c>
      <c r="B687" t="s">
        <v>1262</v>
      </c>
      <c r="C687" s="1" t="s">
        <v>1263</v>
      </c>
      <c r="D687" s="1"/>
      <c r="E687" s="1" t="str">
        <f t="shared" si="38"/>
        <v>https://www.kegg.jp/dbget-bin/www_bget?ec:3.5.4.5</v>
      </c>
      <c r="F687" t="s">
        <v>9518</v>
      </c>
      <c r="G687" s="10" t="s">
        <v>9524</v>
      </c>
      <c r="H687" s="13" t="s">
        <v>9525</v>
      </c>
    </row>
    <row r="688" spans="1:8">
      <c r="B688" t="s">
        <v>1264</v>
      </c>
      <c r="E688" s="1"/>
    </row>
    <row r="689" spans="1:8">
      <c r="A689" t="s">
        <v>1265</v>
      </c>
      <c r="B689" t="s">
        <v>1266</v>
      </c>
      <c r="E689" s="1"/>
    </row>
    <row r="690" spans="1:8">
      <c r="B690" t="s">
        <v>1267</v>
      </c>
      <c r="E690" s="1"/>
    </row>
    <row r="691" spans="1:8">
      <c r="A691" t="s">
        <v>1268</v>
      </c>
      <c r="B691" t="s">
        <v>1269</v>
      </c>
      <c r="E691" s="1"/>
    </row>
    <row r="692" spans="1:8">
      <c r="A692" t="s">
        <v>1270</v>
      </c>
      <c r="B692" t="s">
        <v>1271</v>
      </c>
      <c r="E692" s="1"/>
    </row>
    <row r="693" spans="1:8">
      <c r="A693" t="s">
        <v>1272</v>
      </c>
      <c r="B693" t="s">
        <v>1273</v>
      </c>
      <c r="E693" s="1"/>
    </row>
    <row r="694" spans="1:8">
      <c r="A694" t="s">
        <v>1274</v>
      </c>
      <c r="B694" t="s">
        <v>1275</v>
      </c>
      <c r="C694" s="1" t="s">
        <v>1276</v>
      </c>
      <c r="D694" s="1"/>
      <c r="E694" s="1" t="str">
        <f t="shared" si="38"/>
        <v>https://www.kegg.jp/dbget-bin/www_bget?ec:4.1.1.23</v>
      </c>
      <c r="F694" t="s">
        <v>9519</v>
      </c>
      <c r="G694" s="1" t="s">
        <v>9526</v>
      </c>
      <c r="H694" s="13" t="s">
        <v>9527</v>
      </c>
    </row>
    <row r="695" spans="1:8">
      <c r="A695" t="s">
        <v>1277</v>
      </c>
      <c r="B695" t="s">
        <v>1278</v>
      </c>
      <c r="C695" s="1" t="s">
        <v>1279</v>
      </c>
      <c r="D695" s="1"/>
      <c r="E695" s="1" t="str">
        <f t="shared" ref="E695" si="64">HYPERLINK("https://www.kegg.jp/dbget-bin/www_bget?ec:" &amp; C695, "https://www.kegg.jp/dbget-bin/www_bget?ec:" &amp; C695)</f>
        <v>https://www.kegg.jp/dbget-bin/www_bget?ec:2.3.1.191</v>
      </c>
      <c r="F695" s="1" t="s">
        <v>9528</v>
      </c>
      <c r="G695" s="1" t="s">
        <v>9531</v>
      </c>
      <c r="H695" s="13" t="s">
        <v>9532</v>
      </c>
    </row>
    <row r="696" spans="1:8">
      <c r="A696" t="s">
        <v>1277</v>
      </c>
      <c r="B696" t="s">
        <v>1278</v>
      </c>
      <c r="C696" s="1" t="s">
        <v>1279</v>
      </c>
      <c r="D696" s="1"/>
      <c r="E696" s="1" t="str">
        <f t="shared" si="38"/>
        <v>https://www.kegg.jp/dbget-bin/www_bget?ec:2.3.1.191</v>
      </c>
      <c r="F696" t="s">
        <v>9528</v>
      </c>
      <c r="G696" s="1" t="s">
        <v>9529</v>
      </c>
      <c r="H696" s="13" t="s">
        <v>9530</v>
      </c>
    </row>
    <row r="697" spans="1:8">
      <c r="A697" t="s">
        <v>1280</v>
      </c>
      <c r="B697" t="s">
        <v>1281</v>
      </c>
      <c r="E697" s="1"/>
    </row>
    <row r="698" spans="1:8">
      <c r="A698" t="s">
        <v>1282</v>
      </c>
      <c r="B698" t="s">
        <v>1283</v>
      </c>
      <c r="C698" s="1" t="s">
        <v>1284</v>
      </c>
      <c r="D698" s="1"/>
      <c r="E698" s="1" t="str">
        <f t="shared" ref="E698" si="65">HYPERLINK("https://www.kegg.jp/dbget-bin/www_bget?ec:" &amp; C698, "https://www.kegg.jp/dbget-bin/www_bget?ec:" &amp; C698)</f>
        <v>https://www.kegg.jp/dbget-bin/www_bget?ec:2.3.1.129</v>
      </c>
      <c r="F698" s="1" t="s">
        <v>9533</v>
      </c>
      <c r="G698" s="10" t="s">
        <v>9536</v>
      </c>
      <c r="H698" s="13" t="s">
        <v>9537</v>
      </c>
    </row>
    <row r="699" spans="1:8">
      <c r="A699" t="s">
        <v>1282</v>
      </c>
      <c r="B699" t="s">
        <v>1283</v>
      </c>
      <c r="C699" s="1" t="s">
        <v>1284</v>
      </c>
      <c r="D699" s="1"/>
      <c r="E699" s="1" t="str">
        <f t="shared" si="38"/>
        <v>https://www.kegg.jp/dbget-bin/www_bget?ec:2.3.1.129</v>
      </c>
      <c r="F699" t="s">
        <v>9533</v>
      </c>
      <c r="G699" s="10" t="s">
        <v>9534</v>
      </c>
      <c r="H699" s="13" t="s">
        <v>9535</v>
      </c>
    </row>
    <row r="700" spans="1:8">
      <c r="B700" t="s">
        <v>1285</v>
      </c>
      <c r="E700" s="1"/>
    </row>
    <row r="701" spans="1:8">
      <c r="A701" t="s">
        <v>1286</v>
      </c>
      <c r="B701" t="s">
        <v>1287</v>
      </c>
      <c r="E701" s="1"/>
    </row>
    <row r="702" spans="1:8">
      <c r="A702" t="s">
        <v>1288</v>
      </c>
      <c r="B702" t="s">
        <v>1289</v>
      </c>
      <c r="C702" s="1" t="s">
        <v>1290</v>
      </c>
      <c r="D702" s="1"/>
      <c r="E702" s="1" t="str">
        <f t="shared" si="38"/>
        <v>https://www.kegg.jp/dbget-bin/www_bget?ec:2.5.1.75</v>
      </c>
      <c r="F702" t="s">
        <v>9540</v>
      </c>
      <c r="G702" t="s">
        <v>9538</v>
      </c>
      <c r="H702" s="10" t="s">
        <v>9539</v>
      </c>
    </row>
    <row r="703" spans="1:8">
      <c r="A703" t="s">
        <v>1291</v>
      </c>
      <c r="B703" t="s">
        <v>1292</v>
      </c>
      <c r="E703" s="1"/>
    </row>
    <row r="704" spans="1:8">
      <c r="A704" t="s">
        <v>1293</v>
      </c>
      <c r="B704" t="s">
        <v>1294</v>
      </c>
      <c r="E704" s="1"/>
    </row>
    <row r="705" spans="1:8">
      <c r="A705" t="s">
        <v>1295</v>
      </c>
      <c r="B705" t="s">
        <v>1296</v>
      </c>
      <c r="E705" s="1"/>
    </row>
    <row r="706" spans="1:8">
      <c r="A706" t="s">
        <v>1297</v>
      </c>
      <c r="B706" t="s">
        <v>1298</v>
      </c>
      <c r="E706" s="1"/>
    </row>
    <row r="707" spans="1:8">
      <c r="A707" t="s">
        <v>1299</v>
      </c>
      <c r="B707" t="s">
        <v>1300</v>
      </c>
      <c r="E707" s="1"/>
    </row>
    <row r="708" spans="1:8">
      <c r="A708" t="s">
        <v>1301</v>
      </c>
      <c r="B708" t="s">
        <v>1302</v>
      </c>
      <c r="E708" s="1"/>
    </row>
    <row r="709" spans="1:8">
      <c r="A709" t="s">
        <v>1303</v>
      </c>
      <c r="B709" t="s">
        <v>1304</v>
      </c>
      <c r="C709" s="1" t="s">
        <v>1305</v>
      </c>
      <c r="D709" s="1"/>
      <c r="E709" s="1" t="str">
        <f t="shared" ref="E709" si="66">HYPERLINK("https://www.kegg.jp/dbget-bin/www_bget?ec:" &amp; C709, "https://www.kegg.jp/dbget-bin/www_bget?ec:" &amp; C709)</f>
        <v>https://www.kegg.jp/dbget-bin/www_bget?ec:5.3.1.6</v>
      </c>
      <c r="F709" t="s">
        <v>9541</v>
      </c>
      <c r="G709" s="10" t="s">
        <v>9542</v>
      </c>
      <c r="H709" s="13" t="s">
        <v>9543</v>
      </c>
    </row>
    <row r="710" spans="1:8">
      <c r="A710" t="s">
        <v>1303</v>
      </c>
      <c r="B710" t="s">
        <v>1304</v>
      </c>
      <c r="C710" s="1" t="s">
        <v>1305</v>
      </c>
      <c r="D710" s="1"/>
      <c r="E710" s="1" t="str">
        <f t="shared" si="38"/>
        <v>https://www.kegg.jp/dbget-bin/www_bget?ec:5.3.1.6</v>
      </c>
      <c r="F710" t="s">
        <v>9541</v>
      </c>
      <c r="G710" s="10" t="s">
        <v>9544</v>
      </c>
      <c r="H710" s="13" t="s">
        <v>9545</v>
      </c>
    </row>
    <row r="711" spans="1:8">
      <c r="A711" t="s">
        <v>1306</v>
      </c>
      <c r="B711" t="s">
        <v>1307</v>
      </c>
      <c r="E711" s="1"/>
    </row>
    <row r="712" spans="1:8">
      <c r="A712" t="s">
        <v>1308</v>
      </c>
      <c r="B712" t="s">
        <v>1309</v>
      </c>
      <c r="E712" s="1"/>
    </row>
    <row r="713" spans="1:8">
      <c r="A713" t="s">
        <v>1310</v>
      </c>
      <c r="B713" t="s">
        <v>1311</v>
      </c>
      <c r="E713" s="1"/>
    </row>
    <row r="714" spans="1:8">
      <c r="A714" t="s">
        <v>1312</v>
      </c>
      <c r="B714" t="s">
        <v>1313</v>
      </c>
      <c r="E714" s="1"/>
    </row>
    <row r="715" spans="1:8">
      <c r="A715" t="s">
        <v>1314</v>
      </c>
      <c r="B715" t="s">
        <v>1315</v>
      </c>
      <c r="E715" s="1"/>
    </row>
    <row r="716" spans="1:8">
      <c r="A716" t="s">
        <v>1316</v>
      </c>
      <c r="B716" t="s">
        <v>1317</v>
      </c>
      <c r="E716" s="1"/>
    </row>
    <row r="717" spans="1:8">
      <c r="A717" t="s">
        <v>1318</v>
      </c>
      <c r="B717" t="s">
        <v>1319</v>
      </c>
      <c r="E717" s="1"/>
    </row>
    <row r="718" spans="1:8">
      <c r="A718" t="s">
        <v>1320</v>
      </c>
      <c r="B718" t="s">
        <v>1321</v>
      </c>
      <c r="E718" s="1"/>
    </row>
    <row r="719" spans="1:8">
      <c r="A719" t="s">
        <v>1322</v>
      </c>
      <c r="B719" t="s">
        <v>1323</v>
      </c>
      <c r="E719" s="1"/>
    </row>
    <row r="720" spans="1:8">
      <c r="A720" t="s">
        <v>1324</v>
      </c>
      <c r="B720" t="s">
        <v>1325</v>
      </c>
      <c r="E720" s="1"/>
    </row>
    <row r="721" spans="1:5">
      <c r="A721" t="s">
        <v>1326</v>
      </c>
      <c r="B721" t="s">
        <v>1327</v>
      </c>
      <c r="E721" s="1"/>
    </row>
    <row r="722" spans="1:5">
      <c r="A722" t="s">
        <v>1328</v>
      </c>
      <c r="B722" t="s">
        <v>1329</v>
      </c>
      <c r="E722" s="1"/>
    </row>
    <row r="723" spans="1:5">
      <c r="A723" t="s">
        <v>1330</v>
      </c>
      <c r="B723" t="s">
        <v>1331</v>
      </c>
      <c r="E723" s="1"/>
    </row>
    <row r="724" spans="1:5">
      <c r="A724" t="s">
        <v>1332</v>
      </c>
      <c r="B724" t="s">
        <v>1333</v>
      </c>
      <c r="E724" s="1"/>
    </row>
    <row r="725" spans="1:5">
      <c r="A725" t="s">
        <v>1334</v>
      </c>
      <c r="B725" t="s">
        <v>1335</v>
      </c>
      <c r="E725" s="1"/>
    </row>
    <row r="726" spans="1:5">
      <c r="A726" t="s">
        <v>1336</v>
      </c>
      <c r="B726" t="s">
        <v>1337</v>
      </c>
      <c r="E726" s="1"/>
    </row>
    <row r="727" spans="1:5">
      <c r="B727" t="s">
        <v>1338</v>
      </c>
      <c r="E727" s="1"/>
    </row>
    <row r="728" spans="1:5">
      <c r="B728" t="s">
        <v>1339</v>
      </c>
      <c r="E728" s="1"/>
    </row>
    <row r="729" spans="1:5">
      <c r="B729" t="s">
        <v>1340</v>
      </c>
      <c r="E729" s="1"/>
    </row>
    <row r="730" spans="1:5">
      <c r="B730" t="s">
        <v>1341</v>
      </c>
      <c r="E730" s="1"/>
    </row>
    <row r="731" spans="1:5">
      <c r="B731" t="s">
        <v>1342</v>
      </c>
      <c r="E731" s="1"/>
    </row>
    <row r="732" spans="1:5">
      <c r="A732" t="s">
        <v>1343</v>
      </c>
      <c r="B732" t="s">
        <v>1344</v>
      </c>
      <c r="E732" s="1"/>
    </row>
    <row r="733" spans="1:5">
      <c r="A733" t="s">
        <v>1345</v>
      </c>
      <c r="B733" t="s">
        <v>1346</v>
      </c>
      <c r="E733" s="1"/>
    </row>
    <row r="734" spans="1:5">
      <c r="A734" t="s">
        <v>1347</v>
      </c>
      <c r="B734" t="s">
        <v>1348</v>
      </c>
      <c r="E734" s="1"/>
    </row>
    <row r="735" spans="1:5">
      <c r="A735" t="s">
        <v>1349</v>
      </c>
      <c r="B735" t="s">
        <v>1350</v>
      </c>
      <c r="E735" s="1"/>
    </row>
    <row r="736" spans="1:5">
      <c r="A736" t="s">
        <v>1351</v>
      </c>
      <c r="B736" t="s">
        <v>1352</v>
      </c>
      <c r="E736" s="1"/>
    </row>
    <row r="737" spans="1:5">
      <c r="A737" t="s">
        <v>1353</v>
      </c>
      <c r="B737" t="s">
        <v>1354</v>
      </c>
      <c r="E737" s="1"/>
    </row>
    <row r="738" spans="1:5">
      <c r="A738" t="s">
        <v>1355</v>
      </c>
      <c r="B738" t="s">
        <v>1356</v>
      </c>
      <c r="E738" s="1"/>
    </row>
    <row r="739" spans="1:5">
      <c r="A739" t="s">
        <v>1357</v>
      </c>
      <c r="B739" t="s">
        <v>1358</v>
      </c>
      <c r="E739" s="1"/>
    </row>
    <row r="740" spans="1:5">
      <c r="A740" t="s">
        <v>1359</v>
      </c>
      <c r="B740" t="s">
        <v>1360</v>
      </c>
      <c r="E740" s="1"/>
    </row>
    <row r="741" spans="1:5">
      <c r="A741" t="s">
        <v>1361</v>
      </c>
      <c r="B741" t="s">
        <v>1362</v>
      </c>
      <c r="E741" s="1"/>
    </row>
    <row r="742" spans="1:5">
      <c r="A742" t="s">
        <v>1363</v>
      </c>
      <c r="B742" t="s">
        <v>1364</v>
      </c>
      <c r="E742" s="1"/>
    </row>
    <row r="743" spans="1:5">
      <c r="A743" t="s">
        <v>1365</v>
      </c>
      <c r="B743" t="s">
        <v>1366</v>
      </c>
      <c r="E743" s="1"/>
    </row>
    <row r="744" spans="1:5">
      <c r="A744" t="s">
        <v>1367</v>
      </c>
      <c r="B744" t="s">
        <v>1368</v>
      </c>
      <c r="E744" s="1"/>
    </row>
    <row r="745" spans="1:5">
      <c r="A745" t="s">
        <v>1369</v>
      </c>
      <c r="B745" t="s">
        <v>1370</v>
      </c>
      <c r="E745" s="1"/>
    </row>
    <row r="746" spans="1:5">
      <c r="B746" t="s">
        <v>1371</v>
      </c>
      <c r="E746" s="1"/>
    </row>
    <row r="747" spans="1:5">
      <c r="A747" t="s">
        <v>1372</v>
      </c>
      <c r="B747" t="s">
        <v>1373</v>
      </c>
      <c r="E747" s="1"/>
    </row>
    <row r="748" spans="1:5">
      <c r="A748" t="s">
        <v>1374</v>
      </c>
      <c r="B748" t="s">
        <v>1375</v>
      </c>
      <c r="E748" s="1"/>
    </row>
    <row r="749" spans="1:5">
      <c r="A749" t="s">
        <v>1376</v>
      </c>
      <c r="B749" t="s">
        <v>1377</v>
      </c>
      <c r="E749" s="1"/>
    </row>
    <row r="750" spans="1:5">
      <c r="A750" t="s">
        <v>1378</v>
      </c>
      <c r="B750" t="s">
        <v>1379</v>
      </c>
      <c r="E750" s="1"/>
    </row>
    <row r="751" spans="1:5">
      <c r="A751" t="s">
        <v>1380</v>
      </c>
      <c r="B751" t="s">
        <v>1381</v>
      </c>
      <c r="E751" s="1"/>
    </row>
    <row r="752" spans="1:5">
      <c r="A752" t="s">
        <v>1382</v>
      </c>
      <c r="B752" t="s">
        <v>1383</v>
      </c>
      <c r="E752" s="1"/>
    </row>
    <row r="753" spans="1:8">
      <c r="A753" t="s">
        <v>1384</v>
      </c>
      <c r="B753" t="s">
        <v>1385</v>
      </c>
      <c r="E753" s="1"/>
    </row>
    <row r="754" spans="1:8">
      <c r="B754" t="s">
        <v>1386</v>
      </c>
      <c r="E754" s="1"/>
    </row>
    <row r="755" spans="1:8">
      <c r="A755" t="s">
        <v>1387</v>
      </c>
      <c r="B755" t="s">
        <v>1388</v>
      </c>
      <c r="E755" s="1"/>
    </row>
    <row r="756" spans="1:8">
      <c r="A756" t="s">
        <v>1389</v>
      </c>
      <c r="B756" t="s">
        <v>1390</v>
      </c>
      <c r="E756" s="1"/>
    </row>
    <row r="757" spans="1:8">
      <c r="A757" t="s">
        <v>1391</v>
      </c>
      <c r="B757" t="s">
        <v>1392</v>
      </c>
      <c r="E757" s="1"/>
    </row>
    <row r="758" spans="1:8">
      <c r="A758" t="s">
        <v>1393</v>
      </c>
      <c r="B758" t="s">
        <v>1394</v>
      </c>
      <c r="E758" s="1"/>
    </row>
    <row r="759" spans="1:8">
      <c r="A759" t="s">
        <v>1395</v>
      </c>
      <c r="B759" t="s">
        <v>1396</v>
      </c>
      <c r="E759" s="1"/>
    </row>
    <row r="760" spans="1:8">
      <c r="A760" t="s">
        <v>1397</v>
      </c>
      <c r="B760" t="s">
        <v>1398</v>
      </c>
      <c r="C760" s="1" t="s">
        <v>1399</v>
      </c>
      <c r="D760" s="1"/>
      <c r="E760" s="1" t="str">
        <f t="shared" ref="E760" si="67">HYPERLINK("https://www.kegg.jp/dbget-bin/www_bget?ec:" &amp; C760, "https://www.kegg.jp/dbget-bin/www_bget?ec:" &amp; C760)</f>
        <v>https://www.kegg.jp/dbget-bin/www_bget?ec:2.1.1.72</v>
      </c>
      <c r="F760" t="s">
        <v>9546</v>
      </c>
      <c r="G760" s="10" t="s">
        <v>9547</v>
      </c>
      <c r="H760" s="13" t="s">
        <v>9548</v>
      </c>
    </row>
    <row r="761" spans="1:8">
      <c r="A761" t="s">
        <v>1400</v>
      </c>
      <c r="B761" t="s">
        <v>1401</v>
      </c>
      <c r="E761" s="1"/>
    </row>
    <row r="762" spans="1:8">
      <c r="A762" t="s">
        <v>1402</v>
      </c>
      <c r="B762" t="s">
        <v>1403</v>
      </c>
      <c r="E762" s="1"/>
    </row>
    <row r="763" spans="1:8">
      <c r="A763" t="s">
        <v>1404</v>
      </c>
      <c r="B763" t="s">
        <v>1405</v>
      </c>
      <c r="E763" s="1"/>
    </row>
    <row r="764" spans="1:8">
      <c r="A764" t="s">
        <v>1406</v>
      </c>
      <c r="B764" t="s">
        <v>1407</v>
      </c>
      <c r="E764" s="1"/>
    </row>
    <row r="765" spans="1:8">
      <c r="A765" t="s">
        <v>1408</v>
      </c>
      <c r="B765" t="s">
        <v>1409</v>
      </c>
      <c r="E765" s="1"/>
    </row>
    <row r="766" spans="1:8">
      <c r="A766" t="s">
        <v>1410</v>
      </c>
      <c r="B766" t="s">
        <v>1411</v>
      </c>
      <c r="E766" s="1"/>
    </row>
    <row r="767" spans="1:8">
      <c r="A767" t="s">
        <v>1412</v>
      </c>
      <c r="B767" t="s">
        <v>1413</v>
      </c>
      <c r="E767" s="1"/>
    </row>
    <row r="768" spans="1:8">
      <c r="A768" t="s">
        <v>1414</v>
      </c>
      <c r="B768" t="s">
        <v>1415</v>
      </c>
      <c r="E768" s="1"/>
    </row>
    <row r="769" spans="1:5">
      <c r="A769" t="s">
        <v>1416</v>
      </c>
      <c r="B769" t="s">
        <v>1417</v>
      </c>
      <c r="E769" s="1"/>
    </row>
    <row r="770" spans="1:5">
      <c r="A770" t="s">
        <v>1418</v>
      </c>
      <c r="B770" t="s">
        <v>1419</v>
      </c>
      <c r="E770" s="1"/>
    </row>
    <row r="771" spans="1:5">
      <c r="A771" t="s">
        <v>1420</v>
      </c>
      <c r="B771" t="s">
        <v>1421</v>
      </c>
      <c r="E771" s="1"/>
    </row>
    <row r="772" spans="1:5">
      <c r="A772" t="s">
        <v>1422</v>
      </c>
      <c r="B772" t="s">
        <v>1423</v>
      </c>
      <c r="E772" s="1"/>
    </row>
    <row r="773" spans="1:5">
      <c r="A773" t="s">
        <v>1424</v>
      </c>
      <c r="B773" t="s">
        <v>1425</v>
      </c>
      <c r="E773" s="1"/>
    </row>
    <row r="774" spans="1:5">
      <c r="A774" t="s">
        <v>1426</v>
      </c>
      <c r="B774" t="s">
        <v>1427</v>
      </c>
      <c r="E774" s="1"/>
    </row>
    <row r="775" spans="1:5">
      <c r="A775" t="s">
        <v>1428</v>
      </c>
      <c r="B775" t="s">
        <v>1429</v>
      </c>
      <c r="E775" s="1"/>
    </row>
    <row r="776" spans="1:5">
      <c r="A776" t="s">
        <v>1430</v>
      </c>
      <c r="B776" t="s">
        <v>1431</v>
      </c>
      <c r="E776" s="1"/>
    </row>
    <row r="777" spans="1:5">
      <c r="A777" t="s">
        <v>1432</v>
      </c>
      <c r="B777" t="s">
        <v>1433</v>
      </c>
      <c r="E777" s="1"/>
    </row>
    <row r="778" spans="1:5">
      <c r="A778" t="s">
        <v>1434</v>
      </c>
      <c r="B778" t="s">
        <v>1435</v>
      </c>
      <c r="E778" s="1"/>
    </row>
    <row r="779" spans="1:5">
      <c r="A779" t="s">
        <v>1436</v>
      </c>
      <c r="B779" t="s">
        <v>1437</v>
      </c>
      <c r="E779" s="1"/>
    </row>
    <row r="780" spans="1:5">
      <c r="A780" t="s">
        <v>1438</v>
      </c>
      <c r="B780" t="s">
        <v>1439</v>
      </c>
      <c r="E780" s="1"/>
    </row>
    <row r="781" spans="1:5">
      <c r="A781" t="s">
        <v>1440</v>
      </c>
      <c r="B781" t="s">
        <v>1441</v>
      </c>
      <c r="E781" s="1"/>
    </row>
    <row r="782" spans="1:5">
      <c r="A782" t="s">
        <v>1442</v>
      </c>
      <c r="B782" t="s">
        <v>1443</v>
      </c>
      <c r="E782" s="1"/>
    </row>
    <row r="783" spans="1:5">
      <c r="A783" t="s">
        <v>1444</v>
      </c>
      <c r="B783" t="s">
        <v>1445</v>
      </c>
      <c r="E783" s="1"/>
    </row>
    <row r="784" spans="1:5">
      <c r="A784" t="s">
        <v>1446</v>
      </c>
      <c r="B784" t="s">
        <v>1447</v>
      </c>
      <c r="E784" s="1"/>
    </row>
    <row r="785" spans="1:8">
      <c r="A785" t="s">
        <v>1448</v>
      </c>
      <c r="B785" t="s">
        <v>1449</v>
      </c>
      <c r="E785" s="1"/>
    </row>
    <row r="786" spans="1:8">
      <c r="A786" t="s">
        <v>1450</v>
      </c>
      <c r="B786" t="s">
        <v>1451</v>
      </c>
      <c r="E786" s="1"/>
    </row>
    <row r="787" spans="1:8">
      <c r="A787" t="s">
        <v>1452</v>
      </c>
      <c r="B787" t="s">
        <v>1453</v>
      </c>
      <c r="C787" s="1" t="s">
        <v>1454</v>
      </c>
      <c r="D787" s="1"/>
      <c r="E787" s="1" t="str">
        <f t="shared" ref="E787:E792" si="68">HYPERLINK("https://www.kegg.jp/dbget-bin/www_bget?ec:" &amp; C787, "https://www.kegg.jp/dbget-bin/www_bget?ec:" &amp; C787)</f>
        <v>https://www.kegg.jp/dbget-bin/www_bget?ec:2.7.4.1</v>
      </c>
      <c r="F787" t="s">
        <v>9552</v>
      </c>
      <c r="G787" s="10" t="s">
        <v>9551</v>
      </c>
      <c r="H787" s="13" t="s">
        <v>9550</v>
      </c>
    </row>
    <row r="788" spans="1:8">
      <c r="A788" t="s">
        <v>1455</v>
      </c>
      <c r="B788" t="s">
        <v>1456</v>
      </c>
      <c r="E788" s="1"/>
    </row>
    <row r="789" spans="1:8">
      <c r="A789" t="s">
        <v>1457</v>
      </c>
      <c r="B789" t="s">
        <v>1458</v>
      </c>
      <c r="E789" s="1"/>
    </row>
    <row r="790" spans="1:8">
      <c r="A790" t="s">
        <v>1459</v>
      </c>
      <c r="B790" t="s">
        <v>1460</v>
      </c>
      <c r="C790" s="1" t="s">
        <v>1461</v>
      </c>
      <c r="D790" s="1"/>
      <c r="E790" s="1" t="str">
        <f t="shared" ref="E790:E791" si="69">HYPERLINK("https://www.kegg.jp/dbget-bin/www_bget?ec:" &amp; C790, "https://www.kegg.jp/dbget-bin/www_bget?ec:" &amp; C790)</f>
        <v>https://www.kegg.jp/dbget-bin/www_bget?ec:2.8.1.8</v>
      </c>
      <c r="F790" t="s">
        <v>9553</v>
      </c>
      <c r="G790" s="10" t="s">
        <v>9554</v>
      </c>
      <c r="H790" s="13" t="s">
        <v>9555</v>
      </c>
    </row>
    <row r="791" spans="1:8">
      <c r="A791" t="s">
        <v>1459</v>
      </c>
      <c r="B791" t="s">
        <v>1460</v>
      </c>
      <c r="C791" s="1" t="s">
        <v>1461</v>
      </c>
      <c r="D791" s="1"/>
      <c r="E791" s="1" t="str">
        <f t="shared" si="69"/>
        <v>https://www.kegg.jp/dbget-bin/www_bget?ec:2.8.1.8</v>
      </c>
      <c r="F791" t="s">
        <v>9553</v>
      </c>
      <c r="G791" s="10" t="s">
        <v>9556</v>
      </c>
      <c r="H791" s="13" t="s">
        <v>9557</v>
      </c>
    </row>
    <row r="792" spans="1:8">
      <c r="A792" t="s">
        <v>1459</v>
      </c>
      <c r="B792" t="s">
        <v>1460</v>
      </c>
      <c r="C792" s="1" t="s">
        <v>1461</v>
      </c>
      <c r="D792" s="1"/>
      <c r="E792" s="1" t="str">
        <f t="shared" si="68"/>
        <v>https://www.kegg.jp/dbget-bin/www_bget?ec:2.8.1.8</v>
      </c>
      <c r="F792" t="s">
        <v>9553</v>
      </c>
      <c r="G792" s="10" t="s">
        <v>9558</v>
      </c>
      <c r="H792" s="13" t="s">
        <v>9559</v>
      </c>
    </row>
    <row r="793" spans="1:8">
      <c r="A793" t="s">
        <v>1462</v>
      </c>
      <c r="B793" t="s">
        <v>1463</v>
      </c>
      <c r="E793" s="1"/>
    </row>
    <row r="794" spans="1:8">
      <c r="A794" t="s">
        <v>1464</v>
      </c>
      <c r="B794" t="s">
        <v>1465</v>
      </c>
      <c r="E794" s="1"/>
    </row>
    <row r="795" spans="1:8">
      <c r="A795" t="s">
        <v>1466</v>
      </c>
      <c r="B795" t="s">
        <v>1467</v>
      </c>
      <c r="E795" s="1"/>
    </row>
    <row r="796" spans="1:8">
      <c r="A796" t="s">
        <v>1468</v>
      </c>
      <c r="B796" t="s">
        <v>1469</v>
      </c>
      <c r="E796" s="1"/>
    </row>
    <row r="797" spans="1:8">
      <c r="A797" t="s">
        <v>1470</v>
      </c>
      <c r="B797" t="s">
        <v>1471</v>
      </c>
      <c r="E797" s="1"/>
    </row>
    <row r="798" spans="1:8">
      <c r="A798" t="s">
        <v>1472</v>
      </c>
      <c r="B798" t="s">
        <v>1473</v>
      </c>
      <c r="E798" s="1"/>
    </row>
    <row r="799" spans="1:8">
      <c r="A799" t="s">
        <v>1474</v>
      </c>
      <c r="B799" t="s">
        <v>1475</v>
      </c>
      <c r="E799" s="1"/>
    </row>
    <row r="800" spans="1:8">
      <c r="A800" t="s">
        <v>1476</v>
      </c>
      <c r="B800" t="s">
        <v>1477</v>
      </c>
      <c r="E800" s="1"/>
    </row>
    <row r="801" spans="1:5">
      <c r="A801" t="s">
        <v>1478</v>
      </c>
      <c r="B801" t="s">
        <v>1479</v>
      </c>
      <c r="E801" s="1"/>
    </row>
    <row r="802" spans="1:5">
      <c r="A802" t="s">
        <v>1480</v>
      </c>
      <c r="B802" t="s">
        <v>1481</v>
      </c>
      <c r="E802" s="1"/>
    </row>
    <row r="803" spans="1:5">
      <c r="A803" t="s">
        <v>1482</v>
      </c>
      <c r="B803" t="s">
        <v>1483</v>
      </c>
      <c r="E803" s="1"/>
    </row>
    <row r="804" spans="1:5">
      <c r="A804" t="s">
        <v>1484</v>
      </c>
      <c r="B804" t="s">
        <v>1485</v>
      </c>
      <c r="E804" s="1"/>
    </row>
    <row r="805" spans="1:5">
      <c r="A805" t="s">
        <v>1486</v>
      </c>
      <c r="B805" t="s">
        <v>1487</v>
      </c>
      <c r="E805" s="1"/>
    </row>
    <row r="806" spans="1:5">
      <c r="A806" t="s">
        <v>1488</v>
      </c>
      <c r="B806" t="s">
        <v>1489</v>
      </c>
      <c r="E806" s="1"/>
    </row>
    <row r="807" spans="1:5">
      <c r="A807" t="s">
        <v>1490</v>
      </c>
      <c r="B807" t="s">
        <v>1491</v>
      </c>
      <c r="E807" s="1"/>
    </row>
    <row r="808" spans="1:5">
      <c r="A808" t="s">
        <v>1492</v>
      </c>
      <c r="B808" t="s">
        <v>1493</v>
      </c>
      <c r="E808" s="1"/>
    </row>
    <row r="809" spans="1:5">
      <c r="A809" t="s">
        <v>1494</v>
      </c>
      <c r="B809" t="s">
        <v>1495</v>
      </c>
      <c r="E809" s="1"/>
    </row>
    <row r="810" spans="1:5">
      <c r="A810" t="s">
        <v>1496</v>
      </c>
      <c r="B810" t="s">
        <v>1497</v>
      </c>
      <c r="E810" s="1"/>
    </row>
    <row r="811" spans="1:5">
      <c r="A811" t="s">
        <v>1498</v>
      </c>
      <c r="B811" t="s">
        <v>1499</v>
      </c>
      <c r="E811" s="1"/>
    </row>
    <row r="812" spans="1:5">
      <c r="A812" t="s">
        <v>1500</v>
      </c>
      <c r="B812" t="s">
        <v>1501</v>
      </c>
      <c r="E812" s="1"/>
    </row>
    <row r="813" spans="1:5">
      <c r="A813" t="s">
        <v>1502</v>
      </c>
      <c r="B813" t="s">
        <v>1503</v>
      </c>
      <c r="E813" s="1"/>
    </row>
    <row r="814" spans="1:5">
      <c r="A814" t="s">
        <v>1504</v>
      </c>
      <c r="B814" t="s">
        <v>1505</v>
      </c>
      <c r="E814" s="1"/>
    </row>
    <row r="815" spans="1:5">
      <c r="A815" t="s">
        <v>1506</v>
      </c>
      <c r="B815" t="s">
        <v>1507</v>
      </c>
      <c r="E815" s="1"/>
    </row>
    <row r="816" spans="1:5">
      <c r="A816" t="s">
        <v>1508</v>
      </c>
      <c r="B816" t="s">
        <v>1509</v>
      </c>
      <c r="E816" s="1"/>
    </row>
    <row r="817" spans="1:5">
      <c r="A817" t="s">
        <v>1510</v>
      </c>
      <c r="B817" t="s">
        <v>1511</v>
      </c>
      <c r="E817" s="1"/>
    </row>
    <row r="818" spans="1:5">
      <c r="A818" t="s">
        <v>1512</v>
      </c>
      <c r="B818" t="s">
        <v>1513</v>
      </c>
      <c r="E818" s="1"/>
    </row>
    <row r="819" spans="1:5">
      <c r="A819" t="s">
        <v>1514</v>
      </c>
      <c r="B819" t="s">
        <v>1515</v>
      </c>
      <c r="E819" s="1"/>
    </row>
    <row r="820" spans="1:5">
      <c r="A820" t="s">
        <v>1516</v>
      </c>
      <c r="B820" t="s">
        <v>1517</v>
      </c>
      <c r="E820" s="1"/>
    </row>
    <row r="821" spans="1:5">
      <c r="A821" t="s">
        <v>1518</v>
      </c>
      <c r="B821" t="s">
        <v>1519</v>
      </c>
      <c r="E821" s="1"/>
    </row>
    <row r="822" spans="1:5">
      <c r="A822" t="s">
        <v>1520</v>
      </c>
      <c r="B822" t="s">
        <v>1521</v>
      </c>
      <c r="E822" s="1"/>
    </row>
    <row r="823" spans="1:5">
      <c r="A823" t="s">
        <v>1522</v>
      </c>
      <c r="B823" t="s">
        <v>1523</v>
      </c>
      <c r="E823" s="1"/>
    </row>
    <row r="824" spans="1:5">
      <c r="A824" t="s">
        <v>1524</v>
      </c>
      <c r="B824" t="s">
        <v>1525</v>
      </c>
      <c r="E824" s="1"/>
    </row>
    <row r="825" spans="1:5">
      <c r="A825" t="s">
        <v>1526</v>
      </c>
      <c r="B825" t="s">
        <v>1527</v>
      </c>
      <c r="E825" s="1"/>
    </row>
    <row r="826" spans="1:5">
      <c r="A826" t="s">
        <v>1528</v>
      </c>
      <c r="B826" t="s">
        <v>1529</v>
      </c>
      <c r="E826" s="1"/>
    </row>
    <row r="827" spans="1:5">
      <c r="A827" t="s">
        <v>1530</v>
      </c>
      <c r="B827" t="s">
        <v>1531</v>
      </c>
      <c r="E827" s="1"/>
    </row>
    <row r="828" spans="1:5">
      <c r="B828" t="s">
        <v>1532</v>
      </c>
      <c r="E828" s="1"/>
    </row>
    <row r="829" spans="1:5">
      <c r="A829" t="s">
        <v>1533</v>
      </c>
      <c r="B829" t="s">
        <v>1534</v>
      </c>
      <c r="E829" s="1"/>
    </row>
    <row r="830" spans="1:5">
      <c r="A830" t="s">
        <v>1535</v>
      </c>
      <c r="B830" t="s">
        <v>1536</v>
      </c>
      <c r="E830" s="1"/>
    </row>
    <row r="831" spans="1:5">
      <c r="A831" t="s">
        <v>1537</v>
      </c>
      <c r="B831" t="s">
        <v>1538</v>
      </c>
      <c r="E831" s="1"/>
    </row>
    <row r="832" spans="1:5">
      <c r="A832" t="s">
        <v>1539</v>
      </c>
      <c r="B832" t="s">
        <v>1540</v>
      </c>
      <c r="E832" s="1"/>
    </row>
    <row r="833" spans="1:5">
      <c r="A833" t="s">
        <v>1541</v>
      </c>
      <c r="B833" t="s">
        <v>1542</v>
      </c>
      <c r="E833" s="1"/>
    </row>
    <row r="834" spans="1:5">
      <c r="A834" t="s">
        <v>1543</v>
      </c>
      <c r="B834" t="s">
        <v>1544</v>
      </c>
      <c r="E834" s="1"/>
    </row>
    <row r="835" spans="1:5">
      <c r="A835" t="s">
        <v>1545</v>
      </c>
      <c r="B835" t="s">
        <v>1546</v>
      </c>
      <c r="E835" s="1"/>
    </row>
    <row r="836" spans="1:5">
      <c r="A836" t="s">
        <v>1547</v>
      </c>
      <c r="B836" t="s">
        <v>1548</v>
      </c>
      <c r="E836" s="1"/>
    </row>
    <row r="837" spans="1:5">
      <c r="A837" t="s">
        <v>1549</v>
      </c>
      <c r="B837" t="s">
        <v>1550</v>
      </c>
      <c r="E837" s="1"/>
    </row>
    <row r="838" spans="1:5">
      <c r="A838" t="s">
        <v>1551</v>
      </c>
      <c r="B838" t="s">
        <v>1552</v>
      </c>
      <c r="E838" s="1"/>
    </row>
    <row r="839" spans="1:5">
      <c r="A839" t="s">
        <v>1553</v>
      </c>
      <c r="B839" t="s">
        <v>1554</v>
      </c>
      <c r="E839" s="1"/>
    </row>
    <row r="840" spans="1:5">
      <c r="A840" t="s">
        <v>1555</v>
      </c>
      <c r="B840" t="s">
        <v>1556</v>
      </c>
      <c r="E840" s="1"/>
    </row>
    <row r="841" spans="1:5">
      <c r="A841" t="s">
        <v>1557</v>
      </c>
      <c r="B841" t="s">
        <v>1558</v>
      </c>
      <c r="E841" s="1"/>
    </row>
    <row r="842" spans="1:5">
      <c r="A842" t="s">
        <v>1559</v>
      </c>
      <c r="B842" t="s">
        <v>1560</v>
      </c>
      <c r="E842" s="1"/>
    </row>
    <row r="843" spans="1:5">
      <c r="A843" t="s">
        <v>1561</v>
      </c>
      <c r="B843" t="s">
        <v>1562</v>
      </c>
      <c r="E843" s="1"/>
    </row>
    <row r="844" spans="1:5">
      <c r="A844" t="s">
        <v>1563</v>
      </c>
      <c r="B844" t="s">
        <v>1564</v>
      </c>
      <c r="E844" s="1"/>
    </row>
    <row r="845" spans="1:5">
      <c r="A845" t="s">
        <v>1565</v>
      </c>
      <c r="B845" t="s">
        <v>1566</v>
      </c>
      <c r="E845" s="1"/>
    </row>
    <row r="846" spans="1:5">
      <c r="A846" t="s">
        <v>1567</v>
      </c>
      <c r="B846" t="s">
        <v>1568</v>
      </c>
      <c r="E846" s="1"/>
    </row>
    <row r="847" spans="1:5">
      <c r="A847" t="s">
        <v>1569</v>
      </c>
      <c r="B847" t="s">
        <v>1570</v>
      </c>
      <c r="E847" s="1"/>
    </row>
    <row r="848" spans="1:5">
      <c r="B848" t="s">
        <v>1571</v>
      </c>
      <c r="E848" s="1"/>
    </row>
    <row r="849" spans="1:8">
      <c r="A849" t="s">
        <v>1572</v>
      </c>
      <c r="B849" t="s">
        <v>1573</v>
      </c>
      <c r="E849" s="1"/>
    </row>
    <row r="850" spans="1:8">
      <c r="A850" t="s">
        <v>1574</v>
      </c>
      <c r="B850" t="s">
        <v>1575</v>
      </c>
      <c r="E850" s="1"/>
    </row>
    <row r="851" spans="1:8">
      <c r="A851" t="s">
        <v>1576</v>
      </c>
      <c r="B851" t="s">
        <v>1577</v>
      </c>
      <c r="E851" s="1"/>
    </row>
    <row r="852" spans="1:8">
      <c r="A852" t="s">
        <v>1578</v>
      </c>
      <c r="B852" t="s">
        <v>1579</v>
      </c>
      <c r="E852" s="1"/>
    </row>
    <row r="853" spans="1:8">
      <c r="A853" t="s">
        <v>1580</v>
      </c>
      <c r="B853" t="s">
        <v>1581</v>
      </c>
      <c r="E853" s="1"/>
    </row>
    <row r="854" spans="1:8">
      <c r="A854" t="s">
        <v>1582</v>
      </c>
      <c r="B854" t="s">
        <v>1583</v>
      </c>
      <c r="E854" s="1"/>
    </row>
    <row r="855" spans="1:8">
      <c r="A855" t="s">
        <v>1584</v>
      </c>
      <c r="B855" t="s">
        <v>1585</v>
      </c>
      <c r="E855" s="1"/>
    </row>
    <row r="856" spans="1:8">
      <c r="A856" t="s">
        <v>1586</v>
      </c>
      <c r="B856" t="s">
        <v>1587</v>
      </c>
      <c r="E856" s="1"/>
    </row>
    <row r="857" spans="1:8">
      <c r="A857" t="s">
        <v>1588</v>
      </c>
      <c r="B857" t="s">
        <v>1589</v>
      </c>
      <c r="E857" s="1"/>
    </row>
    <row r="858" spans="1:8">
      <c r="A858" t="s">
        <v>1590</v>
      </c>
      <c r="B858" t="s">
        <v>1591</v>
      </c>
      <c r="E858" s="1"/>
    </row>
    <row r="859" spans="1:8">
      <c r="B859" t="s">
        <v>1592</v>
      </c>
      <c r="E859" s="1"/>
      <c r="H859"/>
    </row>
    <row r="860" spans="1:8">
      <c r="A860" t="s">
        <v>1593</v>
      </c>
      <c r="B860" t="s">
        <v>1594</v>
      </c>
      <c r="E860" s="1"/>
    </row>
    <row r="861" spans="1:8">
      <c r="A861" t="s">
        <v>1595</v>
      </c>
      <c r="B861" t="s">
        <v>1596</v>
      </c>
      <c r="E861" s="1"/>
    </row>
    <row r="862" spans="1:8">
      <c r="A862" t="s">
        <v>1597</v>
      </c>
      <c r="B862" t="s">
        <v>1598</v>
      </c>
      <c r="E862" s="1"/>
    </row>
    <row r="863" spans="1:8">
      <c r="A863" t="s">
        <v>1599</v>
      </c>
      <c r="B863" t="s">
        <v>1600</v>
      </c>
      <c r="E863" s="1"/>
    </row>
    <row r="864" spans="1:8">
      <c r="A864" t="s">
        <v>1601</v>
      </c>
      <c r="B864" t="s">
        <v>1602</v>
      </c>
      <c r="E864" s="1"/>
    </row>
    <row r="865" spans="1:8">
      <c r="A865" t="s">
        <v>1603</v>
      </c>
      <c r="B865" t="s">
        <v>1604</v>
      </c>
      <c r="E865" s="1"/>
    </row>
    <row r="866" spans="1:8">
      <c r="A866" t="s">
        <v>1605</v>
      </c>
      <c r="B866" t="s">
        <v>1606</v>
      </c>
      <c r="E866" s="1"/>
    </row>
    <row r="867" spans="1:8">
      <c r="A867" t="s">
        <v>1607</v>
      </c>
      <c r="B867" t="s">
        <v>1608</v>
      </c>
      <c r="E867" s="1"/>
    </row>
    <row r="868" spans="1:8">
      <c r="A868" t="s">
        <v>1609</v>
      </c>
      <c r="B868" t="s">
        <v>1610</v>
      </c>
      <c r="E868" s="1"/>
    </row>
    <row r="869" spans="1:8">
      <c r="A869" t="s">
        <v>1611</v>
      </c>
      <c r="B869" t="s">
        <v>1612</v>
      </c>
      <c r="C869" s="1" t="s">
        <v>1613</v>
      </c>
      <c r="D869" s="1"/>
      <c r="E869" s="1" t="str">
        <f t="shared" ref="E869" si="70">HYPERLINK("https://www.kegg.jp/dbget-bin/www_bget?ec:" &amp; C869, "https://www.kegg.jp/dbget-bin/www_bget?ec:" &amp; C869)</f>
        <v>https://www.kegg.jp/dbget-bin/www_bget?ec:1.5.1.2</v>
      </c>
      <c r="F869" t="s">
        <v>9560</v>
      </c>
      <c r="G869" s="10" t="s">
        <v>9561</v>
      </c>
      <c r="H869" s="13" t="s">
        <v>9562</v>
      </c>
    </row>
    <row r="870" spans="1:8">
      <c r="A870" t="s">
        <v>1611</v>
      </c>
      <c r="B870" t="s">
        <v>1612</v>
      </c>
      <c r="C870" s="1" t="s">
        <v>1613</v>
      </c>
      <c r="D870" s="1"/>
      <c r="E870" s="1" t="str">
        <f t="shared" ref="E870" si="71">HYPERLINK("https://www.kegg.jp/dbget-bin/www_bget?ec:" &amp; C870, "https://www.kegg.jp/dbget-bin/www_bget?ec:" &amp; C870)</f>
        <v>https://www.kegg.jp/dbget-bin/www_bget?ec:1.5.1.2</v>
      </c>
      <c r="F870" t="s">
        <v>9560</v>
      </c>
      <c r="G870" s="10" t="s">
        <v>9563</v>
      </c>
      <c r="H870" s="13" t="s">
        <v>9564</v>
      </c>
    </row>
    <row r="871" spans="1:8">
      <c r="A871" t="s">
        <v>1611</v>
      </c>
      <c r="B871" t="s">
        <v>1612</v>
      </c>
      <c r="C871" s="1" t="s">
        <v>1613</v>
      </c>
      <c r="D871" s="1"/>
      <c r="E871" s="1" t="str">
        <f t="shared" ref="E871" si="72">HYPERLINK("https://www.kegg.jp/dbget-bin/www_bget?ec:" &amp; C871, "https://www.kegg.jp/dbget-bin/www_bget?ec:" &amp; C871)</f>
        <v>https://www.kegg.jp/dbget-bin/www_bget?ec:1.5.1.2</v>
      </c>
      <c r="F871" t="s">
        <v>9560</v>
      </c>
      <c r="G871" s="10" t="s">
        <v>9565</v>
      </c>
      <c r="H871" s="13" t="s">
        <v>9574</v>
      </c>
    </row>
    <row r="872" spans="1:8">
      <c r="A872" t="s">
        <v>1611</v>
      </c>
      <c r="B872" t="s">
        <v>1612</v>
      </c>
      <c r="C872" s="1" t="s">
        <v>1613</v>
      </c>
      <c r="D872" s="1"/>
      <c r="E872" s="1" t="str">
        <f t="shared" ref="E872:E928" si="73">HYPERLINK("https://www.kegg.jp/dbget-bin/www_bget?ec:" &amp; C872, "https://www.kegg.jp/dbget-bin/www_bget?ec:" &amp; C872)</f>
        <v>https://www.kegg.jp/dbget-bin/www_bget?ec:1.5.1.2</v>
      </c>
      <c r="F872" t="s">
        <v>9560</v>
      </c>
      <c r="G872" s="10" t="s">
        <v>9575</v>
      </c>
      <c r="H872" s="13" t="s">
        <v>9576</v>
      </c>
    </row>
    <row r="873" spans="1:8">
      <c r="A873" t="s">
        <v>1614</v>
      </c>
      <c r="B873" t="s">
        <v>1615</v>
      </c>
      <c r="E873" s="1"/>
    </row>
    <row r="874" spans="1:8">
      <c r="A874" t="s">
        <v>1616</v>
      </c>
      <c r="B874" t="s">
        <v>1617</v>
      </c>
      <c r="C874" s="1" t="s">
        <v>1618</v>
      </c>
      <c r="D874" s="1"/>
      <c r="E874" s="1" t="str">
        <f t="shared" ref="E874" si="74">HYPERLINK("https://www.kegg.jp/dbget-bin/www_bget?ec:" &amp; C874, "https://www.kegg.jp/dbget-bin/www_bget?ec:" &amp; C874)</f>
        <v>https://www.kegg.jp/dbget-bin/www_bget?ec:1.2.1.88</v>
      </c>
      <c r="F874" t="s">
        <v>9581</v>
      </c>
      <c r="G874" s="10" t="s">
        <v>10658</v>
      </c>
      <c r="H874" s="13" t="s">
        <v>10659</v>
      </c>
    </row>
    <row r="875" spans="1:8">
      <c r="A875" t="s">
        <v>1616</v>
      </c>
      <c r="B875" t="s">
        <v>1617</v>
      </c>
      <c r="C875" s="1" t="s">
        <v>1618</v>
      </c>
      <c r="D875" s="1"/>
      <c r="E875" s="1" t="str">
        <f t="shared" ref="E875" si="75">HYPERLINK("https://www.kegg.jp/dbget-bin/www_bget?ec:" &amp; C875, "https://www.kegg.jp/dbget-bin/www_bget?ec:" &amp; C875)</f>
        <v>https://www.kegg.jp/dbget-bin/www_bget?ec:1.2.1.88</v>
      </c>
      <c r="F875" t="s">
        <v>9581</v>
      </c>
      <c r="G875" s="10" t="s">
        <v>10660</v>
      </c>
      <c r="H875" s="13" t="s">
        <v>10661</v>
      </c>
    </row>
    <row r="876" spans="1:8">
      <c r="A876" t="s">
        <v>1616</v>
      </c>
      <c r="B876" t="s">
        <v>1617</v>
      </c>
      <c r="C876" s="1" t="s">
        <v>1618</v>
      </c>
      <c r="D876" s="1"/>
      <c r="E876" s="1" t="str">
        <f t="shared" ref="E876" si="76">HYPERLINK("https://www.kegg.jp/dbget-bin/www_bget?ec:" &amp; C876, "https://www.kegg.jp/dbget-bin/www_bget?ec:" &amp; C876)</f>
        <v>https://www.kegg.jp/dbget-bin/www_bget?ec:1.2.1.88</v>
      </c>
      <c r="F876" t="s">
        <v>9581</v>
      </c>
      <c r="G876" s="10" t="s">
        <v>12785</v>
      </c>
      <c r="H876" s="13" t="s">
        <v>10665</v>
      </c>
    </row>
    <row r="877" spans="1:8">
      <c r="A877" t="s">
        <v>1616</v>
      </c>
      <c r="B877" t="s">
        <v>1617</v>
      </c>
      <c r="C877" s="1" t="s">
        <v>1618</v>
      </c>
      <c r="D877" s="1"/>
      <c r="E877" s="1" t="str">
        <f t="shared" ref="E877" si="77">HYPERLINK("https://www.kegg.jp/dbget-bin/www_bget?ec:" &amp; C877, "https://www.kegg.jp/dbget-bin/www_bget?ec:" &amp; C877)</f>
        <v>https://www.kegg.jp/dbget-bin/www_bget?ec:1.2.1.88</v>
      </c>
      <c r="F877" t="s">
        <v>9581</v>
      </c>
      <c r="G877" s="10" t="s">
        <v>12786</v>
      </c>
      <c r="H877" s="13" t="s">
        <v>10662</v>
      </c>
    </row>
    <row r="878" spans="1:8">
      <c r="A878" t="s">
        <v>1616</v>
      </c>
      <c r="B878" t="s">
        <v>1617</v>
      </c>
      <c r="C878" s="1" t="s">
        <v>1618</v>
      </c>
      <c r="D878" s="1"/>
      <c r="E878" s="1" t="str">
        <f t="shared" ref="E878" si="78">HYPERLINK("https://www.kegg.jp/dbget-bin/www_bget?ec:" &amp; C878, "https://www.kegg.jp/dbget-bin/www_bget?ec:" &amp; C878)</f>
        <v>https://www.kegg.jp/dbget-bin/www_bget?ec:1.2.1.88</v>
      </c>
      <c r="F878" t="s">
        <v>9581</v>
      </c>
      <c r="G878" s="10" t="s">
        <v>12787</v>
      </c>
      <c r="H878" s="13" t="s">
        <v>12788</v>
      </c>
    </row>
    <row r="879" spans="1:8">
      <c r="A879" t="s">
        <v>1616</v>
      </c>
      <c r="B879" t="s">
        <v>1617</v>
      </c>
      <c r="C879" s="1" t="s">
        <v>1618</v>
      </c>
      <c r="D879" s="1"/>
      <c r="E879" s="1" t="str">
        <f t="shared" ref="E879" si="79">HYPERLINK("https://www.kegg.jp/dbget-bin/www_bget?ec:" &amp; C879, "https://www.kegg.jp/dbget-bin/www_bget?ec:" &amp; C879)</f>
        <v>https://www.kegg.jp/dbget-bin/www_bget?ec:1.2.1.88</v>
      </c>
      <c r="F879" t="s">
        <v>9581</v>
      </c>
      <c r="G879" s="10" t="s">
        <v>10662</v>
      </c>
      <c r="H879" s="13" t="s">
        <v>10663</v>
      </c>
    </row>
    <row r="880" spans="1:8">
      <c r="A880" t="s">
        <v>1616</v>
      </c>
      <c r="B880" t="s">
        <v>1617</v>
      </c>
      <c r="C880" s="1" t="s">
        <v>1618</v>
      </c>
      <c r="D880" s="1"/>
      <c r="E880" s="1" t="str">
        <f t="shared" si="73"/>
        <v>https://www.kegg.jp/dbget-bin/www_bget?ec:1.2.1.88</v>
      </c>
      <c r="F880" t="s">
        <v>9581</v>
      </c>
      <c r="G880" s="10" t="s">
        <v>10664</v>
      </c>
      <c r="H880" s="13" t="s">
        <v>10665</v>
      </c>
    </row>
    <row r="881" spans="1:8">
      <c r="A881" t="s">
        <v>1619</v>
      </c>
      <c r="B881" t="s">
        <v>1620</v>
      </c>
      <c r="E881" s="1"/>
    </row>
    <row r="882" spans="1:8">
      <c r="A882" t="s">
        <v>1621</v>
      </c>
      <c r="B882" t="s">
        <v>1622</v>
      </c>
      <c r="E882" s="1"/>
    </row>
    <row r="883" spans="1:8">
      <c r="A883" t="s">
        <v>1623</v>
      </c>
      <c r="B883" t="s">
        <v>1624</v>
      </c>
      <c r="E883" s="1"/>
    </row>
    <row r="884" spans="1:8">
      <c r="A884" t="s">
        <v>1625</v>
      </c>
      <c r="B884" t="s">
        <v>1626</v>
      </c>
      <c r="E884" s="1"/>
    </row>
    <row r="885" spans="1:8">
      <c r="A885" t="s">
        <v>1627</v>
      </c>
      <c r="B885" t="s">
        <v>1628</v>
      </c>
      <c r="C885" s="1" t="s">
        <v>1629</v>
      </c>
      <c r="D885" s="1"/>
      <c r="E885" s="1" t="str">
        <f t="shared" si="73"/>
        <v>https://www.kegg.jp/dbget-bin/www_bget?ec:2.7.2.11</v>
      </c>
      <c r="F885" t="s">
        <v>9589</v>
      </c>
      <c r="G885" s="10" t="s">
        <v>10666</v>
      </c>
      <c r="H885" s="13" t="s">
        <v>10667</v>
      </c>
    </row>
    <row r="886" spans="1:8">
      <c r="A886" t="s">
        <v>1630</v>
      </c>
      <c r="B886" t="s">
        <v>1631</v>
      </c>
      <c r="C886" s="1" t="s">
        <v>1632</v>
      </c>
      <c r="D886" s="1"/>
      <c r="E886" s="1" t="str">
        <f t="shared" si="73"/>
        <v>https://www.kegg.jp/dbget-bin/www_bget?ec:1.2.1.41</v>
      </c>
      <c r="F886" t="s">
        <v>9593</v>
      </c>
      <c r="G886" s="10" t="s">
        <v>10668</v>
      </c>
      <c r="H886" s="13" t="s">
        <v>10669</v>
      </c>
    </row>
    <row r="887" spans="1:8">
      <c r="A887" t="s">
        <v>1633</v>
      </c>
      <c r="B887" t="s">
        <v>1634</v>
      </c>
      <c r="E887" s="1"/>
    </row>
    <row r="888" spans="1:8">
      <c r="A888" t="s">
        <v>1635</v>
      </c>
      <c r="B888" t="s">
        <v>1636</v>
      </c>
      <c r="C888" s="1" t="s">
        <v>1637</v>
      </c>
      <c r="D888" s="1"/>
      <c r="E888" s="1" t="str">
        <f t="shared" si="73"/>
        <v>https://www.kegg.jp/dbget-bin/www_bget?ec:2.1.3.9</v>
      </c>
      <c r="F888" t="s">
        <v>9595</v>
      </c>
      <c r="G888" s="10" t="s">
        <v>10670</v>
      </c>
      <c r="H888" s="13" t="s">
        <v>10671</v>
      </c>
    </row>
    <row r="889" spans="1:8">
      <c r="A889" t="s">
        <v>1638</v>
      </c>
      <c r="B889" t="s">
        <v>1639</v>
      </c>
      <c r="E889" s="1"/>
    </row>
    <row r="890" spans="1:8">
      <c r="A890" t="s">
        <v>1640</v>
      </c>
      <c r="B890" t="s">
        <v>1641</v>
      </c>
      <c r="E890" s="1"/>
    </row>
    <row r="891" spans="1:8">
      <c r="A891" t="s">
        <v>1642</v>
      </c>
      <c r="B891" t="s">
        <v>1643</v>
      </c>
      <c r="E891" s="1"/>
    </row>
    <row r="892" spans="1:8" ht="15" customHeight="1">
      <c r="A892" t="s">
        <v>1644</v>
      </c>
      <c r="B892" t="s">
        <v>1645</v>
      </c>
      <c r="C892" s="1" t="s">
        <v>1646</v>
      </c>
      <c r="D892" s="1"/>
      <c r="E892" s="1" t="str">
        <f t="shared" ref="E892" si="80">HYPERLINK("https://www.kegg.jp/dbget-bin/www_bget?ec:" &amp; C892, "https://www.kegg.jp/dbget-bin/www_bget?ec:" &amp; C892)</f>
        <v>https://www.kegg.jp/dbget-bin/www_bget?ec:2.7.7.6</v>
      </c>
      <c r="F892" t="s">
        <v>9598</v>
      </c>
      <c r="G892" s="10" t="s">
        <v>10672</v>
      </c>
      <c r="H892" s="13" t="s">
        <v>10673</v>
      </c>
    </row>
    <row r="893" spans="1:8" ht="15" customHeight="1">
      <c r="A893" t="s">
        <v>1644</v>
      </c>
      <c r="B893" t="s">
        <v>1645</v>
      </c>
      <c r="C893" s="1" t="s">
        <v>1646</v>
      </c>
      <c r="D893" s="1"/>
      <c r="E893" s="1" t="str">
        <f t="shared" ref="E893" si="81">HYPERLINK("https://www.kegg.jp/dbget-bin/www_bget?ec:" &amp; C893, "https://www.kegg.jp/dbget-bin/www_bget?ec:" &amp; C893)</f>
        <v>https://www.kegg.jp/dbget-bin/www_bget?ec:2.7.7.6</v>
      </c>
      <c r="F893" t="s">
        <v>9598</v>
      </c>
      <c r="G893" s="10" t="s">
        <v>10674</v>
      </c>
      <c r="H893" s="13" t="s">
        <v>10675</v>
      </c>
    </row>
    <row r="894" spans="1:8" ht="15" customHeight="1">
      <c r="A894" t="s">
        <v>1644</v>
      </c>
      <c r="B894" t="s">
        <v>1645</v>
      </c>
      <c r="C894" s="1" t="s">
        <v>1646</v>
      </c>
      <c r="D894" s="1"/>
      <c r="E894" s="1" t="str">
        <f t="shared" ref="E894" si="82">HYPERLINK("https://www.kegg.jp/dbget-bin/www_bget?ec:" &amp; C894, "https://www.kegg.jp/dbget-bin/www_bget?ec:" &amp; C894)</f>
        <v>https://www.kegg.jp/dbget-bin/www_bget?ec:2.7.7.6</v>
      </c>
      <c r="F894" t="s">
        <v>9598</v>
      </c>
      <c r="G894" s="10" t="s">
        <v>10676</v>
      </c>
      <c r="H894" s="13" t="s">
        <v>10675</v>
      </c>
    </row>
    <row r="895" spans="1:8" ht="15" customHeight="1">
      <c r="A895" t="s">
        <v>1644</v>
      </c>
      <c r="B895" t="s">
        <v>1645</v>
      </c>
      <c r="C895" s="1" t="s">
        <v>1646</v>
      </c>
      <c r="D895" s="1"/>
      <c r="E895" s="1" t="str">
        <f t="shared" ref="E895" si="83">HYPERLINK("https://www.kegg.jp/dbget-bin/www_bget?ec:" &amp; C895, "https://www.kegg.jp/dbget-bin/www_bget?ec:" &amp; C895)</f>
        <v>https://www.kegg.jp/dbget-bin/www_bget?ec:2.7.7.6</v>
      </c>
      <c r="F895" t="s">
        <v>9598</v>
      </c>
      <c r="G895" s="10" t="s">
        <v>10677</v>
      </c>
      <c r="H895" s="13" t="s">
        <v>10673</v>
      </c>
    </row>
    <row r="896" spans="1:8" ht="15" customHeight="1">
      <c r="A896" t="s">
        <v>1644</v>
      </c>
      <c r="B896" t="s">
        <v>1645</v>
      </c>
      <c r="C896" s="1" t="s">
        <v>1646</v>
      </c>
      <c r="D896" s="1"/>
      <c r="E896" s="1" t="str">
        <f t="shared" ref="E896" si="84">HYPERLINK("https://www.kegg.jp/dbget-bin/www_bget?ec:" &amp; C896, "https://www.kegg.jp/dbget-bin/www_bget?ec:" &amp; C896)</f>
        <v>https://www.kegg.jp/dbget-bin/www_bget?ec:2.7.7.6</v>
      </c>
      <c r="F896" t="s">
        <v>9598</v>
      </c>
      <c r="G896" s="10" t="s">
        <v>10678</v>
      </c>
      <c r="H896" s="13" t="s">
        <v>10675</v>
      </c>
    </row>
    <row r="897" spans="1:8" ht="15" customHeight="1">
      <c r="A897" t="s">
        <v>1644</v>
      </c>
      <c r="B897" t="s">
        <v>1645</v>
      </c>
      <c r="C897" s="1" t="s">
        <v>1646</v>
      </c>
      <c r="D897" s="1"/>
      <c r="E897" s="1" t="str">
        <f t="shared" si="73"/>
        <v>https://www.kegg.jp/dbget-bin/www_bget?ec:2.7.7.6</v>
      </c>
      <c r="F897" t="s">
        <v>9598</v>
      </c>
      <c r="G897" s="10" t="s">
        <v>9606</v>
      </c>
      <c r="H897" s="13" t="s">
        <v>11420</v>
      </c>
    </row>
    <row r="898" spans="1:8">
      <c r="A898" t="s">
        <v>1647</v>
      </c>
      <c r="B898" t="s">
        <v>1648</v>
      </c>
      <c r="C898" s="1" t="s">
        <v>1646</v>
      </c>
      <c r="D898" s="1"/>
      <c r="E898" s="1" t="str">
        <f t="shared" ref="E898" si="85">HYPERLINK("https://www.kegg.jp/dbget-bin/www_bget?ec:" &amp; C898, "https://www.kegg.jp/dbget-bin/www_bget?ec:" &amp; C898)</f>
        <v>https://www.kegg.jp/dbget-bin/www_bget?ec:2.7.7.6</v>
      </c>
      <c r="F898" t="s">
        <v>9598</v>
      </c>
      <c r="G898" s="10" t="s">
        <v>10672</v>
      </c>
      <c r="H898" s="13" t="s">
        <v>10673</v>
      </c>
    </row>
    <row r="899" spans="1:8">
      <c r="A899" t="s">
        <v>1647</v>
      </c>
      <c r="B899" t="s">
        <v>1648</v>
      </c>
      <c r="C899" s="1" t="s">
        <v>1646</v>
      </c>
      <c r="D899" s="1"/>
      <c r="E899" s="1" t="str">
        <f t="shared" ref="E899" si="86">HYPERLINK("https://www.kegg.jp/dbget-bin/www_bget?ec:" &amp; C899, "https://www.kegg.jp/dbget-bin/www_bget?ec:" &amp; C899)</f>
        <v>https://www.kegg.jp/dbget-bin/www_bget?ec:2.7.7.6</v>
      </c>
      <c r="F899" t="s">
        <v>9598</v>
      </c>
      <c r="G899" s="10" t="s">
        <v>10674</v>
      </c>
      <c r="H899" s="13" t="s">
        <v>10675</v>
      </c>
    </row>
    <row r="900" spans="1:8">
      <c r="A900" t="s">
        <v>1647</v>
      </c>
      <c r="B900" t="s">
        <v>1648</v>
      </c>
      <c r="C900" s="1" t="s">
        <v>1646</v>
      </c>
      <c r="D900" s="1"/>
      <c r="E900" s="1" t="str">
        <f t="shared" ref="E900" si="87">HYPERLINK("https://www.kegg.jp/dbget-bin/www_bget?ec:" &amp; C900, "https://www.kegg.jp/dbget-bin/www_bget?ec:" &amp; C900)</f>
        <v>https://www.kegg.jp/dbget-bin/www_bget?ec:2.7.7.6</v>
      </c>
      <c r="F900" t="s">
        <v>9598</v>
      </c>
      <c r="G900" s="10" t="s">
        <v>10676</v>
      </c>
      <c r="H900" s="13" t="s">
        <v>10675</v>
      </c>
    </row>
    <row r="901" spans="1:8">
      <c r="A901" t="s">
        <v>1647</v>
      </c>
      <c r="B901" t="s">
        <v>1648</v>
      </c>
      <c r="C901" s="1" t="s">
        <v>1646</v>
      </c>
      <c r="D901" s="1"/>
      <c r="E901" s="1" t="str">
        <f t="shared" ref="E901" si="88">HYPERLINK("https://www.kegg.jp/dbget-bin/www_bget?ec:" &amp; C901, "https://www.kegg.jp/dbget-bin/www_bget?ec:" &amp; C901)</f>
        <v>https://www.kegg.jp/dbget-bin/www_bget?ec:2.7.7.6</v>
      </c>
      <c r="F901" t="s">
        <v>9598</v>
      </c>
      <c r="G901" s="10" t="s">
        <v>10677</v>
      </c>
      <c r="H901" s="13" t="s">
        <v>10673</v>
      </c>
    </row>
    <row r="902" spans="1:8">
      <c r="A902" t="s">
        <v>1647</v>
      </c>
      <c r="B902" t="s">
        <v>1648</v>
      </c>
      <c r="C902" s="1" t="s">
        <v>1646</v>
      </c>
      <c r="D902" s="1"/>
      <c r="E902" s="1" t="str">
        <f t="shared" ref="E902" si="89">HYPERLINK("https://www.kegg.jp/dbget-bin/www_bget?ec:" &amp; C902, "https://www.kegg.jp/dbget-bin/www_bget?ec:" &amp; C902)</f>
        <v>https://www.kegg.jp/dbget-bin/www_bget?ec:2.7.7.6</v>
      </c>
      <c r="F902" t="s">
        <v>9598</v>
      </c>
      <c r="G902" s="10" t="s">
        <v>10678</v>
      </c>
      <c r="H902" s="13" t="s">
        <v>10675</v>
      </c>
    </row>
    <row r="903" spans="1:8">
      <c r="A903" t="s">
        <v>1647</v>
      </c>
      <c r="B903" t="s">
        <v>1648</v>
      </c>
      <c r="C903" s="1" t="s">
        <v>1646</v>
      </c>
      <c r="D903" s="1"/>
      <c r="E903" s="1" t="str">
        <f t="shared" si="73"/>
        <v>https://www.kegg.jp/dbget-bin/www_bget?ec:2.7.7.6</v>
      </c>
      <c r="F903" t="s">
        <v>9598</v>
      </c>
      <c r="G903" s="10" t="s">
        <v>9606</v>
      </c>
      <c r="H903" s="13" t="s">
        <v>9607</v>
      </c>
    </row>
    <row r="904" spans="1:8">
      <c r="A904" t="s">
        <v>1649</v>
      </c>
      <c r="B904" t="s">
        <v>1650</v>
      </c>
      <c r="E904" s="1"/>
    </row>
    <row r="905" spans="1:8">
      <c r="A905" t="s">
        <v>1651</v>
      </c>
      <c r="B905" t="s">
        <v>1652</v>
      </c>
      <c r="E905" s="1"/>
    </row>
    <row r="906" spans="1:8">
      <c r="A906" t="s">
        <v>1653</v>
      </c>
      <c r="B906" t="s">
        <v>1654</v>
      </c>
      <c r="E906" s="1"/>
    </row>
    <row r="907" spans="1:8">
      <c r="A907" t="s">
        <v>1655</v>
      </c>
      <c r="B907" t="s">
        <v>1656</v>
      </c>
      <c r="E907" s="1"/>
    </row>
    <row r="908" spans="1:8">
      <c r="A908" t="s">
        <v>1657</v>
      </c>
      <c r="B908" t="s">
        <v>1658</v>
      </c>
      <c r="E908" s="1"/>
    </row>
    <row r="909" spans="1:8">
      <c r="A909" t="s">
        <v>1659</v>
      </c>
      <c r="B909" t="s">
        <v>1660</v>
      </c>
      <c r="E909" s="1"/>
    </row>
    <row r="910" spans="1:8">
      <c r="B910" t="s">
        <v>1661</v>
      </c>
      <c r="E910" s="1"/>
    </row>
    <row r="911" spans="1:8">
      <c r="A911" t="s">
        <v>1662</v>
      </c>
      <c r="B911" t="s">
        <v>1663</v>
      </c>
      <c r="E911" s="1"/>
    </row>
    <row r="912" spans="1:8">
      <c r="B912" t="s">
        <v>1664</v>
      </c>
      <c r="E912" s="1"/>
    </row>
    <row r="913" spans="1:8">
      <c r="B913" t="s">
        <v>1665</v>
      </c>
      <c r="E913" s="1"/>
    </row>
    <row r="914" spans="1:8">
      <c r="B914" t="s">
        <v>1666</v>
      </c>
      <c r="E914" s="1"/>
    </row>
    <row r="915" spans="1:8">
      <c r="B915" t="s">
        <v>1667</v>
      </c>
      <c r="E915" s="1"/>
    </row>
    <row r="916" spans="1:8">
      <c r="A916" t="s">
        <v>1668</v>
      </c>
      <c r="B916" t="s">
        <v>1669</v>
      </c>
      <c r="E916" s="1"/>
    </row>
    <row r="917" spans="1:8">
      <c r="A917" t="s">
        <v>1670</v>
      </c>
      <c r="B917" t="s">
        <v>1671</v>
      </c>
      <c r="E917" s="1"/>
    </row>
    <row r="918" spans="1:8">
      <c r="A918" t="s">
        <v>1672</v>
      </c>
      <c r="B918" t="s">
        <v>1673</v>
      </c>
      <c r="E918" s="1"/>
    </row>
    <row r="919" spans="1:8">
      <c r="A919" t="s">
        <v>1674</v>
      </c>
      <c r="B919" t="s">
        <v>1675</v>
      </c>
      <c r="C919" s="1" t="s">
        <v>1676</v>
      </c>
      <c r="D919" s="1"/>
      <c r="E919" s="1" t="str">
        <f t="shared" si="73"/>
        <v>https://www.kegg.jp/dbget-bin/www_bget?ec:5.3.1.23</v>
      </c>
      <c r="F919" s="1" t="s">
        <v>9610</v>
      </c>
      <c r="G919" s="1" t="s">
        <v>9608</v>
      </c>
      <c r="H919" s="13" t="s">
        <v>9609</v>
      </c>
    </row>
    <row r="920" spans="1:8">
      <c r="A920" t="s">
        <v>1677</v>
      </c>
      <c r="B920" t="s">
        <v>1678</v>
      </c>
      <c r="E920" s="1"/>
    </row>
    <row r="921" spans="1:8">
      <c r="A921" t="s">
        <v>1679</v>
      </c>
      <c r="B921" t="s">
        <v>1680</v>
      </c>
      <c r="E921" s="1"/>
    </row>
    <row r="922" spans="1:8">
      <c r="A922" t="s">
        <v>1681</v>
      </c>
      <c r="B922" t="s">
        <v>1682</v>
      </c>
      <c r="E922" s="1"/>
    </row>
    <row r="923" spans="1:8">
      <c r="A923" t="s">
        <v>1683</v>
      </c>
      <c r="B923" t="s">
        <v>1684</v>
      </c>
      <c r="E923" s="1"/>
    </row>
    <row r="924" spans="1:8">
      <c r="A924" t="s">
        <v>1685</v>
      </c>
      <c r="B924" t="s">
        <v>1686</v>
      </c>
      <c r="E924" s="1"/>
    </row>
    <row r="925" spans="1:8">
      <c r="A925" t="s">
        <v>1687</v>
      </c>
      <c r="B925" t="s">
        <v>1688</v>
      </c>
      <c r="E925" s="1"/>
    </row>
    <row r="926" spans="1:8">
      <c r="A926" t="s">
        <v>1689</v>
      </c>
      <c r="B926" t="s">
        <v>1690</v>
      </c>
      <c r="E926" s="1"/>
    </row>
    <row r="927" spans="1:8">
      <c r="A927" t="s">
        <v>1691</v>
      </c>
      <c r="B927" t="s">
        <v>1692</v>
      </c>
      <c r="E927" s="1"/>
    </row>
    <row r="928" spans="1:8">
      <c r="A928" t="s">
        <v>1693</v>
      </c>
      <c r="B928" t="s">
        <v>1694</v>
      </c>
      <c r="C928" s="1" t="s">
        <v>1695</v>
      </c>
      <c r="D928" s="1"/>
      <c r="E928" s="1" t="str">
        <f t="shared" si="73"/>
        <v>https://www.kegg.jp/dbget-bin/www_bget?ec:6.1.1.17</v>
      </c>
      <c r="F928" t="s">
        <v>9611</v>
      </c>
      <c r="G928" s="10" t="s">
        <v>10679</v>
      </c>
      <c r="H928" s="13" t="s">
        <v>10680</v>
      </c>
    </row>
    <row r="929" spans="1:8">
      <c r="A929" t="s">
        <v>1696</v>
      </c>
      <c r="B929" t="s">
        <v>1697</v>
      </c>
      <c r="E929" s="1"/>
    </row>
    <row r="930" spans="1:8">
      <c r="A930" t="s">
        <v>1698</v>
      </c>
      <c r="B930" t="s">
        <v>1699</v>
      </c>
      <c r="E930" s="1"/>
    </row>
    <row r="931" spans="1:8">
      <c r="A931" t="s">
        <v>1700</v>
      </c>
      <c r="B931" t="s">
        <v>1701</v>
      </c>
      <c r="E931" s="1"/>
    </row>
    <row r="932" spans="1:8">
      <c r="A932" t="s">
        <v>1702</v>
      </c>
      <c r="B932" t="s">
        <v>1703</v>
      </c>
      <c r="E932" s="1"/>
    </row>
    <row r="933" spans="1:8">
      <c r="A933" t="s">
        <v>1704</v>
      </c>
      <c r="B933" t="s">
        <v>1705</v>
      </c>
      <c r="C933" s="1" t="s">
        <v>1706</v>
      </c>
      <c r="D933" s="1"/>
      <c r="E933" s="1" t="str">
        <f t="shared" ref="E933" si="90">HYPERLINK("https://www.kegg.jp/dbget-bin/www_bget?ec:" &amp; C933, "https://www.kegg.jp/dbget-bin/www_bget?ec:" &amp; C933)</f>
        <v>https://www.kegg.jp/dbget-bin/www_bget?ec:2.7.1.33</v>
      </c>
      <c r="F933" s="1" t="s">
        <v>9614</v>
      </c>
      <c r="G933" s="10" t="s">
        <v>10681</v>
      </c>
      <c r="H933" s="13" t="s">
        <v>10682</v>
      </c>
    </row>
    <row r="934" spans="1:8">
      <c r="A934" t="s">
        <v>1704</v>
      </c>
      <c r="B934" t="s">
        <v>1705</v>
      </c>
      <c r="C934" s="1" t="s">
        <v>1706</v>
      </c>
      <c r="D934" s="1"/>
      <c r="E934" s="1" t="str">
        <f t="shared" ref="E934" si="91">HYPERLINK("https://www.kegg.jp/dbget-bin/www_bget?ec:" &amp; C934, "https://www.kegg.jp/dbget-bin/www_bget?ec:" &amp; C934)</f>
        <v>https://www.kegg.jp/dbget-bin/www_bget?ec:2.7.1.33</v>
      </c>
      <c r="F934" s="1" t="s">
        <v>9614</v>
      </c>
      <c r="G934" s="10" t="s">
        <v>10683</v>
      </c>
      <c r="H934" s="13" t="s">
        <v>10684</v>
      </c>
    </row>
    <row r="935" spans="1:8">
      <c r="A935" t="s">
        <v>1704</v>
      </c>
      <c r="B935" t="s">
        <v>1705</v>
      </c>
      <c r="C935" s="1" t="s">
        <v>1706</v>
      </c>
      <c r="D935" s="1"/>
      <c r="E935" s="1" t="str">
        <f t="shared" ref="E935:E999" si="92">HYPERLINK("https://www.kegg.jp/dbget-bin/www_bget?ec:" &amp; C935, "https://www.kegg.jp/dbget-bin/www_bget?ec:" &amp; C935)</f>
        <v>https://www.kegg.jp/dbget-bin/www_bget?ec:2.7.1.33</v>
      </c>
      <c r="F935" s="1" t="s">
        <v>9614</v>
      </c>
      <c r="G935" s="10" t="s">
        <v>10685</v>
      </c>
      <c r="H935" s="13" t="s">
        <v>10686</v>
      </c>
    </row>
    <row r="936" spans="1:8">
      <c r="A936" t="s">
        <v>1707</v>
      </c>
      <c r="B936" t="s">
        <v>1708</v>
      </c>
      <c r="C936" s="1" t="s">
        <v>1709</v>
      </c>
      <c r="D936" s="1"/>
      <c r="E936" s="1" t="str">
        <f t="shared" si="92"/>
        <v>https://www.kegg.jp/dbget-bin/www_bget?ec:5.4.99.2</v>
      </c>
      <c r="F936" t="s">
        <v>9621</v>
      </c>
      <c r="G936" s="10" t="s">
        <v>9622</v>
      </c>
      <c r="H936" s="13" t="s">
        <v>9623</v>
      </c>
    </row>
    <row r="937" spans="1:8">
      <c r="A937" t="s">
        <v>1710</v>
      </c>
      <c r="B937" t="s">
        <v>1711</v>
      </c>
      <c r="C937" s="1" t="s">
        <v>1709</v>
      </c>
      <c r="D937" s="1"/>
      <c r="E937" s="1" t="str">
        <f t="shared" si="92"/>
        <v>https://www.kegg.jp/dbget-bin/www_bget?ec:5.4.99.2</v>
      </c>
      <c r="F937" t="s">
        <v>9621</v>
      </c>
      <c r="G937" s="10" t="s">
        <v>9622</v>
      </c>
      <c r="H937" s="13" t="s">
        <v>9623</v>
      </c>
    </row>
    <row r="938" spans="1:8">
      <c r="B938" t="s">
        <v>1712</v>
      </c>
      <c r="E938" s="1"/>
    </row>
    <row r="939" spans="1:8">
      <c r="A939" t="s">
        <v>1713</v>
      </c>
      <c r="B939" t="s">
        <v>1714</v>
      </c>
      <c r="E939" s="1"/>
    </row>
    <row r="940" spans="1:8">
      <c r="A940" t="s">
        <v>1715</v>
      </c>
      <c r="B940" t="s">
        <v>1716</v>
      </c>
      <c r="E940" s="1"/>
    </row>
    <row r="941" spans="1:8">
      <c r="A941" t="s">
        <v>1717</v>
      </c>
      <c r="B941" t="s">
        <v>1718</v>
      </c>
      <c r="E941" s="1"/>
    </row>
    <row r="942" spans="1:8">
      <c r="A942" t="s">
        <v>1719</v>
      </c>
      <c r="B942" t="s">
        <v>1720</v>
      </c>
      <c r="E942" s="1"/>
    </row>
    <row r="943" spans="1:8">
      <c r="A943" t="s">
        <v>1721</v>
      </c>
      <c r="B943" t="s">
        <v>1722</v>
      </c>
      <c r="E943" s="1"/>
    </row>
    <row r="944" spans="1:8">
      <c r="A944" t="s">
        <v>1723</v>
      </c>
      <c r="B944" t="s">
        <v>1724</v>
      </c>
      <c r="E944" s="1"/>
    </row>
    <row r="945" spans="1:5">
      <c r="B945" t="s">
        <v>1725</v>
      </c>
      <c r="E945" s="1"/>
    </row>
    <row r="946" spans="1:5">
      <c r="A946" t="s">
        <v>1726</v>
      </c>
      <c r="B946" t="s">
        <v>1727</v>
      </c>
      <c r="E946" s="1"/>
    </row>
    <row r="947" spans="1:5">
      <c r="A947" t="s">
        <v>1728</v>
      </c>
      <c r="B947" t="s">
        <v>1729</v>
      </c>
      <c r="E947" s="1"/>
    </row>
    <row r="948" spans="1:5">
      <c r="A948" t="s">
        <v>1730</v>
      </c>
      <c r="B948" t="s">
        <v>1731</v>
      </c>
      <c r="E948" s="1"/>
    </row>
    <row r="949" spans="1:5">
      <c r="A949" t="s">
        <v>1732</v>
      </c>
      <c r="B949" t="s">
        <v>1733</v>
      </c>
      <c r="E949" s="1"/>
    </row>
    <row r="950" spans="1:5">
      <c r="A950" t="s">
        <v>1734</v>
      </c>
      <c r="B950" t="s">
        <v>1735</v>
      </c>
      <c r="E950" s="1"/>
    </row>
    <row r="951" spans="1:5">
      <c r="A951" t="s">
        <v>1736</v>
      </c>
      <c r="B951" t="s">
        <v>1737</v>
      </c>
      <c r="E951" s="1"/>
    </row>
    <row r="952" spans="1:5">
      <c r="A952" t="s">
        <v>1738</v>
      </c>
      <c r="B952" t="s">
        <v>1739</v>
      </c>
      <c r="E952" s="1"/>
    </row>
    <row r="953" spans="1:5">
      <c r="A953" t="s">
        <v>1740</v>
      </c>
      <c r="B953" t="s">
        <v>1741</v>
      </c>
      <c r="E953" s="1"/>
    </row>
    <row r="954" spans="1:5">
      <c r="A954" t="s">
        <v>1742</v>
      </c>
      <c r="B954" t="s">
        <v>1743</v>
      </c>
      <c r="E954" s="1"/>
    </row>
    <row r="955" spans="1:5">
      <c r="A955" t="s">
        <v>1744</v>
      </c>
      <c r="B955" t="s">
        <v>1745</v>
      </c>
      <c r="E955" s="1"/>
    </row>
    <row r="956" spans="1:5">
      <c r="A956" t="s">
        <v>1746</v>
      </c>
      <c r="B956" t="s">
        <v>1747</v>
      </c>
      <c r="E956" s="1"/>
    </row>
    <row r="957" spans="1:5">
      <c r="A957" t="s">
        <v>1748</v>
      </c>
      <c r="B957" t="s">
        <v>1749</v>
      </c>
      <c r="E957" s="1"/>
    </row>
    <row r="958" spans="1:5">
      <c r="A958" t="s">
        <v>1750</v>
      </c>
      <c r="B958" t="s">
        <v>1751</v>
      </c>
      <c r="E958" s="1"/>
    </row>
    <row r="959" spans="1:5">
      <c r="A959" t="s">
        <v>1752</v>
      </c>
      <c r="B959" t="s">
        <v>1753</v>
      </c>
      <c r="E959" s="1"/>
    </row>
    <row r="960" spans="1:5">
      <c r="A960" t="s">
        <v>1754</v>
      </c>
      <c r="B960" t="s">
        <v>1755</v>
      </c>
      <c r="E960" s="1"/>
    </row>
    <row r="961" spans="1:5">
      <c r="A961" t="s">
        <v>1756</v>
      </c>
      <c r="B961" t="s">
        <v>1757</v>
      </c>
      <c r="E961" s="1"/>
    </row>
    <row r="962" spans="1:5">
      <c r="A962" t="s">
        <v>1758</v>
      </c>
      <c r="B962" t="s">
        <v>1759</v>
      </c>
      <c r="E962" s="1"/>
    </row>
    <row r="963" spans="1:5">
      <c r="A963" t="s">
        <v>1760</v>
      </c>
      <c r="B963" t="s">
        <v>1761</v>
      </c>
      <c r="E963" s="1"/>
    </row>
    <row r="964" spans="1:5">
      <c r="A964" t="s">
        <v>1762</v>
      </c>
      <c r="B964" t="s">
        <v>1763</v>
      </c>
      <c r="E964" s="1"/>
    </row>
    <row r="965" spans="1:5">
      <c r="A965" t="s">
        <v>1764</v>
      </c>
      <c r="B965" t="s">
        <v>1765</v>
      </c>
      <c r="E965" s="1"/>
    </row>
    <row r="966" spans="1:5">
      <c r="A966" t="s">
        <v>1766</v>
      </c>
      <c r="B966" t="s">
        <v>1767</v>
      </c>
      <c r="E966" s="1"/>
    </row>
    <row r="967" spans="1:5">
      <c r="A967" t="s">
        <v>1768</v>
      </c>
      <c r="B967" t="s">
        <v>1769</v>
      </c>
      <c r="E967" s="1"/>
    </row>
    <row r="968" spans="1:5">
      <c r="A968" t="s">
        <v>1770</v>
      </c>
      <c r="B968" t="s">
        <v>1771</v>
      </c>
      <c r="E968" s="1"/>
    </row>
    <row r="969" spans="1:5">
      <c r="A969" t="s">
        <v>1772</v>
      </c>
      <c r="B969" t="s">
        <v>1773</v>
      </c>
      <c r="E969" s="1"/>
    </row>
    <row r="970" spans="1:5">
      <c r="A970" t="s">
        <v>1774</v>
      </c>
      <c r="B970" t="s">
        <v>1775</v>
      </c>
      <c r="E970" s="1"/>
    </row>
    <row r="971" spans="1:5">
      <c r="A971" t="s">
        <v>1776</v>
      </c>
      <c r="B971" t="s">
        <v>1777</v>
      </c>
      <c r="E971" s="1"/>
    </row>
    <row r="972" spans="1:5">
      <c r="A972" t="s">
        <v>1778</v>
      </c>
      <c r="B972" t="s">
        <v>1779</v>
      </c>
      <c r="E972" s="1"/>
    </row>
    <row r="973" spans="1:5">
      <c r="A973" t="s">
        <v>1780</v>
      </c>
      <c r="B973" t="s">
        <v>1781</v>
      </c>
      <c r="E973" s="1"/>
    </row>
    <row r="974" spans="1:5">
      <c r="A974" t="s">
        <v>1782</v>
      </c>
      <c r="B974" t="s">
        <v>1783</v>
      </c>
      <c r="E974" s="1"/>
    </row>
    <row r="975" spans="1:5">
      <c r="A975" t="s">
        <v>1784</v>
      </c>
      <c r="B975" t="s">
        <v>1785</v>
      </c>
      <c r="E975" s="1"/>
    </row>
    <row r="976" spans="1:5">
      <c r="A976" t="s">
        <v>1786</v>
      </c>
      <c r="B976" t="s">
        <v>1787</v>
      </c>
      <c r="E976" s="1"/>
    </row>
    <row r="977" spans="1:8">
      <c r="B977" t="s">
        <v>1788</v>
      </c>
      <c r="E977" s="1"/>
    </row>
    <row r="978" spans="1:8">
      <c r="A978" t="s">
        <v>1789</v>
      </c>
      <c r="B978" t="s">
        <v>1790</v>
      </c>
      <c r="E978" s="1"/>
    </row>
    <row r="979" spans="1:8">
      <c r="A979" t="s">
        <v>1791</v>
      </c>
      <c r="B979" t="s">
        <v>1792</v>
      </c>
      <c r="E979" s="1"/>
    </row>
    <row r="980" spans="1:8">
      <c r="A980" t="s">
        <v>1793</v>
      </c>
      <c r="B980" t="s">
        <v>1794</v>
      </c>
      <c r="E980" s="1"/>
    </row>
    <row r="981" spans="1:8">
      <c r="A981" t="s">
        <v>1795</v>
      </c>
      <c r="B981" t="s">
        <v>1796</v>
      </c>
      <c r="E981" s="1"/>
    </row>
    <row r="982" spans="1:8">
      <c r="A982" t="s">
        <v>1797</v>
      </c>
      <c r="B982" t="s">
        <v>1798</v>
      </c>
      <c r="E982" s="1"/>
    </row>
    <row r="983" spans="1:8">
      <c r="A983" t="s">
        <v>1799</v>
      </c>
      <c r="B983" t="s">
        <v>1800</v>
      </c>
      <c r="E983" s="1"/>
    </row>
    <row r="984" spans="1:8">
      <c r="A984" t="s">
        <v>1801</v>
      </c>
      <c r="B984" t="s">
        <v>1802</v>
      </c>
      <c r="E984" s="1"/>
    </row>
    <row r="985" spans="1:8">
      <c r="A985" t="s">
        <v>1803</v>
      </c>
      <c r="B985" t="s">
        <v>1804</v>
      </c>
      <c r="C985" s="1" t="s">
        <v>1805</v>
      </c>
      <c r="D985" s="1"/>
      <c r="E985" s="1" t="str">
        <f t="shared" ref="E985" si="93">HYPERLINK("https://www.kegg.jp/dbget-bin/www_bget?ec:" &amp; C985, "https://www.kegg.jp/dbget-bin/www_bget?ec:" &amp; C985)</f>
        <v>https://www.kegg.jp/dbget-bin/www_bget?ec:4.2.1.1</v>
      </c>
      <c r="F985" t="s">
        <v>9624</v>
      </c>
      <c r="G985" s="10" t="s">
        <v>9625</v>
      </c>
      <c r="H985" s="13" t="s">
        <v>10687</v>
      </c>
    </row>
    <row r="986" spans="1:8">
      <c r="A986" t="s">
        <v>1803</v>
      </c>
      <c r="B986" t="s">
        <v>1804</v>
      </c>
      <c r="C986" s="1" t="s">
        <v>1805</v>
      </c>
      <c r="D986" s="1"/>
      <c r="E986" s="1" t="str">
        <f t="shared" si="92"/>
        <v>https://www.kegg.jp/dbget-bin/www_bget?ec:4.2.1.1</v>
      </c>
      <c r="F986" t="s">
        <v>9624</v>
      </c>
      <c r="G986" s="10" t="s">
        <v>10688</v>
      </c>
      <c r="H986" s="13" t="s">
        <v>10687</v>
      </c>
    </row>
    <row r="987" spans="1:8">
      <c r="A987" t="s">
        <v>1806</v>
      </c>
      <c r="B987" t="s">
        <v>1807</v>
      </c>
      <c r="E987" s="1"/>
    </row>
    <row r="988" spans="1:8">
      <c r="A988" t="s">
        <v>1808</v>
      </c>
      <c r="B988" t="s">
        <v>1809</v>
      </c>
      <c r="C988" s="1" t="s">
        <v>1646</v>
      </c>
      <c r="D988" s="1"/>
      <c r="E988" s="1" t="str">
        <f t="shared" ref="E988" si="94">HYPERLINK("https://www.kegg.jp/dbget-bin/www_bget?ec:" &amp; C988, "https://www.kegg.jp/dbget-bin/www_bget?ec:" &amp; C988)</f>
        <v>https://www.kegg.jp/dbget-bin/www_bget?ec:2.7.7.6</v>
      </c>
      <c r="F988" s="19" t="s">
        <v>9598</v>
      </c>
      <c r="G988" s="22" t="s">
        <v>10672</v>
      </c>
      <c r="H988" s="20" t="s">
        <v>10673</v>
      </c>
    </row>
    <row r="989" spans="1:8">
      <c r="A989" t="s">
        <v>1808</v>
      </c>
      <c r="B989" t="s">
        <v>1809</v>
      </c>
      <c r="C989" s="1" t="s">
        <v>1646</v>
      </c>
      <c r="D989" s="1"/>
      <c r="E989" s="1" t="str">
        <f t="shared" ref="E989" si="95">HYPERLINK("https://www.kegg.jp/dbget-bin/www_bget?ec:" &amp; C989, "https://www.kegg.jp/dbget-bin/www_bget?ec:" &amp; C989)</f>
        <v>https://www.kegg.jp/dbget-bin/www_bget?ec:2.7.7.6</v>
      </c>
      <c r="F989" s="19" t="s">
        <v>9598</v>
      </c>
      <c r="G989" s="22" t="s">
        <v>10674</v>
      </c>
      <c r="H989" s="20" t="s">
        <v>10675</v>
      </c>
    </row>
    <row r="990" spans="1:8">
      <c r="A990" t="s">
        <v>1808</v>
      </c>
      <c r="B990" t="s">
        <v>1809</v>
      </c>
      <c r="C990" s="1" t="s">
        <v>1646</v>
      </c>
      <c r="D990" s="1"/>
      <c r="E990" s="1" t="str">
        <f t="shared" ref="E990" si="96">HYPERLINK("https://www.kegg.jp/dbget-bin/www_bget?ec:" &amp; C990, "https://www.kegg.jp/dbget-bin/www_bget?ec:" &amp; C990)</f>
        <v>https://www.kegg.jp/dbget-bin/www_bget?ec:2.7.7.6</v>
      </c>
      <c r="F990" s="19" t="s">
        <v>9598</v>
      </c>
      <c r="G990" s="22" t="s">
        <v>10676</v>
      </c>
      <c r="H990" s="20" t="s">
        <v>10675</v>
      </c>
    </row>
    <row r="991" spans="1:8">
      <c r="A991" t="s">
        <v>1808</v>
      </c>
      <c r="B991" t="s">
        <v>1809</v>
      </c>
      <c r="C991" s="1" t="s">
        <v>1646</v>
      </c>
      <c r="D991" s="1"/>
      <c r="E991" s="1" t="str">
        <f t="shared" ref="E991" si="97">HYPERLINK("https://www.kegg.jp/dbget-bin/www_bget?ec:" &amp; C991, "https://www.kegg.jp/dbget-bin/www_bget?ec:" &amp; C991)</f>
        <v>https://www.kegg.jp/dbget-bin/www_bget?ec:2.7.7.6</v>
      </c>
      <c r="F991" s="19" t="s">
        <v>9598</v>
      </c>
      <c r="G991" s="22" t="s">
        <v>10677</v>
      </c>
      <c r="H991" s="20" t="s">
        <v>10673</v>
      </c>
    </row>
    <row r="992" spans="1:8">
      <c r="A992" t="s">
        <v>1808</v>
      </c>
      <c r="B992" t="s">
        <v>1809</v>
      </c>
      <c r="C992" s="1" t="s">
        <v>1646</v>
      </c>
      <c r="D992" s="1"/>
      <c r="E992" s="1" t="str">
        <f t="shared" ref="E992" si="98">HYPERLINK("https://www.kegg.jp/dbget-bin/www_bget?ec:" &amp; C992, "https://www.kegg.jp/dbget-bin/www_bget?ec:" &amp; C992)</f>
        <v>https://www.kegg.jp/dbget-bin/www_bget?ec:2.7.7.6</v>
      </c>
      <c r="F992" s="19" t="s">
        <v>9598</v>
      </c>
      <c r="G992" s="22" t="s">
        <v>10678</v>
      </c>
      <c r="H992" s="20" t="s">
        <v>10675</v>
      </c>
    </row>
    <row r="993" spans="1:8">
      <c r="A993" t="s">
        <v>1808</v>
      </c>
      <c r="B993" t="s">
        <v>1809</v>
      </c>
      <c r="C993" s="1" t="s">
        <v>1646</v>
      </c>
      <c r="D993" s="1"/>
      <c r="E993" s="1" t="str">
        <f t="shared" si="92"/>
        <v>https://www.kegg.jp/dbget-bin/www_bget?ec:2.7.7.6</v>
      </c>
      <c r="F993" s="19" t="s">
        <v>9598</v>
      </c>
      <c r="G993" s="22" t="s">
        <v>9606</v>
      </c>
      <c r="H993" s="20" t="s">
        <v>9607</v>
      </c>
    </row>
    <row r="994" spans="1:8">
      <c r="A994" t="s">
        <v>1810</v>
      </c>
      <c r="B994" t="s">
        <v>1811</v>
      </c>
      <c r="E994" s="1"/>
    </row>
    <row r="995" spans="1:8">
      <c r="A995" t="s">
        <v>1812</v>
      </c>
      <c r="B995" t="s">
        <v>1813</v>
      </c>
      <c r="E995" s="1"/>
    </row>
    <row r="996" spans="1:8">
      <c r="A996" t="s">
        <v>1814</v>
      </c>
      <c r="B996" t="s">
        <v>1815</v>
      </c>
      <c r="E996" s="1"/>
    </row>
    <row r="997" spans="1:8">
      <c r="A997" t="s">
        <v>1816</v>
      </c>
      <c r="B997" t="s">
        <v>1817</v>
      </c>
      <c r="E997" s="1"/>
    </row>
    <row r="998" spans="1:8">
      <c r="A998" t="s">
        <v>1818</v>
      </c>
      <c r="B998" t="s">
        <v>1819</v>
      </c>
      <c r="E998" s="1"/>
    </row>
    <row r="999" spans="1:8">
      <c r="A999" t="s">
        <v>1820</v>
      </c>
      <c r="B999" t="s">
        <v>1821</v>
      </c>
      <c r="C999" s="1" t="s">
        <v>1822</v>
      </c>
      <c r="D999" s="1"/>
      <c r="E999" s="1" t="str">
        <f t="shared" si="92"/>
        <v>https://www.kegg.jp/dbget-bin/www_bget?ec:3.4.11.18</v>
      </c>
      <c r="F999" s="1" t="s">
        <v>9635</v>
      </c>
    </row>
    <row r="1000" spans="1:8">
      <c r="A1000" t="s">
        <v>1823</v>
      </c>
      <c r="B1000" t="s">
        <v>1824</v>
      </c>
      <c r="E1000" s="1"/>
    </row>
    <row r="1001" spans="1:8">
      <c r="A1001" t="s">
        <v>1825</v>
      </c>
      <c r="B1001" t="s">
        <v>1826</v>
      </c>
      <c r="E1001" s="1"/>
    </row>
    <row r="1002" spans="1:8">
      <c r="A1002" t="s">
        <v>1827</v>
      </c>
      <c r="B1002" t="s">
        <v>1828</v>
      </c>
      <c r="E1002" s="1"/>
    </row>
    <row r="1003" spans="1:8">
      <c r="A1003" t="s">
        <v>1829</v>
      </c>
      <c r="B1003" t="s">
        <v>1830</v>
      </c>
      <c r="E1003" s="1"/>
    </row>
    <row r="1004" spans="1:8">
      <c r="A1004" t="s">
        <v>1831</v>
      </c>
      <c r="B1004" t="s">
        <v>1832</v>
      </c>
      <c r="E1004" s="1"/>
    </row>
    <row r="1005" spans="1:8">
      <c r="A1005" t="s">
        <v>1833</v>
      </c>
      <c r="B1005" t="s">
        <v>1834</v>
      </c>
      <c r="E1005" s="1"/>
    </row>
    <row r="1006" spans="1:8">
      <c r="A1006" t="s">
        <v>1835</v>
      </c>
      <c r="B1006" t="s">
        <v>1836</v>
      </c>
      <c r="E1006" s="1"/>
    </row>
    <row r="1007" spans="1:8">
      <c r="A1007" t="s">
        <v>1837</v>
      </c>
      <c r="B1007" t="s">
        <v>1838</v>
      </c>
      <c r="E1007" s="1"/>
    </row>
    <row r="1008" spans="1:8">
      <c r="A1008" t="s">
        <v>1839</v>
      </c>
      <c r="B1008" t="s">
        <v>1840</v>
      </c>
      <c r="E1008" s="1"/>
    </row>
    <row r="1009" spans="1:5">
      <c r="A1009" t="s">
        <v>1841</v>
      </c>
      <c r="B1009" t="s">
        <v>1842</v>
      </c>
      <c r="E1009" s="1"/>
    </row>
    <row r="1010" spans="1:5">
      <c r="A1010" t="s">
        <v>1843</v>
      </c>
      <c r="B1010" t="s">
        <v>1844</v>
      </c>
      <c r="E1010" s="1"/>
    </row>
    <row r="1011" spans="1:5">
      <c r="A1011" t="s">
        <v>1845</v>
      </c>
      <c r="B1011" t="s">
        <v>1846</v>
      </c>
      <c r="E1011" s="1"/>
    </row>
    <row r="1012" spans="1:5">
      <c r="A1012" t="s">
        <v>1847</v>
      </c>
      <c r="B1012" t="s">
        <v>1848</v>
      </c>
      <c r="E1012" s="1"/>
    </row>
    <row r="1013" spans="1:5">
      <c r="A1013" t="s">
        <v>1849</v>
      </c>
      <c r="B1013" t="s">
        <v>1850</v>
      </c>
      <c r="E1013" s="1"/>
    </row>
    <row r="1014" spans="1:5">
      <c r="A1014" t="s">
        <v>1851</v>
      </c>
      <c r="B1014" t="s">
        <v>1852</v>
      </c>
      <c r="E1014" s="1"/>
    </row>
    <row r="1015" spans="1:5">
      <c r="A1015" t="s">
        <v>1853</v>
      </c>
      <c r="B1015" t="s">
        <v>1854</v>
      </c>
      <c r="E1015" s="1"/>
    </row>
    <row r="1016" spans="1:5">
      <c r="A1016" t="s">
        <v>1855</v>
      </c>
      <c r="B1016" t="s">
        <v>1856</v>
      </c>
      <c r="E1016" s="1"/>
    </row>
    <row r="1017" spans="1:5">
      <c r="A1017" t="s">
        <v>1857</v>
      </c>
      <c r="B1017" t="s">
        <v>1858</v>
      </c>
      <c r="E1017" s="1"/>
    </row>
    <row r="1018" spans="1:5">
      <c r="A1018" t="s">
        <v>1859</v>
      </c>
      <c r="B1018" t="s">
        <v>1860</v>
      </c>
      <c r="E1018" s="1"/>
    </row>
    <row r="1019" spans="1:5">
      <c r="A1019" t="s">
        <v>1861</v>
      </c>
      <c r="B1019" t="s">
        <v>1862</v>
      </c>
      <c r="E1019" s="1"/>
    </row>
    <row r="1020" spans="1:5">
      <c r="A1020" t="s">
        <v>1863</v>
      </c>
      <c r="B1020" t="s">
        <v>1864</v>
      </c>
      <c r="E1020" s="1"/>
    </row>
    <row r="1021" spans="1:5">
      <c r="A1021" t="s">
        <v>1865</v>
      </c>
      <c r="B1021" t="s">
        <v>1866</v>
      </c>
      <c r="E1021" s="1"/>
    </row>
    <row r="1022" spans="1:5">
      <c r="A1022" t="s">
        <v>1867</v>
      </c>
      <c r="B1022" t="s">
        <v>1868</v>
      </c>
      <c r="E1022" s="1"/>
    </row>
    <row r="1023" spans="1:5">
      <c r="A1023" t="s">
        <v>1869</v>
      </c>
      <c r="B1023" t="s">
        <v>1870</v>
      </c>
      <c r="E1023" s="1"/>
    </row>
    <row r="1024" spans="1:5">
      <c r="A1024" t="s">
        <v>1871</v>
      </c>
      <c r="B1024" t="s">
        <v>1872</v>
      </c>
      <c r="E1024" s="1"/>
    </row>
    <row r="1025" spans="1:8">
      <c r="A1025" t="s">
        <v>1873</v>
      </c>
      <c r="B1025" t="s">
        <v>1874</v>
      </c>
      <c r="E1025" s="1"/>
    </row>
    <row r="1026" spans="1:8">
      <c r="B1026" t="s">
        <v>1875</v>
      </c>
      <c r="E1026" s="1"/>
    </row>
    <row r="1027" spans="1:8">
      <c r="A1027" t="s">
        <v>1876</v>
      </c>
      <c r="B1027" t="s">
        <v>1877</v>
      </c>
      <c r="E1027" s="1"/>
    </row>
    <row r="1028" spans="1:8">
      <c r="A1028" t="s">
        <v>1878</v>
      </c>
      <c r="B1028" t="s">
        <v>1879</v>
      </c>
      <c r="E1028" s="1"/>
    </row>
    <row r="1029" spans="1:8">
      <c r="A1029" t="s">
        <v>1880</v>
      </c>
      <c r="B1029" t="s">
        <v>1881</v>
      </c>
      <c r="E1029" s="1"/>
    </row>
    <row r="1030" spans="1:8">
      <c r="A1030" t="s">
        <v>1882</v>
      </c>
      <c r="B1030" t="s">
        <v>1883</v>
      </c>
      <c r="E1030" s="1"/>
    </row>
    <row r="1031" spans="1:8">
      <c r="A1031" t="s">
        <v>1884</v>
      </c>
      <c r="B1031" t="s">
        <v>1885</v>
      </c>
      <c r="E1031" s="1"/>
    </row>
    <row r="1032" spans="1:8">
      <c r="A1032" t="s">
        <v>1886</v>
      </c>
      <c r="B1032" t="s">
        <v>1887</v>
      </c>
      <c r="E1032" s="1"/>
    </row>
    <row r="1033" spans="1:8">
      <c r="A1033" t="s">
        <v>1888</v>
      </c>
      <c r="B1033" t="s">
        <v>1889</v>
      </c>
      <c r="C1033" s="1" t="s">
        <v>1890</v>
      </c>
      <c r="D1033" s="1"/>
      <c r="E1033" s="1" t="str">
        <f t="shared" ref="E1033:E1049" si="99">HYPERLINK("https://www.kegg.jp/dbget-bin/www_bget?ec:" &amp; C1033, "https://www.kegg.jp/dbget-bin/www_bget?ec:" &amp; C1033)</f>
        <v>https://www.kegg.jp/dbget-bin/www_bget?ec:1.1.1.205</v>
      </c>
      <c r="F1033" t="s">
        <v>9628</v>
      </c>
      <c r="G1033" s="10" t="s">
        <v>10689</v>
      </c>
      <c r="H1033" s="13" t="s">
        <v>10690</v>
      </c>
    </row>
    <row r="1034" spans="1:8">
      <c r="A1034" t="s">
        <v>1888</v>
      </c>
      <c r="B1034" t="s">
        <v>1889</v>
      </c>
      <c r="C1034" s="1" t="s">
        <v>1890</v>
      </c>
      <c r="D1034" s="1"/>
      <c r="E1034" s="1" t="str">
        <f t="shared" ref="E1034" si="100">HYPERLINK("https://www.kegg.jp/dbget-bin/www_bget?ec:" &amp; C1034, "https://www.kegg.jp/dbget-bin/www_bget?ec:" &amp; C1034)</f>
        <v>https://www.kegg.jp/dbget-bin/www_bget?ec:1.1.1.205</v>
      </c>
      <c r="F1034" t="s">
        <v>9628</v>
      </c>
      <c r="G1034" s="10" t="s">
        <v>10691</v>
      </c>
      <c r="H1034" s="13" t="s">
        <v>10692</v>
      </c>
    </row>
    <row r="1035" spans="1:8">
      <c r="A1035" t="s">
        <v>1891</v>
      </c>
      <c r="B1035" t="s">
        <v>1892</v>
      </c>
      <c r="C1035" s="1" t="s">
        <v>349</v>
      </c>
      <c r="D1035" s="1" t="s">
        <v>9679</v>
      </c>
      <c r="E1035" s="1" t="s">
        <v>9680</v>
      </c>
      <c r="F1035" s="1" t="s">
        <v>9650</v>
      </c>
    </row>
    <row r="1036" spans="1:8">
      <c r="A1036" t="s">
        <v>1893</v>
      </c>
      <c r="B1036" t="s">
        <v>1894</v>
      </c>
      <c r="E1036" s="1"/>
    </row>
    <row r="1037" spans="1:8">
      <c r="A1037" t="s">
        <v>1895</v>
      </c>
      <c r="B1037" t="s">
        <v>1896</v>
      </c>
      <c r="E1037" s="1"/>
    </row>
    <row r="1038" spans="1:8">
      <c r="A1038" t="s">
        <v>1897</v>
      </c>
      <c r="B1038" t="s">
        <v>1898</v>
      </c>
      <c r="C1038" s="1" t="s">
        <v>1899</v>
      </c>
      <c r="D1038" s="1"/>
      <c r="E1038" s="1" t="str">
        <f t="shared" si="99"/>
        <v>https://www.kegg.jp/dbget-bin/www_bget?ec:5.2.1.8</v>
      </c>
      <c r="F1038" s="1" t="s">
        <v>9636</v>
      </c>
      <c r="G1038" s="10" t="s">
        <v>9637</v>
      </c>
      <c r="H1038" s="13" t="s">
        <v>9638</v>
      </c>
    </row>
    <row r="1039" spans="1:8">
      <c r="A1039" t="s">
        <v>1900</v>
      </c>
      <c r="B1039" t="s">
        <v>1901</v>
      </c>
      <c r="E1039" s="1"/>
    </row>
    <row r="1040" spans="1:8">
      <c r="A1040" t="s">
        <v>1902</v>
      </c>
      <c r="B1040" t="s">
        <v>1903</v>
      </c>
      <c r="E1040" s="1"/>
    </row>
    <row r="1041" spans="1:8">
      <c r="A1041" t="s">
        <v>1904</v>
      </c>
      <c r="B1041" t="s">
        <v>1905</v>
      </c>
      <c r="E1041" s="1"/>
    </row>
    <row r="1042" spans="1:8">
      <c r="A1042" t="s">
        <v>1906</v>
      </c>
      <c r="B1042" t="s">
        <v>1907</v>
      </c>
      <c r="E1042" s="1"/>
    </row>
    <row r="1043" spans="1:8">
      <c r="A1043" t="s">
        <v>1908</v>
      </c>
      <c r="B1043" t="s">
        <v>1909</v>
      </c>
      <c r="E1043" s="1"/>
    </row>
    <row r="1044" spans="1:8">
      <c r="A1044" t="s">
        <v>1910</v>
      </c>
      <c r="B1044" t="s">
        <v>1911</v>
      </c>
      <c r="C1044" s="1" t="s">
        <v>1912</v>
      </c>
      <c r="D1044" s="1"/>
      <c r="E1044" s="1" t="str">
        <f t="shared" ref="E1044" si="101">HYPERLINK("https://www.kegg.jp/dbget-bin/www_bget?ec:" &amp; C1044, "https://www.kegg.jp/dbget-bin/www_bget?ec:" &amp; C1044)</f>
        <v>https://www.kegg.jp/dbget-bin/www_bget?ec:2.5.1.6</v>
      </c>
      <c r="F1044" t="s">
        <v>9640</v>
      </c>
      <c r="G1044" t="s">
        <v>10693</v>
      </c>
      <c r="H1044" s="13" t="s">
        <v>10694</v>
      </c>
    </row>
    <row r="1045" spans="1:8">
      <c r="A1045" t="s">
        <v>1910</v>
      </c>
      <c r="B1045" t="s">
        <v>1911</v>
      </c>
      <c r="C1045" s="1" t="s">
        <v>1912</v>
      </c>
      <c r="D1045" s="1"/>
      <c r="E1045" s="1" t="str">
        <f t="shared" si="99"/>
        <v>https://www.kegg.jp/dbget-bin/www_bget?ec:2.5.1.6</v>
      </c>
      <c r="F1045" t="s">
        <v>9640</v>
      </c>
      <c r="G1045" s="10" t="s">
        <v>10695</v>
      </c>
      <c r="H1045" s="13" t="s">
        <v>10696</v>
      </c>
    </row>
    <row r="1046" spans="1:8">
      <c r="A1046" t="s">
        <v>1913</v>
      </c>
      <c r="B1046" t="s">
        <v>1914</v>
      </c>
      <c r="E1046" s="1"/>
    </row>
    <row r="1047" spans="1:8">
      <c r="A1047" t="s">
        <v>1915</v>
      </c>
      <c r="B1047" t="s">
        <v>1916</v>
      </c>
      <c r="C1047" s="1" t="s">
        <v>1917</v>
      </c>
      <c r="D1047" s="1"/>
      <c r="E1047" s="1" t="str">
        <f t="shared" si="99"/>
        <v>https://www.kegg.jp/dbget-bin/www_bget?ec:2.7.6.3</v>
      </c>
      <c r="F1047" s="1" t="s">
        <v>9644</v>
      </c>
      <c r="G1047" s="10" t="s">
        <v>10697</v>
      </c>
      <c r="H1047" s="13" t="s">
        <v>10698</v>
      </c>
    </row>
    <row r="1048" spans="1:8">
      <c r="A1048" t="s">
        <v>1918</v>
      </c>
      <c r="B1048" t="s">
        <v>1919</v>
      </c>
      <c r="C1048" s="1" t="s">
        <v>1920</v>
      </c>
      <c r="D1048" s="1"/>
      <c r="E1048" s="1" t="str">
        <f t="shared" si="99"/>
        <v>https://www.kegg.jp/dbget-bin/www_bget?ec:2.4.99.17</v>
      </c>
      <c r="F1048" s="1" t="s">
        <v>9647</v>
      </c>
      <c r="G1048" s="10" t="s">
        <v>10699</v>
      </c>
      <c r="H1048" s="13" t="s">
        <v>10700</v>
      </c>
    </row>
    <row r="1049" spans="1:8">
      <c r="A1049" t="s">
        <v>1921</v>
      </c>
      <c r="B1049" t="s">
        <v>1922</v>
      </c>
      <c r="C1049" s="1" t="s">
        <v>1923</v>
      </c>
      <c r="D1049" s="1"/>
      <c r="E1049" s="1" t="str">
        <f t="shared" si="99"/>
        <v>https://www.kegg.jp/dbget-bin/www_bget?ec:5.4.99.25</v>
      </c>
      <c r="F1049" t="s">
        <v>9650</v>
      </c>
    </row>
    <row r="1050" spans="1:8">
      <c r="A1050" t="s">
        <v>1924</v>
      </c>
      <c r="B1050" t="s">
        <v>1925</v>
      </c>
      <c r="E1050" s="1"/>
    </row>
    <row r="1051" spans="1:8">
      <c r="A1051" t="s">
        <v>1926</v>
      </c>
      <c r="B1051" t="s">
        <v>1927</v>
      </c>
      <c r="E1051" s="1"/>
    </row>
    <row r="1052" spans="1:8">
      <c r="A1052" t="s">
        <v>1928</v>
      </c>
      <c r="B1052" t="s">
        <v>1929</v>
      </c>
      <c r="E1052" s="1"/>
    </row>
    <row r="1053" spans="1:8">
      <c r="A1053" t="s">
        <v>1930</v>
      </c>
      <c r="B1053" t="s">
        <v>1931</v>
      </c>
      <c r="E1053" s="1"/>
    </row>
    <row r="1054" spans="1:8">
      <c r="A1054" t="s">
        <v>1932</v>
      </c>
      <c r="B1054" t="s">
        <v>1933</v>
      </c>
      <c r="E1054" s="1"/>
    </row>
    <row r="1055" spans="1:8">
      <c r="A1055" t="s">
        <v>1934</v>
      </c>
      <c r="B1055" t="s">
        <v>1935</v>
      </c>
      <c r="E1055" s="1"/>
    </row>
    <row r="1056" spans="1:8">
      <c r="A1056" t="s">
        <v>1936</v>
      </c>
      <c r="B1056" t="s">
        <v>1937</v>
      </c>
      <c r="E1056" s="1"/>
    </row>
    <row r="1057" spans="1:5">
      <c r="A1057" t="s">
        <v>1938</v>
      </c>
      <c r="B1057" t="s">
        <v>1939</v>
      </c>
      <c r="E1057" s="1"/>
    </row>
    <row r="1058" spans="1:5">
      <c r="A1058" t="s">
        <v>1940</v>
      </c>
      <c r="B1058" t="s">
        <v>1941</v>
      </c>
      <c r="E1058" s="1"/>
    </row>
    <row r="1059" spans="1:5">
      <c r="A1059" t="s">
        <v>1942</v>
      </c>
      <c r="B1059" t="s">
        <v>1943</v>
      </c>
      <c r="E1059" s="1"/>
    </row>
    <row r="1060" spans="1:5">
      <c r="A1060" t="s">
        <v>1944</v>
      </c>
      <c r="B1060" t="s">
        <v>1945</v>
      </c>
      <c r="E1060" s="1"/>
    </row>
    <row r="1061" spans="1:5">
      <c r="A1061" t="s">
        <v>1946</v>
      </c>
      <c r="B1061" t="s">
        <v>1947</v>
      </c>
      <c r="E1061" s="1"/>
    </row>
    <row r="1062" spans="1:5">
      <c r="A1062" t="s">
        <v>1948</v>
      </c>
      <c r="B1062" t="s">
        <v>1949</v>
      </c>
      <c r="E1062" s="1"/>
    </row>
    <row r="1063" spans="1:5">
      <c r="A1063" t="s">
        <v>1950</v>
      </c>
      <c r="B1063" t="s">
        <v>1951</v>
      </c>
      <c r="E1063" s="1"/>
    </row>
    <row r="1064" spans="1:5">
      <c r="A1064" t="s">
        <v>1952</v>
      </c>
      <c r="B1064" t="s">
        <v>1953</v>
      </c>
      <c r="E1064" s="1"/>
    </row>
    <row r="1065" spans="1:5">
      <c r="A1065" t="s">
        <v>1954</v>
      </c>
      <c r="B1065" t="s">
        <v>1955</v>
      </c>
      <c r="E1065" s="1"/>
    </row>
    <row r="1066" spans="1:5">
      <c r="A1066" t="s">
        <v>1956</v>
      </c>
      <c r="B1066" t="s">
        <v>1957</v>
      </c>
      <c r="E1066" s="1"/>
    </row>
    <row r="1067" spans="1:5">
      <c r="A1067" t="s">
        <v>1958</v>
      </c>
      <c r="B1067" t="s">
        <v>1959</v>
      </c>
      <c r="E1067" s="1"/>
    </row>
    <row r="1068" spans="1:5">
      <c r="A1068" t="s">
        <v>1960</v>
      </c>
      <c r="B1068" t="s">
        <v>1961</v>
      </c>
      <c r="E1068" s="1"/>
    </row>
    <row r="1069" spans="1:5">
      <c r="A1069" t="s">
        <v>1962</v>
      </c>
      <c r="B1069" t="s">
        <v>1963</v>
      </c>
      <c r="E1069" s="1"/>
    </row>
    <row r="1070" spans="1:5">
      <c r="A1070" t="s">
        <v>1964</v>
      </c>
      <c r="B1070" t="s">
        <v>1965</v>
      </c>
      <c r="E1070" s="1"/>
    </row>
    <row r="1071" spans="1:5">
      <c r="A1071" t="s">
        <v>1966</v>
      </c>
      <c r="B1071" t="s">
        <v>1967</v>
      </c>
      <c r="E1071" s="1"/>
    </row>
    <row r="1072" spans="1:5">
      <c r="A1072" t="s">
        <v>1968</v>
      </c>
      <c r="B1072" t="s">
        <v>1969</v>
      </c>
      <c r="E1072" s="1"/>
    </row>
    <row r="1073" spans="1:5">
      <c r="A1073" t="s">
        <v>1970</v>
      </c>
      <c r="B1073" t="s">
        <v>1971</v>
      </c>
      <c r="E1073" s="1"/>
    </row>
    <row r="1074" spans="1:5">
      <c r="A1074" t="s">
        <v>1972</v>
      </c>
      <c r="B1074" t="s">
        <v>1973</v>
      </c>
      <c r="E1074" s="1"/>
    </row>
    <row r="1075" spans="1:5">
      <c r="A1075" t="s">
        <v>1974</v>
      </c>
      <c r="B1075" t="s">
        <v>1975</v>
      </c>
      <c r="E1075" s="1"/>
    </row>
    <row r="1076" spans="1:5">
      <c r="A1076" t="s">
        <v>1976</v>
      </c>
      <c r="B1076" t="s">
        <v>1977</v>
      </c>
      <c r="E1076" s="1"/>
    </row>
    <row r="1077" spans="1:5">
      <c r="A1077" t="s">
        <v>1978</v>
      </c>
      <c r="B1077" t="s">
        <v>1979</v>
      </c>
      <c r="E1077" s="1"/>
    </row>
    <row r="1078" spans="1:5">
      <c r="A1078" t="s">
        <v>1980</v>
      </c>
      <c r="B1078" t="s">
        <v>1981</v>
      </c>
      <c r="E1078" s="1"/>
    </row>
    <row r="1079" spans="1:5">
      <c r="A1079" t="s">
        <v>1982</v>
      </c>
      <c r="B1079" t="s">
        <v>1983</v>
      </c>
      <c r="E1079" s="1"/>
    </row>
    <row r="1080" spans="1:5">
      <c r="A1080" t="s">
        <v>1984</v>
      </c>
      <c r="B1080" t="s">
        <v>1985</v>
      </c>
      <c r="E1080" s="1"/>
    </row>
    <row r="1081" spans="1:5">
      <c r="A1081" t="s">
        <v>1986</v>
      </c>
      <c r="B1081" t="s">
        <v>1987</v>
      </c>
      <c r="E1081" s="1"/>
    </row>
    <row r="1082" spans="1:5">
      <c r="A1082" t="s">
        <v>1988</v>
      </c>
      <c r="B1082" t="s">
        <v>1989</v>
      </c>
      <c r="E1082" s="1"/>
    </row>
    <row r="1083" spans="1:5">
      <c r="A1083" t="s">
        <v>1990</v>
      </c>
      <c r="B1083" t="s">
        <v>1991</v>
      </c>
      <c r="E1083" s="1"/>
    </row>
    <row r="1084" spans="1:5">
      <c r="A1084" t="s">
        <v>1992</v>
      </c>
      <c r="B1084" t="s">
        <v>1993</v>
      </c>
      <c r="E1084" s="1"/>
    </row>
    <row r="1085" spans="1:5">
      <c r="A1085" t="s">
        <v>1994</v>
      </c>
      <c r="B1085" t="s">
        <v>1995</v>
      </c>
      <c r="E1085" s="1"/>
    </row>
    <row r="1086" spans="1:5">
      <c r="A1086" t="s">
        <v>1996</v>
      </c>
      <c r="B1086" t="s">
        <v>1997</v>
      </c>
      <c r="E1086" s="1"/>
    </row>
    <row r="1087" spans="1:5">
      <c r="B1087" t="s">
        <v>1998</v>
      </c>
      <c r="E1087" s="1"/>
    </row>
    <row r="1088" spans="1:5">
      <c r="B1088" t="s">
        <v>1999</v>
      </c>
      <c r="E1088" s="1"/>
    </row>
    <row r="1089" spans="1:5">
      <c r="B1089" t="s">
        <v>2000</v>
      </c>
      <c r="E1089" s="1"/>
    </row>
    <row r="1090" spans="1:5">
      <c r="B1090" t="s">
        <v>2001</v>
      </c>
      <c r="E1090" s="1"/>
    </row>
    <row r="1091" spans="1:5">
      <c r="B1091" t="s">
        <v>2002</v>
      </c>
      <c r="E1091" s="1"/>
    </row>
    <row r="1092" spans="1:5">
      <c r="B1092" t="s">
        <v>2003</v>
      </c>
      <c r="E1092" s="1"/>
    </row>
    <row r="1093" spans="1:5">
      <c r="B1093" t="s">
        <v>2004</v>
      </c>
      <c r="E1093" s="1"/>
    </row>
    <row r="1094" spans="1:5">
      <c r="A1094" t="s">
        <v>2005</v>
      </c>
      <c r="B1094" t="s">
        <v>2006</v>
      </c>
      <c r="E1094" s="1"/>
    </row>
    <row r="1095" spans="1:5">
      <c r="A1095" t="s">
        <v>2007</v>
      </c>
      <c r="B1095" t="s">
        <v>2008</v>
      </c>
      <c r="E1095" s="1"/>
    </row>
    <row r="1096" spans="1:5">
      <c r="A1096" t="s">
        <v>2009</v>
      </c>
      <c r="B1096" t="s">
        <v>2010</v>
      </c>
      <c r="E1096" s="1"/>
    </row>
    <row r="1097" spans="1:5">
      <c r="A1097" t="s">
        <v>2011</v>
      </c>
      <c r="B1097" t="s">
        <v>2012</v>
      </c>
      <c r="E1097" s="1"/>
    </row>
    <row r="1098" spans="1:5">
      <c r="A1098" t="s">
        <v>2013</v>
      </c>
      <c r="B1098" t="s">
        <v>2014</v>
      </c>
      <c r="E1098" s="1"/>
    </row>
    <row r="1099" spans="1:5">
      <c r="A1099" t="s">
        <v>2015</v>
      </c>
      <c r="B1099" t="s">
        <v>2016</v>
      </c>
      <c r="E1099" s="1"/>
    </row>
    <row r="1100" spans="1:5">
      <c r="A1100" t="s">
        <v>2017</v>
      </c>
      <c r="B1100" t="s">
        <v>2018</v>
      </c>
      <c r="E1100" s="1"/>
    </row>
    <row r="1101" spans="1:5">
      <c r="A1101" t="s">
        <v>2019</v>
      </c>
      <c r="B1101" t="s">
        <v>2020</v>
      </c>
      <c r="E1101" s="1"/>
    </row>
    <row r="1102" spans="1:5">
      <c r="A1102" t="s">
        <v>2021</v>
      </c>
      <c r="B1102" t="s">
        <v>2022</v>
      </c>
      <c r="E1102" s="1"/>
    </row>
    <row r="1103" spans="1:5">
      <c r="A1103" t="s">
        <v>2023</v>
      </c>
      <c r="B1103" t="s">
        <v>2024</v>
      </c>
      <c r="E1103" s="1"/>
    </row>
    <row r="1104" spans="1:5">
      <c r="A1104" t="s">
        <v>2025</v>
      </c>
      <c r="B1104" t="s">
        <v>2026</v>
      </c>
      <c r="E1104" s="1"/>
    </row>
    <row r="1105" spans="1:5">
      <c r="A1105" t="s">
        <v>2027</v>
      </c>
      <c r="B1105" t="s">
        <v>2028</v>
      </c>
      <c r="E1105" s="1"/>
    </row>
    <row r="1106" spans="1:5">
      <c r="A1106" t="s">
        <v>2029</v>
      </c>
      <c r="B1106" t="s">
        <v>2030</v>
      </c>
      <c r="E1106" s="1"/>
    </row>
    <row r="1107" spans="1:5">
      <c r="A1107" t="s">
        <v>2031</v>
      </c>
      <c r="B1107" t="s">
        <v>2032</v>
      </c>
      <c r="E1107" s="1"/>
    </row>
    <row r="1108" spans="1:5">
      <c r="A1108" t="s">
        <v>2033</v>
      </c>
      <c r="B1108" t="s">
        <v>2034</v>
      </c>
      <c r="E1108" s="1"/>
    </row>
    <row r="1109" spans="1:5">
      <c r="A1109" t="s">
        <v>2035</v>
      </c>
      <c r="B1109" t="s">
        <v>2036</v>
      </c>
      <c r="E1109" s="1"/>
    </row>
    <row r="1110" spans="1:5">
      <c r="A1110" t="s">
        <v>2037</v>
      </c>
      <c r="B1110" t="s">
        <v>2038</v>
      </c>
      <c r="E1110" s="1"/>
    </row>
    <row r="1111" spans="1:5">
      <c r="A1111" t="s">
        <v>2039</v>
      </c>
      <c r="B1111" t="s">
        <v>2040</v>
      </c>
      <c r="E1111" s="1"/>
    </row>
    <row r="1112" spans="1:5">
      <c r="A1112" t="s">
        <v>2041</v>
      </c>
      <c r="B1112" t="s">
        <v>2042</v>
      </c>
      <c r="E1112" s="1"/>
    </row>
    <row r="1113" spans="1:5">
      <c r="A1113" t="s">
        <v>2043</v>
      </c>
      <c r="B1113" t="s">
        <v>2044</v>
      </c>
      <c r="E1113" s="1"/>
    </row>
    <row r="1114" spans="1:5">
      <c r="A1114" t="s">
        <v>2045</v>
      </c>
      <c r="B1114" t="s">
        <v>2046</v>
      </c>
      <c r="E1114" s="1"/>
    </row>
    <row r="1115" spans="1:5">
      <c r="A1115" t="s">
        <v>2047</v>
      </c>
      <c r="B1115" t="s">
        <v>2048</v>
      </c>
      <c r="E1115" s="1"/>
    </row>
    <row r="1116" spans="1:5">
      <c r="A1116" t="s">
        <v>2049</v>
      </c>
      <c r="B1116" t="s">
        <v>2050</v>
      </c>
      <c r="E1116" s="1"/>
    </row>
    <row r="1117" spans="1:5">
      <c r="A1117" t="s">
        <v>2051</v>
      </c>
      <c r="B1117" t="s">
        <v>2052</v>
      </c>
      <c r="E1117" s="1"/>
    </row>
    <row r="1118" spans="1:5">
      <c r="A1118" t="s">
        <v>2053</v>
      </c>
      <c r="B1118" t="s">
        <v>2054</v>
      </c>
      <c r="E1118" s="1"/>
    </row>
    <row r="1119" spans="1:5">
      <c r="A1119" t="s">
        <v>2055</v>
      </c>
      <c r="B1119" t="s">
        <v>2056</v>
      </c>
      <c r="E1119" s="1"/>
    </row>
    <row r="1120" spans="1:5">
      <c r="A1120" t="s">
        <v>2057</v>
      </c>
      <c r="B1120" t="s">
        <v>2058</v>
      </c>
      <c r="E1120" s="1"/>
    </row>
    <row r="1121" spans="1:8">
      <c r="A1121" t="s">
        <v>2059</v>
      </c>
      <c r="B1121" t="s">
        <v>2060</v>
      </c>
      <c r="E1121" s="1"/>
    </row>
    <row r="1122" spans="1:8">
      <c r="A1122" t="s">
        <v>2061</v>
      </c>
      <c r="B1122" t="s">
        <v>2062</v>
      </c>
      <c r="E1122" s="1"/>
    </row>
    <row r="1123" spans="1:8">
      <c r="A1123" t="s">
        <v>2063</v>
      </c>
      <c r="B1123" t="s">
        <v>2064</v>
      </c>
      <c r="E1123" s="1"/>
    </row>
    <row r="1124" spans="1:8">
      <c r="A1124" t="s">
        <v>2065</v>
      </c>
      <c r="B1124" t="s">
        <v>2066</v>
      </c>
      <c r="E1124" s="1"/>
    </row>
    <row r="1125" spans="1:8">
      <c r="A1125" t="s">
        <v>2067</v>
      </c>
      <c r="B1125" t="s">
        <v>2068</v>
      </c>
      <c r="E1125" s="1"/>
    </row>
    <row r="1126" spans="1:8">
      <c r="A1126" t="s">
        <v>2069</v>
      </c>
      <c r="B1126" t="s">
        <v>2070</v>
      </c>
      <c r="E1126" s="1"/>
    </row>
    <row r="1127" spans="1:8">
      <c r="A1127" t="s">
        <v>2071</v>
      </c>
      <c r="B1127" t="s">
        <v>2072</v>
      </c>
      <c r="E1127" s="1"/>
    </row>
    <row r="1128" spans="1:8">
      <c r="A1128" t="s">
        <v>2073</v>
      </c>
      <c r="B1128" t="s">
        <v>2074</v>
      </c>
      <c r="E1128" s="1"/>
    </row>
    <row r="1129" spans="1:8">
      <c r="A1129" t="s">
        <v>2075</v>
      </c>
      <c r="B1129" t="s">
        <v>2076</v>
      </c>
      <c r="E1129" s="1"/>
    </row>
    <row r="1130" spans="1:8">
      <c r="A1130" t="s">
        <v>2077</v>
      </c>
      <c r="B1130" t="s">
        <v>2078</v>
      </c>
      <c r="E1130" s="1"/>
    </row>
    <row r="1131" spans="1:8">
      <c r="A1131" t="s">
        <v>2079</v>
      </c>
      <c r="B1131" t="s">
        <v>2080</v>
      </c>
      <c r="E1131" s="1"/>
    </row>
    <row r="1132" spans="1:8">
      <c r="A1132" t="s">
        <v>2081</v>
      </c>
      <c r="B1132" t="s">
        <v>2082</v>
      </c>
      <c r="E1132" s="1"/>
    </row>
    <row r="1133" spans="1:8">
      <c r="A1133" t="s">
        <v>2083</v>
      </c>
      <c r="B1133" t="s">
        <v>2084</v>
      </c>
      <c r="C1133" s="1" t="s">
        <v>2085</v>
      </c>
      <c r="D1133" s="1"/>
      <c r="E1133" s="1" t="str">
        <f t="shared" ref="E1133:E1185" si="102">HYPERLINK("https://www.kegg.jp/dbget-bin/www_bget?ec:" &amp; C1133, "https://www.kegg.jp/dbget-bin/www_bget?ec:" &amp; C1133)</f>
        <v>https://www.kegg.jp/dbget-bin/www_bget?ec:6.3.2.8</v>
      </c>
      <c r="F1133" s="1" t="s">
        <v>9651</v>
      </c>
      <c r="G1133" s="10" t="s">
        <v>10701</v>
      </c>
      <c r="H1133" s="13" t="s">
        <v>10702</v>
      </c>
    </row>
    <row r="1134" spans="1:8">
      <c r="A1134" t="s">
        <v>2086</v>
      </c>
      <c r="B1134" t="s">
        <v>2087</v>
      </c>
      <c r="C1134" s="1" t="s">
        <v>2088</v>
      </c>
      <c r="D1134" s="1"/>
      <c r="E1134" s="1" t="str">
        <f t="shared" ref="E1134" si="103">HYPERLINK("https://www.kegg.jp/dbget-bin/www_bget?ec:" &amp; C1134, "https://www.kegg.jp/dbget-bin/www_bget?ec:" &amp; C1134)</f>
        <v>https://www.kegg.jp/dbget-bin/www_bget?ec:2.4.1.227</v>
      </c>
      <c r="F1134" s="1" t="s">
        <v>9654</v>
      </c>
      <c r="G1134" s="10" t="s">
        <v>10703</v>
      </c>
      <c r="H1134" s="13" t="s">
        <v>10704</v>
      </c>
    </row>
    <row r="1135" spans="1:8">
      <c r="A1135" t="s">
        <v>2086</v>
      </c>
      <c r="B1135" t="s">
        <v>2087</v>
      </c>
      <c r="C1135" s="1" t="s">
        <v>2088</v>
      </c>
      <c r="D1135" s="1"/>
      <c r="E1135" s="1" t="str">
        <f t="shared" ref="E1135" si="104">HYPERLINK("https://www.kegg.jp/dbget-bin/www_bget?ec:" &amp; C1135, "https://www.kegg.jp/dbget-bin/www_bget?ec:" &amp; C1135)</f>
        <v>https://www.kegg.jp/dbget-bin/www_bget?ec:2.4.1.227</v>
      </c>
      <c r="F1135" s="1" t="s">
        <v>9654</v>
      </c>
      <c r="G1135" s="10" t="s">
        <v>10705</v>
      </c>
      <c r="H1135" s="13" t="s">
        <v>10706</v>
      </c>
    </row>
    <row r="1136" spans="1:8">
      <c r="A1136" t="s">
        <v>2086</v>
      </c>
      <c r="B1136" t="s">
        <v>2087</v>
      </c>
      <c r="C1136" s="1" t="s">
        <v>2088</v>
      </c>
      <c r="D1136" s="1"/>
      <c r="E1136" s="1" t="str">
        <f t="shared" ref="E1136" si="105">HYPERLINK("https://www.kegg.jp/dbget-bin/www_bget?ec:" &amp; C1136, "https://www.kegg.jp/dbget-bin/www_bget?ec:" &amp; C1136)</f>
        <v>https://www.kegg.jp/dbget-bin/www_bget?ec:2.4.1.227</v>
      </c>
      <c r="F1136" s="1" t="s">
        <v>9654</v>
      </c>
      <c r="G1136" s="10" t="s">
        <v>10707</v>
      </c>
      <c r="H1136" s="13" t="s">
        <v>10708</v>
      </c>
    </row>
    <row r="1137" spans="1:8">
      <c r="A1137" t="s">
        <v>2086</v>
      </c>
      <c r="B1137" t="s">
        <v>2087</v>
      </c>
      <c r="C1137" s="1" t="s">
        <v>2088</v>
      </c>
      <c r="D1137" s="1"/>
      <c r="E1137" s="1" t="str">
        <f t="shared" ref="E1137" si="106">HYPERLINK("https://www.kegg.jp/dbget-bin/www_bget?ec:" &amp; C1137, "https://www.kegg.jp/dbget-bin/www_bget?ec:" &amp; C1137)</f>
        <v>https://www.kegg.jp/dbget-bin/www_bget?ec:2.4.1.227</v>
      </c>
      <c r="F1137" s="1" t="s">
        <v>9654</v>
      </c>
      <c r="G1137" s="10" t="s">
        <v>10709</v>
      </c>
      <c r="H1137" s="13" t="s">
        <v>10710</v>
      </c>
    </row>
    <row r="1138" spans="1:8">
      <c r="A1138" t="s">
        <v>2086</v>
      </c>
      <c r="B1138" t="s">
        <v>2087</v>
      </c>
      <c r="C1138" s="1" t="s">
        <v>2088</v>
      </c>
      <c r="D1138" s="1"/>
      <c r="E1138" s="1" t="str">
        <f t="shared" si="102"/>
        <v>https://www.kegg.jp/dbget-bin/www_bget?ec:2.4.1.227</v>
      </c>
      <c r="F1138" s="1" t="s">
        <v>9654</v>
      </c>
      <c r="G1138" s="10" t="s">
        <v>10711</v>
      </c>
      <c r="H1138" s="13" t="s">
        <v>10712</v>
      </c>
    </row>
    <row r="1139" spans="1:8">
      <c r="A1139" t="s">
        <v>2089</v>
      </c>
      <c r="B1139" t="s">
        <v>2090</v>
      </c>
      <c r="E1139" s="1"/>
    </row>
    <row r="1140" spans="1:8">
      <c r="A1140" t="s">
        <v>2091</v>
      </c>
      <c r="B1140" t="s">
        <v>2092</v>
      </c>
      <c r="C1140" s="1" t="s">
        <v>2093</v>
      </c>
      <c r="D1140" s="1"/>
      <c r="E1140" s="1" t="str">
        <f t="shared" si="102"/>
        <v>https://www.kegg.jp/dbget-bin/www_bget?ec:6.3.2.9</v>
      </c>
      <c r="F1140" s="1" t="s">
        <v>9665</v>
      </c>
      <c r="G1140" s="10" t="s">
        <v>10713</v>
      </c>
      <c r="H1140" s="13" t="s">
        <v>10714</v>
      </c>
    </row>
    <row r="1141" spans="1:8">
      <c r="A1141" t="s">
        <v>2094</v>
      </c>
      <c r="B1141" t="s">
        <v>2095</v>
      </c>
      <c r="C1141" s="1" t="s">
        <v>2096</v>
      </c>
      <c r="D1141" s="1"/>
      <c r="E1141" s="1" t="str">
        <f t="shared" si="102"/>
        <v>https://www.kegg.jp/dbget-bin/www_bget?ec:2.7.8.13</v>
      </c>
      <c r="F1141" s="1" t="s">
        <v>9668</v>
      </c>
      <c r="G1141" s="10" t="s">
        <v>10715</v>
      </c>
      <c r="H1141" s="13" t="s">
        <v>10716</v>
      </c>
    </row>
    <row r="1142" spans="1:8">
      <c r="A1142" t="s">
        <v>2094</v>
      </c>
      <c r="B1142" t="s">
        <v>2095</v>
      </c>
      <c r="C1142" s="1" t="s">
        <v>2096</v>
      </c>
      <c r="D1142" s="1"/>
      <c r="E1142" s="1" t="str">
        <f t="shared" ref="E1142" si="107">HYPERLINK("https://www.kegg.jp/dbget-bin/www_bget?ec:" &amp; C1142, "https://www.kegg.jp/dbget-bin/www_bget?ec:" &amp; C1142)</f>
        <v>https://www.kegg.jp/dbget-bin/www_bget?ec:2.7.8.13</v>
      </c>
      <c r="F1142" s="1" t="s">
        <v>9668</v>
      </c>
      <c r="G1142" s="10" t="s">
        <v>10715</v>
      </c>
      <c r="H1142" s="13" t="s">
        <v>10716</v>
      </c>
    </row>
    <row r="1143" spans="1:8">
      <c r="A1143" t="s">
        <v>2097</v>
      </c>
      <c r="B1143" t="s">
        <v>2098</v>
      </c>
      <c r="C1143" s="1" t="s">
        <v>2099</v>
      </c>
      <c r="D1143" s="1"/>
      <c r="E1143" s="1" t="str">
        <f t="shared" si="102"/>
        <v>https://www.kegg.jp/dbget-bin/www_bget?ec:6.3.2.13</v>
      </c>
      <c r="F1143" s="1" t="s">
        <v>9668</v>
      </c>
      <c r="G1143" s="21" t="s">
        <v>10717</v>
      </c>
      <c r="H1143" s="13" t="s">
        <v>10718</v>
      </c>
    </row>
    <row r="1144" spans="1:8">
      <c r="A1144" t="s">
        <v>2100</v>
      </c>
      <c r="B1144" t="s">
        <v>2101</v>
      </c>
      <c r="E1144" s="1"/>
    </row>
    <row r="1145" spans="1:8">
      <c r="A1145" t="s">
        <v>2102</v>
      </c>
      <c r="B1145" t="s">
        <v>2103</v>
      </c>
      <c r="E1145" s="1"/>
    </row>
    <row r="1146" spans="1:8">
      <c r="A1146" t="s">
        <v>2104</v>
      </c>
      <c r="B1146" t="s">
        <v>2105</v>
      </c>
      <c r="E1146" s="1"/>
    </row>
    <row r="1147" spans="1:8">
      <c r="A1147" t="s">
        <v>2106</v>
      </c>
      <c r="B1147" t="s">
        <v>2107</v>
      </c>
      <c r="E1147" s="1"/>
    </row>
    <row r="1148" spans="1:8">
      <c r="A1148" t="s">
        <v>2108</v>
      </c>
      <c r="B1148" t="s">
        <v>2109</v>
      </c>
      <c r="E1148" s="1"/>
    </row>
    <row r="1149" spans="1:8">
      <c r="A1149" t="s">
        <v>2110</v>
      </c>
      <c r="B1149" t="s">
        <v>2111</v>
      </c>
      <c r="E1149" s="1"/>
    </row>
    <row r="1150" spans="1:8">
      <c r="A1150" t="s">
        <v>2112</v>
      </c>
      <c r="B1150" t="s">
        <v>2113</v>
      </c>
      <c r="E1150" s="1"/>
    </row>
    <row r="1151" spans="1:8">
      <c r="A1151" t="s">
        <v>2114</v>
      </c>
      <c r="B1151" t="s">
        <v>2115</v>
      </c>
      <c r="E1151" s="1"/>
    </row>
    <row r="1152" spans="1:8">
      <c r="A1152" t="s">
        <v>2116</v>
      </c>
      <c r="B1152" t="s">
        <v>2117</v>
      </c>
      <c r="E1152" s="1"/>
    </row>
    <row r="1153" spans="1:8">
      <c r="A1153" t="s">
        <v>2118</v>
      </c>
      <c r="B1153" t="s">
        <v>2119</v>
      </c>
      <c r="E1153" s="1"/>
    </row>
    <row r="1154" spans="1:8">
      <c r="A1154" t="s">
        <v>2120</v>
      </c>
      <c r="B1154" t="s">
        <v>2121</v>
      </c>
      <c r="E1154" s="1"/>
    </row>
    <row r="1155" spans="1:8">
      <c r="A1155" t="s">
        <v>2122</v>
      </c>
      <c r="B1155" t="s">
        <v>2123</v>
      </c>
      <c r="E1155" s="1"/>
    </row>
    <row r="1156" spans="1:8">
      <c r="A1156" t="s">
        <v>2124</v>
      </c>
      <c r="B1156" t="s">
        <v>2125</v>
      </c>
      <c r="E1156" s="1"/>
    </row>
    <row r="1157" spans="1:8">
      <c r="A1157" t="s">
        <v>2126</v>
      </c>
      <c r="B1157" t="s">
        <v>2127</v>
      </c>
      <c r="E1157" s="1"/>
    </row>
    <row r="1158" spans="1:8">
      <c r="A1158" t="s">
        <v>2128</v>
      </c>
      <c r="B1158" t="s">
        <v>2129</v>
      </c>
      <c r="C1158" s="1" t="s">
        <v>2130</v>
      </c>
      <c r="D1158" s="1"/>
      <c r="E1158" s="1" t="str">
        <f t="shared" si="102"/>
        <v>https://www.kegg.jp/dbget-bin/www_bget?ec:2.1.1.198</v>
      </c>
      <c r="F1158" t="s">
        <v>9650</v>
      </c>
    </row>
    <row r="1159" spans="1:8">
      <c r="A1159" t="s">
        <v>2131</v>
      </c>
      <c r="B1159" t="s">
        <v>2132</v>
      </c>
      <c r="E1159" s="1"/>
    </row>
    <row r="1160" spans="1:8">
      <c r="A1160" t="s">
        <v>2133</v>
      </c>
      <c r="B1160" t="s">
        <v>2134</v>
      </c>
      <c r="E1160" s="1"/>
    </row>
    <row r="1161" spans="1:8">
      <c r="A1161" t="s">
        <v>2135</v>
      </c>
      <c r="B1161" t="s">
        <v>2136</v>
      </c>
      <c r="E1161" s="1"/>
    </row>
    <row r="1162" spans="1:8">
      <c r="A1162" t="s">
        <v>2137</v>
      </c>
      <c r="B1162" t="s">
        <v>2138</v>
      </c>
      <c r="E1162" s="1"/>
    </row>
    <row r="1163" spans="1:8">
      <c r="A1163" t="s">
        <v>2139</v>
      </c>
      <c r="B1163" t="s">
        <v>2140</v>
      </c>
      <c r="C1163" s="1" t="s">
        <v>2141</v>
      </c>
      <c r="D1163" s="1"/>
      <c r="E1163" s="1" t="str">
        <f t="shared" si="102"/>
        <v>https://www.kegg.jp/dbget-bin/www_bget?ec:1.1.1.133</v>
      </c>
      <c r="F1163" s="1" t="s">
        <v>9673</v>
      </c>
      <c r="G1163" s="10" t="s">
        <v>10719</v>
      </c>
      <c r="H1163" s="13" t="s">
        <v>10720</v>
      </c>
    </row>
    <row r="1164" spans="1:8">
      <c r="A1164" t="s">
        <v>2142</v>
      </c>
      <c r="B1164" t="s">
        <v>2143</v>
      </c>
      <c r="E1164" s="1"/>
    </row>
    <row r="1165" spans="1:8">
      <c r="A1165" t="s">
        <v>2144</v>
      </c>
      <c r="B1165" t="s">
        <v>2145</v>
      </c>
      <c r="E1165" s="1"/>
    </row>
    <row r="1166" spans="1:8">
      <c r="A1166" t="s">
        <v>2146</v>
      </c>
      <c r="B1166" t="s">
        <v>2147</v>
      </c>
      <c r="E1166" s="1"/>
    </row>
    <row r="1167" spans="1:8">
      <c r="A1167" t="s">
        <v>2148</v>
      </c>
      <c r="B1167" t="s">
        <v>2149</v>
      </c>
      <c r="E1167" s="1"/>
    </row>
    <row r="1168" spans="1:8">
      <c r="A1168" t="s">
        <v>2150</v>
      </c>
      <c r="B1168" t="s">
        <v>2151</v>
      </c>
      <c r="E1168" s="1"/>
    </row>
    <row r="1169" spans="1:8">
      <c r="A1169" t="s">
        <v>2152</v>
      </c>
      <c r="B1169" t="s">
        <v>2153</v>
      </c>
      <c r="E1169" s="1"/>
    </row>
    <row r="1170" spans="1:8">
      <c r="A1170" t="s">
        <v>2154</v>
      </c>
      <c r="B1170" t="s">
        <v>2155</v>
      </c>
      <c r="E1170" s="1"/>
    </row>
    <row r="1171" spans="1:8">
      <c r="A1171" t="s">
        <v>2156</v>
      </c>
      <c r="B1171" t="s">
        <v>2157</v>
      </c>
      <c r="E1171" s="1"/>
    </row>
    <row r="1172" spans="1:8">
      <c r="A1172" t="s">
        <v>2158</v>
      </c>
      <c r="B1172" t="s">
        <v>2159</v>
      </c>
      <c r="E1172" s="1"/>
    </row>
    <row r="1173" spans="1:8">
      <c r="A1173" t="s">
        <v>2160</v>
      </c>
      <c r="B1173" t="s">
        <v>2161</v>
      </c>
      <c r="E1173" s="1"/>
    </row>
    <row r="1174" spans="1:8">
      <c r="A1174" t="s">
        <v>2162</v>
      </c>
      <c r="B1174" t="s">
        <v>2163</v>
      </c>
      <c r="E1174" s="1"/>
    </row>
    <row r="1175" spans="1:8">
      <c r="A1175" t="s">
        <v>2164</v>
      </c>
      <c r="B1175" t="s">
        <v>2165</v>
      </c>
      <c r="E1175" s="1"/>
    </row>
    <row r="1176" spans="1:8">
      <c r="A1176" t="s">
        <v>2166</v>
      </c>
      <c r="B1176" t="s">
        <v>2167</v>
      </c>
      <c r="C1176" s="1" t="s">
        <v>2168</v>
      </c>
      <c r="D1176" s="1"/>
      <c r="E1176" s="1" t="str">
        <f t="shared" si="102"/>
        <v>https://www.kegg.jp/dbget-bin/www_bget?ec:6.3.5.3</v>
      </c>
      <c r="F1176" s="1" t="s">
        <v>9676</v>
      </c>
      <c r="G1176" s="10" t="s">
        <v>10721</v>
      </c>
      <c r="H1176" s="23" t="s">
        <v>10722</v>
      </c>
    </row>
    <row r="1177" spans="1:8">
      <c r="A1177" t="s">
        <v>2169</v>
      </c>
      <c r="B1177" t="s">
        <v>2170</v>
      </c>
      <c r="E1177" s="1"/>
    </row>
    <row r="1178" spans="1:8">
      <c r="A1178" t="s">
        <v>2171</v>
      </c>
      <c r="B1178" t="s">
        <v>2172</v>
      </c>
      <c r="E1178" s="1"/>
    </row>
    <row r="1179" spans="1:8">
      <c r="A1179" t="s">
        <v>2173</v>
      </c>
      <c r="B1179" t="s">
        <v>2174</v>
      </c>
      <c r="E1179" s="1"/>
    </row>
    <row r="1180" spans="1:8">
      <c r="A1180" t="s">
        <v>2175</v>
      </c>
      <c r="B1180" t="s">
        <v>2176</v>
      </c>
      <c r="E1180" s="1"/>
    </row>
    <row r="1181" spans="1:8">
      <c r="A1181" t="s">
        <v>2177</v>
      </c>
      <c r="B1181" t="s">
        <v>2178</v>
      </c>
      <c r="E1181" s="1"/>
    </row>
    <row r="1182" spans="1:8">
      <c r="A1182" t="s">
        <v>2179</v>
      </c>
      <c r="B1182" t="s">
        <v>2180</v>
      </c>
      <c r="E1182" s="1"/>
    </row>
    <row r="1183" spans="1:8">
      <c r="B1183" t="s">
        <v>2181</v>
      </c>
      <c r="E1183" s="1"/>
    </row>
    <row r="1184" spans="1:8">
      <c r="A1184" t="s">
        <v>2182</v>
      </c>
      <c r="B1184" t="s">
        <v>2183</v>
      </c>
      <c r="C1184" s="1" t="s">
        <v>2184</v>
      </c>
      <c r="D1184" s="1"/>
      <c r="E1184" s="1" t="str">
        <f t="shared" si="102"/>
        <v>https://www.kegg.jp/dbget-bin/www_bget?ec:4.2.3.4</v>
      </c>
      <c r="F1184" t="s">
        <v>9681</v>
      </c>
      <c r="G1184" s="10" t="s">
        <v>9682</v>
      </c>
      <c r="H1184" s="13" t="s">
        <v>10723</v>
      </c>
    </row>
    <row r="1185" spans="1:8">
      <c r="A1185" t="s">
        <v>2185</v>
      </c>
      <c r="B1185" t="s">
        <v>2186</v>
      </c>
      <c r="C1185" s="1" t="s">
        <v>2187</v>
      </c>
      <c r="D1185" s="1"/>
      <c r="E1185" s="1" t="str">
        <f t="shared" si="102"/>
        <v>https://www.kegg.jp/dbget-bin/www_bget?ec:6.1.1.7</v>
      </c>
      <c r="F1185" s="1" t="s">
        <v>9685</v>
      </c>
      <c r="G1185" s="10" t="s">
        <v>10724</v>
      </c>
      <c r="H1185" s="13" t="s">
        <v>10725</v>
      </c>
    </row>
    <row r="1186" spans="1:8">
      <c r="A1186" t="s">
        <v>2188</v>
      </c>
      <c r="B1186" t="s">
        <v>2189</v>
      </c>
      <c r="E1186" s="24"/>
    </row>
    <row r="1187" spans="1:8">
      <c r="A1187" t="s">
        <v>2190</v>
      </c>
      <c r="B1187" t="s">
        <v>2191</v>
      </c>
      <c r="E1187" s="1"/>
    </row>
    <row r="1188" spans="1:8">
      <c r="A1188" t="s">
        <v>2192</v>
      </c>
      <c r="B1188" t="s">
        <v>2193</v>
      </c>
      <c r="E1188" s="1"/>
    </row>
    <row r="1189" spans="1:8">
      <c r="A1189" t="s">
        <v>2194</v>
      </c>
      <c r="B1189" t="s">
        <v>2195</v>
      </c>
      <c r="E1189" s="1"/>
    </row>
    <row r="1190" spans="1:8">
      <c r="A1190" t="s">
        <v>2196</v>
      </c>
      <c r="B1190" t="s">
        <v>2197</v>
      </c>
      <c r="E1190" s="1"/>
    </row>
    <row r="1191" spans="1:8">
      <c r="A1191" t="s">
        <v>2198</v>
      </c>
      <c r="B1191" t="s">
        <v>2199</v>
      </c>
      <c r="E1191" s="1"/>
    </row>
    <row r="1192" spans="1:8">
      <c r="B1192" t="s">
        <v>2200</v>
      </c>
      <c r="E1192" s="1"/>
    </row>
    <row r="1193" spans="1:8">
      <c r="A1193" t="s">
        <v>2201</v>
      </c>
      <c r="B1193" t="s">
        <v>2202</v>
      </c>
      <c r="E1193" s="1"/>
    </row>
    <row r="1194" spans="1:8">
      <c r="A1194" t="s">
        <v>2203</v>
      </c>
      <c r="B1194" t="s">
        <v>2204</v>
      </c>
      <c r="E1194" s="1"/>
    </row>
    <row r="1195" spans="1:8">
      <c r="A1195" t="s">
        <v>2205</v>
      </c>
      <c r="B1195" t="s">
        <v>2206</v>
      </c>
      <c r="E1195" s="1"/>
    </row>
    <row r="1196" spans="1:8">
      <c r="A1196" t="s">
        <v>2207</v>
      </c>
      <c r="B1196" t="s">
        <v>2208</v>
      </c>
      <c r="E1196" s="1"/>
    </row>
    <row r="1197" spans="1:8">
      <c r="A1197" t="s">
        <v>2209</v>
      </c>
      <c r="B1197" t="s">
        <v>2210</v>
      </c>
      <c r="E1197" s="1"/>
    </row>
    <row r="1198" spans="1:8">
      <c r="A1198" t="s">
        <v>2211</v>
      </c>
      <c r="B1198" t="s">
        <v>2212</v>
      </c>
      <c r="E1198" s="1"/>
    </row>
    <row r="1199" spans="1:8">
      <c r="A1199" t="s">
        <v>2213</v>
      </c>
      <c r="B1199" t="s">
        <v>2214</v>
      </c>
      <c r="E1199" s="1"/>
    </row>
    <row r="1200" spans="1:8">
      <c r="A1200" t="s">
        <v>2215</v>
      </c>
      <c r="B1200" t="s">
        <v>2216</v>
      </c>
      <c r="E1200" s="1"/>
    </row>
    <row r="1201" spans="1:5">
      <c r="A1201" t="s">
        <v>2217</v>
      </c>
      <c r="B1201" t="s">
        <v>2218</v>
      </c>
      <c r="E1201" s="1"/>
    </row>
    <row r="1202" spans="1:5">
      <c r="A1202" t="s">
        <v>2219</v>
      </c>
      <c r="B1202" t="s">
        <v>2220</v>
      </c>
      <c r="E1202" s="1"/>
    </row>
    <row r="1203" spans="1:5">
      <c r="A1203" t="s">
        <v>2221</v>
      </c>
      <c r="B1203" t="s">
        <v>2222</v>
      </c>
      <c r="E1203" s="1"/>
    </row>
    <row r="1204" spans="1:5">
      <c r="A1204" t="s">
        <v>2223</v>
      </c>
      <c r="B1204" t="s">
        <v>2224</v>
      </c>
      <c r="E1204" s="1"/>
    </row>
    <row r="1205" spans="1:5">
      <c r="A1205" t="s">
        <v>2225</v>
      </c>
      <c r="B1205" t="s">
        <v>2226</v>
      </c>
      <c r="E1205" s="1"/>
    </row>
    <row r="1206" spans="1:5">
      <c r="A1206" t="s">
        <v>2227</v>
      </c>
      <c r="B1206" t="s">
        <v>2228</v>
      </c>
      <c r="E1206" s="1"/>
    </row>
    <row r="1207" spans="1:5">
      <c r="A1207" t="s">
        <v>2229</v>
      </c>
      <c r="B1207" t="s">
        <v>2230</v>
      </c>
      <c r="E1207" s="1"/>
    </row>
    <row r="1208" spans="1:5">
      <c r="A1208" t="s">
        <v>2231</v>
      </c>
      <c r="B1208" t="s">
        <v>2232</v>
      </c>
      <c r="E1208" s="1"/>
    </row>
    <row r="1209" spans="1:5">
      <c r="A1209" t="s">
        <v>2233</v>
      </c>
      <c r="B1209" t="s">
        <v>2234</v>
      </c>
      <c r="E1209" s="1"/>
    </row>
    <row r="1210" spans="1:5">
      <c r="A1210" t="s">
        <v>2235</v>
      </c>
      <c r="B1210" t="s">
        <v>2236</v>
      </c>
      <c r="E1210" s="1"/>
    </row>
    <row r="1211" spans="1:5">
      <c r="A1211" t="s">
        <v>2237</v>
      </c>
      <c r="B1211" t="s">
        <v>2238</v>
      </c>
      <c r="E1211" s="1"/>
    </row>
    <row r="1212" spans="1:5">
      <c r="A1212" t="s">
        <v>2239</v>
      </c>
      <c r="B1212" t="s">
        <v>2240</v>
      </c>
      <c r="E1212" s="1"/>
    </row>
    <row r="1213" spans="1:5">
      <c r="A1213" t="s">
        <v>2241</v>
      </c>
      <c r="B1213" t="s">
        <v>2242</v>
      </c>
      <c r="E1213" s="1"/>
    </row>
    <row r="1214" spans="1:5">
      <c r="A1214" t="s">
        <v>2243</v>
      </c>
      <c r="B1214" t="s">
        <v>2244</v>
      </c>
      <c r="E1214" s="1"/>
    </row>
    <row r="1215" spans="1:5">
      <c r="A1215" t="s">
        <v>2245</v>
      </c>
      <c r="B1215" t="s">
        <v>2246</v>
      </c>
      <c r="E1215" s="1"/>
    </row>
    <row r="1216" spans="1:5">
      <c r="A1216" t="s">
        <v>2247</v>
      </c>
      <c r="B1216" t="s">
        <v>2248</v>
      </c>
      <c r="E1216" s="1"/>
    </row>
    <row r="1217" spans="1:8">
      <c r="A1217" t="s">
        <v>2249</v>
      </c>
      <c r="B1217" t="s">
        <v>2250</v>
      </c>
      <c r="E1217" s="1"/>
    </row>
    <row r="1218" spans="1:8">
      <c r="A1218" t="s">
        <v>2251</v>
      </c>
      <c r="B1218" t="s">
        <v>2252</v>
      </c>
      <c r="E1218" s="1"/>
    </row>
    <row r="1219" spans="1:8">
      <c r="A1219" t="s">
        <v>2253</v>
      </c>
      <c r="B1219" t="s">
        <v>2254</v>
      </c>
      <c r="E1219" s="1"/>
    </row>
    <row r="1220" spans="1:8">
      <c r="A1220" t="s">
        <v>2255</v>
      </c>
      <c r="B1220" t="s">
        <v>2256</v>
      </c>
      <c r="E1220" s="1"/>
    </row>
    <row r="1221" spans="1:8">
      <c r="A1221" t="s">
        <v>2257</v>
      </c>
      <c r="B1221" t="s">
        <v>2258</v>
      </c>
      <c r="E1221" s="1"/>
    </row>
    <row r="1222" spans="1:8">
      <c r="A1222" t="s">
        <v>2259</v>
      </c>
      <c r="B1222" t="s">
        <v>2260</v>
      </c>
      <c r="E1222" s="1"/>
    </row>
    <row r="1223" spans="1:8">
      <c r="A1223" t="s">
        <v>2261</v>
      </c>
      <c r="B1223" t="s">
        <v>2262</v>
      </c>
      <c r="E1223" s="1"/>
      <c r="F1223" s="10"/>
    </row>
    <row r="1224" spans="1:8">
      <c r="A1224" t="s">
        <v>2263</v>
      </c>
      <c r="B1224" t="s">
        <v>2264</v>
      </c>
      <c r="E1224" s="1"/>
      <c r="F1224" s="10"/>
    </row>
    <row r="1225" spans="1:8">
      <c r="A1225" t="s">
        <v>2265</v>
      </c>
      <c r="B1225" t="s">
        <v>2266</v>
      </c>
      <c r="C1225" s="1" t="s">
        <v>2267</v>
      </c>
      <c r="D1225" s="1"/>
      <c r="E1225" s="1" t="str">
        <f t="shared" ref="E1225" si="108">HYPERLINK("https://www.kegg.jp/dbget-bin/www_bget?ec:" &amp; C1225, "https://www.kegg.jp/dbget-bin/www_bget?ec:" &amp; C1225)</f>
        <v>https://www.kegg.jp/dbget-bin/www_bget?ec:6.3.4.15</v>
      </c>
      <c r="F1225" s="1" t="s">
        <v>9687</v>
      </c>
      <c r="G1225" s="10" t="s">
        <v>10726</v>
      </c>
      <c r="H1225" s="13" t="s">
        <v>10727</v>
      </c>
    </row>
    <row r="1226" spans="1:8">
      <c r="A1226" t="s">
        <v>2265</v>
      </c>
      <c r="B1226" t="s">
        <v>2266</v>
      </c>
      <c r="C1226" s="1" t="s">
        <v>2267</v>
      </c>
      <c r="D1226" s="1"/>
      <c r="E1226" s="1" t="str">
        <f t="shared" ref="E1226" si="109">HYPERLINK("https://www.kegg.jp/dbget-bin/www_bget?ec:" &amp; C1226, "https://www.kegg.jp/dbget-bin/www_bget?ec:" &amp; C1226)</f>
        <v>https://www.kegg.jp/dbget-bin/www_bget?ec:6.3.4.15</v>
      </c>
      <c r="F1226" s="1" t="s">
        <v>9687</v>
      </c>
      <c r="G1226" s="10" t="s">
        <v>10728</v>
      </c>
      <c r="H1226" s="13" t="s">
        <v>10729</v>
      </c>
    </row>
    <row r="1227" spans="1:8">
      <c r="A1227" t="s">
        <v>2265</v>
      </c>
      <c r="B1227" t="s">
        <v>2266</v>
      </c>
      <c r="C1227" s="1" t="s">
        <v>2267</v>
      </c>
      <c r="D1227" s="1"/>
      <c r="E1227" s="1" t="str">
        <f t="shared" ref="E1227:E1240" si="110">HYPERLINK("https://www.kegg.jp/dbget-bin/www_bget?ec:" &amp; C1227, "https://www.kegg.jp/dbget-bin/www_bget?ec:" &amp; C1227)</f>
        <v>https://www.kegg.jp/dbget-bin/www_bget?ec:6.3.4.15</v>
      </c>
      <c r="F1227" s="1" t="s">
        <v>9687</v>
      </c>
      <c r="G1227" s="10" t="s">
        <v>10730</v>
      </c>
      <c r="H1227" s="13" t="s">
        <v>10731</v>
      </c>
    </row>
    <row r="1228" spans="1:8">
      <c r="A1228" t="s">
        <v>2268</v>
      </c>
      <c r="B1228" t="s">
        <v>2269</v>
      </c>
      <c r="E1228" s="1"/>
    </row>
    <row r="1229" spans="1:8">
      <c r="A1229" t="s">
        <v>2270</v>
      </c>
      <c r="B1229" t="s">
        <v>2271</v>
      </c>
      <c r="E1229" s="1"/>
    </row>
    <row r="1230" spans="1:8">
      <c r="A1230" t="s">
        <v>2272</v>
      </c>
      <c r="B1230" t="s">
        <v>2273</v>
      </c>
      <c r="E1230" s="1"/>
    </row>
    <row r="1231" spans="1:8">
      <c r="A1231" t="s">
        <v>2274</v>
      </c>
      <c r="B1231" t="s">
        <v>2275</v>
      </c>
      <c r="E1231" s="1"/>
    </row>
    <row r="1232" spans="1:8">
      <c r="A1232" t="s">
        <v>2276</v>
      </c>
      <c r="B1232" t="s">
        <v>2277</v>
      </c>
      <c r="E1232" s="1"/>
    </row>
    <row r="1233" spans="1:8">
      <c r="A1233" t="s">
        <v>2278</v>
      </c>
      <c r="B1233" t="s">
        <v>2279</v>
      </c>
      <c r="E1233" s="1"/>
    </row>
    <row r="1234" spans="1:8">
      <c r="A1234" t="s">
        <v>2280</v>
      </c>
      <c r="B1234" t="s">
        <v>2281</v>
      </c>
      <c r="C1234" s="1" t="s">
        <v>2282</v>
      </c>
      <c r="D1234" s="1"/>
      <c r="E1234" s="1" t="str">
        <f t="shared" si="110"/>
        <v>https://www.kegg.jp/dbget-bin/www_bget?ec:4.1.1.65</v>
      </c>
      <c r="F1234" s="1" t="s">
        <v>9694</v>
      </c>
      <c r="G1234" s="10" t="s">
        <v>9695</v>
      </c>
      <c r="H1234" s="13" t="s">
        <v>10732</v>
      </c>
    </row>
    <row r="1235" spans="1:8">
      <c r="A1235" t="s">
        <v>2283</v>
      </c>
      <c r="B1235" t="s">
        <v>2284</v>
      </c>
      <c r="E1235" s="1"/>
    </row>
    <row r="1236" spans="1:8">
      <c r="A1236" t="s">
        <v>2285</v>
      </c>
      <c r="B1236" t="s">
        <v>2286</v>
      </c>
      <c r="E1236" s="1"/>
    </row>
    <row r="1237" spans="1:8">
      <c r="A1237" t="s">
        <v>2287</v>
      </c>
      <c r="B1237" t="s">
        <v>2288</v>
      </c>
      <c r="E1237" s="1"/>
    </row>
    <row r="1238" spans="1:8">
      <c r="A1238" t="s">
        <v>2289</v>
      </c>
      <c r="B1238" t="s">
        <v>2290</v>
      </c>
      <c r="E1238" s="1"/>
    </row>
    <row r="1239" spans="1:8">
      <c r="A1239" t="s">
        <v>2291</v>
      </c>
      <c r="B1239" t="s">
        <v>2292</v>
      </c>
      <c r="E1239" s="1"/>
    </row>
    <row r="1240" spans="1:8">
      <c r="A1240" t="s">
        <v>2293</v>
      </c>
      <c r="B1240" t="s">
        <v>2294</v>
      </c>
      <c r="C1240" s="1" t="s">
        <v>2295</v>
      </c>
      <c r="D1240" s="1"/>
      <c r="E1240" s="1" t="str">
        <f t="shared" si="110"/>
        <v>https://www.kegg.jp/dbget-bin/www_bget?ec:4.6.1.12</v>
      </c>
      <c r="F1240" s="1" t="s">
        <v>9698</v>
      </c>
      <c r="G1240" s="10" t="s">
        <v>9697</v>
      </c>
      <c r="H1240" s="13" t="s">
        <v>10733</v>
      </c>
    </row>
    <row r="1241" spans="1:8">
      <c r="A1241" t="s">
        <v>2296</v>
      </c>
      <c r="B1241" t="s">
        <v>2297</v>
      </c>
      <c r="E1241" s="1"/>
    </row>
    <row r="1242" spans="1:8">
      <c r="A1242" t="s">
        <v>2298</v>
      </c>
      <c r="B1242" t="s">
        <v>2299</v>
      </c>
      <c r="E1242" s="1"/>
    </row>
    <row r="1243" spans="1:8">
      <c r="A1243" t="s">
        <v>2300</v>
      </c>
      <c r="B1243" t="s">
        <v>2301</v>
      </c>
      <c r="E1243" s="1"/>
    </row>
    <row r="1244" spans="1:8">
      <c r="A1244" t="s">
        <v>2302</v>
      </c>
      <c r="B1244" t="s">
        <v>2303</v>
      </c>
      <c r="E1244" s="1"/>
    </row>
    <row r="1245" spans="1:8">
      <c r="A1245" t="s">
        <v>2304</v>
      </c>
      <c r="B1245" t="s">
        <v>2305</v>
      </c>
      <c r="E1245" s="1"/>
    </row>
    <row r="1246" spans="1:8">
      <c r="A1246" t="s">
        <v>2306</v>
      </c>
      <c r="B1246" t="s">
        <v>2307</v>
      </c>
      <c r="E1246" s="1"/>
    </row>
    <row r="1247" spans="1:8">
      <c r="A1247" t="s">
        <v>2308</v>
      </c>
      <c r="B1247" t="s">
        <v>2309</v>
      </c>
      <c r="E1247" s="1"/>
    </row>
    <row r="1248" spans="1:8">
      <c r="A1248" t="s">
        <v>2310</v>
      </c>
      <c r="B1248" t="s">
        <v>2311</v>
      </c>
      <c r="E1248" s="1"/>
    </row>
    <row r="1249" spans="1:8">
      <c r="A1249" t="s">
        <v>2312</v>
      </c>
      <c r="B1249" t="s">
        <v>2313</v>
      </c>
      <c r="E1249" s="1"/>
    </row>
    <row r="1250" spans="1:8">
      <c r="A1250" t="s">
        <v>2314</v>
      </c>
      <c r="B1250" t="s">
        <v>2315</v>
      </c>
      <c r="C1250" s="1" t="s">
        <v>2316</v>
      </c>
      <c r="D1250" s="1"/>
      <c r="E1250" s="1" t="s">
        <v>9700</v>
      </c>
      <c r="F1250" s="1" t="s">
        <v>9701</v>
      </c>
      <c r="G1250" s="10" t="s">
        <v>10734</v>
      </c>
      <c r="H1250" s="13" t="s">
        <v>10735</v>
      </c>
    </row>
    <row r="1251" spans="1:8">
      <c r="A1251" t="s">
        <v>2317</v>
      </c>
      <c r="B1251" t="s">
        <v>2318</v>
      </c>
      <c r="E1251" s="1"/>
    </row>
    <row r="1252" spans="1:8">
      <c r="A1252" t="s">
        <v>2319</v>
      </c>
      <c r="B1252" t="s">
        <v>2320</v>
      </c>
      <c r="E1252" s="1"/>
    </row>
    <row r="1253" spans="1:8">
      <c r="A1253" t="s">
        <v>2321</v>
      </c>
      <c r="B1253" t="s">
        <v>2322</v>
      </c>
      <c r="E1253" s="1"/>
    </row>
    <row r="1254" spans="1:8">
      <c r="A1254" t="s">
        <v>2323</v>
      </c>
      <c r="B1254" t="s">
        <v>2324</v>
      </c>
      <c r="E1254" s="1"/>
    </row>
    <row r="1255" spans="1:8">
      <c r="A1255" t="s">
        <v>2325</v>
      </c>
      <c r="B1255" t="s">
        <v>2326</v>
      </c>
      <c r="E1255" s="1"/>
    </row>
    <row r="1256" spans="1:8">
      <c r="A1256" t="s">
        <v>2327</v>
      </c>
      <c r="B1256" t="s">
        <v>2328</v>
      </c>
      <c r="E1256" s="1"/>
    </row>
    <row r="1257" spans="1:8">
      <c r="A1257" t="s">
        <v>2329</v>
      </c>
      <c r="B1257" t="s">
        <v>2330</v>
      </c>
      <c r="E1257" s="1"/>
    </row>
    <row r="1258" spans="1:8">
      <c r="A1258" t="s">
        <v>2331</v>
      </c>
      <c r="B1258" t="s">
        <v>2332</v>
      </c>
      <c r="E1258" s="1"/>
    </row>
    <row r="1259" spans="1:8">
      <c r="A1259" t="s">
        <v>2333</v>
      </c>
      <c r="B1259" t="s">
        <v>2334</v>
      </c>
      <c r="E1259" s="1"/>
    </row>
    <row r="1260" spans="1:8">
      <c r="A1260" t="s">
        <v>2335</v>
      </c>
      <c r="B1260" t="s">
        <v>2336</v>
      </c>
      <c r="E1260" s="1"/>
    </row>
    <row r="1261" spans="1:8">
      <c r="A1261" t="s">
        <v>2337</v>
      </c>
      <c r="B1261" t="s">
        <v>2338</v>
      </c>
      <c r="E1261" s="1"/>
    </row>
    <row r="1262" spans="1:8">
      <c r="A1262" t="s">
        <v>2339</v>
      </c>
      <c r="B1262" t="s">
        <v>2340</v>
      </c>
      <c r="E1262" s="1"/>
    </row>
    <row r="1263" spans="1:8">
      <c r="A1263" t="s">
        <v>2341</v>
      </c>
      <c r="B1263" t="s">
        <v>2342</v>
      </c>
      <c r="E1263" s="1"/>
    </row>
    <row r="1264" spans="1:8">
      <c r="A1264" t="s">
        <v>2343</v>
      </c>
      <c r="B1264" t="s">
        <v>2344</v>
      </c>
      <c r="E1264" s="1"/>
    </row>
    <row r="1265" spans="1:8">
      <c r="A1265" t="s">
        <v>2345</v>
      </c>
      <c r="B1265" t="s">
        <v>2346</v>
      </c>
      <c r="E1265" s="1"/>
    </row>
    <row r="1266" spans="1:8">
      <c r="A1266" t="s">
        <v>2347</v>
      </c>
      <c r="B1266" t="s">
        <v>2348</v>
      </c>
      <c r="E1266" s="1"/>
    </row>
    <row r="1267" spans="1:8">
      <c r="A1267" t="s">
        <v>2349</v>
      </c>
      <c r="B1267" t="s">
        <v>2350</v>
      </c>
      <c r="E1267" s="1"/>
    </row>
    <row r="1268" spans="1:8">
      <c r="A1268" t="s">
        <v>2351</v>
      </c>
      <c r="B1268" t="s">
        <v>2352</v>
      </c>
      <c r="E1268" s="1"/>
    </row>
    <row r="1269" spans="1:8">
      <c r="A1269" t="s">
        <v>2353</v>
      </c>
      <c r="B1269" t="s">
        <v>2354</v>
      </c>
      <c r="E1269" s="1"/>
    </row>
    <row r="1270" spans="1:8">
      <c r="A1270" t="s">
        <v>2355</v>
      </c>
      <c r="B1270" t="s">
        <v>2356</v>
      </c>
      <c r="E1270" s="1"/>
    </row>
    <row r="1271" spans="1:8">
      <c r="A1271" t="s">
        <v>2357</v>
      </c>
      <c r="B1271" t="s">
        <v>2358</v>
      </c>
      <c r="E1271" s="1"/>
    </row>
    <row r="1272" spans="1:8">
      <c r="A1272" t="s">
        <v>2359</v>
      </c>
      <c r="B1272" t="s">
        <v>2360</v>
      </c>
      <c r="E1272" s="1"/>
    </row>
    <row r="1273" spans="1:8">
      <c r="A1273" t="s">
        <v>2361</v>
      </c>
      <c r="B1273" t="s">
        <v>2362</v>
      </c>
      <c r="E1273" s="1"/>
    </row>
    <row r="1274" spans="1:8">
      <c r="A1274" t="s">
        <v>2363</v>
      </c>
      <c r="B1274" t="s">
        <v>2364</v>
      </c>
      <c r="E1274" s="1"/>
    </row>
    <row r="1275" spans="1:8">
      <c r="B1275" t="s">
        <v>2365</v>
      </c>
      <c r="E1275" s="1"/>
    </row>
    <row r="1276" spans="1:8">
      <c r="B1276" t="s">
        <v>2366</v>
      </c>
      <c r="E1276" s="1"/>
    </row>
    <row r="1277" spans="1:8">
      <c r="B1277" t="s">
        <v>2367</v>
      </c>
      <c r="E1277" s="1"/>
    </row>
    <row r="1278" spans="1:8">
      <c r="A1278" t="s">
        <v>2368</v>
      </c>
      <c r="B1278" t="s">
        <v>2369</v>
      </c>
      <c r="E1278" s="1"/>
    </row>
    <row r="1279" spans="1:8">
      <c r="A1279" t="s">
        <v>2370</v>
      </c>
      <c r="B1279" t="s">
        <v>2371</v>
      </c>
      <c r="E1279" s="1"/>
    </row>
    <row r="1280" spans="1:8">
      <c r="A1280" t="s">
        <v>2372</v>
      </c>
      <c r="B1280" t="s">
        <v>2373</v>
      </c>
      <c r="C1280" s="1" t="s">
        <v>2374</v>
      </c>
      <c r="D1280" s="1"/>
      <c r="E1280" s="1" t="str">
        <f t="shared" ref="E1280:E1281" si="111">HYPERLINK("https://www.kegg.jp/dbget-bin/www_bget?ec:" &amp; C1280, "https://www.kegg.jp/dbget-bin/www_bget?ec:" &amp; C1280)</f>
        <v>https://www.kegg.jp/dbget-bin/www_bget?ec:3.1.6.1</v>
      </c>
      <c r="F1280" s="1" t="s">
        <v>9702</v>
      </c>
      <c r="G1280" s="10" t="s">
        <v>10736</v>
      </c>
      <c r="H1280" s="13" t="s">
        <v>10737</v>
      </c>
    </row>
    <row r="1281" spans="1:8">
      <c r="A1281" t="s">
        <v>2372</v>
      </c>
      <c r="B1281" t="s">
        <v>2373</v>
      </c>
      <c r="C1281" s="1" t="s">
        <v>2374</v>
      </c>
      <c r="D1281" s="1"/>
      <c r="E1281" s="1" t="str">
        <f t="shared" si="111"/>
        <v>https://www.kegg.jp/dbget-bin/www_bget?ec:3.1.6.1</v>
      </c>
      <c r="F1281" s="1" t="s">
        <v>9702</v>
      </c>
      <c r="G1281" s="10" t="s">
        <v>10738</v>
      </c>
      <c r="H1281" s="13" t="s">
        <v>10739</v>
      </c>
    </row>
    <row r="1282" spans="1:8">
      <c r="A1282" t="s">
        <v>2372</v>
      </c>
      <c r="B1282" t="s">
        <v>2373</v>
      </c>
      <c r="C1282" s="1" t="s">
        <v>2374</v>
      </c>
      <c r="D1282" s="1"/>
      <c r="E1282" s="1" t="str">
        <f t="shared" ref="E1282" si="112">HYPERLINK("https://www.kegg.jp/dbget-bin/www_bget?ec:" &amp; C1282, "https://www.kegg.jp/dbget-bin/www_bget?ec:" &amp; C1282)</f>
        <v>https://www.kegg.jp/dbget-bin/www_bget?ec:3.1.6.1</v>
      </c>
      <c r="F1282" s="1" t="s">
        <v>9702</v>
      </c>
      <c r="G1282" s="10" t="s">
        <v>10740</v>
      </c>
      <c r="H1282" s="13" t="s">
        <v>10741</v>
      </c>
    </row>
    <row r="1283" spans="1:8">
      <c r="A1283" t="s">
        <v>2372</v>
      </c>
      <c r="B1283" t="s">
        <v>2373</v>
      </c>
      <c r="C1283" s="1" t="s">
        <v>2374</v>
      </c>
      <c r="D1283" s="1"/>
      <c r="E1283" s="1" t="str">
        <f t="shared" ref="E1283:E1330" si="113">HYPERLINK("https://www.kegg.jp/dbget-bin/www_bget?ec:" &amp; C1283, "https://www.kegg.jp/dbget-bin/www_bget?ec:" &amp; C1283)</f>
        <v>https://www.kegg.jp/dbget-bin/www_bget?ec:3.1.6.1</v>
      </c>
      <c r="F1283" s="1" t="s">
        <v>9702</v>
      </c>
      <c r="G1283" s="10" t="s">
        <v>10742</v>
      </c>
      <c r="H1283" s="13" t="s">
        <v>10743</v>
      </c>
    </row>
    <row r="1284" spans="1:8">
      <c r="A1284" t="s">
        <v>2375</v>
      </c>
      <c r="B1284" t="s">
        <v>2376</v>
      </c>
      <c r="E1284" s="1"/>
    </row>
    <row r="1285" spans="1:8">
      <c r="A1285" t="s">
        <v>2377</v>
      </c>
      <c r="B1285" t="s">
        <v>2378</v>
      </c>
      <c r="E1285" s="1"/>
    </row>
    <row r="1286" spans="1:8">
      <c r="A1286" t="s">
        <v>2379</v>
      </c>
      <c r="B1286" t="s">
        <v>2380</v>
      </c>
      <c r="E1286" s="1"/>
    </row>
    <row r="1287" spans="1:8">
      <c r="A1287" t="s">
        <v>2381</v>
      </c>
      <c r="B1287" t="s">
        <v>2382</v>
      </c>
      <c r="E1287" s="1"/>
    </row>
    <row r="1288" spans="1:8">
      <c r="A1288" t="s">
        <v>2383</v>
      </c>
      <c r="B1288" t="s">
        <v>2384</v>
      </c>
      <c r="E1288" s="1"/>
    </row>
    <row r="1289" spans="1:8">
      <c r="B1289" t="s">
        <v>2385</v>
      </c>
      <c r="E1289" s="1"/>
    </row>
    <row r="1290" spans="1:8">
      <c r="A1290" t="s">
        <v>2386</v>
      </c>
      <c r="B1290" t="s">
        <v>2387</v>
      </c>
      <c r="E1290" s="1"/>
    </row>
    <row r="1291" spans="1:8">
      <c r="A1291" t="s">
        <v>2388</v>
      </c>
      <c r="B1291" t="s">
        <v>2389</v>
      </c>
      <c r="E1291" s="1"/>
    </row>
    <row r="1292" spans="1:8">
      <c r="A1292" t="s">
        <v>2390</v>
      </c>
      <c r="B1292" t="s">
        <v>2391</v>
      </c>
      <c r="E1292" s="1"/>
    </row>
    <row r="1293" spans="1:8">
      <c r="A1293" t="s">
        <v>2392</v>
      </c>
      <c r="B1293" t="s">
        <v>2393</v>
      </c>
      <c r="E1293" s="1"/>
    </row>
    <row r="1294" spans="1:8">
      <c r="A1294" t="s">
        <v>2394</v>
      </c>
      <c r="B1294" t="s">
        <v>2395</v>
      </c>
      <c r="E1294" s="1"/>
    </row>
    <row r="1295" spans="1:8">
      <c r="A1295" t="s">
        <v>2396</v>
      </c>
      <c r="B1295" t="s">
        <v>2397</v>
      </c>
      <c r="E1295" s="1"/>
    </row>
    <row r="1296" spans="1:8">
      <c r="A1296" t="s">
        <v>2398</v>
      </c>
      <c r="B1296" t="s">
        <v>2399</v>
      </c>
      <c r="E1296" s="1"/>
    </row>
    <row r="1297" spans="1:8">
      <c r="A1297" t="s">
        <v>2400</v>
      </c>
      <c r="B1297" t="s">
        <v>2401</v>
      </c>
      <c r="E1297" s="1"/>
    </row>
    <row r="1298" spans="1:8">
      <c r="A1298" t="s">
        <v>2402</v>
      </c>
      <c r="B1298" t="s">
        <v>2403</v>
      </c>
      <c r="E1298" s="1"/>
    </row>
    <row r="1299" spans="1:8">
      <c r="A1299" t="s">
        <v>2404</v>
      </c>
      <c r="B1299" t="s">
        <v>2405</v>
      </c>
      <c r="E1299" s="1"/>
    </row>
    <row r="1300" spans="1:8">
      <c r="A1300" t="s">
        <v>2406</v>
      </c>
      <c r="B1300" t="s">
        <v>2407</v>
      </c>
      <c r="E1300" s="1"/>
    </row>
    <row r="1301" spans="1:8">
      <c r="A1301" t="s">
        <v>2408</v>
      </c>
      <c r="B1301" t="s">
        <v>2409</v>
      </c>
      <c r="E1301" s="1"/>
    </row>
    <row r="1302" spans="1:8">
      <c r="A1302" t="s">
        <v>2410</v>
      </c>
      <c r="B1302" t="s">
        <v>2411</v>
      </c>
      <c r="E1302" s="1"/>
    </row>
    <row r="1303" spans="1:8">
      <c r="A1303" t="s">
        <v>2412</v>
      </c>
      <c r="B1303" t="s">
        <v>2413</v>
      </c>
      <c r="E1303" s="1"/>
    </row>
    <row r="1304" spans="1:8">
      <c r="A1304" t="s">
        <v>2414</v>
      </c>
      <c r="B1304" t="s">
        <v>2415</v>
      </c>
      <c r="E1304" s="1"/>
    </row>
    <row r="1305" spans="1:8">
      <c r="A1305" t="s">
        <v>2416</v>
      </c>
      <c r="B1305" t="s">
        <v>2417</v>
      </c>
      <c r="E1305" s="1"/>
    </row>
    <row r="1306" spans="1:8">
      <c r="A1306" t="s">
        <v>2418</v>
      </c>
      <c r="B1306" t="s">
        <v>2419</v>
      </c>
      <c r="E1306" s="1"/>
    </row>
    <row r="1307" spans="1:8">
      <c r="A1307" t="s">
        <v>2420</v>
      </c>
      <c r="B1307" t="s">
        <v>2421</v>
      </c>
      <c r="E1307" s="1"/>
    </row>
    <row r="1308" spans="1:8">
      <c r="A1308" t="s">
        <v>2422</v>
      </c>
      <c r="B1308" t="s">
        <v>2423</v>
      </c>
      <c r="C1308" s="1" t="s">
        <v>2424</v>
      </c>
      <c r="D1308" s="1"/>
      <c r="E1308" s="1" t="str">
        <f t="shared" si="113"/>
        <v>https://www.kegg.jp/dbget-bin/www_bget?ec:2.4.1.182</v>
      </c>
      <c r="F1308" s="1" t="s">
        <v>9711</v>
      </c>
      <c r="G1308" s="10" t="s">
        <v>10744</v>
      </c>
      <c r="H1308" s="13" t="s">
        <v>10745</v>
      </c>
    </row>
    <row r="1309" spans="1:8">
      <c r="A1309" t="s">
        <v>2425</v>
      </c>
      <c r="B1309" t="s">
        <v>2426</v>
      </c>
      <c r="E1309" s="1"/>
    </row>
    <row r="1310" spans="1:8">
      <c r="A1310" t="s">
        <v>2427</v>
      </c>
      <c r="B1310" t="s">
        <v>2428</v>
      </c>
      <c r="E1310" s="1"/>
    </row>
    <row r="1311" spans="1:8">
      <c r="A1311" t="s">
        <v>2429</v>
      </c>
      <c r="B1311" t="s">
        <v>2430</v>
      </c>
      <c r="E1311" s="1"/>
    </row>
    <row r="1312" spans="1:8">
      <c r="A1312" t="s">
        <v>2431</v>
      </c>
      <c r="B1312" t="s">
        <v>2432</v>
      </c>
      <c r="E1312" s="1"/>
    </row>
    <row r="1313" spans="1:6">
      <c r="A1313" t="s">
        <v>2433</v>
      </c>
      <c r="B1313" t="s">
        <v>2434</v>
      </c>
      <c r="E1313" s="1"/>
    </row>
    <row r="1314" spans="1:6">
      <c r="A1314" t="s">
        <v>2435</v>
      </c>
      <c r="B1314" t="s">
        <v>2436</v>
      </c>
      <c r="E1314" s="1"/>
    </row>
    <row r="1315" spans="1:6">
      <c r="A1315" t="s">
        <v>2437</v>
      </c>
      <c r="B1315" t="s">
        <v>2438</v>
      </c>
      <c r="E1315" s="1"/>
    </row>
    <row r="1316" spans="1:6">
      <c r="A1316" t="s">
        <v>2439</v>
      </c>
      <c r="B1316" t="s">
        <v>2440</v>
      </c>
      <c r="E1316" s="1"/>
    </row>
    <row r="1317" spans="1:6">
      <c r="A1317" t="s">
        <v>2441</v>
      </c>
      <c r="B1317" t="s">
        <v>2442</v>
      </c>
      <c r="E1317" s="1"/>
    </row>
    <row r="1318" spans="1:6">
      <c r="A1318" t="s">
        <v>2443</v>
      </c>
      <c r="B1318" t="s">
        <v>2444</v>
      </c>
      <c r="E1318" s="1"/>
    </row>
    <row r="1319" spans="1:6">
      <c r="A1319" t="s">
        <v>2445</v>
      </c>
      <c r="B1319" t="s">
        <v>2446</v>
      </c>
      <c r="E1319" s="1"/>
    </row>
    <row r="1320" spans="1:6">
      <c r="A1320" t="s">
        <v>2447</v>
      </c>
      <c r="B1320" t="s">
        <v>2448</v>
      </c>
      <c r="E1320" s="1"/>
    </row>
    <row r="1321" spans="1:6">
      <c r="A1321" t="s">
        <v>2449</v>
      </c>
      <c r="B1321" t="s">
        <v>2450</v>
      </c>
      <c r="E1321" s="1"/>
    </row>
    <row r="1322" spans="1:6">
      <c r="A1322" t="s">
        <v>2451</v>
      </c>
      <c r="B1322" t="s">
        <v>2452</v>
      </c>
      <c r="E1322" s="1"/>
    </row>
    <row r="1323" spans="1:6">
      <c r="A1323" t="s">
        <v>2453</v>
      </c>
      <c r="B1323" t="s">
        <v>2454</v>
      </c>
      <c r="E1323" s="1"/>
    </row>
    <row r="1324" spans="1:6">
      <c r="A1324" t="s">
        <v>2455</v>
      </c>
      <c r="B1324" t="s">
        <v>2456</v>
      </c>
      <c r="C1324" s="1" t="s">
        <v>2457</v>
      </c>
      <c r="D1324" s="1"/>
      <c r="E1324" s="1" t="str">
        <f t="shared" si="113"/>
        <v>https://www.kegg.jp/dbget-bin/www_bget?ec:3.1.26.11</v>
      </c>
      <c r="F1324" t="s">
        <v>9650</v>
      </c>
    </row>
    <row r="1325" spans="1:6">
      <c r="A1325" t="s">
        <v>2458</v>
      </c>
      <c r="B1325" t="s">
        <v>2459</v>
      </c>
      <c r="E1325" s="1"/>
    </row>
    <row r="1326" spans="1:6">
      <c r="A1326" t="s">
        <v>2460</v>
      </c>
      <c r="B1326" t="s">
        <v>2461</v>
      </c>
      <c r="E1326" s="1"/>
    </row>
    <row r="1327" spans="1:6">
      <c r="A1327" t="s">
        <v>2462</v>
      </c>
      <c r="B1327" t="s">
        <v>2463</v>
      </c>
      <c r="E1327" s="1"/>
    </row>
    <row r="1328" spans="1:6">
      <c r="A1328" t="s">
        <v>2464</v>
      </c>
      <c r="B1328" t="s">
        <v>2465</v>
      </c>
      <c r="E1328" s="1"/>
    </row>
    <row r="1329" spans="1:8">
      <c r="A1329" t="s">
        <v>2466</v>
      </c>
      <c r="B1329" t="s">
        <v>2467</v>
      </c>
      <c r="E1329" s="1"/>
    </row>
    <row r="1330" spans="1:8">
      <c r="A1330" t="s">
        <v>2468</v>
      </c>
      <c r="B1330" t="s">
        <v>2469</v>
      </c>
      <c r="C1330" s="1" t="s">
        <v>2470</v>
      </c>
      <c r="D1330" s="1"/>
      <c r="E1330" s="1" t="str">
        <f t="shared" si="113"/>
        <v>https://www.kegg.jp/dbget-bin/www_bget?ec:5.4.2.12</v>
      </c>
      <c r="F1330" s="1" t="s">
        <v>9714</v>
      </c>
      <c r="G1330" s="1" t="s">
        <v>9715</v>
      </c>
      <c r="H1330" s="13" t="s">
        <v>9356</v>
      </c>
    </row>
    <row r="1331" spans="1:8">
      <c r="A1331" t="s">
        <v>2471</v>
      </c>
      <c r="B1331" t="s">
        <v>2472</v>
      </c>
      <c r="E1331" s="1"/>
    </row>
    <row r="1332" spans="1:8">
      <c r="A1332" t="s">
        <v>2473</v>
      </c>
      <c r="B1332" t="s">
        <v>2474</v>
      </c>
      <c r="E1332" s="1"/>
    </row>
    <row r="1333" spans="1:8">
      <c r="A1333" t="s">
        <v>2475</v>
      </c>
      <c r="B1333" t="s">
        <v>2476</v>
      </c>
      <c r="E1333" s="1"/>
    </row>
    <row r="1334" spans="1:8">
      <c r="A1334" t="s">
        <v>2477</v>
      </c>
      <c r="B1334" t="s">
        <v>2478</v>
      </c>
      <c r="E1334" s="1"/>
    </row>
    <row r="1335" spans="1:8">
      <c r="A1335" t="s">
        <v>2479</v>
      </c>
      <c r="B1335" t="s">
        <v>2480</v>
      </c>
      <c r="E1335" s="1"/>
    </row>
    <row r="1336" spans="1:8">
      <c r="A1336" t="s">
        <v>2481</v>
      </c>
      <c r="B1336" t="s">
        <v>2482</v>
      </c>
      <c r="E1336" s="1"/>
    </row>
    <row r="1337" spans="1:8">
      <c r="A1337" t="s">
        <v>2483</v>
      </c>
      <c r="B1337" t="s">
        <v>2484</v>
      </c>
      <c r="E1337" s="1"/>
    </row>
    <row r="1338" spans="1:8">
      <c r="A1338" t="s">
        <v>2485</v>
      </c>
      <c r="B1338" t="s">
        <v>2486</v>
      </c>
      <c r="C1338" s="1" t="s">
        <v>2487</v>
      </c>
      <c r="D1338" s="1"/>
      <c r="E1338" s="1" t="str">
        <f t="shared" ref="E1338:E1393" si="114">HYPERLINK("https://www.kegg.jp/dbget-bin/www_bget?ec:" &amp; C1338, "https://www.kegg.jp/dbget-bin/www_bget?ec:" &amp; C1338)</f>
        <v>https://www.kegg.jp/dbget-bin/www_bget?ec:2.2.1.7</v>
      </c>
      <c r="F1338" t="s">
        <v>9717</v>
      </c>
      <c r="G1338" s="10" t="s">
        <v>10746</v>
      </c>
      <c r="H1338" s="13" t="s">
        <v>10747</v>
      </c>
    </row>
    <row r="1339" spans="1:8">
      <c r="A1339" t="s">
        <v>2488</v>
      </c>
      <c r="B1339" t="s">
        <v>2489</v>
      </c>
      <c r="E1339" s="1"/>
    </row>
    <row r="1340" spans="1:8">
      <c r="A1340" t="s">
        <v>2490</v>
      </c>
      <c r="B1340" t="s">
        <v>2491</v>
      </c>
      <c r="E1340" s="1"/>
    </row>
    <row r="1341" spans="1:8">
      <c r="A1341" t="s">
        <v>2492</v>
      </c>
      <c r="B1341" t="s">
        <v>2493</v>
      </c>
      <c r="E1341" s="1"/>
    </row>
    <row r="1342" spans="1:8">
      <c r="A1342" t="s">
        <v>2494</v>
      </c>
      <c r="B1342" t="s">
        <v>2495</v>
      </c>
      <c r="E1342" s="1"/>
    </row>
    <row r="1343" spans="1:8">
      <c r="A1343" t="s">
        <v>2496</v>
      </c>
      <c r="B1343" t="s">
        <v>2497</v>
      </c>
      <c r="E1343" s="1"/>
    </row>
    <row r="1344" spans="1:8">
      <c r="A1344" t="s">
        <v>2498</v>
      </c>
      <c r="B1344" t="s">
        <v>2499</v>
      </c>
      <c r="E1344" s="1"/>
    </row>
    <row r="1345" spans="1:8">
      <c r="A1345" t="s">
        <v>2500</v>
      </c>
      <c r="B1345" t="s">
        <v>2501</v>
      </c>
      <c r="E1345" s="1"/>
    </row>
    <row r="1346" spans="1:8">
      <c r="A1346" t="s">
        <v>2502</v>
      </c>
      <c r="B1346" t="s">
        <v>2503</v>
      </c>
      <c r="C1346" s="1" t="s">
        <v>2504</v>
      </c>
      <c r="D1346" s="1"/>
      <c r="E1346" s="1" t="str">
        <f t="shared" si="114"/>
        <v>https://www.kegg.jp/dbget-bin/www_bget?ec:3.5.3.1</v>
      </c>
      <c r="F1346" s="1" t="s">
        <v>9720</v>
      </c>
      <c r="G1346" s="10" t="s">
        <v>10748</v>
      </c>
      <c r="H1346" s="13" t="s">
        <v>10749</v>
      </c>
    </row>
    <row r="1347" spans="1:8" ht="15" customHeight="1">
      <c r="A1347" t="s">
        <v>2505</v>
      </c>
      <c r="B1347" t="s">
        <v>2506</v>
      </c>
      <c r="C1347" s="1" t="s">
        <v>2507</v>
      </c>
      <c r="D1347" s="1"/>
      <c r="E1347" s="1" t="str">
        <f t="shared" si="114"/>
        <v>https://www.kegg.jp/dbget-bin/www_bget?ec:2.6.1.13</v>
      </c>
      <c r="F1347" t="s">
        <v>9723</v>
      </c>
      <c r="G1347" s="10" t="s">
        <v>10750</v>
      </c>
      <c r="H1347" s="13" t="s">
        <v>10751</v>
      </c>
    </row>
    <row r="1348" spans="1:8" ht="15" customHeight="1">
      <c r="A1348" t="s">
        <v>2505</v>
      </c>
      <c r="B1348" t="s">
        <v>2506</v>
      </c>
      <c r="C1348" s="1" t="s">
        <v>2507</v>
      </c>
      <c r="D1348" s="1"/>
      <c r="E1348" s="1" t="str">
        <f t="shared" ref="E1348" si="115">HYPERLINK("https://www.kegg.jp/dbget-bin/www_bget?ec:" &amp; C1348, "https://www.kegg.jp/dbget-bin/www_bget?ec:" &amp; C1348)</f>
        <v>https://www.kegg.jp/dbget-bin/www_bget?ec:2.6.1.13</v>
      </c>
      <c r="F1348" t="s">
        <v>9723</v>
      </c>
      <c r="G1348" s="10" t="s">
        <v>10752</v>
      </c>
      <c r="H1348" s="13" t="s">
        <v>10753</v>
      </c>
    </row>
    <row r="1349" spans="1:8" ht="15" customHeight="1">
      <c r="A1349" t="s">
        <v>2505</v>
      </c>
      <c r="B1349" t="s">
        <v>2506</v>
      </c>
      <c r="C1349" s="1" t="s">
        <v>2507</v>
      </c>
      <c r="D1349" s="1"/>
      <c r="E1349" s="1" t="str">
        <f t="shared" si="114"/>
        <v>https://www.kegg.jp/dbget-bin/www_bget?ec:2.6.1.13</v>
      </c>
      <c r="F1349" t="s">
        <v>9723</v>
      </c>
      <c r="G1349" s="10" t="s">
        <v>10752</v>
      </c>
      <c r="H1349" s="13" t="s">
        <v>10754</v>
      </c>
    </row>
    <row r="1350" spans="1:8">
      <c r="A1350" t="s">
        <v>2508</v>
      </c>
      <c r="B1350" t="s">
        <v>2509</v>
      </c>
      <c r="E1350" s="1"/>
    </row>
    <row r="1351" spans="1:8">
      <c r="A1351" t="s">
        <v>2510</v>
      </c>
      <c r="B1351" t="s">
        <v>2511</v>
      </c>
      <c r="E1351" s="1"/>
    </row>
    <row r="1352" spans="1:8">
      <c r="A1352" t="s">
        <v>2512</v>
      </c>
      <c r="B1352" t="s">
        <v>2513</v>
      </c>
      <c r="E1352" s="1"/>
    </row>
    <row r="1353" spans="1:8">
      <c r="A1353" t="s">
        <v>2514</v>
      </c>
      <c r="B1353" t="s">
        <v>2515</v>
      </c>
      <c r="E1353" s="1"/>
    </row>
    <row r="1354" spans="1:8">
      <c r="A1354" t="s">
        <v>2516</v>
      </c>
      <c r="B1354" t="s">
        <v>2517</v>
      </c>
      <c r="E1354" s="1"/>
    </row>
    <row r="1355" spans="1:8">
      <c r="A1355" t="s">
        <v>2518</v>
      </c>
      <c r="B1355" t="s">
        <v>2519</v>
      </c>
      <c r="E1355" s="1"/>
    </row>
    <row r="1356" spans="1:8">
      <c r="A1356" t="s">
        <v>2520</v>
      </c>
      <c r="B1356" t="s">
        <v>2521</v>
      </c>
      <c r="E1356" s="1"/>
    </row>
    <row r="1357" spans="1:8">
      <c r="A1357" t="s">
        <v>2522</v>
      </c>
      <c r="B1357" t="s">
        <v>2523</v>
      </c>
      <c r="E1357" s="1"/>
    </row>
    <row r="1358" spans="1:8">
      <c r="A1358" t="s">
        <v>2524</v>
      </c>
      <c r="B1358" t="s">
        <v>2525</v>
      </c>
      <c r="C1358" s="1" t="s">
        <v>2526</v>
      </c>
      <c r="D1358" s="1"/>
      <c r="E1358" s="1" t="str">
        <f t="shared" si="114"/>
        <v>https://www.kegg.jp/dbget-bin/www_bget?ec:6.3.2.4</v>
      </c>
      <c r="F1358" s="1" t="s">
        <v>9729</v>
      </c>
      <c r="G1358" s="10" t="s">
        <v>10755</v>
      </c>
      <c r="H1358" s="13" t="s">
        <v>10756</v>
      </c>
    </row>
    <row r="1359" spans="1:8">
      <c r="A1359" t="s">
        <v>2527</v>
      </c>
      <c r="B1359" t="s">
        <v>2528</v>
      </c>
      <c r="E1359" s="1"/>
    </row>
    <row r="1360" spans="1:8">
      <c r="A1360" t="s">
        <v>2529</v>
      </c>
      <c r="B1360" t="s">
        <v>2530</v>
      </c>
      <c r="E1360" s="1"/>
    </row>
    <row r="1361" spans="1:5">
      <c r="A1361" t="s">
        <v>2531</v>
      </c>
      <c r="B1361" t="s">
        <v>2532</v>
      </c>
      <c r="E1361" s="1"/>
    </row>
    <row r="1362" spans="1:5">
      <c r="A1362" t="s">
        <v>2533</v>
      </c>
      <c r="B1362" t="s">
        <v>2534</v>
      </c>
      <c r="E1362" s="1"/>
    </row>
    <row r="1363" spans="1:5">
      <c r="A1363" t="s">
        <v>2535</v>
      </c>
      <c r="B1363" t="s">
        <v>2536</v>
      </c>
      <c r="E1363" s="1"/>
    </row>
    <row r="1364" spans="1:5">
      <c r="A1364" t="s">
        <v>2537</v>
      </c>
      <c r="B1364" t="s">
        <v>2538</v>
      </c>
      <c r="E1364" s="1"/>
    </row>
    <row r="1365" spans="1:5">
      <c r="A1365" t="s">
        <v>2539</v>
      </c>
      <c r="B1365" t="s">
        <v>2540</v>
      </c>
      <c r="E1365" s="1"/>
    </row>
    <row r="1366" spans="1:5">
      <c r="A1366" t="s">
        <v>2541</v>
      </c>
      <c r="B1366" t="s">
        <v>2542</v>
      </c>
      <c r="E1366" s="1"/>
    </row>
    <row r="1367" spans="1:5">
      <c r="A1367" t="s">
        <v>2543</v>
      </c>
      <c r="B1367" t="s">
        <v>2544</v>
      </c>
      <c r="E1367" s="1"/>
    </row>
    <row r="1368" spans="1:5">
      <c r="A1368" t="s">
        <v>2545</v>
      </c>
      <c r="B1368" t="s">
        <v>2546</v>
      </c>
      <c r="E1368" s="1"/>
    </row>
    <row r="1369" spans="1:5">
      <c r="A1369" t="s">
        <v>2547</v>
      </c>
      <c r="B1369" t="s">
        <v>2548</v>
      </c>
      <c r="E1369" s="1"/>
    </row>
    <row r="1370" spans="1:5">
      <c r="A1370" t="s">
        <v>2549</v>
      </c>
      <c r="B1370" t="s">
        <v>2550</v>
      </c>
      <c r="E1370" s="1"/>
    </row>
    <row r="1371" spans="1:5">
      <c r="A1371" t="s">
        <v>2551</v>
      </c>
      <c r="B1371" t="s">
        <v>2552</v>
      </c>
      <c r="E1371" s="1"/>
    </row>
    <row r="1372" spans="1:5">
      <c r="A1372" t="s">
        <v>2553</v>
      </c>
      <c r="B1372" t="s">
        <v>2554</v>
      </c>
      <c r="E1372" s="1"/>
    </row>
    <row r="1373" spans="1:5">
      <c r="A1373" t="s">
        <v>2555</v>
      </c>
      <c r="B1373" t="s">
        <v>2556</v>
      </c>
      <c r="E1373" s="1"/>
    </row>
    <row r="1374" spans="1:5">
      <c r="A1374" t="s">
        <v>2557</v>
      </c>
      <c r="B1374" t="s">
        <v>2558</v>
      </c>
      <c r="E1374" s="1"/>
    </row>
    <row r="1375" spans="1:5">
      <c r="A1375" t="s">
        <v>2559</v>
      </c>
      <c r="B1375" t="s">
        <v>2560</v>
      </c>
      <c r="E1375" s="1"/>
    </row>
    <row r="1376" spans="1:5">
      <c r="A1376" t="s">
        <v>2561</v>
      </c>
      <c r="B1376" t="s">
        <v>2562</v>
      </c>
      <c r="E1376" s="1"/>
    </row>
    <row r="1377" spans="1:8">
      <c r="A1377" t="s">
        <v>2563</v>
      </c>
      <c r="B1377" t="s">
        <v>2564</v>
      </c>
      <c r="E1377" s="1"/>
    </row>
    <row r="1378" spans="1:8">
      <c r="A1378" t="s">
        <v>2565</v>
      </c>
      <c r="B1378" t="s">
        <v>2566</v>
      </c>
      <c r="E1378" s="1"/>
    </row>
    <row r="1379" spans="1:8">
      <c r="A1379" t="s">
        <v>2567</v>
      </c>
      <c r="B1379" t="s">
        <v>2568</v>
      </c>
      <c r="E1379" s="1"/>
    </row>
    <row r="1380" spans="1:8">
      <c r="A1380" t="s">
        <v>2569</v>
      </c>
      <c r="B1380" t="s">
        <v>2570</v>
      </c>
      <c r="E1380" s="1"/>
    </row>
    <row r="1381" spans="1:8">
      <c r="A1381" t="s">
        <v>2571</v>
      </c>
      <c r="B1381" t="s">
        <v>2572</v>
      </c>
      <c r="C1381" s="1" t="s">
        <v>2573</v>
      </c>
      <c r="D1381" s="1"/>
      <c r="E1381" s="1" t="str">
        <f t="shared" ref="E1381" si="116">HYPERLINK("https://www.kegg.jp/dbget-bin/www_bget?ec:" &amp; C1381, "https://www.kegg.jp/dbget-bin/www_bget?ec:" &amp; C1381)</f>
        <v>https://www.kegg.jp/dbget-bin/www_bget?ec:3.5.4.16</v>
      </c>
      <c r="F1381" s="1" t="s">
        <v>9731</v>
      </c>
      <c r="G1381" s="10" t="s">
        <v>10757</v>
      </c>
      <c r="H1381" s="13" t="s">
        <v>10758</v>
      </c>
    </row>
    <row r="1382" spans="1:8">
      <c r="A1382" t="s">
        <v>2571</v>
      </c>
      <c r="B1382" t="s">
        <v>2572</v>
      </c>
      <c r="C1382" s="1" t="s">
        <v>2573</v>
      </c>
      <c r="D1382" s="1"/>
      <c r="E1382" s="1" t="str">
        <f t="shared" ref="E1382" si="117">HYPERLINK("https://www.kegg.jp/dbget-bin/www_bget?ec:" &amp; C1382, "https://www.kegg.jp/dbget-bin/www_bget?ec:" &amp; C1382)</f>
        <v>https://www.kegg.jp/dbget-bin/www_bget?ec:3.5.4.16</v>
      </c>
      <c r="F1382" s="1" t="s">
        <v>9731</v>
      </c>
      <c r="G1382" s="10" t="s">
        <v>10759</v>
      </c>
      <c r="H1382" s="13" t="s">
        <v>9735</v>
      </c>
    </row>
    <row r="1383" spans="1:8">
      <c r="A1383" t="s">
        <v>2571</v>
      </c>
      <c r="B1383" t="s">
        <v>2572</v>
      </c>
      <c r="C1383" s="1" t="s">
        <v>2573</v>
      </c>
      <c r="D1383" s="1"/>
      <c r="E1383" s="1" t="str">
        <f t="shared" ref="E1383" si="118">HYPERLINK("https://www.kegg.jp/dbget-bin/www_bget?ec:" &amp; C1383, "https://www.kegg.jp/dbget-bin/www_bget?ec:" &amp; C1383)</f>
        <v>https://www.kegg.jp/dbget-bin/www_bget?ec:3.5.4.16</v>
      </c>
      <c r="F1383" s="1" t="s">
        <v>9731</v>
      </c>
      <c r="G1383" s="10" t="s">
        <v>10760</v>
      </c>
      <c r="H1383" s="13" t="s">
        <v>9737</v>
      </c>
    </row>
    <row r="1384" spans="1:8">
      <c r="A1384" t="s">
        <v>2571</v>
      </c>
      <c r="B1384" t="s">
        <v>2572</v>
      </c>
      <c r="C1384" s="1" t="s">
        <v>2573</v>
      </c>
      <c r="D1384" s="1"/>
      <c r="E1384" s="1" t="str">
        <f t="shared" ref="E1384" si="119">HYPERLINK("https://www.kegg.jp/dbget-bin/www_bget?ec:" &amp; C1384, "https://www.kegg.jp/dbget-bin/www_bget?ec:" &amp; C1384)</f>
        <v>https://www.kegg.jp/dbget-bin/www_bget?ec:3.5.4.16</v>
      </c>
      <c r="F1384" s="1" t="s">
        <v>9731</v>
      </c>
      <c r="G1384" s="10" t="s">
        <v>10761</v>
      </c>
      <c r="H1384" s="13" t="s">
        <v>10762</v>
      </c>
    </row>
    <row r="1385" spans="1:8">
      <c r="A1385" t="s">
        <v>2571</v>
      </c>
      <c r="B1385" t="s">
        <v>2572</v>
      </c>
      <c r="C1385" s="1" t="s">
        <v>2573</v>
      </c>
      <c r="D1385" s="1"/>
      <c r="E1385" s="1" t="str">
        <f t="shared" si="114"/>
        <v>https://www.kegg.jp/dbget-bin/www_bget?ec:3.5.4.16</v>
      </c>
      <c r="F1385" s="1" t="s">
        <v>9731</v>
      </c>
      <c r="G1385" s="10" t="s">
        <v>9740</v>
      </c>
      <c r="H1385" s="13" t="s">
        <v>9741</v>
      </c>
    </row>
    <row r="1386" spans="1:8">
      <c r="A1386" t="s">
        <v>2574</v>
      </c>
      <c r="B1386" t="s">
        <v>2575</v>
      </c>
      <c r="E1386" s="1"/>
    </row>
    <row r="1387" spans="1:8">
      <c r="A1387" t="s">
        <v>2576</v>
      </c>
      <c r="B1387" t="s">
        <v>2577</v>
      </c>
      <c r="C1387" s="1" t="s">
        <v>2578</v>
      </c>
      <c r="D1387" s="1"/>
      <c r="E1387" s="1" t="str">
        <f t="shared" si="114"/>
        <v>https://www.kegg.jp/dbget-bin/www_bget?ec:5.3.1.1</v>
      </c>
      <c r="F1387" t="s">
        <v>9742</v>
      </c>
      <c r="G1387" s="10" t="s">
        <v>9743</v>
      </c>
      <c r="H1387" s="1" t="s">
        <v>9744</v>
      </c>
    </row>
    <row r="1388" spans="1:8">
      <c r="A1388" t="s">
        <v>2579</v>
      </c>
      <c r="B1388" t="s">
        <v>2580</v>
      </c>
      <c r="E1388" s="1"/>
    </row>
    <row r="1389" spans="1:8">
      <c r="A1389" t="s">
        <v>2581</v>
      </c>
      <c r="B1389" t="s">
        <v>2582</v>
      </c>
      <c r="E1389" s="1"/>
    </row>
    <row r="1390" spans="1:8">
      <c r="A1390" t="s">
        <v>2583</v>
      </c>
      <c r="B1390" t="s">
        <v>2584</v>
      </c>
      <c r="E1390" s="1"/>
    </row>
    <row r="1391" spans="1:8">
      <c r="A1391" t="s">
        <v>2585</v>
      </c>
      <c r="B1391" t="s">
        <v>2586</v>
      </c>
      <c r="C1391" s="1" t="s">
        <v>349</v>
      </c>
      <c r="D1391" s="1" t="s">
        <v>9745</v>
      </c>
      <c r="E1391" s="1" t="s">
        <v>9680</v>
      </c>
      <c r="F1391" t="s">
        <v>9650</v>
      </c>
    </row>
    <row r="1392" spans="1:8">
      <c r="A1392" t="s">
        <v>2587</v>
      </c>
      <c r="B1392" t="s">
        <v>2588</v>
      </c>
      <c r="C1392" s="1" t="s">
        <v>2589</v>
      </c>
      <c r="D1392" s="1"/>
      <c r="E1392" s="1" t="str">
        <f t="shared" si="114"/>
        <v>https://www.kegg.jp/dbget-bin/www_bget?ec:2.7.7.60</v>
      </c>
      <c r="F1392" s="1" t="s">
        <v>10764</v>
      </c>
      <c r="G1392" t="s">
        <v>10763</v>
      </c>
      <c r="H1392" s="10" t="s">
        <v>10765</v>
      </c>
    </row>
    <row r="1393" spans="1:6">
      <c r="A1393" t="s">
        <v>2590</v>
      </c>
      <c r="B1393" t="s">
        <v>2591</v>
      </c>
      <c r="C1393" s="1" t="s">
        <v>2592</v>
      </c>
      <c r="D1393" s="1"/>
      <c r="E1393" s="1" t="str">
        <f t="shared" si="114"/>
        <v>https://www.kegg.jp/dbget-bin/www_bget?ec:3.1.11.6</v>
      </c>
      <c r="F1393" t="s">
        <v>9650</v>
      </c>
    </row>
    <row r="1394" spans="1:6">
      <c r="A1394" t="s">
        <v>2593</v>
      </c>
      <c r="B1394" t="s">
        <v>2594</v>
      </c>
      <c r="E1394" s="1"/>
    </row>
    <row r="1395" spans="1:6">
      <c r="A1395" t="s">
        <v>2595</v>
      </c>
      <c r="B1395" t="s">
        <v>2596</v>
      </c>
      <c r="E1395" s="1"/>
    </row>
    <row r="1396" spans="1:6">
      <c r="A1396" t="s">
        <v>2597</v>
      </c>
      <c r="B1396" t="s">
        <v>2598</v>
      </c>
      <c r="E1396" s="1"/>
    </row>
    <row r="1397" spans="1:6">
      <c r="A1397" t="s">
        <v>2599</v>
      </c>
      <c r="B1397" t="s">
        <v>2600</v>
      </c>
      <c r="E1397" s="1"/>
    </row>
    <row r="1398" spans="1:6">
      <c r="A1398" t="s">
        <v>2601</v>
      </c>
      <c r="B1398" t="s">
        <v>2602</v>
      </c>
      <c r="E1398" s="1"/>
    </row>
    <row r="1399" spans="1:6">
      <c r="A1399" t="s">
        <v>2603</v>
      </c>
      <c r="B1399" t="s">
        <v>2604</v>
      </c>
      <c r="E1399" s="1"/>
    </row>
    <row r="1400" spans="1:6">
      <c r="A1400" t="s">
        <v>2605</v>
      </c>
      <c r="B1400" t="s">
        <v>2606</v>
      </c>
      <c r="E1400" s="1"/>
    </row>
    <row r="1401" spans="1:6">
      <c r="A1401" t="s">
        <v>2607</v>
      </c>
      <c r="B1401" t="s">
        <v>2608</v>
      </c>
      <c r="E1401" s="1"/>
    </row>
    <row r="1402" spans="1:6">
      <c r="A1402" t="s">
        <v>2609</v>
      </c>
      <c r="B1402" t="s">
        <v>2610</v>
      </c>
      <c r="E1402" s="1"/>
    </row>
    <row r="1403" spans="1:6">
      <c r="A1403" t="s">
        <v>2611</v>
      </c>
      <c r="B1403" t="s">
        <v>2612</v>
      </c>
      <c r="E1403" s="1"/>
    </row>
    <row r="1404" spans="1:6">
      <c r="A1404" t="s">
        <v>2613</v>
      </c>
      <c r="B1404" t="s">
        <v>2614</v>
      </c>
      <c r="E1404" s="1"/>
    </row>
    <row r="1405" spans="1:6">
      <c r="A1405" t="s">
        <v>2615</v>
      </c>
      <c r="B1405" t="s">
        <v>2616</v>
      </c>
      <c r="E1405" s="1"/>
    </row>
    <row r="1406" spans="1:6">
      <c r="A1406" t="s">
        <v>2617</v>
      </c>
      <c r="B1406" t="s">
        <v>2618</v>
      </c>
      <c r="E1406" s="1"/>
    </row>
    <row r="1407" spans="1:6">
      <c r="A1407" t="s">
        <v>2619</v>
      </c>
      <c r="B1407" t="s">
        <v>2620</v>
      </c>
      <c r="E1407" s="1"/>
    </row>
    <row r="1408" spans="1:6">
      <c r="A1408" t="s">
        <v>2621</v>
      </c>
      <c r="B1408" t="s">
        <v>2622</v>
      </c>
      <c r="E1408" s="1"/>
    </row>
    <row r="1409" spans="1:5">
      <c r="A1409" t="s">
        <v>2623</v>
      </c>
      <c r="B1409" t="s">
        <v>2624</v>
      </c>
      <c r="E1409" s="1"/>
    </row>
    <row r="1410" spans="1:5">
      <c r="A1410" t="s">
        <v>2625</v>
      </c>
      <c r="B1410" t="s">
        <v>2626</v>
      </c>
      <c r="E1410" s="1"/>
    </row>
    <row r="1411" spans="1:5">
      <c r="A1411" t="s">
        <v>2627</v>
      </c>
      <c r="B1411" t="s">
        <v>2628</v>
      </c>
      <c r="E1411" s="1"/>
    </row>
    <row r="1412" spans="1:5">
      <c r="A1412" t="s">
        <v>2629</v>
      </c>
      <c r="B1412" t="s">
        <v>2630</v>
      </c>
      <c r="E1412" s="1"/>
    </row>
    <row r="1413" spans="1:5">
      <c r="A1413" t="s">
        <v>2631</v>
      </c>
      <c r="B1413" t="s">
        <v>2632</v>
      </c>
      <c r="E1413" s="1"/>
    </row>
    <row r="1414" spans="1:5">
      <c r="A1414" t="s">
        <v>2633</v>
      </c>
      <c r="B1414" t="s">
        <v>2634</v>
      </c>
      <c r="E1414" s="1"/>
    </row>
    <row r="1415" spans="1:5">
      <c r="A1415" t="s">
        <v>2635</v>
      </c>
      <c r="B1415" t="s">
        <v>2636</v>
      </c>
      <c r="E1415" s="1"/>
    </row>
    <row r="1416" spans="1:5">
      <c r="A1416" t="s">
        <v>2637</v>
      </c>
      <c r="B1416" t="s">
        <v>2638</v>
      </c>
      <c r="E1416" s="1"/>
    </row>
    <row r="1417" spans="1:5">
      <c r="A1417" t="s">
        <v>2639</v>
      </c>
      <c r="B1417" t="s">
        <v>2640</v>
      </c>
      <c r="E1417" s="1"/>
    </row>
    <row r="1418" spans="1:5">
      <c r="A1418" t="s">
        <v>2641</v>
      </c>
      <c r="B1418" t="s">
        <v>2642</v>
      </c>
      <c r="E1418" s="1"/>
    </row>
    <row r="1419" spans="1:5">
      <c r="A1419" t="s">
        <v>2643</v>
      </c>
      <c r="B1419" t="s">
        <v>2644</v>
      </c>
      <c r="E1419" s="1"/>
    </row>
    <row r="1420" spans="1:5">
      <c r="A1420" t="s">
        <v>2645</v>
      </c>
      <c r="B1420" t="s">
        <v>2646</v>
      </c>
      <c r="E1420" s="1"/>
    </row>
    <row r="1421" spans="1:5">
      <c r="A1421" t="s">
        <v>2647</v>
      </c>
      <c r="B1421" t="s">
        <v>2648</v>
      </c>
      <c r="E1421" s="1"/>
    </row>
    <row r="1422" spans="1:5">
      <c r="A1422" t="s">
        <v>2649</v>
      </c>
      <c r="B1422" t="s">
        <v>2650</v>
      </c>
      <c r="E1422" s="1"/>
    </row>
    <row r="1423" spans="1:5">
      <c r="A1423" t="s">
        <v>2651</v>
      </c>
      <c r="B1423" t="s">
        <v>2652</v>
      </c>
      <c r="E1423" s="1"/>
    </row>
    <row r="1424" spans="1:5">
      <c r="B1424" t="s">
        <v>2653</v>
      </c>
      <c r="E1424" s="1"/>
    </row>
    <row r="1425" spans="1:5">
      <c r="B1425" t="s">
        <v>2654</v>
      </c>
      <c r="E1425" s="1"/>
    </row>
    <row r="1426" spans="1:5">
      <c r="B1426" t="s">
        <v>2655</v>
      </c>
      <c r="E1426" s="1"/>
    </row>
    <row r="1427" spans="1:5">
      <c r="B1427" t="s">
        <v>2656</v>
      </c>
      <c r="E1427" s="1"/>
    </row>
    <row r="1428" spans="1:5">
      <c r="B1428" t="s">
        <v>2657</v>
      </c>
      <c r="E1428" s="1"/>
    </row>
    <row r="1429" spans="1:5">
      <c r="A1429" t="s">
        <v>2658</v>
      </c>
      <c r="B1429" t="s">
        <v>2659</v>
      </c>
      <c r="E1429" s="1"/>
    </row>
    <row r="1430" spans="1:5">
      <c r="A1430" t="s">
        <v>2660</v>
      </c>
      <c r="B1430" t="s">
        <v>2661</v>
      </c>
      <c r="E1430" s="1"/>
    </row>
    <row r="1431" spans="1:5">
      <c r="A1431" t="s">
        <v>2662</v>
      </c>
      <c r="B1431" t="s">
        <v>2663</v>
      </c>
      <c r="E1431" s="1"/>
    </row>
    <row r="1432" spans="1:5">
      <c r="A1432" t="s">
        <v>2664</v>
      </c>
      <c r="B1432" t="s">
        <v>2665</v>
      </c>
      <c r="E1432" s="1"/>
    </row>
    <row r="1433" spans="1:5">
      <c r="A1433" t="s">
        <v>2666</v>
      </c>
      <c r="B1433" t="s">
        <v>2667</v>
      </c>
      <c r="E1433" s="1"/>
    </row>
    <row r="1434" spans="1:5">
      <c r="A1434" t="s">
        <v>2668</v>
      </c>
      <c r="B1434" t="s">
        <v>2669</v>
      </c>
      <c r="E1434" s="1"/>
    </row>
    <row r="1435" spans="1:5">
      <c r="A1435" t="s">
        <v>2670</v>
      </c>
      <c r="B1435" t="s">
        <v>2671</v>
      </c>
      <c r="E1435" s="1"/>
    </row>
    <row r="1436" spans="1:5">
      <c r="A1436" t="s">
        <v>2672</v>
      </c>
      <c r="B1436" t="s">
        <v>2673</v>
      </c>
      <c r="E1436" s="1"/>
    </row>
    <row r="1437" spans="1:5">
      <c r="A1437" t="s">
        <v>2674</v>
      </c>
      <c r="B1437" t="s">
        <v>2675</v>
      </c>
      <c r="E1437" s="1"/>
    </row>
    <row r="1438" spans="1:5">
      <c r="A1438" t="s">
        <v>2676</v>
      </c>
      <c r="B1438" t="s">
        <v>2677</v>
      </c>
      <c r="E1438" s="1"/>
    </row>
    <row r="1439" spans="1:5">
      <c r="A1439" t="s">
        <v>2678</v>
      </c>
      <c r="B1439" t="s">
        <v>2679</v>
      </c>
      <c r="E1439" s="1"/>
    </row>
    <row r="1440" spans="1:5">
      <c r="A1440" t="s">
        <v>2680</v>
      </c>
      <c r="B1440" t="s">
        <v>2681</v>
      </c>
      <c r="E1440" s="1"/>
    </row>
    <row r="1441" spans="1:8">
      <c r="A1441" t="s">
        <v>2682</v>
      </c>
      <c r="B1441" t="s">
        <v>2683</v>
      </c>
      <c r="E1441" s="1"/>
    </row>
    <row r="1442" spans="1:8">
      <c r="B1442" t="s">
        <v>2684</v>
      </c>
      <c r="E1442" s="1"/>
    </row>
    <row r="1443" spans="1:8">
      <c r="A1443" t="s">
        <v>2685</v>
      </c>
      <c r="B1443" t="s">
        <v>2686</v>
      </c>
      <c r="E1443" s="1"/>
    </row>
    <row r="1444" spans="1:8">
      <c r="A1444" t="s">
        <v>2687</v>
      </c>
      <c r="B1444" t="s">
        <v>2688</v>
      </c>
      <c r="E1444" s="1"/>
    </row>
    <row r="1445" spans="1:8">
      <c r="A1445" t="s">
        <v>2689</v>
      </c>
      <c r="B1445" t="s">
        <v>2690</v>
      </c>
      <c r="E1445" s="1"/>
    </row>
    <row r="1446" spans="1:8">
      <c r="A1446" t="s">
        <v>2691</v>
      </c>
      <c r="B1446" t="s">
        <v>2692</v>
      </c>
      <c r="E1446" s="1"/>
    </row>
    <row r="1447" spans="1:8">
      <c r="A1447" t="s">
        <v>2693</v>
      </c>
      <c r="B1447" t="s">
        <v>2694</v>
      </c>
      <c r="E1447" s="1"/>
    </row>
    <row r="1448" spans="1:8">
      <c r="A1448" t="s">
        <v>2695</v>
      </c>
      <c r="B1448" t="s">
        <v>2696</v>
      </c>
      <c r="E1448" s="1"/>
    </row>
    <row r="1449" spans="1:8">
      <c r="A1449" t="s">
        <v>2697</v>
      </c>
      <c r="B1449" t="s">
        <v>2698</v>
      </c>
      <c r="E1449" s="1"/>
    </row>
    <row r="1450" spans="1:8" ht="15" customHeight="1">
      <c r="A1450" t="s">
        <v>2699</v>
      </c>
      <c r="B1450" t="s">
        <v>2700</v>
      </c>
      <c r="C1450" s="1" t="s">
        <v>2701</v>
      </c>
      <c r="D1450" s="1"/>
      <c r="E1450" s="1" t="str">
        <f t="shared" ref="E1450" si="120">HYPERLINK("https://www.kegg.jp/dbget-bin/www_bget?ec:" &amp; C1450, "https://www.kegg.jp/dbget-bin/www_bget?ec:" &amp; C1450)</f>
        <v>https://www.kegg.jp/dbget-bin/www_bget?ec:2.7.7.8</v>
      </c>
      <c r="F1450" t="s">
        <v>9748</v>
      </c>
      <c r="G1450" s="10" t="s">
        <v>10766</v>
      </c>
      <c r="H1450" s="13" t="s">
        <v>10767</v>
      </c>
    </row>
    <row r="1451" spans="1:8" ht="15" customHeight="1">
      <c r="A1451" t="s">
        <v>2699</v>
      </c>
      <c r="B1451" t="s">
        <v>2700</v>
      </c>
      <c r="C1451" s="1" t="s">
        <v>2701</v>
      </c>
      <c r="D1451" s="1"/>
      <c r="E1451" s="1" t="str">
        <f t="shared" ref="E1451" si="121">HYPERLINK("https://www.kegg.jp/dbget-bin/www_bget?ec:" &amp; C1451, "https://www.kegg.jp/dbget-bin/www_bget?ec:" &amp; C1451)</f>
        <v>https://www.kegg.jp/dbget-bin/www_bget?ec:2.7.7.8</v>
      </c>
      <c r="F1451" t="s">
        <v>9748</v>
      </c>
      <c r="G1451" s="10" t="s">
        <v>10768</v>
      </c>
      <c r="H1451" s="13" t="s">
        <v>10769</v>
      </c>
    </row>
    <row r="1452" spans="1:8" ht="15" customHeight="1">
      <c r="A1452" t="s">
        <v>2699</v>
      </c>
      <c r="B1452" t="s">
        <v>2700</v>
      </c>
      <c r="C1452" s="1" t="s">
        <v>2701</v>
      </c>
      <c r="D1452" s="1"/>
      <c r="E1452" s="1" t="str">
        <f t="shared" ref="E1452" si="122">HYPERLINK("https://www.kegg.jp/dbget-bin/www_bget?ec:" &amp; C1452, "https://www.kegg.jp/dbget-bin/www_bget?ec:" &amp; C1452)</f>
        <v>https://www.kegg.jp/dbget-bin/www_bget?ec:2.7.7.8</v>
      </c>
      <c r="F1452" t="s">
        <v>9748</v>
      </c>
      <c r="G1452" s="10" t="s">
        <v>10766</v>
      </c>
      <c r="H1452" s="13" t="s">
        <v>10770</v>
      </c>
    </row>
    <row r="1453" spans="1:8" ht="15" customHeight="1">
      <c r="A1453" t="s">
        <v>2699</v>
      </c>
      <c r="B1453" t="s">
        <v>2700</v>
      </c>
      <c r="C1453" s="1" t="s">
        <v>2701</v>
      </c>
      <c r="D1453" s="1"/>
      <c r="E1453" s="1" t="str">
        <f t="shared" ref="E1453" si="123">HYPERLINK("https://www.kegg.jp/dbget-bin/www_bget?ec:" &amp; C1453, "https://www.kegg.jp/dbget-bin/www_bget?ec:" &amp; C1453)</f>
        <v>https://www.kegg.jp/dbget-bin/www_bget?ec:2.7.7.8</v>
      </c>
      <c r="F1453" t="s">
        <v>9748</v>
      </c>
      <c r="G1453" s="10" t="s">
        <v>10768</v>
      </c>
      <c r="H1453" s="13" t="s">
        <v>10771</v>
      </c>
    </row>
    <row r="1454" spans="1:8" ht="15" customHeight="1">
      <c r="A1454" t="s">
        <v>2699</v>
      </c>
      <c r="B1454" t="s">
        <v>2700</v>
      </c>
      <c r="C1454" s="1" t="s">
        <v>2701</v>
      </c>
      <c r="D1454" s="1"/>
      <c r="E1454" s="1" t="str">
        <f t="shared" ref="E1454" si="124">HYPERLINK("https://www.kegg.jp/dbget-bin/www_bget?ec:" &amp; C1454, "https://www.kegg.jp/dbget-bin/www_bget?ec:" &amp; C1454)</f>
        <v>https://www.kegg.jp/dbget-bin/www_bget?ec:2.7.7.8</v>
      </c>
      <c r="F1454" t="s">
        <v>9748</v>
      </c>
      <c r="G1454" s="10" t="s">
        <v>10766</v>
      </c>
      <c r="H1454" s="13" t="s">
        <v>10772</v>
      </c>
    </row>
    <row r="1455" spans="1:8">
      <c r="A1455" t="s">
        <v>2702</v>
      </c>
      <c r="B1455" t="s">
        <v>2703</v>
      </c>
      <c r="E1455" s="1"/>
    </row>
    <row r="1456" spans="1:8">
      <c r="A1456" t="s">
        <v>2704</v>
      </c>
      <c r="B1456" t="s">
        <v>2705</v>
      </c>
      <c r="E1456" s="1"/>
    </row>
    <row r="1457" spans="1:5">
      <c r="A1457" t="s">
        <v>2706</v>
      </c>
      <c r="B1457" t="s">
        <v>2707</v>
      </c>
      <c r="E1457" s="1"/>
    </row>
    <row r="1458" spans="1:5">
      <c r="A1458" t="s">
        <v>2708</v>
      </c>
      <c r="B1458" t="s">
        <v>2709</v>
      </c>
      <c r="E1458" s="1"/>
    </row>
    <row r="1459" spans="1:5">
      <c r="A1459" t="s">
        <v>2710</v>
      </c>
      <c r="B1459" t="s">
        <v>2711</v>
      </c>
      <c r="E1459" s="1"/>
    </row>
    <row r="1460" spans="1:5">
      <c r="A1460" t="s">
        <v>2712</v>
      </c>
      <c r="B1460" t="s">
        <v>2713</v>
      </c>
      <c r="E1460" s="1"/>
    </row>
    <row r="1461" spans="1:5">
      <c r="A1461" t="s">
        <v>2714</v>
      </c>
      <c r="B1461" t="s">
        <v>2715</v>
      </c>
      <c r="E1461" s="1"/>
    </row>
    <row r="1462" spans="1:5">
      <c r="A1462" t="s">
        <v>2716</v>
      </c>
      <c r="B1462" t="s">
        <v>2717</v>
      </c>
      <c r="E1462" s="1"/>
    </row>
    <row r="1463" spans="1:5">
      <c r="A1463" t="s">
        <v>2718</v>
      </c>
      <c r="B1463" t="s">
        <v>2719</v>
      </c>
      <c r="E1463" s="1"/>
    </row>
    <row r="1464" spans="1:5">
      <c r="A1464" t="s">
        <v>2720</v>
      </c>
      <c r="B1464" t="s">
        <v>2721</v>
      </c>
      <c r="E1464" s="1"/>
    </row>
    <row r="1465" spans="1:5">
      <c r="A1465" t="s">
        <v>2722</v>
      </c>
      <c r="B1465" t="s">
        <v>2723</v>
      </c>
      <c r="E1465" s="1"/>
    </row>
    <row r="1466" spans="1:5">
      <c r="A1466" t="s">
        <v>2724</v>
      </c>
      <c r="B1466" t="s">
        <v>2725</v>
      </c>
      <c r="E1466" s="1"/>
    </row>
    <row r="1467" spans="1:5">
      <c r="A1467" t="s">
        <v>2726</v>
      </c>
      <c r="B1467" t="s">
        <v>2727</v>
      </c>
      <c r="E1467" s="1"/>
    </row>
    <row r="1468" spans="1:5">
      <c r="A1468" t="s">
        <v>2728</v>
      </c>
      <c r="B1468" t="s">
        <v>2729</v>
      </c>
      <c r="E1468" s="1"/>
    </row>
    <row r="1469" spans="1:5">
      <c r="A1469" t="s">
        <v>2730</v>
      </c>
      <c r="B1469" t="s">
        <v>2731</v>
      </c>
      <c r="E1469" s="1"/>
    </row>
    <row r="1470" spans="1:5">
      <c r="A1470" t="s">
        <v>2732</v>
      </c>
      <c r="B1470" t="s">
        <v>2733</v>
      </c>
      <c r="E1470" s="1"/>
    </row>
    <row r="1471" spans="1:5">
      <c r="A1471" t="s">
        <v>2734</v>
      </c>
      <c r="B1471" t="s">
        <v>2735</v>
      </c>
      <c r="E1471" s="1"/>
    </row>
    <row r="1472" spans="1:5">
      <c r="A1472" t="s">
        <v>2736</v>
      </c>
      <c r="B1472" t="s">
        <v>2737</v>
      </c>
      <c r="E1472" s="1"/>
    </row>
    <row r="1473" spans="1:11">
      <c r="A1473" t="s">
        <v>2738</v>
      </c>
      <c r="B1473" t="s">
        <v>2739</v>
      </c>
      <c r="C1473" s="1" t="s">
        <v>2740</v>
      </c>
      <c r="D1473" s="1"/>
      <c r="E1473" s="1" t="str">
        <f t="shared" ref="E1473:E1539" si="125">HYPERLINK("https://www.kegg.jp/dbget-bin/www_bget?ec:" &amp; C1473, "https://www.kegg.jp/dbget-bin/www_bget?ec:" &amp; C1473)</f>
        <v>https://www.kegg.jp/dbget-bin/www_bget?ec:3.3.1.1</v>
      </c>
      <c r="F1473" t="s">
        <v>9650</v>
      </c>
    </row>
    <row r="1474" spans="1:11">
      <c r="A1474" t="s">
        <v>2741</v>
      </c>
      <c r="B1474" t="s">
        <v>2742</v>
      </c>
      <c r="E1474" s="1"/>
    </row>
    <row r="1475" spans="1:11">
      <c r="A1475" t="s">
        <v>2743</v>
      </c>
      <c r="B1475" t="s">
        <v>2744</v>
      </c>
      <c r="E1475" s="1"/>
    </row>
    <row r="1476" spans="1:11">
      <c r="A1476" t="s">
        <v>2745</v>
      </c>
      <c r="B1476" t="s">
        <v>2746</v>
      </c>
      <c r="E1476" s="1"/>
    </row>
    <row r="1477" spans="1:11">
      <c r="A1477" t="s">
        <v>2747</v>
      </c>
      <c r="B1477" t="s">
        <v>2748</v>
      </c>
      <c r="E1477" s="1"/>
    </row>
    <row r="1478" spans="1:11">
      <c r="A1478" t="s">
        <v>2749</v>
      </c>
      <c r="B1478" t="s">
        <v>2750</v>
      </c>
      <c r="E1478" s="1"/>
    </row>
    <row r="1479" spans="1:11">
      <c r="A1479" t="s">
        <v>2751</v>
      </c>
      <c r="B1479" t="s">
        <v>2752</v>
      </c>
      <c r="E1479" s="1"/>
    </row>
    <row r="1480" spans="1:11">
      <c r="A1480" t="s">
        <v>2753</v>
      </c>
      <c r="B1480" t="s">
        <v>2754</v>
      </c>
      <c r="E1480" s="1"/>
    </row>
    <row r="1481" spans="1:11">
      <c r="A1481" t="s">
        <v>2755</v>
      </c>
      <c r="B1481" t="s">
        <v>2756</v>
      </c>
      <c r="E1481" s="1"/>
      <c r="G1481" s="13"/>
      <c r="H1481"/>
    </row>
    <row r="1482" spans="1:11">
      <c r="A1482" t="s">
        <v>2757</v>
      </c>
      <c r="B1482" t="s">
        <v>2758</v>
      </c>
      <c r="E1482" s="1"/>
      <c r="G1482" s="13"/>
      <c r="H1482"/>
    </row>
    <row r="1483" spans="1:11">
      <c r="A1483" t="s">
        <v>2759</v>
      </c>
      <c r="B1483" t="s">
        <v>2760</v>
      </c>
      <c r="E1483" s="1"/>
      <c r="G1483" s="13"/>
      <c r="H1483"/>
    </row>
    <row r="1484" spans="1:11">
      <c r="A1484" t="s">
        <v>2761</v>
      </c>
      <c r="B1484" t="s">
        <v>2762</v>
      </c>
      <c r="C1484" s="1" t="s">
        <v>39</v>
      </c>
      <c r="D1484" s="1"/>
      <c r="E1484" s="1" t="str">
        <f t="shared" ref="E1484" si="126">HYPERLINK("https://www.kegg.jp/dbget-bin/www_bget?ec:" &amp; C1484, "https://www.kegg.jp/dbget-bin/www_bget?ec:" &amp; C1484)</f>
        <v>https://www.kegg.jp/dbget-bin/www_bget?ec:5.4.99.9</v>
      </c>
      <c r="F1484" s="1" t="str">
        <f t="shared" ref="F1484:F1485" si="127">HYPERLINK("https://www.kegg.jp/dbget-bin/www_bget?ec:" &amp; D1484, "https://www.kegg.jp/dbget-bin/www_bget?ec:" &amp; D1484)</f>
        <v>https://www.kegg.jp/dbget-bin/www_bget?ec:</v>
      </c>
      <c r="G1484" s="11" t="s">
        <v>9263</v>
      </c>
      <c r="H1484" s="14" t="s">
        <v>9266</v>
      </c>
      <c r="I1484" s="14"/>
    </row>
    <row r="1485" spans="1:11">
      <c r="A1485" t="s">
        <v>2761</v>
      </c>
      <c r="B1485" t="s">
        <v>2762</v>
      </c>
      <c r="C1485" s="1" t="s">
        <v>39</v>
      </c>
      <c r="D1485" s="1"/>
      <c r="E1485" s="1" t="str">
        <f t="shared" si="125"/>
        <v>https://www.kegg.jp/dbget-bin/www_bget?ec:5.4.99.9</v>
      </c>
      <c r="F1485" s="1" t="str">
        <f t="shared" si="127"/>
        <v>https://www.kegg.jp/dbget-bin/www_bget?ec:</v>
      </c>
      <c r="G1485" s="11" t="s">
        <v>9267</v>
      </c>
      <c r="H1485" s="14" t="s">
        <v>9268</v>
      </c>
      <c r="I1485" s="14"/>
      <c r="J1485" s="11"/>
      <c r="K1485" s="14"/>
    </row>
    <row r="1486" spans="1:11">
      <c r="A1486" t="s">
        <v>2763</v>
      </c>
      <c r="B1486" t="s">
        <v>2764</v>
      </c>
      <c r="E1486" s="1"/>
      <c r="G1486" s="1"/>
      <c r="H1486" s="1"/>
      <c r="I1486" s="1"/>
      <c r="J1486" s="11"/>
      <c r="K1486" s="14"/>
    </row>
    <row r="1487" spans="1:11">
      <c r="A1487" t="s">
        <v>2765</v>
      </c>
      <c r="B1487" t="s">
        <v>2766</v>
      </c>
      <c r="E1487" s="1"/>
    </row>
    <row r="1488" spans="1:11">
      <c r="A1488" t="s">
        <v>2767</v>
      </c>
      <c r="B1488" t="s">
        <v>2768</v>
      </c>
      <c r="E1488" s="1"/>
    </row>
    <row r="1489" spans="1:8">
      <c r="A1489" t="s">
        <v>2769</v>
      </c>
      <c r="B1489" t="s">
        <v>2770</v>
      </c>
      <c r="E1489" s="1"/>
    </row>
    <row r="1490" spans="1:8">
      <c r="A1490" t="s">
        <v>2771</v>
      </c>
      <c r="B1490" t="s">
        <v>2772</v>
      </c>
      <c r="E1490" s="1"/>
    </row>
    <row r="1491" spans="1:8">
      <c r="A1491" t="s">
        <v>2773</v>
      </c>
      <c r="B1491" t="s">
        <v>2774</v>
      </c>
      <c r="C1491" s="1" t="s">
        <v>2775</v>
      </c>
      <c r="D1491" s="1"/>
      <c r="E1491" s="1" t="str">
        <f t="shared" ref="E1491" si="128">HYPERLINK("https://www.kegg.jp/dbget-bin/www_bget?ec:" &amp; C1491, "https://www.kegg.jp/dbget-bin/www_bget?ec:" &amp; C1491)</f>
        <v>https://www.kegg.jp/dbget-bin/www_bget?ec:6.1.1.10</v>
      </c>
      <c r="F1491" t="s">
        <v>9756</v>
      </c>
      <c r="G1491" s="10" t="s">
        <v>10773</v>
      </c>
      <c r="H1491" s="13" t="s">
        <v>10774</v>
      </c>
    </row>
    <row r="1492" spans="1:8">
      <c r="A1492" t="s">
        <v>2773</v>
      </c>
      <c r="B1492" t="s">
        <v>2774</v>
      </c>
      <c r="C1492" s="1" t="s">
        <v>2775</v>
      </c>
      <c r="D1492" s="1"/>
      <c r="E1492" s="1" t="str">
        <f t="shared" si="125"/>
        <v>https://www.kegg.jp/dbget-bin/www_bget?ec:6.1.1.10</v>
      </c>
      <c r="F1492" t="s">
        <v>9756</v>
      </c>
      <c r="G1492" s="10" t="s">
        <v>10775</v>
      </c>
      <c r="H1492" s="13" t="s">
        <v>10776</v>
      </c>
    </row>
    <row r="1493" spans="1:8">
      <c r="A1493" t="s">
        <v>2776</v>
      </c>
      <c r="B1493" t="s">
        <v>2777</v>
      </c>
      <c r="E1493" s="1"/>
    </row>
    <row r="1494" spans="1:8">
      <c r="A1494" t="s">
        <v>2778</v>
      </c>
      <c r="B1494" t="s">
        <v>2779</v>
      </c>
      <c r="E1494" s="1"/>
    </row>
    <row r="1495" spans="1:8">
      <c r="A1495" t="s">
        <v>2780</v>
      </c>
      <c r="B1495" t="s">
        <v>2781</v>
      </c>
      <c r="E1495" s="1"/>
    </row>
    <row r="1496" spans="1:8">
      <c r="A1496" t="s">
        <v>2782</v>
      </c>
      <c r="B1496" t="s">
        <v>2783</v>
      </c>
      <c r="E1496" s="1"/>
    </row>
    <row r="1497" spans="1:8">
      <c r="A1497" t="s">
        <v>2784</v>
      </c>
      <c r="B1497" t="s">
        <v>2785</v>
      </c>
      <c r="E1497" s="1"/>
    </row>
    <row r="1498" spans="1:8">
      <c r="A1498" t="s">
        <v>2786</v>
      </c>
      <c r="B1498" t="s">
        <v>2787</v>
      </c>
      <c r="E1498" s="1"/>
    </row>
    <row r="1499" spans="1:8">
      <c r="A1499" t="s">
        <v>2788</v>
      </c>
      <c r="B1499" t="s">
        <v>2789</v>
      </c>
      <c r="E1499" s="1"/>
    </row>
    <row r="1500" spans="1:8">
      <c r="A1500" t="s">
        <v>2790</v>
      </c>
      <c r="B1500" t="s">
        <v>2791</v>
      </c>
      <c r="E1500" s="1"/>
    </row>
    <row r="1501" spans="1:8">
      <c r="A1501" t="s">
        <v>2792</v>
      </c>
      <c r="B1501" t="s">
        <v>2793</v>
      </c>
      <c r="E1501" s="1"/>
    </row>
    <row r="1502" spans="1:8">
      <c r="A1502" t="s">
        <v>2794</v>
      </c>
      <c r="B1502" t="s">
        <v>2795</v>
      </c>
      <c r="E1502" s="1"/>
    </row>
    <row r="1503" spans="1:8">
      <c r="A1503" t="s">
        <v>2796</v>
      </c>
      <c r="B1503" t="s">
        <v>2797</v>
      </c>
      <c r="E1503" s="1"/>
    </row>
    <row r="1504" spans="1:8">
      <c r="A1504" t="s">
        <v>2798</v>
      </c>
      <c r="B1504" t="s">
        <v>2799</v>
      </c>
      <c r="C1504" s="1" t="s">
        <v>2800</v>
      </c>
      <c r="D1504" s="1"/>
      <c r="E1504" s="1" t="str">
        <f t="shared" si="125"/>
        <v>https://www.kegg.jp/dbget-bin/www_bget?ec:4.1.1.49</v>
      </c>
      <c r="F1504" t="s">
        <v>9761</v>
      </c>
      <c r="G1504" s="10" t="s">
        <v>10777</v>
      </c>
      <c r="H1504" s="13" t="s">
        <v>10778</v>
      </c>
    </row>
    <row r="1505" spans="1:8">
      <c r="A1505" t="s">
        <v>2801</v>
      </c>
      <c r="B1505" t="s">
        <v>2802</v>
      </c>
      <c r="E1505" s="1"/>
    </row>
    <row r="1506" spans="1:8">
      <c r="A1506" t="s">
        <v>2803</v>
      </c>
      <c r="B1506" t="s">
        <v>2804</v>
      </c>
      <c r="E1506" s="1"/>
    </row>
    <row r="1507" spans="1:8">
      <c r="A1507" t="s">
        <v>2805</v>
      </c>
      <c r="B1507" t="s">
        <v>2806</v>
      </c>
      <c r="E1507" s="1"/>
    </row>
    <row r="1508" spans="1:8">
      <c r="A1508" t="s">
        <v>2807</v>
      </c>
      <c r="B1508" t="s">
        <v>2808</v>
      </c>
      <c r="C1508" s="1" t="s">
        <v>2809</v>
      </c>
      <c r="D1508" s="1"/>
      <c r="E1508" s="1" t="str">
        <f t="shared" si="125"/>
        <v>https://www.kegg.jp/dbget-bin/www_bget?ec:2.7.1.71</v>
      </c>
      <c r="F1508" s="1" t="s">
        <v>9765</v>
      </c>
      <c r="G1508" s="10" t="s">
        <v>10779</v>
      </c>
      <c r="H1508" s="13" t="s">
        <v>10780</v>
      </c>
    </row>
    <row r="1509" spans="1:8">
      <c r="A1509" t="s">
        <v>2810</v>
      </c>
      <c r="B1509" t="s">
        <v>2811</v>
      </c>
      <c r="E1509" s="1"/>
    </row>
    <row r="1510" spans="1:8">
      <c r="A1510" t="s">
        <v>2812</v>
      </c>
      <c r="B1510" t="s">
        <v>2813</v>
      </c>
      <c r="E1510" s="1"/>
    </row>
    <row r="1511" spans="1:8">
      <c r="A1511" t="s">
        <v>2814</v>
      </c>
      <c r="B1511" t="s">
        <v>2815</v>
      </c>
      <c r="E1511" s="1"/>
    </row>
    <row r="1512" spans="1:8">
      <c r="A1512" t="s">
        <v>2816</v>
      </c>
      <c r="B1512" t="s">
        <v>2817</v>
      </c>
      <c r="E1512" s="1"/>
    </row>
    <row r="1513" spans="1:8">
      <c r="A1513" t="s">
        <v>2818</v>
      </c>
      <c r="B1513" t="s">
        <v>2819</v>
      </c>
      <c r="E1513" s="1"/>
    </row>
    <row r="1514" spans="1:8">
      <c r="A1514" t="s">
        <v>2820</v>
      </c>
      <c r="B1514" t="s">
        <v>2821</v>
      </c>
      <c r="E1514" s="1"/>
    </row>
    <row r="1515" spans="1:8">
      <c r="A1515" t="s">
        <v>2822</v>
      </c>
      <c r="B1515" t="s">
        <v>2823</v>
      </c>
      <c r="E1515" s="1"/>
    </row>
    <row r="1516" spans="1:8">
      <c r="A1516" t="s">
        <v>2824</v>
      </c>
      <c r="B1516" t="s">
        <v>2825</v>
      </c>
      <c r="E1516" s="1"/>
    </row>
    <row r="1517" spans="1:8">
      <c r="A1517" t="s">
        <v>2826</v>
      </c>
      <c r="B1517" t="s">
        <v>2827</v>
      </c>
      <c r="E1517" s="1"/>
    </row>
    <row r="1518" spans="1:8">
      <c r="A1518" t="s">
        <v>2828</v>
      </c>
      <c r="B1518" t="s">
        <v>2829</v>
      </c>
      <c r="E1518" s="1"/>
    </row>
    <row r="1519" spans="1:8">
      <c r="A1519" t="s">
        <v>2830</v>
      </c>
      <c r="B1519" t="s">
        <v>2831</v>
      </c>
      <c r="E1519" s="1"/>
    </row>
    <row r="1520" spans="1:8">
      <c r="A1520" t="s">
        <v>2832</v>
      </c>
      <c r="B1520" t="s">
        <v>2833</v>
      </c>
      <c r="E1520" s="1"/>
    </row>
    <row r="1521" spans="1:8">
      <c r="A1521" t="s">
        <v>2834</v>
      </c>
      <c r="B1521" t="s">
        <v>2835</v>
      </c>
      <c r="E1521" s="1"/>
    </row>
    <row r="1522" spans="1:8">
      <c r="A1522" t="s">
        <v>2836</v>
      </c>
      <c r="B1522" t="s">
        <v>2837</v>
      </c>
      <c r="E1522" s="1"/>
    </row>
    <row r="1523" spans="1:8">
      <c r="A1523" t="s">
        <v>2838</v>
      </c>
      <c r="B1523" t="s">
        <v>2839</v>
      </c>
      <c r="E1523" s="1"/>
    </row>
    <row r="1524" spans="1:8">
      <c r="A1524" t="s">
        <v>2840</v>
      </c>
      <c r="B1524" t="s">
        <v>2841</v>
      </c>
      <c r="E1524" s="1"/>
    </row>
    <row r="1525" spans="1:8">
      <c r="A1525" t="s">
        <v>2842</v>
      </c>
      <c r="B1525" t="s">
        <v>2843</v>
      </c>
      <c r="E1525" s="1"/>
    </row>
    <row r="1526" spans="1:8">
      <c r="A1526" t="s">
        <v>2844</v>
      </c>
      <c r="B1526" t="s">
        <v>2845</v>
      </c>
      <c r="E1526" s="1"/>
    </row>
    <row r="1527" spans="1:8" ht="26" customHeight="1">
      <c r="A1527" t="s">
        <v>2846</v>
      </c>
      <c r="B1527" t="s">
        <v>2847</v>
      </c>
      <c r="E1527" s="1"/>
    </row>
    <row r="1528" spans="1:8">
      <c r="A1528" t="s">
        <v>2848</v>
      </c>
      <c r="B1528" t="s">
        <v>2849</v>
      </c>
      <c r="C1528" s="25" t="s">
        <v>2850</v>
      </c>
      <c r="D1528" s="1"/>
      <c r="E1528" s="1" t="str">
        <f t="shared" ref="E1528" si="129">HYPERLINK("https://www.kegg.jp/dbget-bin/www_bget?ec:" &amp; C1528, "https://www.kegg.jp/dbget-bin/www_bget?ec:" &amp; C1528)</f>
        <v>https://www.kegg.jp/dbget-bin/www_bget?ec:2.3.1.179</v>
      </c>
      <c r="F1528" t="s">
        <v>9767</v>
      </c>
      <c r="G1528" s="10" t="s">
        <v>10781</v>
      </c>
      <c r="H1528" s="13" t="s">
        <v>10782</v>
      </c>
    </row>
    <row r="1529" spans="1:8">
      <c r="A1529" t="s">
        <v>2848</v>
      </c>
      <c r="B1529" t="s">
        <v>2849</v>
      </c>
      <c r="C1529" s="25" t="s">
        <v>2850</v>
      </c>
      <c r="D1529" s="1"/>
      <c r="E1529" s="1" t="str">
        <f t="shared" ref="E1529" si="130">HYPERLINK("https://www.kegg.jp/dbget-bin/www_bget?ec:" &amp; C1529, "https://www.kegg.jp/dbget-bin/www_bget?ec:" &amp; C1529)</f>
        <v>https://www.kegg.jp/dbget-bin/www_bget?ec:2.3.1.179</v>
      </c>
      <c r="F1529" t="s">
        <v>9767</v>
      </c>
      <c r="G1529" s="10" t="s">
        <v>10783</v>
      </c>
      <c r="H1529" s="13" t="s">
        <v>10784</v>
      </c>
    </row>
    <row r="1530" spans="1:8">
      <c r="A1530" t="s">
        <v>2848</v>
      </c>
      <c r="B1530" t="s">
        <v>2849</v>
      </c>
      <c r="C1530" s="25" t="s">
        <v>2850</v>
      </c>
      <c r="D1530" s="1"/>
      <c r="E1530" s="1" t="str">
        <f t="shared" ref="E1530" si="131">HYPERLINK("https://www.kegg.jp/dbget-bin/www_bget?ec:" &amp; C1530, "https://www.kegg.jp/dbget-bin/www_bget?ec:" &amp; C1530)</f>
        <v>https://www.kegg.jp/dbget-bin/www_bget?ec:2.3.1.179</v>
      </c>
      <c r="F1530" t="s">
        <v>9767</v>
      </c>
      <c r="G1530" s="10" t="s">
        <v>10785</v>
      </c>
      <c r="H1530" s="13" t="s">
        <v>10786</v>
      </c>
    </row>
    <row r="1531" spans="1:8">
      <c r="A1531" t="s">
        <v>2848</v>
      </c>
      <c r="B1531" t="s">
        <v>2849</v>
      </c>
      <c r="C1531" s="25" t="s">
        <v>2850</v>
      </c>
      <c r="D1531" s="1"/>
      <c r="E1531" s="1" t="str">
        <f t="shared" ref="E1531" si="132">HYPERLINK("https://www.kegg.jp/dbget-bin/www_bget?ec:" &amp; C1531, "https://www.kegg.jp/dbget-bin/www_bget?ec:" &amp; C1531)</f>
        <v>https://www.kegg.jp/dbget-bin/www_bget?ec:2.3.1.179</v>
      </c>
      <c r="F1531" t="s">
        <v>9767</v>
      </c>
      <c r="G1531" s="10" t="s">
        <v>10787</v>
      </c>
      <c r="H1531" s="13" t="s">
        <v>10788</v>
      </c>
    </row>
    <row r="1532" spans="1:8">
      <c r="A1532" t="s">
        <v>2848</v>
      </c>
      <c r="B1532" t="s">
        <v>2849</v>
      </c>
      <c r="C1532" s="25" t="s">
        <v>2850</v>
      </c>
      <c r="D1532" s="1"/>
      <c r="E1532" s="1" t="str">
        <f t="shared" ref="E1532" si="133">HYPERLINK("https://www.kegg.jp/dbget-bin/www_bget?ec:" &amp; C1532, "https://www.kegg.jp/dbget-bin/www_bget?ec:" &amp; C1532)</f>
        <v>https://www.kegg.jp/dbget-bin/www_bget?ec:2.3.1.179</v>
      </c>
      <c r="F1532" t="s">
        <v>9767</v>
      </c>
      <c r="G1532" s="10" t="s">
        <v>10789</v>
      </c>
      <c r="H1532" s="13" t="s">
        <v>10790</v>
      </c>
    </row>
    <row r="1533" spans="1:8">
      <c r="A1533" t="s">
        <v>2848</v>
      </c>
      <c r="B1533" t="s">
        <v>2849</v>
      </c>
      <c r="C1533" s="25" t="s">
        <v>2850</v>
      </c>
      <c r="D1533" s="1"/>
      <c r="E1533" s="1" t="str">
        <f t="shared" ref="E1533" si="134">HYPERLINK("https://www.kegg.jp/dbget-bin/www_bget?ec:" &amp; C1533, "https://www.kegg.jp/dbget-bin/www_bget?ec:" &amp; C1533)</f>
        <v>https://www.kegg.jp/dbget-bin/www_bget?ec:2.3.1.179</v>
      </c>
      <c r="F1533" t="s">
        <v>9767</v>
      </c>
      <c r="G1533" s="10" t="s">
        <v>10791</v>
      </c>
      <c r="H1533" s="13" t="s">
        <v>10792</v>
      </c>
    </row>
    <row r="1534" spans="1:8">
      <c r="A1534" t="s">
        <v>2848</v>
      </c>
      <c r="B1534" t="s">
        <v>2849</v>
      </c>
      <c r="C1534" s="25" t="s">
        <v>2850</v>
      </c>
      <c r="D1534" s="1"/>
      <c r="E1534" s="1" t="str">
        <f t="shared" ref="E1534" si="135">HYPERLINK("https://www.kegg.jp/dbget-bin/www_bget?ec:" &amp; C1534, "https://www.kegg.jp/dbget-bin/www_bget?ec:" &amp; C1534)</f>
        <v>https://www.kegg.jp/dbget-bin/www_bget?ec:2.3.1.179</v>
      </c>
      <c r="F1534" t="s">
        <v>9767</v>
      </c>
      <c r="G1534" s="10" t="s">
        <v>10793</v>
      </c>
      <c r="H1534" s="13" t="s">
        <v>10794</v>
      </c>
    </row>
    <row r="1535" spans="1:8">
      <c r="A1535" t="s">
        <v>2848</v>
      </c>
      <c r="B1535" t="s">
        <v>2849</v>
      </c>
      <c r="C1535" s="25" t="s">
        <v>2850</v>
      </c>
      <c r="D1535" s="1"/>
      <c r="E1535" s="1" t="str">
        <f t="shared" ref="E1535" si="136">HYPERLINK("https://www.kegg.jp/dbget-bin/www_bget?ec:" &amp; C1535, "https://www.kegg.jp/dbget-bin/www_bget?ec:" &amp; C1535)</f>
        <v>https://www.kegg.jp/dbget-bin/www_bget?ec:2.3.1.179</v>
      </c>
      <c r="F1535" t="s">
        <v>9767</v>
      </c>
      <c r="G1535" s="10" t="s">
        <v>10795</v>
      </c>
      <c r="H1535" s="13" t="s">
        <v>10796</v>
      </c>
    </row>
    <row r="1536" spans="1:8">
      <c r="A1536" t="s">
        <v>2848</v>
      </c>
      <c r="B1536" t="s">
        <v>2849</v>
      </c>
      <c r="C1536" s="25" t="s">
        <v>2850</v>
      </c>
      <c r="D1536" s="1"/>
      <c r="E1536" s="1" t="str">
        <f t="shared" ref="E1536" si="137">HYPERLINK("https://www.kegg.jp/dbget-bin/www_bget?ec:" &amp; C1536, "https://www.kegg.jp/dbget-bin/www_bget?ec:" &amp; C1536)</f>
        <v>https://www.kegg.jp/dbget-bin/www_bget?ec:2.3.1.179</v>
      </c>
      <c r="F1536" t="s">
        <v>9767</v>
      </c>
      <c r="G1536" s="10" t="s">
        <v>10797</v>
      </c>
      <c r="H1536" s="13" t="s">
        <v>10798</v>
      </c>
    </row>
    <row r="1537" spans="1:8">
      <c r="A1537" t="s">
        <v>2848</v>
      </c>
      <c r="B1537" t="s">
        <v>2849</v>
      </c>
      <c r="C1537" s="25" t="s">
        <v>2850</v>
      </c>
      <c r="D1537" s="1"/>
      <c r="E1537" s="1" t="str">
        <f t="shared" ref="E1537" si="138">HYPERLINK("https://www.kegg.jp/dbget-bin/www_bget?ec:" &amp; C1537, "https://www.kegg.jp/dbget-bin/www_bget?ec:" &amp; C1537)</f>
        <v>https://www.kegg.jp/dbget-bin/www_bget?ec:2.3.1.179</v>
      </c>
      <c r="F1537" t="s">
        <v>9767</v>
      </c>
      <c r="G1537" s="10" t="s">
        <v>10799</v>
      </c>
      <c r="H1537" s="13" t="s">
        <v>10800</v>
      </c>
    </row>
    <row r="1538" spans="1:8">
      <c r="A1538" t="s">
        <v>2848</v>
      </c>
      <c r="B1538" t="s">
        <v>2849</v>
      </c>
      <c r="C1538" s="25" t="s">
        <v>2850</v>
      </c>
      <c r="D1538" s="1"/>
      <c r="E1538" s="1" t="str">
        <f t="shared" ref="E1538" si="139">HYPERLINK("https://www.kegg.jp/dbget-bin/www_bget?ec:" &amp; C1538, "https://www.kegg.jp/dbget-bin/www_bget?ec:" &amp; C1538)</f>
        <v>https://www.kegg.jp/dbget-bin/www_bget?ec:2.3.1.179</v>
      </c>
      <c r="F1538" t="s">
        <v>9767</v>
      </c>
      <c r="G1538" s="10" t="s">
        <v>10801</v>
      </c>
      <c r="H1538" s="13" t="s">
        <v>10802</v>
      </c>
    </row>
    <row r="1539" spans="1:8">
      <c r="A1539" t="s">
        <v>2851</v>
      </c>
      <c r="B1539" t="s">
        <v>2852</v>
      </c>
      <c r="C1539" s="25" t="s">
        <v>2853</v>
      </c>
      <c r="D1539" s="1"/>
      <c r="E1539" s="1" t="str">
        <f t="shared" si="125"/>
        <v>https://www.kegg.jp/dbget-bin/www_bget?ec:3.1.26.3</v>
      </c>
      <c r="F1539" t="s">
        <v>9788</v>
      </c>
    </row>
    <row r="1540" spans="1:8">
      <c r="B1540" t="s">
        <v>2854</v>
      </c>
      <c r="E1540" s="1"/>
    </row>
    <row r="1541" spans="1:8">
      <c r="A1541" t="s">
        <v>2855</v>
      </c>
      <c r="B1541" t="s">
        <v>2856</v>
      </c>
      <c r="E1541" s="1"/>
    </row>
    <row r="1542" spans="1:8">
      <c r="A1542" t="s">
        <v>2857</v>
      </c>
      <c r="B1542" t="s">
        <v>2858</v>
      </c>
      <c r="E1542" s="1"/>
    </row>
    <row r="1543" spans="1:8">
      <c r="A1543" t="s">
        <v>2859</v>
      </c>
      <c r="B1543" t="s">
        <v>2860</v>
      </c>
      <c r="E1543" s="1"/>
    </row>
    <row r="1544" spans="1:8">
      <c r="A1544" t="s">
        <v>2861</v>
      </c>
      <c r="B1544" t="s">
        <v>2862</v>
      </c>
      <c r="E1544" s="1"/>
    </row>
    <row r="1545" spans="1:8">
      <c r="A1545" t="s">
        <v>2863</v>
      </c>
      <c r="B1545" t="s">
        <v>2864</v>
      </c>
      <c r="E1545" s="1"/>
    </row>
    <row r="1546" spans="1:8">
      <c r="A1546" t="s">
        <v>2865</v>
      </c>
      <c r="B1546" t="s">
        <v>2866</v>
      </c>
      <c r="E1546" s="1"/>
    </row>
    <row r="1547" spans="1:8">
      <c r="A1547" t="s">
        <v>2867</v>
      </c>
      <c r="B1547" t="s">
        <v>2868</v>
      </c>
      <c r="E1547" s="1"/>
    </row>
    <row r="1548" spans="1:8">
      <c r="A1548" t="s">
        <v>2869</v>
      </c>
      <c r="B1548" t="s">
        <v>2870</v>
      </c>
      <c r="E1548" s="1"/>
    </row>
    <row r="1549" spans="1:8">
      <c r="A1549" t="s">
        <v>2871</v>
      </c>
      <c r="B1549" t="s">
        <v>2872</v>
      </c>
      <c r="E1549" s="1"/>
    </row>
    <row r="1550" spans="1:8">
      <c r="A1550" t="s">
        <v>2873</v>
      </c>
      <c r="B1550" t="s">
        <v>2874</v>
      </c>
      <c r="C1550" s="1" t="s">
        <v>2875</v>
      </c>
      <c r="D1550" s="1"/>
      <c r="E1550" s="1" t="str">
        <f t="shared" ref="E1550:E1611" si="140">HYPERLINK("https://www.kegg.jp/dbget-bin/www_bget?ec:" &amp; C1550, "https://www.kegg.jp/dbget-bin/www_bget?ec:" &amp; C1550)</f>
        <v>https://www.kegg.jp/dbget-bin/www_bget?ec:6.1.1.16</v>
      </c>
      <c r="F1550" s="1" t="s">
        <v>9791</v>
      </c>
      <c r="G1550" s="10" t="s">
        <v>10803</v>
      </c>
      <c r="H1550" s="13" t="s">
        <v>10804</v>
      </c>
    </row>
    <row r="1551" spans="1:8">
      <c r="A1551" t="s">
        <v>2876</v>
      </c>
      <c r="B1551" t="s">
        <v>2877</v>
      </c>
      <c r="E1551" s="1"/>
    </row>
    <row r="1552" spans="1:8">
      <c r="A1552" t="s">
        <v>2878</v>
      </c>
      <c r="B1552" t="s">
        <v>2879</v>
      </c>
      <c r="E1552" s="1"/>
    </row>
    <row r="1553" spans="1:5">
      <c r="A1553" t="s">
        <v>2880</v>
      </c>
      <c r="B1553" t="s">
        <v>2881</v>
      </c>
      <c r="E1553" s="1"/>
    </row>
    <row r="1554" spans="1:5">
      <c r="A1554" t="s">
        <v>2882</v>
      </c>
      <c r="B1554" t="s">
        <v>2883</v>
      </c>
      <c r="E1554" s="1"/>
    </row>
    <row r="1555" spans="1:5">
      <c r="A1555" t="s">
        <v>2884</v>
      </c>
      <c r="B1555" t="s">
        <v>2885</v>
      </c>
      <c r="E1555" s="1"/>
    </row>
    <row r="1556" spans="1:5">
      <c r="A1556" t="s">
        <v>2886</v>
      </c>
      <c r="B1556" t="s">
        <v>2887</v>
      </c>
      <c r="E1556" s="1"/>
    </row>
    <row r="1557" spans="1:5">
      <c r="A1557" t="s">
        <v>2888</v>
      </c>
      <c r="B1557" t="s">
        <v>2889</v>
      </c>
      <c r="E1557" s="1"/>
    </row>
    <row r="1558" spans="1:5">
      <c r="A1558" t="s">
        <v>2890</v>
      </c>
      <c r="B1558" t="s">
        <v>2891</v>
      </c>
      <c r="E1558" s="1"/>
    </row>
    <row r="1559" spans="1:5">
      <c r="B1559" t="s">
        <v>2892</v>
      </c>
      <c r="E1559" s="1"/>
    </row>
    <row r="1560" spans="1:5">
      <c r="A1560" t="s">
        <v>2893</v>
      </c>
      <c r="B1560" t="s">
        <v>2894</v>
      </c>
      <c r="E1560" s="1"/>
    </row>
    <row r="1561" spans="1:5">
      <c r="A1561" t="s">
        <v>2895</v>
      </c>
      <c r="B1561" t="s">
        <v>2896</v>
      </c>
      <c r="E1561" s="1"/>
    </row>
    <row r="1562" spans="1:5">
      <c r="A1562" t="s">
        <v>2897</v>
      </c>
      <c r="B1562" t="s">
        <v>2898</v>
      </c>
      <c r="E1562" s="1"/>
    </row>
    <row r="1563" spans="1:5">
      <c r="A1563" t="s">
        <v>2899</v>
      </c>
      <c r="B1563" t="s">
        <v>2900</v>
      </c>
      <c r="E1563" s="1"/>
    </row>
    <row r="1564" spans="1:5">
      <c r="A1564" t="s">
        <v>2901</v>
      </c>
      <c r="B1564" t="s">
        <v>2902</v>
      </c>
      <c r="E1564" s="1"/>
    </row>
    <row r="1565" spans="1:5">
      <c r="A1565" t="s">
        <v>2903</v>
      </c>
      <c r="B1565" t="s">
        <v>2904</v>
      </c>
      <c r="E1565" s="1"/>
    </row>
    <row r="1566" spans="1:5">
      <c r="A1566" t="s">
        <v>2905</v>
      </c>
      <c r="B1566" t="s">
        <v>2906</v>
      </c>
      <c r="E1566" s="1"/>
    </row>
    <row r="1567" spans="1:5">
      <c r="A1567" t="s">
        <v>2907</v>
      </c>
      <c r="B1567" t="s">
        <v>2908</v>
      </c>
      <c r="E1567" s="1"/>
    </row>
    <row r="1568" spans="1:5">
      <c r="A1568" t="s">
        <v>2909</v>
      </c>
      <c r="B1568" t="s">
        <v>2910</v>
      </c>
      <c r="E1568" s="1"/>
    </row>
    <row r="1569" spans="1:5">
      <c r="A1569" t="s">
        <v>2911</v>
      </c>
      <c r="B1569" t="s">
        <v>2912</v>
      </c>
      <c r="E1569" s="1"/>
    </row>
    <row r="1570" spans="1:5">
      <c r="A1570" t="s">
        <v>2913</v>
      </c>
      <c r="B1570" t="s">
        <v>2914</v>
      </c>
      <c r="E1570" s="1"/>
    </row>
    <row r="1571" spans="1:5">
      <c r="A1571" t="s">
        <v>2915</v>
      </c>
      <c r="B1571" t="s">
        <v>2916</v>
      </c>
      <c r="E1571" s="1"/>
    </row>
    <row r="1572" spans="1:5">
      <c r="A1572" t="s">
        <v>2917</v>
      </c>
      <c r="B1572" t="s">
        <v>2918</v>
      </c>
      <c r="E1572" s="1"/>
    </row>
    <row r="1573" spans="1:5">
      <c r="A1573" t="s">
        <v>2919</v>
      </c>
      <c r="B1573" t="s">
        <v>2920</v>
      </c>
      <c r="E1573" s="1"/>
    </row>
    <row r="1574" spans="1:5">
      <c r="A1574" t="s">
        <v>2921</v>
      </c>
      <c r="B1574" t="s">
        <v>2922</v>
      </c>
      <c r="E1574" s="1"/>
    </row>
    <row r="1575" spans="1:5">
      <c r="B1575" t="s">
        <v>2923</v>
      </c>
      <c r="E1575" s="1"/>
    </row>
    <row r="1576" spans="1:5">
      <c r="A1576" t="s">
        <v>2924</v>
      </c>
      <c r="B1576" t="s">
        <v>2925</v>
      </c>
      <c r="E1576" s="1"/>
    </row>
    <row r="1577" spans="1:5">
      <c r="A1577" t="s">
        <v>2926</v>
      </c>
      <c r="B1577" t="s">
        <v>2927</v>
      </c>
      <c r="E1577" s="1"/>
    </row>
    <row r="1578" spans="1:5">
      <c r="A1578" t="s">
        <v>2928</v>
      </c>
      <c r="B1578" t="s">
        <v>2929</v>
      </c>
      <c r="E1578" s="1"/>
    </row>
    <row r="1579" spans="1:5">
      <c r="A1579" t="s">
        <v>2930</v>
      </c>
      <c r="B1579" t="s">
        <v>2931</v>
      </c>
      <c r="E1579" s="1"/>
    </row>
    <row r="1580" spans="1:5">
      <c r="A1580" t="s">
        <v>2932</v>
      </c>
      <c r="B1580" t="s">
        <v>2933</v>
      </c>
      <c r="E1580" s="1"/>
    </row>
    <row r="1581" spans="1:5">
      <c r="A1581" t="s">
        <v>2934</v>
      </c>
      <c r="B1581" t="s">
        <v>2935</v>
      </c>
      <c r="E1581" s="1"/>
    </row>
    <row r="1582" spans="1:5">
      <c r="A1582" t="s">
        <v>2936</v>
      </c>
      <c r="B1582" t="s">
        <v>2937</v>
      </c>
      <c r="E1582" s="1"/>
    </row>
    <row r="1583" spans="1:5">
      <c r="A1583" t="s">
        <v>2938</v>
      </c>
      <c r="B1583" t="s">
        <v>2939</v>
      </c>
      <c r="E1583" s="1"/>
    </row>
    <row r="1584" spans="1:5">
      <c r="A1584" t="s">
        <v>2940</v>
      </c>
      <c r="B1584" t="s">
        <v>2941</v>
      </c>
      <c r="E1584" s="1"/>
    </row>
    <row r="1585" spans="1:5">
      <c r="A1585" t="s">
        <v>2942</v>
      </c>
      <c r="B1585" t="s">
        <v>2943</v>
      </c>
      <c r="E1585" s="1"/>
    </row>
    <row r="1586" spans="1:5">
      <c r="A1586" t="s">
        <v>2944</v>
      </c>
      <c r="B1586" t="s">
        <v>2945</v>
      </c>
      <c r="E1586" s="1"/>
    </row>
    <row r="1587" spans="1:5">
      <c r="A1587" t="s">
        <v>2946</v>
      </c>
      <c r="B1587" t="s">
        <v>2947</v>
      </c>
      <c r="E1587" s="1"/>
    </row>
    <row r="1588" spans="1:5">
      <c r="A1588" t="s">
        <v>2948</v>
      </c>
      <c r="B1588" t="s">
        <v>2949</v>
      </c>
      <c r="E1588" s="1"/>
    </row>
    <row r="1589" spans="1:5">
      <c r="A1589" t="s">
        <v>2950</v>
      </c>
      <c r="B1589" t="s">
        <v>2951</v>
      </c>
      <c r="E1589" s="1"/>
    </row>
    <row r="1590" spans="1:5">
      <c r="A1590" t="s">
        <v>2952</v>
      </c>
      <c r="B1590" t="s">
        <v>2953</v>
      </c>
      <c r="E1590" s="1"/>
    </row>
    <row r="1591" spans="1:5">
      <c r="A1591" t="s">
        <v>2954</v>
      </c>
      <c r="B1591" t="s">
        <v>2955</v>
      </c>
      <c r="E1591" s="1"/>
    </row>
    <row r="1592" spans="1:5">
      <c r="A1592" t="s">
        <v>2956</v>
      </c>
      <c r="B1592" t="s">
        <v>2957</v>
      </c>
      <c r="E1592" s="1"/>
    </row>
    <row r="1593" spans="1:5">
      <c r="A1593" t="s">
        <v>2958</v>
      </c>
      <c r="B1593" t="s">
        <v>2959</v>
      </c>
      <c r="E1593" s="1"/>
    </row>
    <row r="1594" spans="1:5">
      <c r="A1594" t="s">
        <v>2960</v>
      </c>
      <c r="B1594" t="s">
        <v>2961</v>
      </c>
      <c r="E1594" s="1"/>
    </row>
    <row r="1595" spans="1:5">
      <c r="A1595" t="s">
        <v>2962</v>
      </c>
      <c r="B1595" t="s">
        <v>2963</v>
      </c>
      <c r="E1595" s="1"/>
    </row>
    <row r="1596" spans="1:5">
      <c r="A1596" t="s">
        <v>2964</v>
      </c>
      <c r="B1596" t="s">
        <v>2965</v>
      </c>
      <c r="E1596" s="1"/>
    </row>
    <row r="1597" spans="1:5">
      <c r="A1597" t="s">
        <v>2966</v>
      </c>
      <c r="B1597" t="s">
        <v>2967</v>
      </c>
      <c r="E1597" s="1"/>
    </row>
    <row r="1598" spans="1:5">
      <c r="A1598" t="s">
        <v>2968</v>
      </c>
      <c r="B1598" t="s">
        <v>2969</v>
      </c>
      <c r="E1598" s="1"/>
    </row>
    <row r="1599" spans="1:5">
      <c r="A1599" t="s">
        <v>2970</v>
      </c>
      <c r="B1599" t="s">
        <v>2971</v>
      </c>
      <c r="E1599" s="1"/>
    </row>
    <row r="1600" spans="1:5">
      <c r="A1600" t="s">
        <v>2972</v>
      </c>
      <c r="B1600" t="s">
        <v>2973</v>
      </c>
      <c r="E1600" s="1"/>
    </row>
    <row r="1601" spans="1:8">
      <c r="A1601" t="s">
        <v>2974</v>
      </c>
      <c r="B1601" t="s">
        <v>2975</v>
      </c>
      <c r="E1601" s="1"/>
    </row>
    <row r="1602" spans="1:8">
      <c r="A1602" t="s">
        <v>2976</v>
      </c>
      <c r="B1602" t="s">
        <v>2977</v>
      </c>
      <c r="E1602" s="1"/>
    </row>
    <row r="1603" spans="1:8">
      <c r="A1603" t="s">
        <v>2978</v>
      </c>
      <c r="B1603" t="s">
        <v>2979</v>
      </c>
      <c r="E1603" s="1"/>
    </row>
    <row r="1604" spans="1:8">
      <c r="A1604" t="s">
        <v>2980</v>
      </c>
      <c r="B1604" t="s">
        <v>2981</v>
      </c>
      <c r="E1604" s="1"/>
    </row>
    <row r="1605" spans="1:8">
      <c r="A1605" t="s">
        <v>2982</v>
      </c>
      <c r="B1605" t="s">
        <v>2983</v>
      </c>
      <c r="E1605" s="1"/>
    </row>
    <row r="1606" spans="1:8">
      <c r="A1606" t="s">
        <v>2984</v>
      </c>
      <c r="B1606" t="s">
        <v>2985</v>
      </c>
      <c r="E1606" s="1"/>
    </row>
    <row r="1607" spans="1:8">
      <c r="A1607" t="s">
        <v>2986</v>
      </c>
      <c r="B1607" t="s">
        <v>2987</v>
      </c>
      <c r="E1607" s="1"/>
    </row>
    <row r="1608" spans="1:8">
      <c r="A1608" t="s">
        <v>2988</v>
      </c>
      <c r="B1608" t="s">
        <v>2989</v>
      </c>
      <c r="E1608" s="1"/>
    </row>
    <row r="1609" spans="1:8">
      <c r="A1609" t="s">
        <v>2990</v>
      </c>
      <c r="B1609" t="s">
        <v>2991</v>
      </c>
      <c r="E1609" s="1"/>
    </row>
    <row r="1610" spans="1:8">
      <c r="A1610" t="s">
        <v>2992</v>
      </c>
      <c r="B1610" t="s">
        <v>2993</v>
      </c>
      <c r="C1610" s="1" t="s">
        <v>2994</v>
      </c>
      <c r="D1610" s="1"/>
      <c r="E1610" s="1" t="str">
        <f t="shared" ref="E1610" si="141">HYPERLINK("https://www.kegg.jp/dbget-bin/www_bget?ec:" &amp; C1610, "https://www.kegg.jp/dbget-bin/www_bget?ec:" &amp; C1610)</f>
        <v>https://www.kegg.jp/dbget-bin/www_bget?ec:1.17.1.8</v>
      </c>
      <c r="F1610" t="s">
        <v>9792</v>
      </c>
      <c r="G1610" s="10" t="s">
        <v>10805</v>
      </c>
      <c r="H1610" s="13" t="s">
        <v>10806</v>
      </c>
    </row>
    <row r="1611" spans="1:8">
      <c r="A1611" t="s">
        <v>2992</v>
      </c>
      <c r="B1611" t="s">
        <v>2993</v>
      </c>
      <c r="C1611" s="1" t="s">
        <v>2994</v>
      </c>
      <c r="D1611" s="1"/>
      <c r="E1611" s="1" t="str">
        <f t="shared" si="140"/>
        <v>https://www.kegg.jp/dbget-bin/www_bget?ec:1.17.1.8</v>
      </c>
      <c r="F1611" t="s">
        <v>9792</v>
      </c>
      <c r="G1611" s="10" t="s">
        <v>10807</v>
      </c>
      <c r="H1611" s="13" t="s">
        <v>10808</v>
      </c>
    </row>
    <row r="1612" spans="1:8">
      <c r="A1612" t="s">
        <v>2995</v>
      </c>
      <c r="B1612" t="s">
        <v>2996</v>
      </c>
      <c r="E1612" s="1"/>
    </row>
    <row r="1613" spans="1:8">
      <c r="A1613" t="s">
        <v>2997</v>
      </c>
      <c r="B1613" t="s">
        <v>2998</v>
      </c>
      <c r="C1613" s="1" t="s">
        <v>2999</v>
      </c>
      <c r="D1613" s="1"/>
      <c r="E1613" s="1" t="str">
        <f t="shared" ref="E1613:E1671" si="142">HYPERLINK("https://www.kegg.jp/dbget-bin/www_bget?ec:" &amp; C1613, "https://www.kegg.jp/dbget-bin/www_bget?ec:" &amp; C1613)</f>
        <v>https://www.kegg.jp/dbget-bin/www_bget?ec:3.4.21.89</v>
      </c>
      <c r="F1613" t="s">
        <v>9650</v>
      </c>
    </row>
    <row r="1614" spans="1:8">
      <c r="A1614" t="s">
        <v>3000</v>
      </c>
      <c r="B1614" t="s">
        <v>3001</v>
      </c>
      <c r="E1614" s="1"/>
    </row>
    <row r="1615" spans="1:8">
      <c r="A1615" t="s">
        <v>3002</v>
      </c>
      <c r="B1615" t="s">
        <v>3003</v>
      </c>
      <c r="C1615" s="1" t="s">
        <v>3004</v>
      </c>
      <c r="D1615" s="1"/>
      <c r="E1615" s="1" t="str">
        <f t="shared" si="142"/>
        <v>https://www.kegg.jp/dbget-bin/www_bget?ec:2.6.1.37</v>
      </c>
      <c r="F1615" s="1" t="s">
        <v>9799</v>
      </c>
      <c r="G1615" s="10" t="s">
        <v>10809</v>
      </c>
      <c r="H1615" s="13" t="s">
        <v>10810</v>
      </c>
    </row>
    <row r="1616" spans="1:8">
      <c r="A1616" t="s">
        <v>3005</v>
      </c>
      <c r="B1616" t="s">
        <v>3006</v>
      </c>
      <c r="C1616" s="1" t="s">
        <v>3007</v>
      </c>
      <c r="D1616" s="1"/>
      <c r="E1616" s="1" t="str">
        <f t="shared" si="142"/>
        <v>https://www.kegg.jp/dbget-bin/www_bget?ec:3.11.1.1</v>
      </c>
      <c r="F1616" t="s">
        <v>9800</v>
      </c>
      <c r="G1616" s="10" t="s">
        <v>10811</v>
      </c>
      <c r="H1616" s="13" t="s">
        <v>10812</v>
      </c>
    </row>
    <row r="1617" spans="1:5">
      <c r="A1617" t="s">
        <v>3008</v>
      </c>
      <c r="B1617" t="s">
        <v>3009</v>
      </c>
      <c r="E1617" s="1"/>
    </row>
    <row r="1618" spans="1:5">
      <c r="A1618" t="s">
        <v>3010</v>
      </c>
      <c r="B1618" t="s">
        <v>3011</v>
      </c>
      <c r="E1618" s="1"/>
    </row>
    <row r="1619" spans="1:5">
      <c r="A1619" t="s">
        <v>3012</v>
      </c>
      <c r="B1619" t="s">
        <v>3013</v>
      </c>
      <c r="E1619" s="1"/>
    </row>
    <row r="1620" spans="1:5">
      <c r="A1620" t="s">
        <v>3014</v>
      </c>
      <c r="B1620" t="s">
        <v>3015</v>
      </c>
      <c r="E1620" s="1"/>
    </row>
    <row r="1621" spans="1:5">
      <c r="B1621" t="s">
        <v>3016</v>
      </c>
      <c r="E1621" s="1"/>
    </row>
    <row r="1622" spans="1:5">
      <c r="B1622" t="s">
        <v>3017</v>
      </c>
      <c r="E1622" s="1"/>
    </row>
    <row r="1623" spans="1:5">
      <c r="B1623" t="s">
        <v>3018</v>
      </c>
      <c r="E1623" s="1"/>
    </row>
    <row r="1624" spans="1:5">
      <c r="B1624" t="s">
        <v>3019</v>
      </c>
      <c r="E1624" s="1"/>
    </row>
    <row r="1625" spans="1:5">
      <c r="B1625" t="s">
        <v>3020</v>
      </c>
    </row>
    <row r="1626" spans="1:5">
      <c r="A1626" t="s">
        <v>3021</v>
      </c>
      <c r="B1626" t="s">
        <v>3022</v>
      </c>
      <c r="E1626" s="1"/>
    </row>
    <row r="1627" spans="1:5">
      <c r="A1627" t="s">
        <v>3023</v>
      </c>
      <c r="B1627" t="s">
        <v>3024</v>
      </c>
      <c r="E1627" s="1"/>
    </row>
    <row r="1628" spans="1:5">
      <c r="B1628" t="s">
        <v>3025</v>
      </c>
      <c r="E1628" s="1"/>
    </row>
    <row r="1629" spans="1:5">
      <c r="A1629" t="s">
        <v>3026</v>
      </c>
      <c r="B1629" t="s">
        <v>3027</v>
      </c>
      <c r="E1629" s="1"/>
    </row>
    <row r="1630" spans="1:5">
      <c r="A1630" t="s">
        <v>3028</v>
      </c>
      <c r="B1630" t="s">
        <v>3029</v>
      </c>
      <c r="E1630" s="1"/>
    </row>
    <row r="1631" spans="1:5">
      <c r="A1631" t="s">
        <v>3030</v>
      </c>
      <c r="B1631" t="s">
        <v>3031</v>
      </c>
      <c r="E1631" s="1"/>
    </row>
    <row r="1632" spans="1:5">
      <c r="A1632" t="s">
        <v>3032</v>
      </c>
      <c r="B1632" t="s">
        <v>3033</v>
      </c>
      <c r="E1632" s="1"/>
    </row>
    <row r="1633" spans="1:5">
      <c r="A1633" t="s">
        <v>3034</v>
      </c>
      <c r="B1633" t="s">
        <v>3035</v>
      </c>
      <c r="E1633" s="1"/>
    </row>
    <row r="1634" spans="1:5">
      <c r="A1634" t="s">
        <v>3036</v>
      </c>
      <c r="B1634" t="s">
        <v>3037</v>
      </c>
      <c r="E1634" s="1"/>
    </row>
    <row r="1635" spans="1:5">
      <c r="A1635" t="s">
        <v>3038</v>
      </c>
      <c r="B1635" t="s">
        <v>3039</v>
      </c>
      <c r="E1635" s="1"/>
    </row>
    <row r="1636" spans="1:5">
      <c r="A1636" t="s">
        <v>3040</v>
      </c>
      <c r="B1636" t="s">
        <v>3041</v>
      </c>
      <c r="E1636" s="1"/>
    </row>
    <row r="1637" spans="1:5">
      <c r="A1637" t="s">
        <v>3042</v>
      </c>
      <c r="B1637" t="s">
        <v>3043</v>
      </c>
      <c r="E1637" s="1"/>
    </row>
    <row r="1638" spans="1:5">
      <c r="A1638" t="s">
        <v>3044</v>
      </c>
      <c r="B1638" t="s">
        <v>3045</v>
      </c>
      <c r="E1638" s="1"/>
    </row>
    <row r="1639" spans="1:5">
      <c r="A1639" t="s">
        <v>3046</v>
      </c>
      <c r="B1639" t="s">
        <v>3047</v>
      </c>
      <c r="E1639" s="1"/>
    </row>
    <row r="1640" spans="1:5">
      <c r="A1640" t="s">
        <v>3048</v>
      </c>
      <c r="B1640" t="s">
        <v>3049</v>
      </c>
      <c r="E1640" s="1"/>
    </row>
    <row r="1641" spans="1:5">
      <c r="A1641" t="s">
        <v>3050</v>
      </c>
      <c r="B1641" t="s">
        <v>3051</v>
      </c>
      <c r="E1641" s="1"/>
    </row>
    <row r="1642" spans="1:5">
      <c r="A1642" t="s">
        <v>3052</v>
      </c>
      <c r="B1642" t="s">
        <v>3053</v>
      </c>
      <c r="E1642" s="1"/>
    </row>
    <row r="1643" spans="1:5">
      <c r="A1643" t="s">
        <v>3054</v>
      </c>
      <c r="B1643" t="s">
        <v>3055</v>
      </c>
      <c r="E1643" s="1"/>
    </row>
    <row r="1644" spans="1:5">
      <c r="B1644" t="s">
        <v>3056</v>
      </c>
      <c r="E1644" s="1"/>
    </row>
    <row r="1645" spans="1:5">
      <c r="A1645" t="s">
        <v>3057</v>
      </c>
      <c r="B1645" t="s">
        <v>3058</v>
      </c>
      <c r="E1645" s="1"/>
    </row>
    <row r="1646" spans="1:5">
      <c r="A1646" t="s">
        <v>3059</v>
      </c>
      <c r="B1646" t="s">
        <v>3060</v>
      </c>
      <c r="E1646" s="1"/>
    </row>
    <row r="1647" spans="1:5">
      <c r="A1647" t="s">
        <v>3061</v>
      </c>
      <c r="B1647" t="s">
        <v>3062</v>
      </c>
      <c r="E1647" s="1"/>
    </row>
    <row r="1648" spans="1:5">
      <c r="A1648" t="s">
        <v>3063</v>
      </c>
      <c r="B1648" t="s">
        <v>3064</v>
      </c>
      <c r="E1648" s="1"/>
    </row>
    <row r="1649" spans="1:5">
      <c r="A1649" t="s">
        <v>3065</v>
      </c>
      <c r="B1649" t="s">
        <v>3066</v>
      </c>
      <c r="E1649" s="1"/>
    </row>
    <row r="1650" spans="1:5">
      <c r="A1650" t="s">
        <v>3067</v>
      </c>
      <c r="B1650" t="s">
        <v>3068</v>
      </c>
      <c r="E1650" s="1"/>
    </row>
    <row r="1651" spans="1:5">
      <c r="A1651" t="s">
        <v>3069</v>
      </c>
      <c r="B1651" t="s">
        <v>3070</v>
      </c>
      <c r="E1651" s="1"/>
    </row>
    <row r="1652" spans="1:5">
      <c r="A1652" t="s">
        <v>3071</v>
      </c>
      <c r="B1652" t="s">
        <v>3072</v>
      </c>
      <c r="E1652" s="1"/>
    </row>
    <row r="1653" spans="1:5">
      <c r="A1653" t="s">
        <v>3073</v>
      </c>
      <c r="B1653" t="s">
        <v>3074</v>
      </c>
      <c r="E1653" s="1"/>
    </row>
    <row r="1654" spans="1:5">
      <c r="A1654" t="s">
        <v>3075</v>
      </c>
      <c r="B1654" t="s">
        <v>3076</v>
      </c>
      <c r="E1654" s="1"/>
    </row>
    <row r="1655" spans="1:5">
      <c r="A1655" t="s">
        <v>3077</v>
      </c>
      <c r="B1655" t="s">
        <v>3078</v>
      </c>
      <c r="E1655" s="1"/>
    </row>
    <row r="1656" spans="1:5">
      <c r="A1656" t="s">
        <v>3079</v>
      </c>
      <c r="B1656" t="s">
        <v>3080</v>
      </c>
      <c r="E1656" s="1"/>
    </row>
    <row r="1657" spans="1:5">
      <c r="A1657" t="s">
        <v>3081</v>
      </c>
      <c r="B1657" t="s">
        <v>3082</v>
      </c>
      <c r="E1657" s="1"/>
    </row>
    <row r="1658" spans="1:5">
      <c r="A1658" t="s">
        <v>3083</v>
      </c>
      <c r="B1658" t="s">
        <v>3084</v>
      </c>
      <c r="E1658" s="1"/>
    </row>
    <row r="1659" spans="1:5">
      <c r="A1659" t="s">
        <v>3085</v>
      </c>
      <c r="B1659" t="s">
        <v>3086</v>
      </c>
      <c r="E1659" s="1"/>
    </row>
    <row r="1660" spans="1:5">
      <c r="A1660" t="s">
        <v>3087</v>
      </c>
      <c r="B1660" t="s">
        <v>3088</v>
      </c>
      <c r="E1660" s="1"/>
    </row>
    <row r="1661" spans="1:5">
      <c r="A1661" t="s">
        <v>3089</v>
      </c>
      <c r="B1661" t="s">
        <v>3090</v>
      </c>
      <c r="E1661" s="1"/>
    </row>
    <row r="1662" spans="1:5">
      <c r="A1662" t="s">
        <v>3091</v>
      </c>
      <c r="B1662" t="s">
        <v>3092</v>
      </c>
      <c r="E1662" s="1"/>
    </row>
    <row r="1663" spans="1:5">
      <c r="A1663" t="s">
        <v>3093</v>
      </c>
      <c r="B1663" t="s">
        <v>3094</v>
      </c>
      <c r="E1663" s="1"/>
    </row>
    <row r="1664" spans="1:5">
      <c r="A1664" t="s">
        <v>3095</v>
      </c>
      <c r="B1664" t="s">
        <v>3096</v>
      </c>
      <c r="E1664" s="1"/>
    </row>
    <row r="1665" spans="1:6">
      <c r="A1665" t="s">
        <v>3097</v>
      </c>
      <c r="B1665" t="s">
        <v>3098</v>
      </c>
      <c r="E1665" s="1"/>
    </row>
    <row r="1666" spans="1:6">
      <c r="A1666" t="s">
        <v>3099</v>
      </c>
      <c r="B1666" t="s">
        <v>3100</v>
      </c>
      <c r="E1666" s="1"/>
    </row>
    <row r="1667" spans="1:6">
      <c r="A1667" t="s">
        <v>3101</v>
      </c>
      <c r="B1667" t="s">
        <v>3102</v>
      </c>
      <c r="E1667" s="1"/>
    </row>
    <row r="1668" spans="1:6">
      <c r="A1668" t="s">
        <v>3103</v>
      </c>
      <c r="B1668" t="s">
        <v>3104</v>
      </c>
      <c r="E1668" s="1"/>
    </row>
    <row r="1669" spans="1:6">
      <c r="A1669" t="s">
        <v>3105</v>
      </c>
      <c r="B1669" t="s">
        <v>3106</v>
      </c>
      <c r="E1669" s="1"/>
    </row>
    <row r="1670" spans="1:6">
      <c r="A1670" t="s">
        <v>3107</v>
      </c>
      <c r="B1670" t="s">
        <v>3108</v>
      </c>
      <c r="E1670" s="1"/>
    </row>
    <row r="1671" spans="1:6">
      <c r="A1671" t="s">
        <v>3109</v>
      </c>
      <c r="B1671" t="s">
        <v>3110</v>
      </c>
      <c r="C1671" s="1" t="s">
        <v>349</v>
      </c>
      <c r="D1671" s="1" t="s">
        <v>9745</v>
      </c>
      <c r="E1671" s="1" t="str">
        <f t="shared" si="142"/>
        <v>https://www.kegg.jp/dbget-bin/www_bget?ec:3.6.4.12</v>
      </c>
      <c r="F1671" t="s">
        <v>9650</v>
      </c>
    </row>
    <row r="1672" spans="1:6">
      <c r="A1672" t="s">
        <v>3111</v>
      </c>
      <c r="B1672" t="s">
        <v>3112</v>
      </c>
      <c r="E1672" s="1"/>
    </row>
    <row r="1673" spans="1:6">
      <c r="A1673" t="s">
        <v>3113</v>
      </c>
      <c r="B1673" t="s">
        <v>3114</v>
      </c>
      <c r="E1673" s="1"/>
    </row>
    <row r="1674" spans="1:6">
      <c r="A1674" t="s">
        <v>3115</v>
      </c>
      <c r="B1674" t="s">
        <v>3116</v>
      </c>
      <c r="E1674" s="1"/>
    </row>
    <row r="1675" spans="1:6">
      <c r="A1675" t="s">
        <v>3117</v>
      </c>
      <c r="B1675" t="s">
        <v>3118</v>
      </c>
      <c r="E1675" s="1"/>
    </row>
    <row r="1676" spans="1:6">
      <c r="A1676" t="s">
        <v>3119</v>
      </c>
      <c r="B1676" t="s">
        <v>3120</v>
      </c>
      <c r="E1676" s="1"/>
    </row>
    <row r="1677" spans="1:6">
      <c r="A1677" t="s">
        <v>3121</v>
      </c>
      <c r="B1677" t="s">
        <v>3122</v>
      </c>
      <c r="E1677" s="1"/>
    </row>
    <row r="1678" spans="1:6">
      <c r="A1678" t="s">
        <v>3123</v>
      </c>
      <c r="B1678" t="s">
        <v>3124</v>
      </c>
      <c r="E1678" s="1"/>
    </row>
    <row r="1679" spans="1:6">
      <c r="A1679" t="s">
        <v>3125</v>
      </c>
      <c r="B1679" t="s">
        <v>3126</v>
      </c>
      <c r="E1679" s="1"/>
    </row>
    <row r="1680" spans="1:6">
      <c r="A1680" t="s">
        <v>3127</v>
      </c>
      <c r="B1680" t="s">
        <v>3128</v>
      </c>
      <c r="E1680" s="1"/>
    </row>
    <row r="1681" spans="1:5">
      <c r="A1681" t="s">
        <v>3129</v>
      </c>
      <c r="B1681" t="s">
        <v>3130</v>
      </c>
      <c r="E1681" s="1"/>
    </row>
    <row r="1682" spans="1:5">
      <c r="A1682" t="s">
        <v>3131</v>
      </c>
      <c r="B1682" t="s">
        <v>3132</v>
      </c>
      <c r="E1682" s="1"/>
    </row>
    <row r="1683" spans="1:5">
      <c r="A1683" t="s">
        <v>3133</v>
      </c>
      <c r="B1683" t="s">
        <v>3134</v>
      </c>
      <c r="E1683" s="1"/>
    </row>
    <row r="1684" spans="1:5">
      <c r="A1684" t="s">
        <v>3135</v>
      </c>
      <c r="B1684" t="s">
        <v>3136</v>
      </c>
      <c r="E1684" s="1"/>
    </row>
    <row r="1685" spans="1:5">
      <c r="A1685" t="s">
        <v>3137</v>
      </c>
      <c r="B1685" t="s">
        <v>3138</v>
      </c>
      <c r="E1685" s="1"/>
    </row>
    <row r="1686" spans="1:5">
      <c r="A1686" t="s">
        <v>3139</v>
      </c>
      <c r="B1686" t="s">
        <v>3140</v>
      </c>
      <c r="E1686" s="1"/>
    </row>
    <row r="1687" spans="1:5">
      <c r="A1687" t="s">
        <v>3141</v>
      </c>
      <c r="B1687" t="s">
        <v>3142</v>
      </c>
      <c r="E1687" s="1"/>
    </row>
    <row r="1688" spans="1:5">
      <c r="A1688" t="s">
        <v>3143</v>
      </c>
      <c r="B1688" t="s">
        <v>3144</v>
      </c>
      <c r="E1688" s="1"/>
    </row>
    <row r="1689" spans="1:5">
      <c r="A1689" t="s">
        <v>3145</v>
      </c>
      <c r="B1689" t="s">
        <v>3146</v>
      </c>
      <c r="E1689" s="1"/>
    </row>
    <row r="1690" spans="1:5">
      <c r="A1690" t="s">
        <v>3147</v>
      </c>
      <c r="B1690" t="s">
        <v>3148</v>
      </c>
      <c r="E1690" s="1"/>
    </row>
    <row r="1691" spans="1:5">
      <c r="A1691" t="s">
        <v>3149</v>
      </c>
      <c r="B1691" t="s">
        <v>3150</v>
      </c>
      <c r="E1691" s="1"/>
    </row>
    <row r="1692" spans="1:5">
      <c r="B1692" t="s">
        <v>3151</v>
      </c>
      <c r="E1692" s="1"/>
    </row>
    <row r="1693" spans="1:5">
      <c r="A1693" t="s">
        <v>3152</v>
      </c>
      <c r="B1693" t="s">
        <v>3153</v>
      </c>
      <c r="E1693" s="1"/>
    </row>
    <row r="1694" spans="1:5">
      <c r="A1694" t="s">
        <v>3154</v>
      </c>
      <c r="B1694" t="s">
        <v>3155</v>
      </c>
      <c r="E1694" s="1"/>
    </row>
    <row r="1695" spans="1:5">
      <c r="A1695" t="s">
        <v>3156</v>
      </c>
      <c r="B1695" t="s">
        <v>3157</v>
      </c>
      <c r="E1695" s="1"/>
    </row>
    <row r="1696" spans="1:5">
      <c r="A1696" t="s">
        <v>3158</v>
      </c>
      <c r="B1696" t="s">
        <v>3159</v>
      </c>
      <c r="E1696" s="1"/>
    </row>
    <row r="1697" spans="1:5">
      <c r="A1697" t="s">
        <v>3160</v>
      </c>
      <c r="B1697" t="s">
        <v>3161</v>
      </c>
      <c r="E1697" s="1"/>
    </row>
    <row r="1698" spans="1:5">
      <c r="A1698" t="s">
        <v>3162</v>
      </c>
      <c r="B1698" t="s">
        <v>3163</v>
      </c>
      <c r="E1698" s="1"/>
    </row>
    <row r="1699" spans="1:5">
      <c r="A1699" t="s">
        <v>3164</v>
      </c>
      <c r="B1699" t="s">
        <v>3165</v>
      </c>
      <c r="E1699" s="1"/>
    </row>
    <row r="1700" spans="1:5">
      <c r="A1700" t="s">
        <v>3166</v>
      </c>
      <c r="B1700" t="s">
        <v>3167</v>
      </c>
      <c r="E1700" s="1"/>
    </row>
    <row r="1701" spans="1:5">
      <c r="A1701" t="s">
        <v>3168</v>
      </c>
      <c r="B1701" t="s">
        <v>3169</v>
      </c>
      <c r="E1701" s="1"/>
    </row>
    <row r="1702" spans="1:5">
      <c r="A1702" t="s">
        <v>3170</v>
      </c>
      <c r="B1702" t="s">
        <v>3171</v>
      </c>
      <c r="E1702" s="1"/>
    </row>
    <row r="1703" spans="1:5">
      <c r="A1703" t="s">
        <v>3172</v>
      </c>
      <c r="B1703" t="s">
        <v>3173</v>
      </c>
      <c r="E1703" s="1"/>
    </row>
    <row r="1704" spans="1:5">
      <c r="A1704" t="s">
        <v>3174</v>
      </c>
      <c r="B1704" t="s">
        <v>3175</v>
      </c>
      <c r="E1704" s="1"/>
    </row>
    <row r="1705" spans="1:5">
      <c r="A1705" t="s">
        <v>3176</v>
      </c>
      <c r="B1705" t="s">
        <v>3177</v>
      </c>
      <c r="E1705" s="1"/>
    </row>
    <row r="1706" spans="1:5">
      <c r="A1706" t="s">
        <v>3178</v>
      </c>
      <c r="B1706" t="s">
        <v>3179</v>
      </c>
      <c r="E1706" s="1"/>
    </row>
    <row r="1707" spans="1:5">
      <c r="B1707" t="s">
        <v>3180</v>
      </c>
      <c r="E1707" s="1"/>
    </row>
    <row r="1708" spans="1:5">
      <c r="A1708" t="s">
        <v>3181</v>
      </c>
      <c r="B1708" t="s">
        <v>3182</v>
      </c>
      <c r="E1708" s="1"/>
    </row>
    <row r="1709" spans="1:5">
      <c r="A1709" t="s">
        <v>3183</v>
      </c>
      <c r="B1709" t="s">
        <v>3184</v>
      </c>
      <c r="E1709" s="1"/>
    </row>
    <row r="1710" spans="1:5">
      <c r="A1710" t="s">
        <v>3185</v>
      </c>
      <c r="B1710" t="s">
        <v>3186</v>
      </c>
      <c r="E1710" s="1"/>
    </row>
    <row r="1711" spans="1:5">
      <c r="A1711" t="s">
        <v>3187</v>
      </c>
      <c r="B1711" t="s">
        <v>3188</v>
      </c>
      <c r="E1711" s="1"/>
    </row>
    <row r="1712" spans="1:5">
      <c r="A1712" t="s">
        <v>3189</v>
      </c>
      <c r="B1712" t="s">
        <v>3190</v>
      </c>
      <c r="E1712" s="1"/>
    </row>
    <row r="1713" spans="1:8">
      <c r="A1713" t="s">
        <v>3191</v>
      </c>
      <c r="B1713" t="s">
        <v>3192</v>
      </c>
      <c r="E1713" s="1"/>
    </row>
    <row r="1714" spans="1:8">
      <c r="A1714" t="s">
        <v>3193</v>
      </c>
      <c r="B1714" t="s">
        <v>3194</v>
      </c>
      <c r="E1714" s="1"/>
    </row>
    <row r="1715" spans="1:8">
      <c r="A1715" t="s">
        <v>3195</v>
      </c>
      <c r="B1715" t="s">
        <v>3196</v>
      </c>
      <c r="E1715" s="1"/>
    </row>
    <row r="1716" spans="1:8">
      <c r="B1716" t="s">
        <v>3197</v>
      </c>
      <c r="E1716" s="1"/>
    </row>
    <row r="1717" spans="1:8">
      <c r="A1717" t="s">
        <v>3198</v>
      </c>
      <c r="B1717" t="s">
        <v>3199</v>
      </c>
      <c r="E1717" s="1"/>
    </row>
    <row r="1718" spans="1:8">
      <c r="A1718" t="s">
        <v>3200</v>
      </c>
      <c r="B1718" t="s">
        <v>3201</v>
      </c>
      <c r="E1718" s="1"/>
    </row>
    <row r="1719" spans="1:8">
      <c r="A1719" t="s">
        <v>3202</v>
      </c>
      <c r="B1719" t="s">
        <v>3203</v>
      </c>
      <c r="E1719" s="1"/>
    </row>
    <row r="1720" spans="1:8">
      <c r="A1720" t="s">
        <v>3204</v>
      </c>
      <c r="B1720" t="s">
        <v>3205</v>
      </c>
      <c r="C1720" s="1" t="s">
        <v>3206</v>
      </c>
      <c r="D1720" s="1"/>
      <c r="E1720" s="1" t="str">
        <f t="shared" ref="E1720:E1726" si="143">HYPERLINK("https://www.kegg.jp/dbget-bin/www_bget?ec:" &amp; C1720, "https://www.kegg.jp/dbget-bin/www_bget?ec:" &amp; C1720)</f>
        <v>https://www.kegg.jp/dbget-bin/www_bget?ec:3.5.4.2</v>
      </c>
      <c r="F1720" s="1" t="s">
        <v>9803</v>
      </c>
      <c r="G1720" s="10" t="s">
        <v>10813</v>
      </c>
      <c r="H1720" s="13" t="s">
        <v>10814</v>
      </c>
    </row>
    <row r="1721" spans="1:8">
      <c r="A1721" t="s">
        <v>3207</v>
      </c>
      <c r="B1721" t="s">
        <v>3208</v>
      </c>
      <c r="E1721" s="1"/>
    </row>
    <row r="1722" spans="1:8">
      <c r="A1722" t="s">
        <v>3209</v>
      </c>
      <c r="B1722" t="s">
        <v>3210</v>
      </c>
      <c r="C1722" s="1" t="s">
        <v>3211</v>
      </c>
      <c r="D1722" s="1"/>
      <c r="E1722" s="1" t="str">
        <f t="shared" si="143"/>
        <v>https://www.kegg.jp/dbget-bin/www_bget?ec:3.1.1.96</v>
      </c>
      <c r="F1722" t="s">
        <v>9650</v>
      </c>
    </row>
    <row r="1723" spans="1:8">
      <c r="A1723" t="s">
        <v>3212</v>
      </c>
      <c r="B1723" t="s">
        <v>3213</v>
      </c>
      <c r="E1723" s="1"/>
    </row>
    <row r="1724" spans="1:8">
      <c r="A1724" t="s">
        <v>3214</v>
      </c>
      <c r="B1724" t="s">
        <v>3215</v>
      </c>
      <c r="C1724" s="1" t="s">
        <v>3216</v>
      </c>
      <c r="D1724" s="1"/>
      <c r="E1724" s="1" t="str">
        <f t="shared" si="143"/>
        <v>https://www.kegg.jp/dbget-bin/www_bget?ec:4.1.2.4</v>
      </c>
      <c r="F1724" s="1" t="s">
        <v>9806</v>
      </c>
      <c r="G1724" s="10" t="s">
        <v>9807</v>
      </c>
      <c r="H1724" s="13" t="s">
        <v>10815</v>
      </c>
    </row>
    <row r="1725" spans="1:8">
      <c r="A1725" t="s">
        <v>3217</v>
      </c>
      <c r="B1725" t="s">
        <v>3218</v>
      </c>
      <c r="E1725" s="1"/>
    </row>
    <row r="1726" spans="1:8">
      <c r="A1726" t="s">
        <v>3219</v>
      </c>
      <c r="B1726" t="s">
        <v>3220</v>
      </c>
      <c r="C1726" s="1" t="s">
        <v>298</v>
      </c>
      <c r="D1726" s="1"/>
      <c r="E1726" s="1" t="str">
        <f t="shared" si="143"/>
        <v>https://www.kegg.jp/dbget-bin/www_bget?ec:2.7.7.7</v>
      </c>
      <c r="F1726" s="1" t="s">
        <v>9321</v>
      </c>
      <c r="G1726" s="10" t="s">
        <v>10816</v>
      </c>
      <c r="H1726" s="13" t="s">
        <v>9322</v>
      </c>
    </row>
    <row r="1727" spans="1:8">
      <c r="A1727" t="s">
        <v>3219</v>
      </c>
      <c r="B1727" t="s">
        <v>3220</v>
      </c>
      <c r="C1727" s="1" t="s">
        <v>298</v>
      </c>
      <c r="D1727" s="1"/>
      <c r="E1727" s="1" t="str">
        <f t="shared" ref="E1727:E1731" si="144">HYPERLINK("https://www.kegg.jp/dbget-bin/www_bget?ec:" &amp; C1727, "https://www.kegg.jp/dbget-bin/www_bget?ec:" &amp; C1727)</f>
        <v>https://www.kegg.jp/dbget-bin/www_bget?ec:2.7.7.7</v>
      </c>
      <c r="F1727" t="s">
        <v>9809</v>
      </c>
      <c r="G1727" s="10" t="s">
        <v>9514</v>
      </c>
      <c r="H1727" s="13" t="s">
        <v>10657</v>
      </c>
    </row>
    <row r="1728" spans="1:8">
      <c r="A1728" t="s">
        <v>3219</v>
      </c>
      <c r="B1728" t="s">
        <v>3220</v>
      </c>
      <c r="C1728" s="1" t="s">
        <v>298</v>
      </c>
      <c r="D1728" s="1"/>
      <c r="E1728" s="1" t="str">
        <f t="shared" si="144"/>
        <v>https://www.kegg.jp/dbget-bin/www_bget?ec:2.7.7.7</v>
      </c>
      <c r="F1728" t="s">
        <v>9810</v>
      </c>
      <c r="G1728" s="10" t="s">
        <v>9516</v>
      </c>
      <c r="H1728" s="13" t="s">
        <v>10657</v>
      </c>
    </row>
    <row r="1729" spans="1:8">
      <c r="A1729" t="s">
        <v>3219</v>
      </c>
      <c r="B1729" t="s">
        <v>3220</v>
      </c>
      <c r="C1729" s="1" t="s">
        <v>298</v>
      </c>
      <c r="D1729" s="1"/>
      <c r="E1729" s="1" t="str">
        <f t="shared" si="144"/>
        <v>https://www.kegg.jp/dbget-bin/www_bget?ec:2.7.7.7</v>
      </c>
      <c r="F1729" t="s">
        <v>9811</v>
      </c>
      <c r="G1729" s="10" t="s">
        <v>9517</v>
      </c>
      <c r="H1729" s="13" t="s">
        <v>9515</v>
      </c>
    </row>
    <row r="1730" spans="1:8">
      <c r="A1730" t="s">
        <v>3219</v>
      </c>
      <c r="B1730" t="s">
        <v>3220</v>
      </c>
      <c r="C1730" s="1" t="s">
        <v>298</v>
      </c>
      <c r="D1730" s="1"/>
      <c r="E1730" s="1" t="str">
        <f t="shared" si="144"/>
        <v>https://www.kegg.jp/dbget-bin/www_bget?ec:2.7.7.7</v>
      </c>
      <c r="F1730" t="s">
        <v>9812</v>
      </c>
      <c r="G1730" s="10" t="s">
        <v>10818</v>
      </c>
      <c r="H1730" s="13" t="s">
        <v>10657</v>
      </c>
    </row>
    <row r="1731" spans="1:8">
      <c r="A1731" t="s">
        <v>3219</v>
      </c>
      <c r="B1731" t="s">
        <v>3220</v>
      </c>
      <c r="C1731" s="1" t="s">
        <v>298</v>
      </c>
      <c r="D1731" s="1"/>
      <c r="E1731" s="1" t="str">
        <f t="shared" si="144"/>
        <v>https://www.kegg.jp/dbget-bin/www_bget?ec:2.7.7.7</v>
      </c>
      <c r="F1731" t="s">
        <v>9813</v>
      </c>
      <c r="G1731" s="10" t="s">
        <v>9820</v>
      </c>
      <c r="H1731" s="13" t="s">
        <v>9821</v>
      </c>
    </row>
    <row r="1732" spans="1:8">
      <c r="A1732" t="s">
        <v>3221</v>
      </c>
      <c r="B1732" t="s">
        <v>3222</v>
      </c>
      <c r="E1732" s="1"/>
    </row>
    <row r="1733" spans="1:8">
      <c r="A1733" t="s">
        <v>3223</v>
      </c>
      <c r="B1733" t="s">
        <v>3224</v>
      </c>
      <c r="E1733" s="1"/>
    </row>
    <row r="1734" spans="1:8">
      <c r="A1734" t="s">
        <v>3225</v>
      </c>
      <c r="B1734" t="s">
        <v>3226</v>
      </c>
      <c r="E1734" s="1"/>
    </row>
    <row r="1735" spans="1:8">
      <c r="A1735" t="s">
        <v>3227</v>
      </c>
      <c r="B1735" t="s">
        <v>3228</v>
      </c>
      <c r="E1735" s="1"/>
    </row>
    <row r="1736" spans="1:8">
      <c r="A1736" t="s">
        <v>3229</v>
      </c>
      <c r="B1736" t="s">
        <v>3230</v>
      </c>
      <c r="E1736" s="1"/>
    </row>
    <row r="1737" spans="1:8">
      <c r="B1737" t="s">
        <v>3231</v>
      </c>
      <c r="E1737" s="1"/>
    </row>
    <row r="1738" spans="1:8">
      <c r="A1738" t="s">
        <v>3232</v>
      </c>
      <c r="B1738" t="s">
        <v>3233</v>
      </c>
      <c r="E1738" s="1"/>
    </row>
    <row r="1739" spans="1:8">
      <c r="A1739" t="s">
        <v>3234</v>
      </c>
      <c r="B1739" t="s">
        <v>3235</v>
      </c>
      <c r="E1739" s="1"/>
    </row>
    <row r="1740" spans="1:8">
      <c r="A1740" t="s">
        <v>3236</v>
      </c>
      <c r="B1740" t="s">
        <v>3237</v>
      </c>
      <c r="E1740" s="1"/>
    </row>
    <row r="1741" spans="1:8">
      <c r="A1741" t="s">
        <v>3238</v>
      </c>
      <c r="B1741" t="s">
        <v>3239</v>
      </c>
      <c r="E1741" s="1"/>
    </row>
    <row r="1742" spans="1:8">
      <c r="A1742" t="s">
        <v>3240</v>
      </c>
      <c r="B1742" t="s">
        <v>3241</v>
      </c>
      <c r="E1742" s="1"/>
    </row>
    <row r="1743" spans="1:8">
      <c r="A1743" t="s">
        <v>3242</v>
      </c>
      <c r="B1743" t="s">
        <v>3243</v>
      </c>
      <c r="E1743" s="1"/>
    </row>
    <row r="1744" spans="1:8">
      <c r="A1744" t="s">
        <v>3244</v>
      </c>
      <c r="B1744" t="s">
        <v>3245</v>
      </c>
      <c r="E1744" s="1"/>
    </row>
    <row r="1745" spans="1:8">
      <c r="A1745" t="s">
        <v>3246</v>
      </c>
      <c r="B1745" t="s">
        <v>3247</v>
      </c>
      <c r="E1745" s="1"/>
    </row>
    <row r="1746" spans="1:8">
      <c r="A1746" t="s">
        <v>3248</v>
      </c>
      <c r="B1746" t="s">
        <v>3249</v>
      </c>
      <c r="E1746" s="1"/>
    </row>
    <row r="1747" spans="1:8">
      <c r="A1747" t="s">
        <v>3250</v>
      </c>
      <c r="B1747" t="s">
        <v>3251</v>
      </c>
      <c r="C1747" s="1" t="s">
        <v>3252</v>
      </c>
      <c r="D1747" s="1"/>
      <c r="E1747" s="1" t="str">
        <f t="shared" ref="E1747" si="145">HYPERLINK("https://www.kegg.jp/dbget-bin/www_bget?ec:" &amp; C1747, "https://www.kegg.jp/dbget-bin/www_bget?ec:" &amp; C1747)</f>
        <v>https://www.kegg.jp/dbget-bin/www_bget?ec:2.1.1.37</v>
      </c>
      <c r="F1747" s="1" t="s">
        <v>9822</v>
      </c>
      <c r="G1747" s="21" t="s">
        <v>10819</v>
      </c>
      <c r="H1747" s="13" t="s">
        <v>10820</v>
      </c>
    </row>
    <row r="1748" spans="1:8">
      <c r="A1748" t="s">
        <v>3250</v>
      </c>
      <c r="B1748" t="s">
        <v>3251</v>
      </c>
      <c r="C1748" s="1" t="s">
        <v>3252</v>
      </c>
      <c r="D1748" s="1"/>
      <c r="E1748" s="1" t="str">
        <f t="shared" ref="E1748:E1787" si="146">HYPERLINK("https://www.kegg.jp/dbget-bin/www_bget?ec:" &amp; C1748, "https://www.kegg.jp/dbget-bin/www_bget?ec:" &amp; C1748)</f>
        <v>https://www.kegg.jp/dbget-bin/www_bget?ec:2.1.1.37</v>
      </c>
      <c r="F1748" s="1" t="s">
        <v>9822</v>
      </c>
      <c r="G1748" s="21" t="s">
        <v>10821</v>
      </c>
      <c r="H1748" s="13" t="s">
        <v>10822</v>
      </c>
    </row>
    <row r="1749" spans="1:8">
      <c r="A1749" t="s">
        <v>3253</v>
      </c>
      <c r="B1749" t="s">
        <v>3254</v>
      </c>
      <c r="E1749" s="1"/>
    </row>
    <row r="1750" spans="1:8">
      <c r="A1750" t="s">
        <v>3255</v>
      </c>
      <c r="B1750" t="s">
        <v>3256</v>
      </c>
      <c r="E1750" s="1"/>
    </row>
    <row r="1751" spans="1:8">
      <c r="A1751" t="s">
        <v>3257</v>
      </c>
      <c r="B1751" t="s">
        <v>3258</v>
      </c>
      <c r="E1751" s="1"/>
    </row>
    <row r="1752" spans="1:8">
      <c r="B1752" t="s">
        <v>3259</v>
      </c>
      <c r="E1752" s="1"/>
    </row>
    <row r="1753" spans="1:8">
      <c r="A1753" t="s">
        <v>3260</v>
      </c>
      <c r="B1753" t="s">
        <v>3261</v>
      </c>
      <c r="E1753" s="1"/>
    </row>
    <row r="1754" spans="1:8">
      <c r="B1754" t="s">
        <v>3262</v>
      </c>
      <c r="E1754" s="1"/>
    </row>
    <row r="1755" spans="1:8">
      <c r="A1755" t="s">
        <v>3263</v>
      </c>
      <c r="B1755" t="s">
        <v>3264</v>
      </c>
      <c r="E1755" s="1"/>
    </row>
    <row r="1756" spans="1:8">
      <c r="A1756" t="s">
        <v>3265</v>
      </c>
      <c r="B1756" t="s">
        <v>3266</v>
      </c>
      <c r="E1756" s="1"/>
    </row>
    <row r="1757" spans="1:8">
      <c r="A1757" t="s">
        <v>3267</v>
      </c>
      <c r="B1757" t="s">
        <v>3268</v>
      </c>
      <c r="C1757" s="1" t="s">
        <v>3269</v>
      </c>
      <c r="D1757" s="1"/>
      <c r="E1757" s="1" t="str">
        <f t="shared" si="146"/>
        <v>https://www.kegg.jp/dbget-bin/www_bget?ec:6.1.1.4</v>
      </c>
      <c r="F1757" t="s">
        <v>9827</v>
      </c>
      <c r="G1757" s="10" t="s">
        <v>10823</v>
      </c>
      <c r="H1757" s="13" t="s">
        <v>10824</v>
      </c>
    </row>
    <row r="1758" spans="1:8">
      <c r="A1758" t="s">
        <v>3270</v>
      </c>
      <c r="B1758" t="s">
        <v>3271</v>
      </c>
      <c r="E1758" s="1"/>
    </row>
    <row r="1759" spans="1:8">
      <c r="A1759" t="s">
        <v>3272</v>
      </c>
      <c r="B1759" t="s">
        <v>3273</v>
      </c>
      <c r="E1759" s="1"/>
    </row>
    <row r="1760" spans="1:8">
      <c r="A1760" t="s">
        <v>3274</v>
      </c>
      <c r="B1760" t="s">
        <v>3275</v>
      </c>
      <c r="E1760" s="1"/>
    </row>
    <row r="1761" spans="1:5">
      <c r="A1761" t="s">
        <v>3276</v>
      </c>
      <c r="B1761" t="s">
        <v>3277</v>
      </c>
      <c r="E1761" s="1"/>
    </row>
    <row r="1762" spans="1:5">
      <c r="A1762" t="s">
        <v>3278</v>
      </c>
      <c r="B1762" t="s">
        <v>3279</v>
      </c>
      <c r="E1762" s="1"/>
    </row>
    <row r="1763" spans="1:5">
      <c r="A1763" t="s">
        <v>3280</v>
      </c>
      <c r="B1763" t="s">
        <v>3281</v>
      </c>
      <c r="E1763" s="1"/>
    </row>
    <row r="1764" spans="1:5">
      <c r="A1764" t="s">
        <v>3282</v>
      </c>
      <c r="B1764" t="s">
        <v>3283</v>
      </c>
      <c r="E1764" s="1"/>
    </row>
    <row r="1765" spans="1:5">
      <c r="A1765" t="s">
        <v>3284</v>
      </c>
      <c r="B1765" t="s">
        <v>3285</v>
      </c>
      <c r="E1765" s="1"/>
    </row>
    <row r="1766" spans="1:5">
      <c r="A1766" t="s">
        <v>3286</v>
      </c>
      <c r="B1766" t="s">
        <v>3287</v>
      </c>
      <c r="E1766" s="1"/>
    </row>
    <row r="1767" spans="1:5">
      <c r="A1767" t="s">
        <v>3288</v>
      </c>
      <c r="B1767" t="s">
        <v>3289</v>
      </c>
      <c r="E1767" s="1"/>
    </row>
    <row r="1768" spans="1:5">
      <c r="A1768" t="s">
        <v>3290</v>
      </c>
      <c r="B1768" t="s">
        <v>3291</v>
      </c>
      <c r="E1768" s="1"/>
    </row>
    <row r="1769" spans="1:5">
      <c r="A1769" t="s">
        <v>3292</v>
      </c>
      <c r="B1769" t="s">
        <v>3293</v>
      </c>
      <c r="E1769" s="1"/>
    </row>
    <row r="1770" spans="1:5">
      <c r="A1770" t="s">
        <v>3294</v>
      </c>
      <c r="B1770" t="s">
        <v>3295</v>
      </c>
      <c r="E1770" s="1"/>
    </row>
    <row r="1771" spans="1:5">
      <c r="A1771" t="s">
        <v>3296</v>
      </c>
      <c r="B1771" t="s">
        <v>3297</v>
      </c>
      <c r="E1771" s="1"/>
    </row>
    <row r="1772" spans="1:5">
      <c r="A1772" t="s">
        <v>3298</v>
      </c>
      <c r="B1772" t="s">
        <v>3299</v>
      </c>
      <c r="E1772" s="1"/>
    </row>
    <row r="1773" spans="1:5">
      <c r="A1773" t="s">
        <v>3300</v>
      </c>
      <c r="B1773" t="s">
        <v>3301</v>
      </c>
      <c r="E1773" s="1"/>
    </row>
    <row r="1774" spans="1:5">
      <c r="A1774" t="s">
        <v>3302</v>
      </c>
      <c r="B1774" t="s">
        <v>3303</v>
      </c>
      <c r="E1774" s="1"/>
    </row>
    <row r="1775" spans="1:5">
      <c r="A1775" t="s">
        <v>3304</v>
      </c>
      <c r="B1775" t="s">
        <v>3305</v>
      </c>
      <c r="E1775" s="1"/>
    </row>
    <row r="1776" spans="1:5">
      <c r="B1776" t="s">
        <v>3306</v>
      </c>
      <c r="E1776" s="1"/>
    </row>
    <row r="1777" spans="1:8">
      <c r="A1777" t="s">
        <v>3307</v>
      </c>
      <c r="B1777" t="s">
        <v>3308</v>
      </c>
      <c r="E1777" s="1"/>
    </row>
    <row r="1778" spans="1:8">
      <c r="A1778" t="s">
        <v>3309</v>
      </c>
      <c r="B1778" t="s">
        <v>3310</v>
      </c>
      <c r="E1778" s="1"/>
    </row>
    <row r="1779" spans="1:8">
      <c r="B1779" t="s">
        <v>3311</v>
      </c>
      <c r="E1779" s="1"/>
    </row>
    <row r="1780" spans="1:8">
      <c r="A1780" t="s">
        <v>3312</v>
      </c>
      <c r="B1780" t="s">
        <v>3313</v>
      </c>
      <c r="E1780" s="1"/>
    </row>
    <row r="1781" spans="1:8">
      <c r="A1781" t="s">
        <v>3314</v>
      </c>
      <c r="B1781" t="s">
        <v>3315</v>
      </c>
      <c r="E1781" s="1"/>
    </row>
    <row r="1782" spans="1:8">
      <c r="A1782" t="s">
        <v>3316</v>
      </c>
      <c r="B1782" t="s">
        <v>3317</v>
      </c>
      <c r="E1782" s="1"/>
    </row>
    <row r="1783" spans="1:8">
      <c r="A1783" t="s">
        <v>3318</v>
      </c>
      <c r="B1783" t="s">
        <v>3319</v>
      </c>
      <c r="E1783" s="1"/>
    </row>
    <row r="1784" spans="1:8">
      <c r="A1784" t="s">
        <v>3320</v>
      </c>
      <c r="B1784" t="s">
        <v>3321</v>
      </c>
      <c r="E1784" s="1"/>
    </row>
    <row r="1785" spans="1:8">
      <c r="A1785" t="s">
        <v>3322</v>
      </c>
      <c r="B1785" t="s">
        <v>3323</v>
      </c>
      <c r="E1785" s="1"/>
    </row>
    <row r="1786" spans="1:8">
      <c r="A1786" t="s">
        <v>3324</v>
      </c>
      <c r="B1786" t="s">
        <v>3325</v>
      </c>
      <c r="C1786" s="1" t="s">
        <v>3326</v>
      </c>
      <c r="D1786" s="1"/>
      <c r="E1786" s="1" t="str">
        <f t="shared" ref="E1786" si="147">HYPERLINK("https://www.kegg.jp/dbget-bin/www_bget?ec:" &amp; C1786, "https://www.kegg.jp/dbget-bin/www_bget?ec:" &amp; C1786)</f>
        <v>https://www.kegg.jp/dbget-bin/www_bget?ec:1.4.3.16</v>
      </c>
      <c r="F1786" s="1" t="s">
        <v>9830</v>
      </c>
      <c r="G1786" s="10" t="s">
        <v>10825</v>
      </c>
      <c r="H1786" s="13" t="s">
        <v>10826</v>
      </c>
    </row>
    <row r="1787" spans="1:8">
      <c r="A1787" t="s">
        <v>3324</v>
      </c>
      <c r="B1787" t="s">
        <v>3325</v>
      </c>
      <c r="C1787" s="1" t="s">
        <v>3326</v>
      </c>
      <c r="D1787" s="1"/>
      <c r="E1787" s="1" t="str">
        <f t="shared" si="146"/>
        <v>https://www.kegg.jp/dbget-bin/www_bget?ec:1.4.3.16</v>
      </c>
      <c r="F1787" t="s">
        <v>9830</v>
      </c>
      <c r="G1787" s="10" t="s">
        <v>10827</v>
      </c>
      <c r="H1787" s="13" t="s">
        <v>10828</v>
      </c>
    </row>
    <row r="1788" spans="1:8">
      <c r="A1788" t="s">
        <v>3327</v>
      </c>
      <c r="B1788" t="s">
        <v>3328</v>
      </c>
      <c r="E1788" s="1"/>
    </row>
    <row r="1789" spans="1:8">
      <c r="A1789" t="s">
        <v>3329</v>
      </c>
      <c r="B1789" t="s">
        <v>3330</v>
      </c>
      <c r="E1789" s="1"/>
    </row>
    <row r="1790" spans="1:8">
      <c r="A1790" t="s">
        <v>3331</v>
      </c>
      <c r="B1790" t="s">
        <v>3332</v>
      </c>
      <c r="E1790" s="1"/>
    </row>
    <row r="1791" spans="1:8">
      <c r="A1791" t="s">
        <v>3333</v>
      </c>
      <c r="B1791" t="s">
        <v>3334</v>
      </c>
      <c r="E1791" s="1"/>
    </row>
    <row r="1792" spans="1:8">
      <c r="A1792" t="s">
        <v>3335</v>
      </c>
      <c r="B1792" t="s">
        <v>3336</v>
      </c>
      <c r="E1792" s="1"/>
    </row>
    <row r="1793" spans="1:5">
      <c r="A1793" t="s">
        <v>3337</v>
      </c>
      <c r="B1793" t="s">
        <v>3338</v>
      </c>
      <c r="E1793" s="1"/>
    </row>
    <row r="1794" spans="1:5">
      <c r="A1794" t="s">
        <v>3339</v>
      </c>
      <c r="B1794" t="s">
        <v>3340</v>
      </c>
      <c r="E1794" s="1"/>
    </row>
    <row r="1795" spans="1:5">
      <c r="A1795" t="s">
        <v>3341</v>
      </c>
      <c r="B1795" t="s">
        <v>3342</v>
      </c>
      <c r="E1795" s="1"/>
    </row>
    <row r="1796" spans="1:5">
      <c r="A1796" t="s">
        <v>3343</v>
      </c>
      <c r="B1796" t="s">
        <v>3344</v>
      </c>
      <c r="E1796" s="1"/>
    </row>
    <row r="1797" spans="1:5">
      <c r="A1797" t="s">
        <v>3345</v>
      </c>
      <c r="B1797" t="s">
        <v>3346</v>
      </c>
      <c r="E1797" s="1"/>
    </row>
    <row r="1798" spans="1:5">
      <c r="A1798" t="s">
        <v>3347</v>
      </c>
      <c r="B1798" t="s">
        <v>3348</v>
      </c>
      <c r="E1798" s="1"/>
    </row>
    <row r="1799" spans="1:5">
      <c r="B1799" t="s">
        <v>3349</v>
      </c>
      <c r="E1799" s="1"/>
    </row>
    <row r="1800" spans="1:5">
      <c r="A1800" t="s">
        <v>3350</v>
      </c>
      <c r="B1800" t="s">
        <v>3351</v>
      </c>
      <c r="E1800" s="1"/>
    </row>
    <row r="1801" spans="1:5">
      <c r="A1801" t="s">
        <v>3352</v>
      </c>
      <c r="B1801" t="s">
        <v>3353</v>
      </c>
      <c r="E1801" s="1"/>
    </row>
    <row r="1802" spans="1:5">
      <c r="A1802" t="s">
        <v>3354</v>
      </c>
      <c r="B1802" t="s">
        <v>3355</v>
      </c>
      <c r="E1802" s="1"/>
    </row>
    <row r="1803" spans="1:5">
      <c r="A1803" t="s">
        <v>3356</v>
      </c>
      <c r="B1803" t="s">
        <v>3357</v>
      </c>
      <c r="E1803" s="1"/>
    </row>
    <row r="1804" spans="1:5">
      <c r="A1804" t="s">
        <v>3358</v>
      </c>
      <c r="B1804" t="s">
        <v>3359</v>
      </c>
      <c r="E1804" s="1"/>
    </row>
    <row r="1805" spans="1:5">
      <c r="B1805" t="s">
        <v>3360</v>
      </c>
      <c r="E1805" s="1"/>
    </row>
    <row r="1806" spans="1:5">
      <c r="A1806" t="s">
        <v>3361</v>
      </c>
      <c r="B1806" t="s">
        <v>3362</v>
      </c>
      <c r="E1806" s="1"/>
    </row>
    <row r="1807" spans="1:5">
      <c r="B1807" t="s">
        <v>3363</v>
      </c>
      <c r="E1807" s="1"/>
    </row>
    <row r="1808" spans="1:5">
      <c r="B1808" t="s">
        <v>3364</v>
      </c>
      <c r="E1808" s="1"/>
    </row>
    <row r="1809" spans="1:8">
      <c r="B1809" t="s">
        <v>3365</v>
      </c>
      <c r="E1809" s="1"/>
    </row>
    <row r="1810" spans="1:8">
      <c r="A1810" t="s">
        <v>3366</v>
      </c>
      <c r="B1810" t="s">
        <v>3367</v>
      </c>
      <c r="E1810" s="1"/>
    </row>
    <row r="1811" spans="1:8">
      <c r="A1811" t="s">
        <v>3368</v>
      </c>
      <c r="B1811" t="s">
        <v>3369</v>
      </c>
      <c r="E1811" s="1"/>
    </row>
    <row r="1812" spans="1:8">
      <c r="A1812" t="s">
        <v>3370</v>
      </c>
      <c r="B1812" t="s">
        <v>3371</v>
      </c>
      <c r="E1812" s="1"/>
    </row>
    <row r="1813" spans="1:8">
      <c r="A1813" t="s">
        <v>3372</v>
      </c>
      <c r="B1813" t="s">
        <v>3373</v>
      </c>
      <c r="E1813" s="1"/>
    </row>
    <row r="1814" spans="1:8">
      <c r="A1814" t="s">
        <v>3374</v>
      </c>
      <c r="B1814" t="s">
        <v>3375</v>
      </c>
      <c r="C1814" s="1" t="s">
        <v>309</v>
      </c>
      <c r="D1814" s="1"/>
      <c r="E1814" s="1" t="str">
        <f t="shared" ref="E1814:E1908" si="148">HYPERLINK("https://www.kegg.jp/dbget-bin/www_bget?ec:" &amp; C1814, "https://www.kegg.jp/dbget-bin/www_bget?ec:" &amp; C1814)</f>
        <v>https://www.kegg.jp/dbget-bin/www_bget?ec:1.8.1.4</v>
      </c>
      <c r="F1814" t="s">
        <v>9323</v>
      </c>
      <c r="G1814" s="10" t="s">
        <v>9324</v>
      </c>
      <c r="H1814" s="13" t="s">
        <v>10829</v>
      </c>
    </row>
    <row r="1815" spans="1:8">
      <c r="A1815" t="s">
        <v>3374</v>
      </c>
      <c r="B1815" t="s">
        <v>3375</v>
      </c>
      <c r="C1815" s="1" t="s">
        <v>309</v>
      </c>
      <c r="D1815" s="1"/>
      <c r="E1815" s="1" t="str">
        <f t="shared" ref="E1815:E1817" si="149">HYPERLINK("https://www.kegg.jp/dbget-bin/www_bget?ec:" &amp; C1815, "https://www.kegg.jp/dbget-bin/www_bget?ec:" &amp; C1815)</f>
        <v>https://www.kegg.jp/dbget-bin/www_bget?ec:1.8.1.4</v>
      </c>
      <c r="F1815" t="s">
        <v>9323</v>
      </c>
      <c r="G1815" s="10" t="s">
        <v>10830</v>
      </c>
      <c r="H1815" s="13" t="s">
        <v>10831</v>
      </c>
    </row>
    <row r="1816" spans="1:8">
      <c r="A1816" t="s">
        <v>3374</v>
      </c>
      <c r="B1816" t="s">
        <v>3375</v>
      </c>
      <c r="C1816" s="1" t="s">
        <v>309</v>
      </c>
      <c r="D1816" s="1"/>
      <c r="E1816" s="1" t="str">
        <f t="shared" si="149"/>
        <v>https://www.kegg.jp/dbget-bin/www_bget?ec:1.8.1.4</v>
      </c>
      <c r="F1816" t="s">
        <v>9323</v>
      </c>
      <c r="G1816" s="10" t="s">
        <v>10832</v>
      </c>
      <c r="H1816" s="13" t="s">
        <v>10833</v>
      </c>
    </row>
    <row r="1817" spans="1:8">
      <c r="A1817" t="s">
        <v>3374</v>
      </c>
      <c r="B1817" t="s">
        <v>3375</v>
      </c>
      <c r="C1817" s="1" t="s">
        <v>309</v>
      </c>
      <c r="D1817" s="1"/>
      <c r="E1817" s="1" t="str">
        <f t="shared" si="149"/>
        <v>https://www.kegg.jp/dbget-bin/www_bget?ec:1.8.1.4</v>
      </c>
      <c r="F1817" t="s">
        <v>9323</v>
      </c>
      <c r="G1817" s="10" t="s">
        <v>10834</v>
      </c>
      <c r="H1817" s="13" t="s">
        <v>10835</v>
      </c>
    </row>
    <row r="1818" spans="1:8">
      <c r="A1818" t="s">
        <v>3376</v>
      </c>
      <c r="B1818" t="s">
        <v>3377</v>
      </c>
      <c r="E1818" s="1"/>
    </row>
    <row r="1819" spans="1:8">
      <c r="A1819" t="s">
        <v>3378</v>
      </c>
      <c r="B1819" t="s">
        <v>3379</v>
      </c>
      <c r="E1819" s="1"/>
    </row>
    <row r="1820" spans="1:8">
      <c r="A1820" t="s">
        <v>3380</v>
      </c>
      <c r="B1820" t="s">
        <v>3381</v>
      </c>
      <c r="C1820" s="1" t="s">
        <v>3382</v>
      </c>
      <c r="D1820" s="1"/>
      <c r="E1820" s="1" t="str">
        <f t="shared" si="148"/>
        <v>https://www.kegg.jp/dbget-bin/www_bget?ec:3.1.26.5</v>
      </c>
      <c r="F1820" t="s">
        <v>9650</v>
      </c>
    </row>
    <row r="1821" spans="1:8">
      <c r="A1821" t="s">
        <v>3383</v>
      </c>
      <c r="B1821" t="s">
        <v>3384</v>
      </c>
      <c r="E1821" s="1"/>
    </row>
    <row r="1822" spans="1:8">
      <c r="A1822" t="s">
        <v>3385</v>
      </c>
      <c r="B1822" t="s">
        <v>3386</v>
      </c>
      <c r="E1822" s="1"/>
    </row>
    <row r="1823" spans="1:8">
      <c r="A1823" t="s">
        <v>3387</v>
      </c>
      <c r="B1823" t="s">
        <v>3388</v>
      </c>
      <c r="C1823" s="1" t="s">
        <v>3389</v>
      </c>
      <c r="D1823" s="1"/>
      <c r="E1823" s="1" t="str">
        <f t="shared" si="148"/>
        <v>https://www.kegg.jp/dbget-bin/www_bget?ec:6.1.1.1</v>
      </c>
      <c r="F1823" t="s">
        <v>9844</v>
      </c>
      <c r="G1823" s="10" t="s">
        <v>10836</v>
      </c>
      <c r="H1823" s="13" t="s">
        <v>10837</v>
      </c>
    </row>
    <row r="1824" spans="1:8">
      <c r="B1824" t="s">
        <v>3390</v>
      </c>
      <c r="E1824" s="1"/>
    </row>
    <row r="1825" spans="1:8">
      <c r="A1825" t="s">
        <v>3391</v>
      </c>
      <c r="B1825" t="s">
        <v>3392</v>
      </c>
      <c r="E1825" s="1"/>
    </row>
    <row r="1826" spans="1:8">
      <c r="A1826" t="s">
        <v>3393</v>
      </c>
      <c r="B1826" t="s">
        <v>3394</v>
      </c>
      <c r="E1826" s="1"/>
    </row>
    <row r="1827" spans="1:8">
      <c r="A1827" t="s">
        <v>3395</v>
      </c>
      <c r="B1827" t="s">
        <v>3396</v>
      </c>
      <c r="E1827" s="1"/>
    </row>
    <row r="1828" spans="1:8">
      <c r="A1828" t="s">
        <v>3397</v>
      </c>
      <c r="B1828" t="s">
        <v>3398</v>
      </c>
      <c r="E1828" s="1"/>
    </row>
    <row r="1829" spans="1:8">
      <c r="A1829" t="s">
        <v>3399</v>
      </c>
      <c r="B1829" t="s">
        <v>3400</v>
      </c>
      <c r="E1829" s="1"/>
    </row>
    <row r="1830" spans="1:8">
      <c r="A1830" t="s">
        <v>3401</v>
      </c>
      <c r="B1830" t="s">
        <v>3402</v>
      </c>
      <c r="E1830" s="1"/>
    </row>
    <row r="1831" spans="1:8">
      <c r="A1831" t="s">
        <v>3403</v>
      </c>
      <c r="B1831" t="s">
        <v>3404</v>
      </c>
      <c r="E1831" s="1"/>
    </row>
    <row r="1832" spans="1:8">
      <c r="A1832" t="s">
        <v>3405</v>
      </c>
      <c r="B1832" t="s">
        <v>3406</v>
      </c>
      <c r="E1832" s="1"/>
    </row>
    <row r="1833" spans="1:8">
      <c r="A1833" t="s">
        <v>3407</v>
      </c>
      <c r="B1833" t="s">
        <v>3408</v>
      </c>
      <c r="E1833" s="1"/>
    </row>
    <row r="1834" spans="1:8">
      <c r="A1834" t="s">
        <v>3409</v>
      </c>
      <c r="B1834" t="s">
        <v>3410</v>
      </c>
      <c r="E1834" s="1"/>
    </row>
    <row r="1835" spans="1:8">
      <c r="A1835" t="s">
        <v>3411</v>
      </c>
      <c r="B1835" t="s">
        <v>3412</v>
      </c>
      <c r="E1835" s="1"/>
    </row>
    <row r="1836" spans="1:8">
      <c r="A1836" t="s">
        <v>3413</v>
      </c>
      <c r="B1836" t="s">
        <v>3414</v>
      </c>
      <c r="E1836" s="1"/>
    </row>
    <row r="1837" spans="1:8">
      <c r="A1837" t="s">
        <v>3415</v>
      </c>
      <c r="B1837" t="s">
        <v>3416</v>
      </c>
      <c r="C1837" s="1" t="s">
        <v>3417</v>
      </c>
      <c r="D1837" s="1"/>
      <c r="E1837" s="1" t="str">
        <f t="shared" ref="E1837" si="150">HYPERLINK("https://www.kegg.jp/dbget-bin/www_bget?ec:" &amp; C1837, "https://www.kegg.jp/dbget-bin/www_bget?ec:" &amp; C1837)</f>
        <v>https://www.kegg.jp/dbget-bin/www_bget?ec:3.2.1.21</v>
      </c>
      <c r="F1837" t="s">
        <v>9847</v>
      </c>
      <c r="G1837" s="10" t="s">
        <v>10838</v>
      </c>
      <c r="H1837" s="13" t="s">
        <v>9849</v>
      </c>
    </row>
    <row r="1838" spans="1:8">
      <c r="A1838" t="s">
        <v>3415</v>
      </c>
      <c r="B1838" t="s">
        <v>3416</v>
      </c>
      <c r="C1838" s="1" t="s">
        <v>3417</v>
      </c>
      <c r="D1838" s="1"/>
      <c r="E1838" s="1" t="str">
        <f t="shared" ref="E1838:E1853" si="151">HYPERLINK("https://www.kegg.jp/dbget-bin/www_bget?ec:" &amp; C1838, "https://www.kegg.jp/dbget-bin/www_bget?ec:" &amp; C1838)</f>
        <v>https://www.kegg.jp/dbget-bin/www_bget?ec:3.2.1.21</v>
      </c>
      <c r="F1838" t="s">
        <v>9847</v>
      </c>
      <c r="G1838" s="10" t="s">
        <v>10839</v>
      </c>
      <c r="H1838" s="13" t="s">
        <v>9851</v>
      </c>
    </row>
    <row r="1839" spans="1:8">
      <c r="A1839" t="s">
        <v>3415</v>
      </c>
      <c r="B1839" t="s">
        <v>3416</v>
      </c>
      <c r="C1839" s="1" t="s">
        <v>3417</v>
      </c>
      <c r="D1839" s="1"/>
      <c r="E1839" s="1" t="str">
        <f t="shared" si="151"/>
        <v>https://www.kegg.jp/dbget-bin/www_bget?ec:3.2.1.21</v>
      </c>
      <c r="F1839" t="s">
        <v>9847</v>
      </c>
      <c r="G1839" s="10" t="s">
        <v>10840</v>
      </c>
      <c r="H1839" s="13" t="s">
        <v>10841</v>
      </c>
    </row>
    <row r="1840" spans="1:8">
      <c r="A1840" t="s">
        <v>3415</v>
      </c>
      <c r="B1840" t="s">
        <v>3416</v>
      </c>
      <c r="C1840" s="1" t="s">
        <v>3417</v>
      </c>
      <c r="D1840" s="1"/>
      <c r="E1840" s="1" t="str">
        <f t="shared" si="151"/>
        <v>https://www.kegg.jp/dbget-bin/www_bget?ec:3.2.1.21</v>
      </c>
      <c r="F1840" t="s">
        <v>9847</v>
      </c>
      <c r="G1840" s="10" t="s">
        <v>10842</v>
      </c>
      <c r="H1840" s="13" t="s">
        <v>10843</v>
      </c>
    </row>
    <row r="1841" spans="1:8">
      <c r="A1841" t="s">
        <v>3415</v>
      </c>
      <c r="B1841" t="s">
        <v>3416</v>
      </c>
      <c r="C1841" s="1" t="s">
        <v>3417</v>
      </c>
      <c r="D1841" s="1"/>
      <c r="E1841" s="1" t="str">
        <f t="shared" si="151"/>
        <v>https://www.kegg.jp/dbget-bin/www_bget?ec:3.2.1.21</v>
      </c>
      <c r="F1841" t="s">
        <v>9847</v>
      </c>
      <c r="G1841" s="10" t="s">
        <v>10844</v>
      </c>
      <c r="H1841" s="13" t="s">
        <v>10845</v>
      </c>
    </row>
    <row r="1842" spans="1:8">
      <c r="A1842" t="s">
        <v>3415</v>
      </c>
      <c r="B1842" t="s">
        <v>3416</v>
      </c>
      <c r="C1842" s="1" t="s">
        <v>3417</v>
      </c>
      <c r="D1842" s="1"/>
      <c r="E1842" s="1" t="str">
        <f t="shared" si="151"/>
        <v>https://www.kegg.jp/dbget-bin/www_bget?ec:3.2.1.21</v>
      </c>
      <c r="F1842" t="s">
        <v>9847</v>
      </c>
      <c r="G1842" s="10" t="s">
        <v>10846</v>
      </c>
      <c r="H1842" s="13" t="s">
        <v>10847</v>
      </c>
    </row>
    <row r="1843" spans="1:8">
      <c r="A1843" t="s">
        <v>3415</v>
      </c>
      <c r="B1843" t="s">
        <v>3416</v>
      </c>
      <c r="C1843" s="1" t="s">
        <v>3417</v>
      </c>
      <c r="D1843" s="1"/>
      <c r="E1843" s="1" t="str">
        <f t="shared" si="151"/>
        <v>https://www.kegg.jp/dbget-bin/www_bget?ec:3.2.1.21</v>
      </c>
      <c r="F1843" t="s">
        <v>9847</v>
      </c>
      <c r="G1843" s="10" t="s">
        <v>10848</v>
      </c>
      <c r="H1843" s="13" t="s">
        <v>10849</v>
      </c>
    </row>
    <row r="1844" spans="1:8">
      <c r="A1844" t="s">
        <v>3415</v>
      </c>
      <c r="B1844" t="s">
        <v>3416</v>
      </c>
      <c r="C1844" s="1" t="s">
        <v>3417</v>
      </c>
      <c r="D1844" s="1"/>
      <c r="E1844" s="1" t="str">
        <f t="shared" si="151"/>
        <v>https://www.kegg.jp/dbget-bin/www_bget?ec:3.2.1.21</v>
      </c>
      <c r="F1844" t="s">
        <v>9847</v>
      </c>
      <c r="G1844" s="10" t="s">
        <v>10850</v>
      </c>
      <c r="H1844" s="13" t="s">
        <v>10851</v>
      </c>
    </row>
    <row r="1845" spans="1:8">
      <c r="A1845" t="s">
        <v>3415</v>
      </c>
      <c r="B1845" t="s">
        <v>3416</v>
      </c>
      <c r="C1845" s="1" t="s">
        <v>3417</v>
      </c>
      <c r="D1845" s="1"/>
      <c r="E1845" s="1" t="str">
        <f t="shared" si="151"/>
        <v>https://www.kegg.jp/dbget-bin/www_bget?ec:3.2.1.21</v>
      </c>
      <c r="F1845" t="s">
        <v>9847</v>
      </c>
      <c r="G1845" s="10" t="s">
        <v>10852</v>
      </c>
      <c r="H1845" s="13" t="s">
        <v>10853</v>
      </c>
    </row>
    <row r="1846" spans="1:8">
      <c r="A1846" t="s">
        <v>3415</v>
      </c>
      <c r="B1846" t="s">
        <v>3416</v>
      </c>
      <c r="C1846" s="1" t="s">
        <v>3417</v>
      </c>
      <c r="D1846" s="1"/>
      <c r="E1846" s="1" t="str">
        <f t="shared" si="151"/>
        <v>https://www.kegg.jp/dbget-bin/www_bget?ec:3.2.1.21</v>
      </c>
      <c r="F1846" t="s">
        <v>9847</v>
      </c>
      <c r="G1846" s="10" t="s">
        <v>10854</v>
      </c>
      <c r="H1846" s="13" t="s">
        <v>9863</v>
      </c>
    </row>
    <row r="1847" spans="1:8">
      <c r="A1847" t="s">
        <v>3415</v>
      </c>
      <c r="B1847" t="s">
        <v>3416</v>
      </c>
      <c r="C1847" s="1" t="s">
        <v>3417</v>
      </c>
      <c r="D1847" s="1"/>
      <c r="E1847" s="1" t="str">
        <f t="shared" si="151"/>
        <v>https://www.kegg.jp/dbget-bin/www_bget?ec:3.2.1.21</v>
      </c>
      <c r="F1847" t="s">
        <v>9847</v>
      </c>
      <c r="G1847" s="10" t="s">
        <v>10854</v>
      </c>
      <c r="H1847" s="1" t="s">
        <v>9864</v>
      </c>
    </row>
    <row r="1848" spans="1:8">
      <c r="A1848" t="s">
        <v>3415</v>
      </c>
      <c r="B1848" t="s">
        <v>3416</v>
      </c>
      <c r="C1848" s="1" t="s">
        <v>3417</v>
      </c>
      <c r="D1848" s="1"/>
      <c r="E1848" s="1" t="str">
        <f t="shared" si="151"/>
        <v>https://www.kegg.jp/dbget-bin/www_bget?ec:3.2.1.21</v>
      </c>
      <c r="F1848" t="s">
        <v>9847</v>
      </c>
      <c r="G1848" s="10" t="s">
        <v>10855</v>
      </c>
      <c r="H1848" s="13" t="s">
        <v>10856</v>
      </c>
    </row>
    <row r="1849" spans="1:8">
      <c r="A1849" t="s">
        <v>3415</v>
      </c>
      <c r="B1849" t="s">
        <v>3416</v>
      </c>
      <c r="C1849" s="1" t="s">
        <v>3417</v>
      </c>
      <c r="D1849" s="1"/>
      <c r="E1849" s="1" t="str">
        <f t="shared" si="151"/>
        <v>https://www.kegg.jp/dbget-bin/www_bget?ec:3.2.1.21</v>
      </c>
      <c r="F1849" t="s">
        <v>9847</v>
      </c>
      <c r="G1849" s="10" t="s">
        <v>10857</v>
      </c>
      <c r="H1849" s="13" t="s">
        <v>10858</v>
      </c>
    </row>
    <row r="1850" spans="1:8">
      <c r="A1850" t="s">
        <v>3415</v>
      </c>
      <c r="B1850" t="s">
        <v>3416</v>
      </c>
      <c r="C1850" s="1" t="s">
        <v>3417</v>
      </c>
      <c r="D1850" s="1"/>
      <c r="E1850" s="1" t="str">
        <f t="shared" si="151"/>
        <v>https://www.kegg.jp/dbget-bin/www_bget?ec:3.2.1.21</v>
      </c>
      <c r="F1850" t="s">
        <v>9847</v>
      </c>
      <c r="G1850" s="10" t="s">
        <v>10859</v>
      </c>
      <c r="H1850" s="13" t="s">
        <v>10860</v>
      </c>
    </row>
    <row r="1851" spans="1:8">
      <c r="A1851" t="s">
        <v>3415</v>
      </c>
      <c r="B1851" t="s">
        <v>3416</v>
      </c>
      <c r="C1851" s="1" t="s">
        <v>3417</v>
      </c>
      <c r="D1851" s="1"/>
      <c r="E1851" s="1" t="str">
        <f t="shared" si="151"/>
        <v>https://www.kegg.jp/dbget-bin/www_bget?ec:3.2.1.21</v>
      </c>
      <c r="F1851" t="s">
        <v>9847</v>
      </c>
      <c r="G1851" s="10" t="s">
        <v>10861</v>
      </c>
      <c r="H1851" s="13" t="s">
        <v>10862</v>
      </c>
    </row>
    <row r="1852" spans="1:8">
      <c r="A1852" t="s">
        <v>3415</v>
      </c>
      <c r="B1852" t="s">
        <v>3416</v>
      </c>
      <c r="C1852" s="1" t="s">
        <v>3417</v>
      </c>
      <c r="D1852" s="1"/>
      <c r="E1852" s="1" t="str">
        <f t="shared" si="151"/>
        <v>https://www.kegg.jp/dbget-bin/www_bget?ec:3.2.1.21</v>
      </c>
      <c r="F1852" t="s">
        <v>9847</v>
      </c>
      <c r="G1852" s="10" t="s">
        <v>10863</v>
      </c>
      <c r="H1852" s="13" t="s">
        <v>10864</v>
      </c>
    </row>
    <row r="1853" spans="1:8">
      <c r="A1853" t="s">
        <v>3415</v>
      </c>
      <c r="B1853" t="s">
        <v>3416</v>
      </c>
      <c r="C1853" s="1" t="s">
        <v>3417</v>
      </c>
      <c r="D1853" s="1"/>
      <c r="E1853" s="1" t="str">
        <f t="shared" si="151"/>
        <v>https://www.kegg.jp/dbget-bin/www_bget?ec:3.2.1.21</v>
      </c>
      <c r="F1853" t="s">
        <v>9847</v>
      </c>
      <c r="G1853" s="10" t="s">
        <v>10865</v>
      </c>
      <c r="H1853" s="13" t="s">
        <v>10866</v>
      </c>
    </row>
    <row r="1854" spans="1:8">
      <c r="A1854" t="s">
        <v>3415</v>
      </c>
      <c r="B1854" t="s">
        <v>3416</v>
      </c>
      <c r="C1854" s="1" t="s">
        <v>3417</v>
      </c>
      <c r="D1854" s="1"/>
      <c r="E1854" s="1" t="str">
        <f t="shared" si="148"/>
        <v>https://www.kegg.jp/dbget-bin/www_bget?ec:3.2.1.21</v>
      </c>
      <c r="F1854" t="s">
        <v>9847</v>
      </c>
      <c r="G1854" s="10" t="s">
        <v>10867</v>
      </c>
      <c r="H1854" s="13" t="s">
        <v>10868</v>
      </c>
    </row>
    <row r="1855" spans="1:8">
      <c r="A1855" t="s">
        <v>3418</v>
      </c>
      <c r="B1855" t="s">
        <v>3419</v>
      </c>
      <c r="C1855" s="1" t="s">
        <v>3417</v>
      </c>
      <c r="D1855" s="1"/>
      <c r="E1855" s="1" t="str">
        <f t="shared" si="148"/>
        <v>https://www.kegg.jp/dbget-bin/www_bget?ec:3.2.1.21</v>
      </c>
      <c r="F1855" t="s">
        <v>9847</v>
      </c>
      <c r="G1855" s="10" t="s">
        <v>10838</v>
      </c>
      <c r="H1855" s="13" t="s">
        <v>9849</v>
      </c>
    </row>
    <row r="1856" spans="1:8">
      <c r="A1856" t="s">
        <v>3418</v>
      </c>
      <c r="B1856" t="s">
        <v>3419</v>
      </c>
      <c r="C1856" s="1" t="s">
        <v>3417</v>
      </c>
      <c r="D1856" s="1"/>
      <c r="E1856" s="1" t="str">
        <f t="shared" si="148"/>
        <v>https://www.kegg.jp/dbget-bin/www_bget?ec:3.2.1.21</v>
      </c>
      <c r="F1856" t="s">
        <v>9847</v>
      </c>
      <c r="G1856" s="10" t="s">
        <v>10839</v>
      </c>
      <c r="H1856" s="13" t="s">
        <v>9851</v>
      </c>
    </row>
    <row r="1857" spans="1:8">
      <c r="A1857" t="s">
        <v>3418</v>
      </c>
      <c r="B1857" t="s">
        <v>3419</v>
      </c>
      <c r="C1857" s="1" t="s">
        <v>3417</v>
      </c>
      <c r="D1857" s="1"/>
      <c r="E1857" s="1" t="str">
        <f t="shared" si="148"/>
        <v>https://www.kegg.jp/dbget-bin/www_bget?ec:3.2.1.21</v>
      </c>
      <c r="F1857" t="s">
        <v>9847</v>
      </c>
      <c r="G1857" s="10" t="s">
        <v>10840</v>
      </c>
      <c r="H1857" s="13" t="s">
        <v>10841</v>
      </c>
    </row>
    <row r="1858" spans="1:8">
      <c r="A1858" t="s">
        <v>3418</v>
      </c>
      <c r="B1858" t="s">
        <v>3419</v>
      </c>
      <c r="C1858" s="1" t="s">
        <v>3417</v>
      </c>
      <c r="D1858" s="1"/>
      <c r="E1858" s="1" t="str">
        <f t="shared" si="148"/>
        <v>https://www.kegg.jp/dbget-bin/www_bget?ec:3.2.1.21</v>
      </c>
      <c r="F1858" t="s">
        <v>9847</v>
      </c>
      <c r="G1858" s="10" t="s">
        <v>10842</v>
      </c>
      <c r="H1858" s="13" t="s">
        <v>10843</v>
      </c>
    </row>
    <row r="1859" spans="1:8">
      <c r="A1859" t="s">
        <v>3418</v>
      </c>
      <c r="B1859" t="s">
        <v>3419</v>
      </c>
      <c r="C1859" s="1" t="s">
        <v>3417</v>
      </c>
      <c r="D1859" s="1"/>
      <c r="E1859" s="1" t="str">
        <f t="shared" si="148"/>
        <v>https://www.kegg.jp/dbget-bin/www_bget?ec:3.2.1.21</v>
      </c>
      <c r="F1859" t="s">
        <v>9847</v>
      </c>
      <c r="G1859" s="10" t="s">
        <v>10844</v>
      </c>
      <c r="H1859" s="13" t="s">
        <v>10845</v>
      </c>
    </row>
    <row r="1860" spans="1:8">
      <c r="A1860" t="s">
        <v>3418</v>
      </c>
      <c r="B1860" t="s">
        <v>3419</v>
      </c>
      <c r="C1860" s="1" t="s">
        <v>3417</v>
      </c>
      <c r="D1860" s="1"/>
      <c r="E1860" s="1" t="str">
        <f t="shared" si="148"/>
        <v>https://www.kegg.jp/dbget-bin/www_bget?ec:3.2.1.21</v>
      </c>
      <c r="F1860" t="s">
        <v>9847</v>
      </c>
      <c r="G1860" s="10" t="s">
        <v>10846</v>
      </c>
      <c r="H1860" s="13" t="s">
        <v>10847</v>
      </c>
    </row>
    <row r="1861" spans="1:8">
      <c r="A1861" t="s">
        <v>3418</v>
      </c>
      <c r="B1861" t="s">
        <v>3419</v>
      </c>
      <c r="C1861" s="1" t="s">
        <v>3417</v>
      </c>
      <c r="D1861" s="1"/>
      <c r="E1861" s="1" t="str">
        <f t="shared" si="148"/>
        <v>https://www.kegg.jp/dbget-bin/www_bget?ec:3.2.1.21</v>
      </c>
      <c r="F1861" t="s">
        <v>9847</v>
      </c>
      <c r="G1861" s="10" t="s">
        <v>10848</v>
      </c>
      <c r="H1861" s="13" t="s">
        <v>10849</v>
      </c>
    </row>
    <row r="1862" spans="1:8">
      <c r="A1862" t="s">
        <v>3418</v>
      </c>
      <c r="B1862" t="s">
        <v>3419</v>
      </c>
      <c r="C1862" s="1" t="s">
        <v>3417</v>
      </c>
      <c r="D1862" s="1"/>
      <c r="E1862" s="1" t="str">
        <f t="shared" si="148"/>
        <v>https://www.kegg.jp/dbget-bin/www_bget?ec:3.2.1.21</v>
      </c>
      <c r="F1862" t="s">
        <v>9847</v>
      </c>
      <c r="G1862" s="10" t="s">
        <v>10850</v>
      </c>
      <c r="H1862" s="13" t="s">
        <v>10851</v>
      </c>
    </row>
    <row r="1863" spans="1:8">
      <c r="A1863" t="s">
        <v>3418</v>
      </c>
      <c r="B1863" t="s">
        <v>3419</v>
      </c>
      <c r="C1863" s="1" t="s">
        <v>3417</v>
      </c>
      <c r="D1863" s="1"/>
      <c r="E1863" s="1" t="str">
        <f t="shared" si="148"/>
        <v>https://www.kegg.jp/dbget-bin/www_bget?ec:3.2.1.21</v>
      </c>
      <c r="F1863" t="s">
        <v>9847</v>
      </c>
      <c r="G1863" s="10" t="s">
        <v>10852</v>
      </c>
      <c r="H1863" s="13" t="s">
        <v>10853</v>
      </c>
    </row>
    <row r="1864" spans="1:8">
      <c r="A1864" t="s">
        <v>3418</v>
      </c>
      <c r="B1864" t="s">
        <v>3419</v>
      </c>
      <c r="C1864" s="1" t="s">
        <v>3417</v>
      </c>
      <c r="D1864" s="1"/>
      <c r="E1864" s="1" t="str">
        <f t="shared" si="148"/>
        <v>https://www.kegg.jp/dbget-bin/www_bget?ec:3.2.1.21</v>
      </c>
      <c r="F1864" t="s">
        <v>9847</v>
      </c>
      <c r="G1864" s="10" t="s">
        <v>10854</v>
      </c>
      <c r="H1864" s="13" t="s">
        <v>9863</v>
      </c>
    </row>
    <row r="1865" spans="1:8">
      <c r="A1865" t="s">
        <v>3418</v>
      </c>
      <c r="B1865" t="s">
        <v>3419</v>
      </c>
      <c r="C1865" s="1" t="s">
        <v>3417</v>
      </c>
      <c r="D1865" s="1"/>
      <c r="E1865" s="1" t="str">
        <f t="shared" si="148"/>
        <v>https://www.kegg.jp/dbget-bin/www_bget?ec:3.2.1.21</v>
      </c>
      <c r="F1865" t="s">
        <v>9847</v>
      </c>
      <c r="G1865" s="10" t="s">
        <v>10854</v>
      </c>
      <c r="H1865" s="1" t="s">
        <v>9864</v>
      </c>
    </row>
    <row r="1866" spans="1:8">
      <c r="A1866" t="s">
        <v>3418</v>
      </c>
      <c r="B1866" t="s">
        <v>3419</v>
      </c>
      <c r="C1866" s="1" t="s">
        <v>3417</v>
      </c>
      <c r="D1866" s="1"/>
      <c r="E1866" s="1" t="str">
        <f t="shared" si="148"/>
        <v>https://www.kegg.jp/dbget-bin/www_bget?ec:3.2.1.21</v>
      </c>
      <c r="F1866" t="s">
        <v>9847</v>
      </c>
      <c r="G1866" s="10" t="s">
        <v>10855</v>
      </c>
      <c r="H1866" s="13" t="s">
        <v>10856</v>
      </c>
    </row>
    <row r="1867" spans="1:8">
      <c r="A1867" t="s">
        <v>3418</v>
      </c>
      <c r="B1867" t="s">
        <v>3419</v>
      </c>
      <c r="C1867" s="1" t="s">
        <v>3417</v>
      </c>
      <c r="D1867" s="1"/>
      <c r="E1867" s="1" t="str">
        <f t="shared" si="148"/>
        <v>https://www.kegg.jp/dbget-bin/www_bget?ec:3.2.1.21</v>
      </c>
      <c r="F1867" t="s">
        <v>9847</v>
      </c>
      <c r="G1867" s="10" t="s">
        <v>10857</v>
      </c>
      <c r="H1867" s="13" t="s">
        <v>10858</v>
      </c>
    </row>
    <row r="1868" spans="1:8">
      <c r="A1868" t="s">
        <v>3418</v>
      </c>
      <c r="B1868" t="s">
        <v>3419</v>
      </c>
      <c r="C1868" s="1" t="s">
        <v>3417</v>
      </c>
      <c r="D1868" s="1"/>
      <c r="E1868" s="1" t="str">
        <f t="shared" si="148"/>
        <v>https://www.kegg.jp/dbget-bin/www_bget?ec:3.2.1.21</v>
      </c>
      <c r="F1868" t="s">
        <v>9847</v>
      </c>
      <c r="G1868" s="10" t="s">
        <v>10859</v>
      </c>
      <c r="H1868" s="13" t="s">
        <v>10860</v>
      </c>
    </row>
    <row r="1869" spans="1:8">
      <c r="A1869" t="s">
        <v>3418</v>
      </c>
      <c r="B1869" t="s">
        <v>3419</v>
      </c>
      <c r="C1869" s="1" t="s">
        <v>3417</v>
      </c>
      <c r="D1869" s="1"/>
      <c r="E1869" s="1" t="str">
        <f t="shared" si="148"/>
        <v>https://www.kegg.jp/dbget-bin/www_bget?ec:3.2.1.21</v>
      </c>
      <c r="F1869" t="s">
        <v>9847</v>
      </c>
      <c r="G1869" s="10" t="s">
        <v>10861</v>
      </c>
      <c r="H1869" s="13" t="s">
        <v>10862</v>
      </c>
    </row>
    <row r="1870" spans="1:8">
      <c r="A1870" t="s">
        <v>3418</v>
      </c>
      <c r="B1870" t="s">
        <v>3419</v>
      </c>
      <c r="C1870" s="1" t="s">
        <v>3417</v>
      </c>
      <c r="D1870" s="1"/>
      <c r="E1870" s="1" t="str">
        <f t="shared" si="148"/>
        <v>https://www.kegg.jp/dbget-bin/www_bget?ec:3.2.1.21</v>
      </c>
      <c r="F1870" t="s">
        <v>9847</v>
      </c>
      <c r="G1870" s="10" t="s">
        <v>10863</v>
      </c>
      <c r="H1870" s="13" t="s">
        <v>10864</v>
      </c>
    </row>
    <row r="1871" spans="1:8">
      <c r="A1871" t="s">
        <v>3418</v>
      </c>
      <c r="B1871" t="s">
        <v>3419</v>
      </c>
      <c r="C1871" s="1" t="s">
        <v>3417</v>
      </c>
      <c r="D1871" s="1"/>
      <c r="E1871" s="1" t="str">
        <f t="shared" si="148"/>
        <v>https://www.kegg.jp/dbget-bin/www_bget?ec:3.2.1.21</v>
      </c>
      <c r="F1871" t="s">
        <v>9847</v>
      </c>
      <c r="G1871" s="10" t="s">
        <v>10865</v>
      </c>
      <c r="H1871" s="13" t="s">
        <v>10866</v>
      </c>
    </row>
    <row r="1872" spans="1:8">
      <c r="A1872" t="s">
        <v>3418</v>
      </c>
      <c r="B1872" t="s">
        <v>3419</v>
      </c>
      <c r="C1872" s="1" t="s">
        <v>3417</v>
      </c>
      <c r="D1872" s="1"/>
      <c r="E1872" s="1" t="str">
        <f t="shared" si="148"/>
        <v>https://www.kegg.jp/dbget-bin/www_bget?ec:3.2.1.21</v>
      </c>
      <c r="F1872" t="s">
        <v>9847</v>
      </c>
      <c r="G1872" s="10" t="s">
        <v>10867</v>
      </c>
      <c r="H1872" s="13" t="s">
        <v>10868</v>
      </c>
    </row>
    <row r="1873" spans="1:8">
      <c r="A1873" t="s">
        <v>3420</v>
      </c>
      <c r="B1873" t="s">
        <v>3421</v>
      </c>
      <c r="E1873" s="1"/>
    </row>
    <row r="1874" spans="1:8">
      <c r="B1874" t="s">
        <v>3422</v>
      </c>
      <c r="E1874" s="1"/>
    </row>
    <row r="1875" spans="1:8">
      <c r="A1875" t="s">
        <v>3423</v>
      </c>
      <c r="B1875" t="s">
        <v>3424</v>
      </c>
      <c r="E1875" s="1"/>
    </row>
    <row r="1876" spans="1:8">
      <c r="A1876" t="s">
        <v>3425</v>
      </c>
      <c r="B1876" t="s">
        <v>3426</v>
      </c>
      <c r="E1876" s="1"/>
    </row>
    <row r="1877" spans="1:8">
      <c r="A1877" t="s">
        <v>3427</v>
      </c>
      <c r="B1877" t="s">
        <v>3428</v>
      </c>
      <c r="E1877" s="1"/>
    </row>
    <row r="1878" spans="1:8">
      <c r="A1878" t="s">
        <v>3429</v>
      </c>
      <c r="B1878" t="s">
        <v>3430</v>
      </c>
      <c r="E1878" s="1"/>
    </row>
    <row r="1879" spans="1:8">
      <c r="A1879" t="s">
        <v>3431</v>
      </c>
      <c r="B1879" t="s">
        <v>3432</v>
      </c>
      <c r="E1879" s="1"/>
    </row>
    <row r="1880" spans="1:8">
      <c r="A1880" t="s">
        <v>3433</v>
      </c>
      <c r="B1880" t="s">
        <v>3434</v>
      </c>
      <c r="E1880" s="1"/>
    </row>
    <row r="1881" spans="1:8">
      <c r="A1881" t="s">
        <v>3435</v>
      </c>
      <c r="B1881" t="s">
        <v>3436</v>
      </c>
      <c r="E1881" s="1"/>
    </row>
    <row r="1882" spans="1:8">
      <c r="A1882" t="s">
        <v>3437</v>
      </c>
      <c r="B1882" t="s">
        <v>3438</v>
      </c>
      <c r="E1882" s="1"/>
    </row>
    <row r="1883" spans="1:8">
      <c r="A1883" t="s">
        <v>3439</v>
      </c>
      <c r="B1883" t="s">
        <v>3440</v>
      </c>
      <c r="C1883" s="1" t="s">
        <v>3441</v>
      </c>
      <c r="D1883" s="1"/>
      <c r="E1883" s="1" t="str">
        <f t="shared" si="148"/>
        <v>https://www.kegg.jp/dbget-bin/www_bget?ec:1.17.99.6</v>
      </c>
      <c r="F1883" s="5" t="s">
        <v>9879</v>
      </c>
      <c r="G1883" s="10" t="s">
        <v>10869</v>
      </c>
      <c r="H1883" s="13" t="s">
        <v>10870</v>
      </c>
    </row>
    <row r="1884" spans="1:8">
      <c r="A1884" t="s">
        <v>3442</v>
      </c>
      <c r="B1884" t="s">
        <v>3443</v>
      </c>
      <c r="E1884" s="1"/>
    </row>
    <row r="1885" spans="1:8">
      <c r="A1885" t="s">
        <v>3444</v>
      </c>
      <c r="B1885" t="s">
        <v>3445</v>
      </c>
      <c r="E1885" s="1"/>
    </row>
    <row r="1886" spans="1:8">
      <c r="A1886" t="s">
        <v>3446</v>
      </c>
      <c r="B1886" t="s">
        <v>3447</v>
      </c>
      <c r="E1886" s="1"/>
    </row>
    <row r="1887" spans="1:8">
      <c r="A1887" t="s">
        <v>3448</v>
      </c>
      <c r="B1887" t="s">
        <v>3449</v>
      </c>
      <c r="E1887" s="1"/>
    </row>
    <row r="1888" spans="1:8">
      <c r="A1888" t="s">
        <v>3450</v>
      </c>
      <c r="B1888" t="s">
        <v>3451</v>
      </c>
      <c r="E1888" s="1"/>
    </row>
    <row r="1889" spans="1:8">
      <c r="A1889" t="s">
        <v>3452</v>
      </c>
      <c r="B1889" t="s">
        <v>3453</v>
      </c>
      <c r="E1889" s="1"/>
    </row>
    <row r="1890" spans="1:8">
      <c r="A1890" t="s">
        <v>3454</v>
      </c>
      <c r="B1890" t="s">
        <v>3455</v>
      </c>
      <c r="E1890" s="1"/>
    </row>
    <row r="1891" spans="1:8">
      <c r="A1891" t="s">
        <v>3456</v>
      </c>
      <c r="B1891" t="s">
        <v>3457</v>
      </c>
      <c r="E1891" s="1"/>
    </row>
    <row r="1892" spans="1:8">
      <c r="A1892" t="s">
        <v>3458</v>
      </c>
      <c r="B1892" t="s">
        <v>3459</v>
      </c>
      <c r="E1892" s="1"/>
    </row>
    <row r="1893" spans="1:8">
      <c r="A1893" t="s">
        <v>3460</v>
      </c>
      <c r="B1893" t="s">
        <v>3461</v>
      </c>
      <c r="E1893" s="1"/>
    </row>
    <row r="1894" spans="1:8">
      <c r="A1894" t="s">
        <v>3462</v>
      </c>
      <c r="B1894" t="s">
        <v>3463</v>
      </c>
      <c r="E1894" s="1"/>
    </row>
    <row r="1895" spans="1:8">
      <c r="A1895" t="s">
        <v>3464</v>
      </c>
      <c r="B1895" t="s">
        <v>3465</v>
      </c>
      <c r="E1895" s="1"/>
    </row>
    <row r="1896" spans="1:8">
      <c r="A1896" t="s">
        <v>3466</v>
      </c>
      <c r="B1896" t="s">
        <v>3467</v>
      </c>
      <c r="E1896" s="1"/>
    </row>
    <row r="1897" spans="1:8">
      <c r="A1897" t="s">
        <v>3468</v>
      </c>
      <c r="B1897" t="s">
        <v>3469</v>
      </c>
      <c r="E1897" s="1"/>
    </row>
    <row r="1898" spans="1:8">
      <c r="A1898" t="s">
        <v>3470</v>
      </c>
      <c r="B1898" t="s">
        <v>3471</v>
      </c>
      <c r="E1898" s="1"/>
    </row>
    <row r="1899" spans="1:8">
      <c r="A1899" t="s">
        <v>3472</v>
      </c>
      <c r="B1899" t="s">
        <v>3473</v>
      </c>
      <c r="E1899" s="1"/>
    </row>
    <row r="1900" spans="1:8">
      <c r="A1900" t="s">
        <v>3474</v>
      </c>
      <c r="B1900" t="s">
        <v>3475</v>
      </c>
      <c r="E1900" s="1"/>
    </row>
    <row r="1901" spans="1:8">
      <c r="A1901" t="s">
        <v>3476</v>
      </c>
      <c r="B1901" t="s">
        <v>3477</v>
      </c>
      <c r="C1901" s="1" t="s">
        <v>3478</v>
      </c>
      <c r="D1901" s="1"/>
      <c r="E1901" s="1" t="str">
        <f t="shared" si="148"/>
        <v>https://www.kegg.jp/dbget-bin/www_bget?ec:6.3.4.13</v>
      </c>
      <c r="F1901" t="s">
        <v>9882</v>
      </c>
      <c r="G1901" s="10" t="s">
        <v>10871</v>
      </c>
      <c r="H1901" s="13" t="s">
        <v>10872</v>
      </c>
    </row>
    <row r="1902" spans="1:8">
      <c r="A1902" t="s">
        <v>3479</v>
      </c>
      <c r="B1902" t="s">
        <v>3480</v>
      </c>
      <c r="E1902" s="1"/>
    </row>
    <row r="1903" spans="1:8">
      <c r="A1903" t="s">
        <v>3481</v>
      </c>
      <c r="B1903" t="s">
        <v>3482</v>
      </c>
      <c r="E1903" s="1"/>
    </row>
    <row r="1904" spans="1:8">
      <c r="A1904" t="s">
        <v>3483</v>
      </c>
      <c r="B1904" t="s">
        <v>3484</v>
      </c>
      <c r="E1904" s="1"/>
    </row>
    <row r="1905" spans="1:8">
      <c r="A1905" t="s">
        <v>3485</v>
      </c>
      <c r="B1905" t="s">
        <v>3486</v>
      </c>
      <c r="E1905" s="1"/>
    </row>
    <row r="1906" spans="1:8">
      <c r="A1906" t="s">
        <v>3487</v>
      </c>
      <c r="B1906" t="s">
        <v>3488</v>
      </c>
      <c r="E1906" s="1"/>
    </row>
    <row r="1907" spans="1:8">
      <c r="A1907" t="s">
        <v>3489</v>
      </c>
      <c r="B1907" t="s">
        <v>3490</v>
      </c>
      <c r="C1907" s="1" t="s">
        <v>3491</v>
      </c>
      <c r="D1907" s="1"/>
      <c r="E1907" s="1" t="str">
        <f t="shared" si="148"/>
        <v>https://www.kegg.jp/dbget-bin/www_bget?ec:2.7.1.26</v>
      </c>
      <c r="F1907" s="1" t="s">
        <v>9885</v>
      </c>
      <c r="G1907" s="10" t="s">
        <v>10873</v>
      </c>
      <c r="H1907" s="13" t="s">
        <v>10874</v>
      </c>
    </row>
    <row r="1908" spans="1:8">
      <c r="A1908" t="s">
        <v>3489</v>
      </c>
      <c r="B1908" t="s">
        <v>3490</v>
      </c>
      <c r="C1908" s="1" t="s">
        <v>3492</v>
      </c>
      <c r="D1908" s="1"/>
      <c r="E1908" s="1" t="str">
        <f t="shared" si="148"/>
        <v>https://www.kegg.jp/dbget-bin/www_bget?ec:2.7.7.2</v>
      </c>
      <c r="F1908" s="1" t="s">
        <v>9888</v>
      </c>
      <c r="G1908" s="10" t="s">
        <v>10875</v>
      </c>
      <c r="H1908" s="13" t="s">
        <v>10876</v>
      </c>
    </row>
    <row r="1909" spans="1:8">
      <c r="A1909" t="s">
        <v>3493</v>
      </c>
      <c r="B1909" t="s">
        <v>3494</v>
      </c>
      <c r="E1909" s="1"/>
    </row>
    <row r="1910" spans="1:8">
      <c r="A1910" t="s">
        <v>3495</v>
      </c>
      <c r="B1910" t="s">
        <v>3496</v>
      </c>
      <c r="E1910" s="1"/>
    </row>
    <row r="1911" spans="1:8">
      <c r="A1911" t="s">
        <v>3497</v>
      </c>
      <c r="B1911" t="s">
        <v>3498</v>
      </c>
      <c r="E1911" s="1"/>
    </row>
    <row r="1912" spans="1:8">
      <c r="B1912" t="s">
        <v>3499</v>
      </c>
      <c r="E1912" s="1"/>
    </row>
    <row r="1913" spans="1:8">
      <c r="A1913" t="s">
        <v>3500</v>
      </c>
      <c r="B1913" t="s">
        <v>3501</v>
      </c>
      <c r="E1913" s="1"/>
    </row>
    <row r="1914" spans="1:8">
      <c r="B1914" t="s">
        <v>3502</v>
      </c>
      <c r="E1914" s="1"/>
    </row>
    <row r="1915" spans="1:8">
      <c r="A1915" t="s">
        <v>3503</v>
      </c>
      <c r="B1915" t="s">
        <v>3504</v>
      </c>
      <c r="E1915" s="1"/>
    </row>
    <row r="1916" spans="1:8">
      <c r="A1916" t="s">
        <v>3505</v>
      </c>
      <c r="B1916" t="s">
        <v>3506</v>
      </c>
      <c r="E1916" s="1"/>
    </row>
    <row r="1917" spans="1:8">
      <c r="A1917" t="s">
        <v>3507</v>
      </c>
      <c r="B1917" t="s">
        <v>3508</v>
      </c>
      <c r="E1917" s="1"/>
    </row>
    <row r="1918" spans="1:8">
      <c r="A1918" t="s">
        <v>3509</v>
      </c>
      <c r="B1918" t="s">
        <v>3510</v>
      </c>
      <c r="E1918" s="1"/>
    </row>
    <row r="1919" spans="1:8">
      <c r="A1919" t="s">
        <v>3511</v>
      </c>
      <c r="B1919" t="s">
        <v>3512</v>
      </c>
      <c r="E1919" s="1"/>
    </row>
    <row r="1920" spans="1:8">
      <c r="A1920" t="s">
        <v>3513</v>
      </c>
      <c r="B1920" t="s">
        <v>3514</v>
      </c>
      <c r="E1920" s="1"/>
    </row>
    <row r="1921" spans="1:5">
      <c r="A1921" t="s">
        <v>3515</v>
      </c>
      <c r="B1921" t="s">
        <v>3516</v>
      </c>
      <c r="E1921" s="1"/>
    </row>
    <row r="1922" spans="1:5">
      <c r="A1922" t="s">
        <v>3517</v>
      </c>
      <c r="B1922" t="s">
        <v>3518</v>
      </c>
      <c r="E1922" s="1"/>
    </row>
    <row r="1923" spans="1:5">
      <c r="A1923" t="s">
        <v>3519</v>
      </c>
      <c r="B1923" t="s">
        <v>3520</v>
      </c>
      <c r="E1923" s="1"/>
    </row>
    <row r="1924" spans="1:5">
      <c r="A1924" t="s">
        <v>3521</v>
      </c>
      <c r="B1924" t="s">
        <v>3522</v>
      </c>
      <c r="E1924" s="1"/>
    </row>
    <row r="1925" spans="1:5">
      <c r="A1925" t="s">
        <v>3523</v>
      </c>
      <c r="B1925" t="s">
        <v>3524</v>
      </c>
      <c r="E1925" s="1"/>
    </row>
    <row r="1926" spans="1:5">
      <c r="A1926" t="s">
        <v>3525</v>
      </c>
      <c r="B1926" t="s">
        <v>3526</v>
      </c>
      <c r="E1926" s="1"/>
    </row>
    <row r="1927" spans="1:5">
      <c r="A1927" t="s">
        <v>3527</v>
      </c>
      <c r="B1927" t="s">
        <v>3528</v>
      </c>
      <c r="E1927" s="1"/>
    </row>
    <row r="1928" spans="1:5">
      <c r="A1928" t="s">
        <v>3529</v>
      </c>
      <c r="B1928" t="s">
        <v>3530</v>
      </c>
      <c r="E1928" s="1"/>
    </row>
    <row r="1929" spans="1:5">
      <c r="A1929" t="s">
        <v>3531</v>
      </c>
      <c r="B1929" t="s">
        <v>3532</v>
      </c>
      <c r="E1929" s="1"/>
    </row>
    <row r="1930" spans="1:5">
      <c r="A1930" t="s">
        <v>3533</v>
      </c>
      <c r="B1930" t="s">
        <v>3534</v>
      </c>
      <c r="E1930" s="1"/>
    </row>
    <row r="1931" spans="1:5">
      <c r="A1931" t="s">
        <v>3535</v>
      </c>
      <c r="B1931" t="s">
        <v>3536</v>
      </c>
      <c r="E1931" s="1"/>
    </row>
    <row r="1932" spans="1:5">
      <c r="A1932" t="s">
        <v>3537</v>
      </c>
      <c r="B1932" t="s">
        <v>3538</v>
      </c>
      <c r="E1932" s="1"/>
    </row>
    <row r="1933" spans="1:5">
      <c r="A1933" t="s">
        <v>3539</v>
      </c>
      <c r="B1933" t="s">
        <v>3540</v>
      </c>
      <c r="E1933" s="1"/>
    </row>
    <row r="1934" spans="1:5">
      <c r="A1934" t="s">
        <v>3541</v>
      </c>
      <c r="B1934" t="s">
        <v>3542</v>
      </c>
      <c r="E1934" s="1"/>
    </row>
    <row r="1935" spans="1:5">
      <c r="A1935" t="s">
        <v>3543</v>
      </c>
      <c r="B1935" t="s">
        <v>3544</v>
      </c>
      <c r="E1935" s="1"/>
    </row>
    <row r="1936" spans="1:5">
      <c r="A1936" t="s">
        <v>3545</v>
      </c>
      <c r="B1936" t="s">
        <v>3546</v>
      </c>
      <c r="E1936" s="1"/>
    </row>
    <row r="1937" spans="1:5">
      <c r="A1937" t="s">
        <v>3547</v>
      </c>
      <c r="B1937" t="s">
        <v>3548</v>
      </c>
      <c r="E1937" s="1"/>
    </row>
    <row r="1938" spans="1:5">
      <c r="A1938" t="s">
        <v>3549</v>
      </c>
      <c r="B1938" t="s">
        <v>3550</v>
      </c>
      <c r="E1938" s="1"/>
    </row>
    <row r="1939" spans="1:5">
      <c r="B1939" t="s">
        <v>3551</v>
      </c>
      <c r="E1939" s="1"/>
    </row>
    <row r="1940" spans="1:5">
      <c r="B1940" t="s">
        <v>3552</v>
      </c>
      <c r="E1940" s="1"/>
    </row>
    <row r="1941" spans="1:5">
      <c r="A1941" t="s">
        <v>3553</v>
      </c>
      <c r="B1941" t="s">
        <v>3554</v>
      </c>
      <c r="E1941" s="1"/>
    </row>
    <row r="1942" spans="1:5">
      <c r="A1942" t="s">
        <v>3555</v>
      </c>
      <c r="B1942" t="s">
        <v>3556</v>
      </c>
      <c r="E1942" s="1"/>
    </row>
    <row r="1943" spans="1:5">
      <c r="A1943" t="s">
        <v>3557</v>
      </c>
      <c r="B1943" t="s">
        <v>3558</v>
      </c>
      <c r="E1943" s="1"/>
    </row>
    <row r="1944" spans="1:5">
      <c r="A1944" t="s">
        <v>3559</v>
      </c>
      <c r="B1944" t="s">
        <v>3560</v>
      </c>
      <c r="E1944" s="1"/>
    </row>
    <row r="1945" spans="1:5">
      <c r="A1945" t="s">
        <v>3561</v>
      </c>
      <c r="B1945" t="s">
        <v>3562</v>
      </c>
      <c r="E1945" s="1"/>
    </row>
    <row r="1946" spans="1:5">
      <c r="A1946" t="s">
        <v>3563</v>
      </c>
      <c r="B1946" t="s">
        <v>3564</v>
      </c>
      <c r="E1946" s="1"/>
    </row>
    <row r="1947" spans="1:5">
      <c r="A1947" t="s">
        <v>3565</v>
      </c>
      <c r="B1947" t="s">
        <v>3566</v>
      </c>
      <c r="E1947" s="1"/>
    </row>
    <row r="1948" spans="1:5">
      <c r="A1948" t="s">
        <v>3567</v>
      </c>
      <c r="B1948" t="s">
        <v>3568</v>
      </c>
      <c r="E1948" s="1"/>
    </row>
    <row r="1949" spans="1:5">
      <c r="A1949" t="s">
        <v>3569</v>
      </c>
      <c r="B1949" t="s">
        <v>3570</v>
      </c>
      <c r="E1949" s="1"/>
    </row>
    <row r="1950" spans="1:5">
      <c r="A1950" t="s">
        <v>3571</v>
      </c>
      <c r="B1950" t="s">
        <v>3572</v>
      </c>
      <c r="E1950" s="1"/>
    </row>
    <row r="1951" spans="1:5">
      <c r="A1951" t="s">
        <v>3573</v>
      </c>
      <c r="B1951" t="s">
        <v>3574</v>
      </c>
      <c r="E1951" s="1"/>
    </row>
    <row r="1952" spans="1:5">
      <c r="A1952" t="s">
        <v>3575</v>
      </c>
      <c r="B1952" t="s">
        <v>3576</v>
      </c>
      <c r="E1952" s="1"/>
    </row>
    <row r="1953" spans="1:8">
      <c r="A1953" t="s">
        <v>3577</v>
      </c>
      <c r="B1953" t="s">
        <v>3578</v>
      </c>
      <c r="E1953" s="1"/>
    </row>
    <row r="1954" spans="1:8">
      <c r="A1954" t="s">
        <v>3579</v>
      </c>
      <c r="B1954" t="s">
        <v>3580</v>
      </c>
      <c r="C1954" s="1" t="s">
        <v>3581</v>
      </c>
      <c r="D1954" s="1"/>
      <c r="E1954" s="1" t="str">
        <f t="shared" ref="E1954:E1976" si="152">HYPERLINK("https://www.kegg.jp/dbget-bin/www_bget?ec:" &amp; C1954, "https://www.kegg.jp/dbget-bin/www_bget?ec:" &amp; C1954)</f>
        <v>https://www.kegg.jp/dbget-bin/www_bget?ec:3.5.1.25</v>
      </c>
      <c r="F1954" s="1" t="s">
        <v>9891</v>
      </c>
      <c r="G1954" s="10" t="s">
        <v>10877</v>
      </c>
      <c r="H1954" s="13" t="s">
        <v>10878</v>
      </c>
    </row>
    <row r="1955" spans="1:8">
      <c r="A1955" t="s">
        <v>3582</v>
      </c>
      <c r="B1955" t="s">
        <v>3583</v>
      </c>
      <c r="E1955" s="1"/>
    </row>
    <row r="1956" spans="1:8">
      <c r="A1956" t="s">
        <v>3584</v>
      </c>
      <c r="B1956" t="s">
        <v>3585</v>
      </c>
      <c r="E1956" s="1"/>
    </row>
    <row r="1957" spans="1:8">
      <c r="A1957" t="s">
        <v>3586</v>
      </c>
      <c r="B1957" t="s">
        <v>3587</v>
      </c>
      <c r="E1957" s="1"/>
    </row>
    <row r="1958" spans="1:8">
      <c r="A1958" t="s">
        <v>3588</v>
      </c>
      <c r="B1958" t="s">
        <v>3589</v>
      </c>
      <c r="E1958" s="1"/>
    </row>
    <row r="1959" spans="1:8">
      <c r="A1959" t="s">
        <v>3590</v>
      </c>
      <c r="B1959" t="s">
        <v>3591</v>
      </c>
      <c r="E1959" s="1"/>
    </row>
    <row r="1960" spans="1:8">
      <c r="A1960" t="s">
        <v>3592</v>
      </c>
      <c r="B1960" t="s">
        <v>3593</v>
      </c>
      <c r="E1960" s="1"/>
    </row>
    <row r="1961" spans="1:8">
      <c r="A1961" t="s">
        <v>3594</v>
      </c>
      <c r="B1961" t="s">
        <v>3595</v>
      </c>
      <c r="E1961" s="1"/>
    </row>
    <row r="1962" spans="1:8">
      <c r="A1962" t="s">
        <v>3596</v>
      </c>
      <c r="B1962" t="s">
        <v>3597</v>
      </c>
      <c r="E1962" s="1"/>
    </row>
    <row r="1963" spans="1:8">
      <c r="A1963" t="s">
        <v>3598</v>
      </c>
      <c r="B1963" t="s">
        <v>3599</v>
      </c>
      <c r="E1963" s="1"/>
    </row>
    <row r="1964" spans="1:8">
      <c r="A1964" t="s">
        <v>3600</v>
      </c>
      <c r="B1964" t="s">
        <v>3601</v>
      </c>
      <c r="E1964" s="1"/>
    </row>
    <row r="1965" spans="1:8">
      <c r="A1965" t="s">
        <v>3602</v>
      </c>
      <c r="B1965" t="s">
        <v>3603</v>
      </c>
      <c r="E1965" s="1"/>
    </row>
    <row r="1966" spans="1:8">
      <c r="A1966" t="s">
        <v>3604</v>
      </c>
      <c r="B1966" t="s">
        <v>3605</v>
      </c>
      <c r="E1966" s="1"/>
    </row>
    <row r="1967" spans="1:8">
      <c r="A1967" t="s">
        <v>3606</v>
      </c>
      <c r="B1967" t="s">
        <v>3607</v>
      </c>
      <c r="E1967" s="1"/>
    </row>
    <row r="1968" spans="1:8">
      <c r="A1968" t="s">
        <v>3608</v>
      </c>
      <c r="B1968" t="s">
        <v>3609</v>
      </c>
      <c r="E1968" s="1"/>
    </row>
    <row r="1969" spans="1:8">
      <c r="A1969" t="s">
        <v>3610</v>
      </c>
      <c r="B1969" t="s">
        <v>3611</v>
      </c>
      <c r="E1969" s="1"/>
    </row>
    <row r="1970" spans="1:8">
      <c r="A1970" t="s">
        <v>3612</v>
      </c>
      <c r="B1970" t="s">
        <v>3613</v>
      </c>
      <c r="E1970" s="1"/>
    </row>
    <row r="1971" spans="1:8">
      <c r="A1971" t="s">
        <v>3614</v>
      </c>
      <c r="B1971" t="s">
        <v>3615</v>
      </c>
      <c r="E1971" s="1"/>
    </row>
    <row r="1972" spans="1:8">
      <c r="A1972" t="s">
        <v>3616</v>
      </c>
      <c r="B1972" t="s">
        <v>3617</v>
      </c>
      <c r="E1972" s="1"/>
    </row>
    <row r="1973" spans="1:8">
      <c r="A1973" t="s">
        <v>3618</v>
      </c>
      <c r="B1973" t="s">
        <v>3619</v>
      </c>
      <c r="E1973" s="1"/>
    </row>
    <row r="1974" spans="1:8">
      <c r="A1974" t="s">
        <v>3620</v>
      </c>
      <c r="B1974" t="s">
        <v>3621</v>
      </c>
      <c r="E1974" s="1"/>
    </row>
    <row r="1975" spans="1:8">
      <c r="A1975" t="s">
        <v>3622</v>
      </c>
      <c r="B1975" t="s">
        <v>3623</v>
      </c>
      <c r="E1975" s="1"/>
    </row>
    <row r="1976" spans="1:8">
      <c r="A1976" t="s">
        <v>3624</v>
      </c>
      <c r="B1976" t="s">
        <v>3625</v>
      </c>
      <c r="C1976" s="1" t="s">
        <v>3626</v>
      </c>
      <c r="D1976" s="1"/>
      <c r="E1976" s="1" t="str">
        <f t="shared" si="152"/>
        <v>https://www.kegg.jp/dbget-bin/www_bget?ec:4.1.1.21</v>
      </c>
      <c r="F1976" s="1" t="s">
        <v>9895</v>
      </c>
      <c r="G1976" s="10" t="s">
        <v>9896</v>
      </c>
      <c r="H1976" s="13" t="s">
        <v>10879</v>
      </c>
    </row>
    <row r="1977" spans="1:8">
      <c r="A1977" t="s">
        <v>3624</v>
      </c>
      <c r="B1977" t="s">
        <v>3625</v>
      </c>
      <c r="C1977" s="1" t="s">
        <v>3627</v>
      </c>
      <c r="D1977" s="1"/>
      <c r="E1977" s="1" t="str">
        <f t="shared" ref="E1977:E2037" si="153">HYPERLINK("https://www.kegg.jp/dbget-bin/www_bget?ec:" &amp; C1977, "https://www.kegg.jp/dbget-bin/www_bget?ec:" &amp; C1977)</f>
        <v>https://www.kegg.jp/dbget-bin/www_bget?ec:5.4.99.18</v>
      </c>
      <c r="F1977" t="s">
        <v>9898</v>
      </c>
      <c r="G1977" s="10" t="s">
        <v>9899</v>
      </c>
      <c r="H1977" s="13" t="s">
        <v>9900</v>
      </c>
    </row>
    <row r="1978" spans="1:8">
      <c r="A1978" t="s">
        <v>3628</v>
      </c>
      <c r="B1978" t="s">
        <v>3629</v>
      </c>
      <c r="E1978" s="1"/>
    </row>
    <row r="1979" spans="1:8">
      <c r="A1979" t="s">
        <v>3630</v>
      </c>
      <c r="B1979" t="s">
        <v>3631</v>
      </c>
      <c r="E1979" s="1"/>
    </row>
    <row r="1980" spans="1:8">
      <c r="A1980" t="s">
        <v>3632</v>
      </c>
      <c r="B1980" t="s">
        <v>3633</v>
      </c>
      <c r="E1980" s="1"/>
    </row>
    <row r="1981" spans="1:8">
      <c r="A1981" t="s">
        <v>3634</v>
      </c>
      <c r="B1981" t="s">
        <v>3635</v>
      </c>
      <c r="C1981" s="1" t="s">
        <v>3636</v>
      </c>
      <c r="D1981" s="1"/>
      <c r="E1981" s="1" t="str">
        <f t="shared" ref="E1981" si="154">HYPERLINK("https://www.kegg.jp/dbget-bin/www_bget?ec:" &amp; C1981, "https://www.kegg.jp/dbget-bin/www_bget?ec:" &amp; C1981)</f>
        <v>https://www.kegg.jp/dbget-bin/www_bget?ec:3.6.1.23</v>
      </c>
      <c r="F1981" t="s">
        <v>9901</v>
      </c>
      <c r="G1981" s="10" t="s">
        <v>10880</v>
      </c>
      <c r="H1981" s="13" t="s">
        <v>10881</v>
      </c>
    </row>
    <row r="1982" spans="1:8">
      <c r="A1982" t="s">
        <v>3634</v>
      </c>
      <c r="B1982" t="s">
        <v>3635</v>
      </c>
      <c r="C1982" s="1" t="s">
        <v>3636</v>
      </c>
      <c r="D1982" s="1"/>
      <c r="E1982" s="1" t="str">
        <f t="shared" si="153"/>
        <v>https://www.kegg.jp/dbget-bin/www_bget?ec:3.6.1.23</v>
      </c>
      <c r="F1982" t="s">
        <v>9901</v>
      </c>
      <c r="G1982" s="21" t="s">
        <v>10882</v>
      </c>
      <c r="H1982" s="13" t="s">
        <v>10883</v>
      </c>
    </row>
    <row r="1983" spans="1:8">
      <c r="A1983" t="s">
        <v>3637</v>
      </c>
      <c r="B1983" t="s">
        <v>3638</v>
      </c>
      <c r="E1983" s="1"/>
    </row>
    <row r="1984" spans="1:8">
      <c r="A1984" t="s">
        <v>3639</v>
      </c>
      <c r="B1984" t="s">
        <v>3640</v>
      </c>
      <c r="E1984" s="1"/>
    </row>
    <row r="1985" spans="1:8">
      <c r="A1985" t="s">
        <v>3641</v>
      </c>
      <c r="B1985" t="s">
        <v>3642</v>
      </c>
      <c r="E1985" s="1"/>
    </row>
    <row r="1986" spans="1:8">
      <c r="A1986" t="s">
        <v>3643</v>
      </c>
      <c r="B1986" t="s">
        <v>3644</v>
      </c>
      <c r="E1986" s="1"/>
    </row>
    <row r="1987" spans="1:8">
      <c r="A1987" t="s">
        <v>3645</v>
      </c>
      <c r="B1987" t="s">
        <v>3646</v>
      </c>
      <c r="E1987" s="1"/>
    </row>
    <row r="1988" spans="1:8">
      <c r="A1988" t="s">
        <v>3647</v>
      </c>
      <c r="B1988" t="s">
        <v>3648</v>
      </c>
      <c r="E1988" s="1"/>
    </row>
    <row r="1989" spans="1:8">
      <c r="A1989" t="s">
        <v>3649</v>
      </c>
      <c r="B1989" t="s">
        <v>3650</v>
      </c>
      <c r="E1989" s="1"/>
    </row>
    <row r="1990" spans="1:8">
      <c r="A1990" t="s">
        <v>3651</v>
      </c>
      <c r="B1990" t="s">
        <v>3652</v>
      </c>
      <c r="E1990" s="1"/>
    </row>
    <row r="1991" spans="1:8">
      <c r="A1991" t="s">
        <v>3653</v>
      </c>
      <c r="B1991" t="s">
        <v>3654</v>
      </c>
      <c r="E1991" s="1"/>
    </row>
    <row r="1992" spans="1:8">
      <c r="A1992" t="s">
        <v>3655</v>
      </c>
      <c r="B1992" t="s">
        <v>3656</v>
      </c>
      <c r="E1992" s="1"/>
    </row>
    <row r="1993" spans="1:8">
      <c r="A1993" t="s">
        <v>3657</v>
      </c>
      <c r="B1993" t="s">
        <v>3658</v>
      </c>
      <c r="C1993" s="1" t="s">
        <v>3659</v>
      </c>
      <c r="D1993" s="1"/>
      <c r="E1993" s="1" t="str">
        <f t="shared" ref="E1993" si="155">HYPERLINK("https://www.kegg.jp/dbget-bin/www_bget?ec:" &amp; C1993, "https://www.kegg.jp/dbget-bin/www_bget?ec:" &amp; C1993)</f>
        <v>https://www.kegg.jp/dbget-bin/www_bget?ec:5.3.1.12</v>
      </c>
      <c r="F1993" s="1" t="s">
        <v>9906</v>
      </c>
      <c r="G1993" s="10" t="s">
        <v>9909</v>
      </c>
      <c r="H1993" s="1" t="s">
        <v>9910</v>
      </c>
    </row>
    <row r="1994" spans="1:8">
      <c r="A1994" t="s">
        <v>3657</v>
      </c>
      <c r="B1994" t="s">
        <v>3658</v>
      </c>
      <c r="C1994" s="1" t="s">
        <v>3659</v>
      </c>
      <c r="D1994" s="1"/>
      <c r="E1994" s="1" t="str">
        <f t="shared" si="153"/>
        <v>https://www.kegg.jp/dbget-bin/www_bget?ec:5.3.1.12</v>
      </c>
      <c r="F1994" s="1" t="s">
        <v>9906</v>
      </c>
      <c r="G1994" s="10" t="s">
        <v>9907</v>
      </c>
      <c r="H1994" s="1" t="s">
        <v>9908</v>
      </c>
    </row>
    <row r="1995" spans="1:8">
      <c r="A1995" t="s">
        <v>3660</v>
      </c>
      <c r="B1995" t="s">
        <v>3661</v>
      </c>
      <c r="E1995" s="1"/>
    </row>
    <row r="1996" spans="1:8">
      <c r="A1996" t="s">
        <v>3662</v>
      </c>
      <c r="B1996" t="s">
        <v>3663</v>
      </c>
      <c r="E1996" s="1"/>
    </row>
    <row r="1997" spans="1:8">
      <c r="A1997" t="s">
        <v>3664</v>
      </c>
      <c r="B1997" t="s">
        <v>3665</v>
      </c>
      <c r="E1997" s="1"/>
    </row>
    <row r="1998" spans="1:8">
      <c r="A1998" t="s">
        <v>3666</v>
      </c>
      <c r="B1998" t="s">
        <v>3667</v>
      </c>
      <c r="E1998" s="1"/>
    </row>
    <row r="1999" spans="1:8">
      <c r="B1999" t="s">
        <v>3668</v>
      </c>
      <c r="E1999" s="1"/>
    </row>
    <row r="2000" spans="1:8">
      <c r="A2000" t="s">
        <v>3669</v>
      </c>
      <c r="B2000" t="s">
        <v>3670</v>
      </c>
      <c r="E2000" s="1"/>
    </row>
    <row r="2001" spans="1:8">
      <c r="A2001" t="s">
        <v>3671</v>
      </c>
      <c r="B2001" t="s">
        <v>3672</v>
      </c>
      <c r="E2001" s="1"/>
    </row>
    <row r="2002" spans="1:8">
      <c r="A2002" t="s">
        <v>3673</v>
      </c>
      <c r="B2002" t="s">
        <v>3674</v>
      </c>
      <c r="E2002" s="1"/>
    </row>
    <row r="2003" spans="1:8">
      <c r="B2003" t="s">
        <v>3675</v>
      </c>
      <c r="E2003" s="1"/>
    </row>
    <row r="2004" spans="1:8">
      <c r="A2004" t="s">
        <v>3676</v>
      </c>
      <c r="B2004" t="s">
        <v>3677</v>
      </c>
      <c r="E2004" s="1"/>
    </row>
    <row r="2005" spans="1:8">
      <c r="A2005" t="s">
        <v>3678</v>
      </c>
      <c r="B2005" t="s">
        <v>3679</v>
      </c>
      <c r="E2005" s="1"/>
    </row>
    <row r="2006" spans="1:8">
      <c r="A2006" t="s">
        <v>3680</v>
      </c>
      <c r="B2006" t="s">
        <v>3681</v>
      </c>
      <c r="E2006" s="1"/>
    </row>
    <row r="2007" spans="1:8">
      <c r="A2007" t="s">
        <v>3682</v>
      </c>
      <c r="B2007" t="s">
        <v>3683</v>
      </c>
      <c r="E2007" s="1"/>
    </row>
    <row r="2008" spans="1:8">
      <c r="A2008" t="s">
        <v>3684</v>
      </c>
      <c r="B2008" t="s">
        <v>3685</v>
      </c>
      <c r="E2008" s="1"/>
    </row>
    <row r="2009" spans="1:8">
      <c r="A2009" t="s">
        <v>3686</v>
      </c>
      <c r="B2009" t="s">
        <v>3687</v>
      </c>
      <c r="E2009" s="1"/>
    </row>
    <row r="2010" spans="1:8">
      <c r="A2010" t="s">
        <v>3688</v>
      </c>
      <c r="B2010" t="s">
        <v>3689</v>
      </c>
      <c r="E2010" s="1"/>
    </row>
    <row r="2011" spans="1:8">
      <c r="A2011" t="s">
        <v>3690</v>
      </c>
      <c r="B2011" t="s">
        <v>3691</v>
      </c>
      <c r="E2011" s="1"/>
    </row>
    <row r="2012" spans="1:8">
      <c r="A2012" t="s">
        <v>3692</v>
      </c>
      <c r="B2012" t="s">
        <v>3693</v>
      </c>
      <c r="C2012" s="1" t="s">
        <v>3694</v>
      </c>
      <c r="D2012" s="1"/>
      <c r="E2012" s="1" t="str">
        <f t="shared" si="153"/>
        <v>https://www.kegg.jp/dbget-bin/www_bget?ec:6.1.1.14</v>
      </c>
      <c r="F2012" t="s">
        <v>9911</v>
      </c>
      <c r="G2012" s="10" t="s">
        <v>10884</v>
      </c>
      <c r="H2012" s="13" t="s">
        <v>10885</v>
      </c>
    </row>
    <row r="2013" spans="1:8">
      <c r="A2013" t="s">
        <v>3695</v>
      </c>
      <c r="B2013" t="s">
        <v>3696</v>
      </c>
      <c r="E2013" s="1"/>
    </row>
    <row r="2014" spans="1:8">
      <c r="A2014" t="s">
        <v>3697</v>
      </c>
      <c r="B2014" t="s">
        <v>3698</v>
      </c>
      <c r="E2014" s="1"/>
    </row>
    <row r="2015" spans="1:8">
      <c r="A2015" t="s">
        <v>3699</v>
      </c>
      <c r="B2015" t="s">
        <v>3700</v>
      </c>
      <c r="E2015" s="1"/>
    </row>
    <row r="2016" spans="1:8">
      <c r="B2016" t="s">
        <v>3701</v>
      </c>
      <c r="E2016" s="1"/>
    </row>
    <row r="2017" spans="1:5">
      <c r="A2017" t="s">
        <v>3702</v>
      </c>
      <c r="B2017" t="s">
        <v>3703</v>
      </c>
      <c r="E2017" s="1"/>
    </row>
    <row r="2018" spans="1:5">
      <c r="A2018" t="s">
        <v>3704</v>
      </c>
      <c r="B2018" t="s">
        <v>3705</v>
      </c>
      <c r="E2018" s="1"/>
    </row>
    <row r="2019" spans="1:5">
      <c r="A2019" t="s">
        <v>3706</v>
      </c>
      <c r="B2019" t="s">
        <v>3707</v>
      </c>
      <c r="E2019" s="1"/>
    </row>
    <row r="2020" spans="1:5">
      <c r="A2020" t="s">
        <v>3708</v>
      </c>
      <c r="B2020" t="s">
        <v>3709</v>
      </c>
      <c r="E2020" s="1"/>
    </row>
    <row r="2021" spans="1:5">
      <c r="A2021" t="s">
        <v>3710</v>
      </c>
      <c r="B2021" t="s">
        <v>3711</v>
      </c>
      <c r="E2021" s="1"/>
    </row>
    <row r="2022" spans="1:5">
      <c r="A2022" t="s">
        <v>3712</v>
      </c>
      <c r="B2022" t="s">
        <v>3713</v>
      </c>
      <c r="E2022" s="1"/>
    </row>
    <row r="2023" spans="1:5">
      <c r="A2023" t="s">
        <v>3714</v>
      </c>
      <c r="B2023" t="s">
        <v>3715</v>
      </c>
      <c r="E2023" s="1"/>
    </row>
    <row r="2024" spans="1:5">
      <c r="A2024" t="s">
        <v>3716</v>
      </c>
      <c r="B2024" t="s">
        <v>3717</v>
      </c>
      <c r="E2024" s="1"/>
    </row>
    <row r="2025" spans="1:5">
      <c r="A2025" t="s">
        <v>3718</v>
      </c>
      <c r="B2025" t="s">
        <v>3719</v>
      </c>
      <c r="E2025" s="1"/>
    </row>
    <row r="2026" spans="1:5">
      <c r="A2026" t="s">
        <v>3720</v>
      </c>
      <c r="B2026" t="s">
        <v>3721</v>
      </c>
      <c r="E2026" s="1"/>
    </row>
    <row r="2027" spans="1:5">
      <c r="A2027" t="s">
        <v>3722</v>
      </c>
      <c r="B2027" t="s">
        <v>3723</v>
      </c>
      <c r="E2027" s="1"/>
    </row>
    <row r="2028" spans="1:5">
      <c r="A2028" t="s">
        <v>3724</v>
      </c>
      <c r="B2028" t="s">
        <v>3725</v>
      </c>
      <c r="E2028" s="1"/>
    </row>
    <row r="2029" spans="1:5">
      <c r="A2029" t="s">
        <v>3726</v>
      </c>
      <c r="B2029" t="s">
        <v>3727</v>
      </c>
      <c r="E2029" s="1"/>
    </row>
    <row r="2030" spans="1:5">
      <c r="A2030" t="s">
        <v>3728</v>
      </c>
      <c r="B2030" t="s">
        <v>3729</v>
      </c>
      <c r="E2030" s="1"/>
    </row>
    <row r="2031" spans="1:5">
      <c r="A2031" t="s">
        <v>3730</v>
      </c>
      <c r="B2031" t="s">
        <v>3731</v>
      </c>
      <c r="E2031" s="1"/>
    </row>
    <row r="2032" spans="1:5">
      <c r="A2032" t="s">
        <v>3732</v>
      </c>
      <c r="B2032" t="s">
        <v>3733</v>
      </c>
      <c r="E2032" s="1"/>
    </row>
    <row r="2033" spans="1:8">
      <c r="A2033" t="s">
        <v>3734</v>
      </c>
      <c r="B2033" t="s">
        <v>3735</v>
      </c>
      <c r="E2033" s="1"/>
    </row>
    <row r="2034" spans="1:8">
      <c r="A2034" t="s">
        <v>3736</v>
      </c>
      <c r="B2034" t="s">
        <v>3737</v>
      </c>
      <c r="E2034" s="1"/>
    </row>
    <row r="2035" spans="1:8">
      <c r="A2035" t="s">
        <v>3738</v>
      </c>
      <c r="B2035" t="s">
        <v>3739</v>
      </c>
      <c r="E2035" s="1"/>
    </row>
    <row r="2036" spans="1:8">
      <c r="A2036" t="s">
        <v>3740</v>
      </c>
      <c r="B2036" t="s">
        <v>3741</v>
      </c>
      <c r="E2036" s="1"/>
    </row>
    <row r="2037" spans="1:8">
      <c r="A2037" t="s">
        <v>3742</v>
      </c>
      <c r="B2037" t="s">
        <v>3743</v>
      </c>
      <c r="C2037" s="1" t="s">
        <v>3744</v>
      </c>
      <c r="D2037" s="1"/>
      <c r="E2037" s="1" t="str">
        <f t="shared" si="153"/>
        <v>https://www.kegg.jp/dbget-bin/www_bget?ec:1.2.1.11</v>
      </c>
      <c r="F2037" t="s">
        <v>9914</v>
      </c>
      <c r="G2037" s="10" t="s">
        <v>10886</v>
      </c>
      <c r="H2037" s="13" t="s">
        <v>10887</v>
      </c>
    </row>
    <row r="2038" spans="1:8">
      <c r="A2038" t="s">
        <v>3745</v>
      </c>
      <c r="B2038" t="s">
        <v>3746</v>
      </c>
      <c r="E2038" s="1"/>
    </row>
    <row r="2039" spans="1:8">
      <c r="A2039" t="s">
        <v>3747</v>
      </c>
      <c r="B2039" t="s">
        <v>3748</v>
      </c>
      <c r="E2039" s="1"/>
    </row>
    <row r="2040" spans="1:8">
      <c r="A2040" t="s">
        <v>3749</v>
      </c>
      <c r="B2040" t="s">
        <v>3750</v>
      </c>
      <c r="E2040" s="1"/>
    </row>
    <row r="2041" spans="1:8">
      <c r="A2041" t="s">
        <v>3751</v>
      </c>
      <c r="B2041" t="s">
        <v>3752</v>
      </c>
      <c r="E2041" s="1"/>
    </row>
    <row r="2042" spans="1:8">
      <c r="A2042" t="s">
        <v>3753</v>
      </c>
      <c r="B2042" t="s">
        <v>3754</v>
      </c>
      <c r="E2042" s="1"/>
    </row>
    <row r="2043" spans="1:8">
      <c r="A2043" t="s">
        <v>3755</v>
      </c>
      <c r="B2043" t="s">
        <v>3756</v>
      </c>
      <c r="E2043" s="1"/>
    </row>
    <row r="2044" spans="1:8">
      <c r="A2044" t="s">
        <v>3757</v>
      </c>
      <c r="B2044" t="s">
        <v>3758</v>
      </c>
      <c r="E2044" s="1"/>
    </row>
    <row r="2045" spans="1:8">
      <c r="A2045" t="s">
        <v>3759</v>
      </c>
      <c r="B2045" t="s">
        <v>3760</v>
      </c>
      <c r="E2045" s="1"/>
    </row>
    <row r="2046" spans="1:8">
      <c r="B2046" t="s">
        <v>3761</v>
      </c>
      <c r="E2046" s="1"/>
    </row>
    <row r="2047" spans="1:8">
      <c r="B2047" t="s">
        <v>3762</v>
      </c>
      <c r="E2047" s="1"/>
    </row>
    <row r="2048" spans="1:8">
      <c r="A2048" t="s">
        <v>3763</v>
      </c>
      <c r="B2048" t="s">
        <v>3764</v>
      </c>
      <c r="E2048" s="1"/>
    </row>
    <row r="2049" spans="1:6">
      <c r="A2049" t="s">
        <v>3765</v>
      </c>
      <c r="B2049" t="s">
        <v>3766</v>
      </c>
      <c r="E2049" s="1"/>
    </row>
    <row r="2050" spans="1:6">
      <c r="A2050" t="s">
        <v>3767</v>
      </c>
      <c r="B2050" t="s">
        <v>3768</v>
      </c>
      <c r="E2050" s="1"/>
    </row>
    <row r="2051" spans="1:6">
      <c r="A2051" t="s">
        <v>3769</v>
      </c>
      <c r="B2051" t="s">
        <v>3770</v>
      </c>
      <c r="E2051" s="1"/>
    </row>
    <row r="2052" spans="1:6">
      <c r="A2052" t="s">
        <v>3771</v>
      </c>
      <c r="B2052" t="s">
        <v>3772</v>
      </c>
      <c r="E2052" s="1"/>
    </row>
    <row r="2053" spans="1:6">
      <c r="A2053" t="s">
        <v>3773</v>
      </c>
      <c r="B2053" t="s">
        <v>3774</v>
      </c>
      <c r="C2053" s="1" t="s">
        <v>3775</v>
      </c>
      <c r="D2053" s="1"/>
      <c r="E2053" s="1" t="str">
        <f t="shared" ref="E2053:E2108" si="156">HYPERLINK("https://www.kegg.jp/dbget-bin/www_bget?ec:" &amp; C2053, "https://www.kegg.jp/dbget-bin/www_bget?ec:" &amp; C2053)</f>
        <v>https://www.kegg.jp/dbget-bin/www_bget?ec:3.1.25.-</v>
      </c>
      <c r="F2053" t="s">
        <v>9917</v>
      </c>
    </row>
    <row r="2054" spans="1:6">
      <c r="A2054" t="s">
        <v>3776</v>
      </c>
      <c r="B2054" t="s">
        <v>3777</v>
      </c>
      <c r="E2054" s="1"/>
    </row>
    <row r="2055" spans="1:6">
      <c r="A2055" t="s">
        <v>3778</v>
      </c>
      <c r="B2055" t="s">
        <v>3779</v>
      </c>
      <c r="E2055" s="1"/>
    </row>
    <row r="2056" spans="1:6">
      <c r="A2056" t="s">
        <v>3780</v>
      </c>
      <c r="B2056" t="s">
        <v>3781</v>
      </c>
      <c r="E2056" s="1"/>
    </row>
    <row r="2057" spans="1:6">
      <c r="A2057" t="s">
        <v>3782</v>
      </c>
      <c r="B2057" t="s">
        <v>3783</v>
      </c>
      <c r="E2057" s="1"/>
    </row>
    <row r="2058" spans="1:6">
      <c r="A2058" t="s">
        <v>3784</v>
      </c>
      <c r="B2058" t="s">
        <v>3785</v>
      </c>
      <c r="E2058" s="1"/>
    </row>
    <row r="2059" spans="1:6">
      <c r="A2059" t="s">
        <v>3786</v>
      </c>
      <c r="B2059" t="s">
        <v>3787</v>
      </c>
      <c r="E2059" s="1"/>
    </row>
    <row r="2060" spans="1:6">
      <c r="A2060" t="s">
        <v>3788</v>
      </c>
      <c r="B2060" t="s">
        <v>3789</v>
      </c>
      <c r="E2060" s="1"/>
    </row>
    <row r="2061" spans="1:6">
      <c r="A2061" t="s">
        <v>3790</v>
      </c>
      <c r="B2061" t="s">
        <v>3791</v>
      </c>
      <c r="E2061" s="1"/>
    </row>
    <row r="2062" spans="1:6">
      <c r="A2062" t="s">
        <v>3792</v>
      </c>
      <c r="B2062" t="s">
        <v>3793</v>
      </c>
      <c r="E2062" s="1"/>
    </row>
    <row r="2063" spans="1:6">
      <c r="A2063" t="s">
        <v>3794</v>
      </c>
      <c r="B2063" t="s">
        <v>3795</v>
      </c>
      <c r="E2063" s="1"/>
    </row>
    <row r="2064" spans="1:6">
      <c r="A2064" t="s">
        <v>3796</v>
      </c>
      <c r="B2064" t="s">
        <v>3797</v>
      </c>
      <c r="E2064" s="1"/>
    </row>
    <row r="2065" spans="1:8">
      <c r="A2065" t="s">
        <v>3798</v>
      </c>
      <c r="B2065" t="s">
        <v>3799</v>
      </c>
      <c r="E2065" s="1"/>
    </row>
    <row r="2066" spans="1:8">
      <c r="B2066" t="s">
        <v>3800</v>
      </c>
      <c r="E2066" s="1"/>
    </row>
    <row r="2067" spans="1:8">
      <c r="B2067" t="s">
        <v>3801</v>
      </c>
      <c r="E2067" s="1"/>
    </row>
    <row r="2068" spans="1:8">
      <c r="A2068" t="s">
        <v>3802</v>
      </c>
      <c r="B2068" t="s">
        <v>3803</v>
      </c>
      <c r="E2068" s="1"/>
    </row>
    <row r="2069" spans="1:8">
      <c r="A2069" t="s">
        <v>3804</v>
      </c>
      <c r="B2069" t="s">
        <v>3805</v>
      </c>
      <c r="E2069" s="1"/>
    </row>
    <row r="2070" spans="1:8">
      <c r="A2070" t="s">
        <v>3806</v>
      </c>
      <c r="B2070" t="s">
        <v>3807</v>
      </c>
      <c r="E2070" s="1"/>
    </row>
    <row r="2071" spans="1:8">
      <c r="A2071" t="s">
        <v>3808</v>
      </c>
      <c r="B2071" t="s">
        <v>3809</v>
      </c>
      <c r="C2071" s="1" t="s">
        <v>3810</v>
      </c>
      <c r="D2071" s="1"/>
      <c r="E2071" s="1" t="str">
        <f t="shared" si="156"/>
        <v>https://www.kegg.jp/dbget-bin/www_bget?ec:4.2.1.10</v>
      </c>
      <c r="F2071" t="s">
        <v>9918</v>
      </c>
      <c r="G2071" s="10" t="s">
        <v>9919</v>
      </c>
      <c r="H2071" s="13" t="s">
        <v>10888</v>
      </c>
    </row>
    <row r="2072" spans="1:8">
      <c r="A2072" t="s">
        <v>3811</v>
      </c>
      <c r="B2072" t="s">
        <v>3812</v>
      </c>
      <c r="C2072" s="25" t="s">
        <v>3813</v>
      </c>
      <c r="D2072" s="25"/>
      <c r="E2072" s="25" t="str">
        <f t="shared" ref="E2072" si="157">HYPERLINK("https://www.kegg.jp/dbget-bin/www_bget?ec:" &amp; C2072, "https://www.kegg.jp/dbget-bin/www_bget?ec:" &amp; C2072)</f>
        <v>https://www.kegg.jp/dbget-bin/www_bget?ec:2.7.1.40</v>
      </c>
      <c r="F2072" t="s">
        <v>9921</v>
      </c>
      <c r="G2072" s="10" t="s">
        <v>10889</v>
      </c>
      <c r="H2072" s="13" t="s">
        <v>10890</v>
      </c>
    </row>
    <row r="2073" spans="1:8">
      <c r="A2073" t="s">
        <v>3811</v>
      </c>
      <c r="B2073" t="s">
        <v>3812</v>
      </c>
      <c r="C2073" s="25" t="s">
        <v>3813</v>
      </c>
      <c r="D2073" s="25"/>
      <c r="E2073" s="25" t="str">
        <f t="shared" ref="E2073" si="158">HYPERLINK("https://www.kegg.jp/dbget-bin/www_bget?ec:" &amp; C2073, "https://www.kegg.jp/dbget-bin/www_bget?ec:" &amp; C2073)</f>
        <v>https://www.kegg.jp/dbget-bin/www_bget?ec:2.7.1.40</v>
      </c>
      <c r="F2073" t="s">
        <v>9921</v>
      </c>
      <c r="G2073" s="10" t="s">
        <v>10891</v>
      </c>
      <c r="H2073" s="13" t="s">
        <v>10892</v>
      </c>
    </row>
    <row r="2074" spans="1:8">
      <c r="A2074" t="s">
        <v>3811</v>
      </c>
      <c r="B2074" t="s">
        <v>3812</v>
      </c>
      <c r="C2074" s="25" t="s">
        <v>3813</v>
      </c>
      <c r="D2074" s="25"/>
      <c r="E2074" s="25" t="str">
        <f t="shared" ref="E2074" si="159">HYPERLINK("https://www.kegg.jp/dbget-bin/www_bget?ec:" &amp; C2074, "https://www.kegg.jp/dbget-bin/www_bget?ec:" &amp; C2074)</f>
        <v>https://www.kegg.jp/dbget-bin/www_bget?ec:2.7.1.40</v>
      </c>
      <c r="F2074" t="s">
        <v>9921</v>
      </c>
      <c r="G2074" s="10" t="s">
        <v>10893</v>
      </c>
      <c r="H2074" s="13" t="s">
        <v>10894</v>
      </c>
    </row>
    <row r="2075" spans="1:8">
      <c r="A2075" t="s">
        <v>3811</v>
      </c>
      <c r="B2075" t="s">
        <v>3812</v>
      </c>
      <c r="C2075" s="25" t="s">
        <v>3813</v>
      </c>
      <c r="D2075" s="25"/>
      <c r="E2075" s="25" t="str">
        <f t="shared" ref="E2075" si="160">HYPERLINK("https://www.kegg.jp/dbget-bin/www_bget?ec:" &amp; C2075, "https://www.kegg.jp/dbget-bin/www_bget?ec:" &amp; C2075)</f>
        <v>https://www.kegg.jp/dbget-bin/www_bget?ec:2.7.1.40</v>
      </c>
      <c r="F2075" t="s">
        <v>9921</v>
      </c>
      <c r="G2075" s="10" t="s">
        <v>10895</v>
      </c>
      <c r="H2075" s="13" t="s">
        <v>10896</v>
      </c>
    </row>
    <row r="2076" spans="1:8">
      <c r="A2076" t="s">
        <v>3811</v>
      </c>
      <c r="B2076" t="s">
        <v>3812</v>
      </c>
      <c r="C2076" s="25" t="s">
        <v>3813</v>
      </c>
      <c r="D2076" s="25"/>
      <c r="E2076" s="25" t="str">
        <f t="shared" ref="E2076" si="161">HYPERLINK("https://www.kegg.jp/dbget-bin/www_bget?ec:" &amp; C2076, "https://www.kegg.jp/dbget-bin/www_bget?ec:" &amp; C2076)</f>
        <v>https://www.kegg.jp/dbget-bin/www_bget?ec:2.7.1.40</v>
      </c>
      <c r="F2076" t="s">
        <v>9921</v>
      </c>
      <c r="G2076" s="10" t="s">
        <v>10897</v>
      </c>
      <c r="H2076" s="13" t="s">
        <v>10898</v>
      </c>
    </row>
    <row r="2077" spans="1:8">
      <c r="A2077" t="s">
        <v>3811</v>
      </c>
      <c r="B2077" t="s">
        <v>3812</v>
      </c>
      <c r="C2077" s="25" t="s">
        <v>3813</v>
      </c>
      <c r="D2077" s="25"/>
      <c r="E2077" s="25" t="str">
        <f t="shared" ref="E2077" si="162">HYPERLINK("https://www.kegg.jp/dbget-bin/www_bget?ec:" &amp; C2077, "https://www.kegg.jp/dbget-bin/www_bget?ec:" &amp; C2077)</f>
        <v>https://www.kegg.jp/dbget-bin/www_bget?ec:2.7.1.40</v>
      </c>
      <c r="F2077" t="s">
        <v>9921</v>
      </c>
      <c r="G2077" s="10" t="s">
        <v>10899</v>
      </c>
      <c r="H2077" s="13" t="s">
        <v>10900</v>
      </c>
    </row>
    <row r="2078" spans="1:8">
      <c r="A2078" t="s">
        <v>3811</v>
      </c>
      <c r="B2078" t="s">
        <v>3812</v>
      </c>
      <c r="C2078" s="25" t="s">
        <v>3813</v>
      </c>
      <c r="D2078" s="25"/>
      <c r="E2078" s="25" t="str">
        <f t="shared" ref="E2078" si="163">HYPERLINK("https://www.kegg.jp/dbget-bin/www_bget?ec:" &amp; C2078, "https://www.kegg.jp/dbget-bin/www_bget?ec:" &amp; C2078)</f>
        <v>https://www.kegg.jp/dbget-bin/www_bget?ec:2.7.1.40</v>
      </c>
      <c r="F2078" t="s">
        <v>9921</v>
      </c>
      <c r="G2078" s="10" t="s">
        <v>10901</v>
      </c>
      <c r="H2078" s="13" t="s">
        <v>10902</v>
      </c>
    </row>
    <row r="2079" spans="1:8">
      <c r="A2079" t="s">
        <v>3811</v>
      </c>
      <c r="B2079" t="s">
        <v>3812</v>
      </c>
      <c r="C2079" s="25" t="s">
        <v>3813</v>
      </c>
      <c r="D2079" s="25"/>
      <c r="E2079" s="25" t="str">
        <f t="shared" si="156"/>
        <v>https://www.kegg.jp/dbget-bin/www_bget?ec:2.7.1.40</v>
      </c>
      <c r="F2079" t="s">
        <v>9921</v>
      </c>
      <c r="G2079" s="10" t="s">
        <v>10903</v>
      </c>
      <c r="H2079" s="13" t="s">
        <v>10904</v>
      </c>
    </row>
    <row r="2080" spans="1:8">
      <c r="A2080" t="s">
        <v>3814</v>
      </c>
      <c r="B2080" t="s">
        <v>3815</v>
      </c>
      <c r="E2080" s="1"/>
    </row>
    <row r="2081" spans="1:5">
      <c r="A2081" t="s">
        <v>3816</v>
      </c>
      <c r="B2081" t="s">
        <v>3817</v>
      </c>
      <c r="E2081" s="1"/>
    </row>
    <row r="2082" spans="1:5">
      <c r="A2082" t="s">
        <v>3818</v>
      </c>
      <c r="B2082" t="s">
        <v>3819</v>
      </c>
      <c r="E2082" s="1"/>
    </row>
    <row r="2083" spans="1:5">
      <c r="A2083" t="s">
        <v>3820</v>
      </c>
      <c r="B2083" t="s">
        <v>3821</v>
      </c>
      <c r="E2083" s="1"/>
    </row>
    <row r="2084" spans="1:5">
      <c r="B2084" t="s">
        <v>3822</v>
      </c>
      <c r="E2084" s="1"/>
    </row>
    <row r="2085" spans="1:5">
      <c r="B2085" t="s">
        <v>3823</v>
      </c>
      <c r="E2085" s="1"/>
    </row>
    <row r="2086" spans="1:5">
      <c r="A2086" t="s">
        <v>3824</v>
      </c>
      <c r="B2086" t="s">
        <v>3825</v>
      </c>
      <c r="E2086" s="1"/>
    </row>
    <row r="2087" spans="1:5">
      <c r="A2087" t="s">
        <v>3826</v>
      </c>
      <c r="B2087" t="s">
        <v>3827</v>
      </c>
      <c r="E2087" s="1"/>
    </row>
    <row r="2088" spans="1:5">
      <c r="B2088" t="s">
        <v>3828</v>
      </c>
      <c r="E2088" s="1"/>
    </row>
    <row r="2089" spans="1:5">
      <c r="A2089" t="s">
        <v>3829</v>
      </c>
      <c r="B2089" t="s">
        <v>3830</v>
      </c>
      <c r="E2089" s="1"/>
    </row>
    <row r="2090" spans="1:5">
      <c r="A2090" t="s">
        <v>3831</v>
      </c>
      <c r="B2090" t="s">
        <v>3832</v>
      </c>
      <c r="E2090" s="1"/>
    </row>
    <row r="2091" spans="1:5">
      <c r="A2091" t="s">
        <v>3833</v>
      </c>
      <c r="B2091" t="s">
        <v>3834</v>
      </c>
      <c r="E2091" s="1"/>
    </row>
    <row r="2092" spans="1:5">
      <c r="A2092" t="s">
        <v>3835</v>
      </c>
      <c r="B2092" t="s">
        <v>3836</v>
      </c>
      <c r="E2092" s="1"/>
    </row>
    <row r="2093" spans="1:5">
      <c r="A2093" t="s">
        <v>3837</v>
      </c>
      <c r="B2093" t="s">
        <v>3838</v>
      </c>
      <c r="E2093" s="1"/>
    </row>
    <row r="2094" spans="1:5">
      <c r="A2094" t="s">
        <v>3839</v>
      </c>
      <c r="B2094" t="s">
        <v>3840</v>
      </c>
      <c r="E2094" s="1"/>
    </row>
    <row r="2095" spans="1:5">
      <c r="A2095" t="s">
        <v>3841</v>
      </c>
      <c r="B2095" t="s">
        <v>3842</v>
      </c>
      <c r="E2095" s="1"/>
    </row>
    <row r="2096" spans="1:5">
      <c r="A2096" t="s">
        <v>3843</v>
      </c>
      <c r="B2096" t="s">
        <v>3844</v>
      </c>
      <c r="E2096" s="1"/>
    </row>
    <row r="2097" spans="1:8">
      <c r="A2097" t="s">
        <v>3845</v>
      </c>
      <c r="B2097" t="s">
        <v>3846</v>
      </c>
      <c r="E2097" s="1"/>
    </row>
    <row r="2098" spans="1:8">
      <c r="A2098" t="s">
        <v>3847</v>
      </c>
      <c r="B2098" t="s">
        <v>3848</v>
      </c>
      <c r="E2098" s="1"/>
    </row>
    <row r="2099" spans="1:8">
      <c r="A2099" t="s">
        <v>3849</v>
      </c>
      <c r="B2099" t="s">
        <v>3850</v>
      </c>
      <c r="E2099" s="1"/>
    </row>
    <row r="2100" spans="1:8">
      <c r="A2100" t="s">
        <v>3851</v>
      </c>
      <c r="B2100" t="s">
        <v>3852</v>
      </c>
      <c r="E2100" s="1"/>
    </row>
    <row r="2101" spans="1:8">
      <c r="A2101" t="s">
        <v>3853</v>
      </c>
      <c r="B2101" t="s">
        <v>3854</v>
      </c>
      <c r="E2101" s="1"/>
    </row>
    <row r="2102" spans="1:8">
      <c r="A2102" t="s">
        <v>3855</v>
      </c>
      <c r="B2102" t="s">
        <v>3856</v>
      </c>
      <c r="E2102" s="1"/>
    </row>
    <row r="2103" spans="1:8">
      <c r="A2103" t="s">
        <v>3857</v>
      </c>
      <c r="B2103" t="s">
        <v>3858</v>
      </c>
      <c r="E2103" s="1"/>
    </row>
    <row r="2104" spans="1:8">
      <c r="A2104" t="s">
        <v>3859</v>
      </c>
      <c r="B2104" t="s">
        <v>3860</v>
      </c>
      <c r="C2104" s="25" t="s">
        <v>3861</v>
      </c>
      <c r="D2104" s="25"/>
      <c r="E2104" s="25" t="str">
        <f t="shared" ref="E2104" si="164">HYPERLINK("https://www.kegg.jp/dbget-bin/www_bget?ec:" &amp; C2104, "https://www.kegg.jp/dbget-bin/www_bget?ec:" &amp; C2104)</f>
        <v>https://www.kegg.jp/dbget-bin/www_bget?ec:2.5.1.17</v>
      </c>
      <c r="F2104" t="s">
        <v>9922</v>
      </c>
      <c r="G2104" s="10" t="s">
        <v>10905</v>
      </c>
      <c r="H2104" s="13" t="s">
        <v>10906</v>
      </c>
    </row>
    <row r="2105" spans="1:8">
      <c r="A2105" t="s">
        <v>3859</v>
      </c>
      <c r="B2105" t="s">
        <v>3860</v>
      </c>
      <c r="C2105" s="25" t="s">
        <v>3861</v>
      </c>
      <c r="D2105" s="25"/>
      <c r="E2105" s="25" t="str">
        <f t="shared" ref="E2105" si="165">HYPERLINK("https://www.kegg.jp/dbget-bin/www_bget?ec:" &amp; C2105, "https://www.kegg.jp/dbget-bin/www_bget?ec:" &amp; C2105)</f>
        <v>https://www.kegg.jp/dbget-bin/www_bget?ec:2.5.1.17</v>
      </c>
      <c r="F2105" t="s">
        <v>9922</v>
      </c>
      <c r="G2105" s="10" t="s">
        <v>10907</v>
      </c>
      <c r="H2105" s="13" t="s">
        <v>10908</v>
      </c>
    </row>
    <row r="2106" spans="1:8">
      <c r="A2106" t="s">
        <v>3859</v>
      </c>
      <c r="B2106" t="s">
        <v>3860</v>
      </c>
      <c r="C2106" s="25" t="s">
        <v>3861</v>
      </c>
      <c r="D2106" s="25"/>
      <c r="E2106" s="25" t="str">
        <f t="shared" ref="E2106" si="166">HYPERLINK("https://www.kegg.jp/dbget-bin/www_bget?ec:" &amp; C2106, "https://www.kegg.jp/dbget-bin/www_bget?ec:" &amp; C2106)</f>
        <v>https://www.kegg.jp/dbget-bin/www_bget?ec:2.5.1.17</v>
      </c>
      <c r="F2106" t="s">
        <v>9922</v>
      </c>
      <c r="G2106" s="10" t="s">
        <v>10909</v>
      </c>
      <c r="H2106" s="13" t="s">
        <v>10910</v>
      </c>
    </row>
    <row r="2107" spans="1:8">
      <c r="A2107" t="s">
        <v>3859</v>
      </c>
      <c r="B2107" t="s">
        <v>3860</v>
      </c>
      <c r="C2107" s="25" t="s">
        <v>3861</v>
      </c>
      <c r="D2107" s="25"/>
      <c r="E2107" s="25" t="str">
        <f t="shared" ref="E2107" si="167">HYPERLINK("https://www.kegg.jp/dbget-bin/www_bget?ec:" &amp; C2107, "https://www.kegg.jp/dbget-bin/www_bget?ec:" &amp; C2107)</f>
        <v>https://www.kegg.jp/dbget-bin/www_bget?ec:2.5.1.17</v>
      </c>
      <c r="F2107" t="s">
        <v>9922</v>
      </c>
      <c r="G2107" s="10" t="s">
        <v>10911</v>
      </c>
      <c r="H2107" s="13" t="s">
        <v>10912</v>
      </c>
    </row>
    <row r="2108" spans="1:8">
      <c r="A2108" t="s">
        <v>3859</v>
      </c>
      <c r="B2108" t="s">
        <v>3860</v>
      </c>
      <c r="C2108" s="25" t="s">
        <v>3861</v>
      </c>
      <c r="D2108" s="25"/>
      <c r="E2108" s="25" t="str">
        <f t="shared" si="156"/>
        <v>https://www.kegg.jp/dbget-bin/www_bget?ec:2.5.1.17</v>
      </c>
      <c r="F2108" t="s">
        <v>9922</v>
      </c>
      <c r="G2108" s="10" t="s">
        <v>10913</v>
      </c>
      <c r="H2108" s="13" t="s">
        <v>10914</v>
      </c>
    </row>
    <row r="2109" spans="1:8">
      <c r="A2109" t="s">
        <v>3862</v>
      </c>
      <c r="B2109" t="s">
        <v>3863</v>
      </c>
      <c r="E2109" s="1"/>
    </row>
    <row r="2110" spans="1:8">
      <c r="A2110" t="s">
        <v>3864</v>
      </c>
      <c r="B2110" t="s">
        <v>3865</v>
      </c>
      <c r="E2110" s="1"/>
    </row>
    <row r="2111" spans="1:8">
      <c r="A2111" t="s">
        <v>3866</v>
      </c>
      <c r="B2111" t="s">
        <v>3867</v>
      </c>
      <c r="E2111" s="1"/>
    </row>
    <row r="2112" spans="1:8">
      <c r="A2112" t="s">
        <v>3868</v>
      </c>
      <c r="B2112" t="s">
        <v>3869</v>
      </c>
      <c r="E2112" s="1"/>
    </row>
    <row r="2113" spans="1:5">
      <c r="A2113" t="s">
        <v>3870</v>
      </c>
      <c r="B2113" t="s">
        <v>3871</v>
      </c>
      <c r="E2113" s="1"/>
    </row>
    <row r="2114" spans="1:5">
      <c r="A2114" t="s">
        <v>3872</v>
      </c>
      <c r="B2114" t="s">
        <v>3873</v>
      </c>
      <c r="E2114" s="1"/>
    </row>
    <row r="2115" spans="1:5">
      <c r="A2115" t="s">
        <v>3874</v>
      </c>
      <c r="B2115" t="s">
        <v>3875</v>
      </c>
      <c r="E2115" s="1"/>
    </row>
    <row r="2116" spans="1:5">
      <c r="A2116" t="s">
        <v>3876</v>
      </c>
      <c r="B2116" t="s">
        <v>3877</v>
      </c>
      <c r="E2116" s="1"/>
    </row>
    <row r="2117" spans="1:5">
      <c r="A2117" t="s">
        <v>3878</v>
      </c>
      <c r="B2117" t="s">
        <v>3879</v>
      </c>
      <c r="E2117" s="1"/>
    </row>
    <row r="2118" spans="1:5">
      <c r="A2118" t="s">
        <v>3880</v>
      </c>
      <c r="B2118" t="s">
        <v>3881</v>
      </c>
      <c r="E2118" s="1"/>
    </row>
    <row r="2119" spans="1:5">
      <c r="A2119" t="s">
        <v>3882</v>
      </c>
      <c r="B2119" t="s">
        <v>3883</v>
      </c>
      <c r="E2119" s="1"/>
    </row>
    <row r="2120" spans="1:5">
      <c r="A2120" t="s">
        <v>3884</v>
      </c>
      <c r="B2120" t="s">
        <v>3885</v>
      </c>
      <c r="E2120" s="1"/>
    </row>
    <row r="2121" spans="1:5">
      <c r="A2121" t="s">
        <v>3886</v>
      </c>
      <c r="B2121" t="s">
        <v>3887</v>
      </c>
      <c r="E2121" s="1"/>
    </row>
    <row r="2122" spans="1:5">
      <c r="A2122" t="s">
        <v>3888</v>
      </c>
      <c r="B2122" t="s">
        <v>3889</v>
      </c>
      <c r="E2122" s="1"/>
    </row>
    <row r="2123" spans="1:5">
      <c r="A2123" t="s">
        <v>3890</v>
      </c>
      <c r="B2123" t="s">
        <v>3891</v>
      </c>
      <c r="E2123" s="1"/>
    </row>
    <row r="2124" spans="1:5">
      <c r="A2124" t="s">
        <v>3892</v>
      </c>
      <c r="B2124" t="s">
        <v>3893</v>
      </c>
      <c r="E2124" s="1"/>
    </row>
    <row r="2125" spans="1:5">
      <c r="A2125" t="s">
        <v>3894</v>
      </c>
      <c r="B2125" t="s">
        <v>3895</v>
      </c>
      <c r="E2125" s="1"/>
    </row>
    <row r="2126" spans="1:5">
      <c r="A2126" t="s">
        <v>3896</v>
      </c>
      <c r="B2126" t="s">
        <v>3897</v>
      </c>
      <c r="E2126" s="1"/>
    </row>
    <row r="2127" spans="1:5">
      <c r="A2127" t="s">
        <v>3898</v>
      </c>
      <c r="B2127" t="s">
        <v>3899</v>
      </c>
      <c r="E2127" s="1"/>
    </row>
    <row r="2128" spans="1:5">
      <c r="A2128" t="s">
        <v>3900</v>
      </c>
      <c r="B2128" t="s">
        <v>3901</v>
      </c>
      <c r="E2128" s="1"/>
    </row>
    <row r="2129" spans="1:8">
      <c r="A2129" t="s">
        <v>3902</v>
      </c>
      <c r="B2129" t="s">
        <v>3903</v>
      </c>
      <c r="E2129" s="1"/>
    </row>
    <row r="2130" spans="1:8">
      <c r="A2130" t="s">
        <v>3904</v>
      </c>
      <c r="B2130" t="s">
        <v>3905</v>
      </c>
      <c r="E2130" s="1"/>
    </row>
    <row r="2131" spans="1:8">
      <c r="A2131" t="s">
        <v>3906</v>
      </c>
      <c r="B2131" t="s">
        <v>3907</v>
      </c>
      <c r="E2131" s="1"/>
    </row>
    <row r="2132" spans="1:8">
      <c r="A2132" t="s">
        <v>3908</v>
      </c>
      <c r="B2132" t="s">
        <v>3909</v>
      </c>
      <c r="E2132" s="1"/>
    </row>
    <row r="2133" spans="1:8">
      <c r="A2133" t="s">
        <v>3910</v>
      </c>
      <c r="B2133" t="s">
        <v>3911</v>
      </c>
      <c r="E2133" s="1"/>
    </row>
    <row r="2134" spans="1:8">
      <c r="A2134" t="s">
        <v>3912</v>
      </c>
      <c r="B2134" t="s">
        <v>3913</v>
      </c>
      <c r="E2134" s="1"/>
    </row>
    <row r="2135" spans="1:8">
      <c r="A2135" t="s">
        <v>3914</v>
      </c>
      <c r="B2135" t="s">
        <v>3915</v>
      </c>
      <c r="E2135" s="1"/>
    </row>
    <row r="2136" spans="1:8">
      <c r="A2136" t="s">
        <v>3916</v>
      </c>
      <c r="B2136" t="s">
        <v>3917</v>
      </c>
      <c r="E2136" s="1"/>
    </row>
    <row r="2137" spans="1:8">
      <c r="A2137" t="s">
        <v>3918</v>
      </c>
      <c r="B2137" t="s">
        <v>3919</v>
      </c>
      <c r="E2137" s="1"/>
    </row>
    <row r="2138" spans="1:8">
      <c r="A2138" t="s">
        <v>3920</v>
      </c>
      <c r="B2138" t="s">
        <v>3921</v>
      </c>
      <c r="E2138" s="1"/>
    </row>
    <row r="2139" spans="1:8">
      <c r="A2139" t="s">
        <v>3922</v>
      </c>
      <c r="B2139" t="s">
        <v>3923</v>
      </c>
      <c r="C2139" s="1" t="s">
        <v>3924</v>
      </c>
      <c r="D2139" s="1"/>
      <c r="E2139" s="1" t="str">
        <f t="shared" ref="E2139:E2149" si="168">HYPERLINK("https://www.kegg.jp/dbget-bin/www_bget?ec:" &amp; C2139, "https://www.kegg.jp/dbget-bin/www_bget?ec:" &amp; C2139)</f>
        <v>https://www.kegg.jp/dbget-bin/www_bget?ec:2.7.7.3</v>
      </c>
      <c r="F2139" t="s">
        <v>9923</v>
      </c>
      <c r="G2139" s="10" t="s">
        <v>10915</v>
      </c>
      <c r="H2139" s="13" t="s">
        <v>10916</v>
      </c>
    </row>
    <row r="2140" spans="1:8">
      <c r="A2140" t="s">
        <v>3925</v>
      </c>
      <c r="B2140" t="s">
        <v>3926</v>
      </c>
      <c r="E2140" s="1"/>
    </row>
    <row r="2141" spans="1:8">
      <c r="A2141" t="s">
        <v>3927</v>
      </c>
      <c r="B2141" t="s">
        <v>3928</v>
      </c>
      <c r="E2141" s="1"/>
    </row>
    <row r="2142" spans="1:8">
      <c r="A2142" t="s">
        <v>3929</v>
      </c>
      <c r="B2142" t="s">
        <v>3930</v>
      </c>
      <c r="E2142" s="1"/>
    </row>
    <row r="2143" spans="1:8">
      <c r="A2143" t="s">
        <v>3931</v>
      </c>
      <c r="B2143" t="s">
        <v>3932</v>
      </c>
      <c r="E2143" s="1"/>
    </row>
    <row r="2144" spans="1:8">
      <c r="A2144" t="s">
        <v>3933</v>
      </c>
      <c r="B2144" t="s">
        <v>3934</v>
      </c>
      <c r="E2144" s="1"/>
    </row>
    <row r="2145" spans="1:6">
      <c r="A2145" t="s">
        <v>3935</v>
      </c>
      <c r="B2145" t="s">
        <v>3936</v>
      </c>
      <c r="E2145" s="1"/>
    </row>
    <row r="2146" spans="1:6">
      <c r="A2146" t="s">
        <v>3937</v>
      </c>
      <c r="B2146" t="s">
        <v>3938</v>
      </c>
      <c r="E2146" s="1"/>
    </row>
    <row r="2147" spans="1:6">
      <c r="A2147" t="s">
        <v>3939</v>
      </c>
      <c r="B2147" t="s">
        <v>3940</v>
      </c>
      <c r="E2147" s="1"/>
    </row>
    <row r="2148" spans="1:6">
      <c r="A2148" t="s">
        <v>3941</v>
      </c>
      <c r="B2148" t="s">
        <v>3942</v>
      </c>
      <c r="E2148" s="1"/>
    </row>
    <row r="2149" spans="1:6">
      <c r="A2149" t="s">
        <v>3943</v>
      </c>
      <c r="B2149" t="s">
        <v>3944</v>
      </c>
      <c r="C2149" s="1" t="s">
        <v>789</v>
      </c>
      <c r="D2149" s="1"/>
      <c r="E2149" s="1" t="str">
        <f t="shared" si="168"/>
        <v>https://www.kegg.jp/dbget-bin/www_bget?ec:3.4.16.4</v>
      </c>
      <c r="F2149" t="s">
        <v>9650</v>
      </c>
    </row>
    <row r="2150" spans="1:6">
      <c r="A2150" t="s">
        <v>3945</v>
      </c>
      <c r="B2150" t="s">
        <v>3946</v>
      </c>
      <c r="E2150" s="1"/>
    </row>
    <row r="2151" spans="1:6">
      <c r="B2151" t="s">
        <v>3947</v>
      </c>
      <c r="E2151" s="1"/>
    </row>
    <row r="2152" spans="1:6">
      <c r="A2152" t="s">
        <v>3948</v>
      </c>
      <c r="B2152" t="s">
        <v>3949</v>
      </c>
      <c r="E2152" s="1"/>
    </row>
    <row r="2153" spans="1:6">
      <c r="A2153" t="s">
        <v>3950</v>
      </c>
      <c r="B2153" t="s">
        <v>3951</v>
      </c>
      <c r="E2153" s="1"/>
    </row>
    <row r="2154" spans="1:6">
      <c r="A2154" t="s">
        <v>3952</v>
      </c>
      <c r="B2154" t="s">
        <v>3953</v>
      </c>
      <c r="E2154" s="1"/>
    </row>
    <row r="2155" spans="1:6">
      <c r="A2155" t="s">
        <v>3954</v>
      </c>
      <c r="B2155" t="s">
        <v>3955</v>
      </c>
      <c r="E2155" s="1"/>
    </row>
    <row r="2156" spans="1:6">
      <c r="A2156" t="s">
        <v>3956</v>
      </c>
      <c r="B2156" t="s">
        <v>3957</v>
      </c>
      <c r="E2156" s="1"/>
    </row>
    <row r="2157" spans="1:6">
      <c r="A2157" t="s">
        <v>3958</v>
      </c>
      <c r="B2157" t="s">
        <v>3959</v>
      </c>
      <c r="E2157" s="1"/>
    </row>
    <row r="2158" spans="1:6">
      <c r="A2158" t="s">
        <v>3960</v>
      </c>
      <c r="B2158" t="s">
        <v>3961</v>
      </c>
      <c r="E2158" s="1"/>
    </row>
    <row r="2159" spans="1:6">
      <c r="A2159" t="s">
        <v>3962</v>
      </c>
      <c r="B2159" t="s">
        <v>3963</v>
      </c>
      <c r="E2159" s="1"/>
    </row>
    <row r="2160" spans="1:6">
      <c r="A2160" t="s">
        <v>3964</v>
      </c>
      <c r="B2160" t="s">
        <v>3965</v>
      </c>
      <c r="E2160" s="1"/>
    </row>
    <row r="2161" spans="1:5">
      <c r="A2161" t="s">
        <v>3966</v>
      </c>
      <c r="B2161" t="s">
        <v>3967</v>
      </c>
      <c r="E2161" s="1"/>
    </row>
    <row r="2162" spans="1:5">
      <c r="A2162" t="s">
        <v>3968</v>
      </c>
      <c r="B2162" t="s">
        <v>3969</v>
      </c>
      <c r="E2162" s="1"/>
    </row>
    <row r="2163" spans="1:5">
      <c r="A2163" t="s">
        <v>3970</v>
      </c>
      <c r="B2163" t="s">
        <v>3971</v>
      </c>
      <c r="E2163" s="1"/>
    </row>
    <row r="2164" spans="1:5">
      <c r="A2164" t="s">
        <v>3972</v>
      </c>
      <c r="B2164" t="s">
        <v>3973</v>
      </c>
      <c r="E2164" s="1"/>
    </row>
    <row r="2165" spans="1:5">
      <c r="A2165" t="s">
        <v>3974</v>
      </c>
      <c r="B2165" t="s">
        <v>3975</v>
      </c>
      <c r="E2165" s="1"/>
    </row>
    <row r="2166" spans="1:5">
      <c r="A2166" t="s">
        <v>3976</v>
      </c>
      <c r="B2166" t="s">
        <v>3977</v>
      </c>
      <c r="E2166" s="1"/>
    </row>
    <row r="2167" spans="1:5">
      <c r="A2167" t="s">
        <v>3978</v>
      </c>
      <c r="B2167" t="s">
        <v>3979</v>
      </c>
      <c r="E2167" s="1"/>
    </row>
    <row r="2168" spans="1:5">
      <c r="A2168" t="s">
        <v>3980</v>
      </c>
      <c r="B2168" t="s">
        <v>3981</v>
      </c>
      <c r="E2168" s="1"/>
    </row>
    <row r="2169" spans="1:5">
      <c r="A2169" t="s">
        <v>3982</v>
      </c>
      <c r="B2169" t="s">
        <v>3983</v>
      </c>
      <c r="E2169" s="1"/>
    </row>
    <row r="2170" spans="1:5">
      <c r="A2170" t="s">
        <v>3984</v>
      </c>
      <c r="B2170" t="s">
        <v>3985</v>
      </c>
      <c r="E2170" s="1"/>
    </row>
    <row r="2171" spans="1:5">
      <c r="A2171" t="s">
        <v>3986</v>
      </c>
      <c r="B2171" t="s">
        <v>3987</v>
      </c>
      <c r="E2171" s="1"/>
    </row>
    <row r="2172" spans="1:5">
      <c r="A2172" t="s">
        <v>3988</v>
      </c>
      <c r="B2172" t="s">
        <v>3989</v>
      </c>
      <c r="E2172" s="1"/>
    </row>
    <row r="2173" spans="1:5">
      <c r="A2173" t="s">
        <v>3990</v>
      </c>
      <c r="B2173" t="s">
        <v>3991</v>
      </c>
      <c r="E2173" s="1"/>
    </row>
    <row r="2174" spans="1:5">
      <c r="A2174" t="s">
        <v>3992</v>
      </c>
      <c r="B2174" t="s">
        <v>3993</v>
      </c>
      <c r="E2174" s="1"/>
    </row>
    <row r="2175" spans="1:5">
      <c r="B2175" t="s">
        <v>3994</v>
      </c>
      <c r="E2175" s="1"/>
    </row>
    <row r="2176" spans="1:5">
      <c r="A2176" t="s">
        <v>3995</v>
      </c>
      <c r="B2176" t="s">
        <v>3996</v>
      </c>
      <c r="E2176" s="1"/>
    </row>
    <row r="2177" spans="1:8">
      <c r="A2177" t="s">
        <v>3997</v>
      </c>
      <c r="B2177" t="s">
        <v>3998</v>
      </c>
      <c r="E2177" s="1"/>
    </row>
    <row r="2178" spans="1:8">
      <c r="A2178" t="s">
        <v>3999</v>
      </c>
      <c r="B2178" t="s">
        <v>4000</v>
      </c>
      <c r="E2178" s="1"/>
    </row>
    <row r="2179" spans="1:8">
      <c r="A2179" t="s">
        <v>4001</v>
      </c>
      <c r="B2179" t="s">
        <v>4002</v>
      </c>
      <c r="E2179" s="1"/>
    </row>
    <row r="2180" spans="1:8">
      <c r="A2180" t="s">
        <v>4003</v>
      </c>
      <c r="B2180" t="s">
        <v>4004</v>
      </c>
      <c r="E2180" s="1"/>
    </row>
    <row r="2181" spans="1:8">
      <c r="A2181" t="s">
        <v>4005</v>
      </c>
      <c r="B2181" t="s">
        <v>4006</v>
      </c>
      <c r="E2181" s="1"/>
    </row>
    <row r="2182" spans="1:8">
      <c r="A2182" t="s">
        <v>4007</v>
      </c>
      <c r="B2182" t="s">
        <v>4008</v>
      </c>
      <c r="E2182" s="1"/>
    </row>
    <row r="2183" spans="1:8">
      <c r="A2183" t="s">
        <v>4009</v>
      </c>
      <c r="B2183" t="s">
        <v>4010</v>
      </c>
      <c r="E2183" s="1"/>
    </row>
    <row r="2184" spans="1:8">
      <c r="A2184" t="s">
        <v>4011</v>
      </c>
      <c r="B2184" t="s">
        <v>4012</v>
      </c>
      <c r="C2184" s="1" t="s">
        <v>4013</v>
      </c>
      <c r="D2184" s="1"/>
      <c r="E2184" s="1" t="str">
        <f t="shared" ref="E2184" si="169">HYPERLINK("https://www.kegg.jp/dbget-bin/www_bget?ec:" &amp; C2184, "https://www.kegg.jp/dbget-bin/www_bget?ec:" &amp; C2184)</f>
        <v>https://www.kegg.jp/dbget-bin/www_bget?ec:2.5.1.15</v>
      </c>
      <c r="F2184" t="s">
        <v>9926</v>
      </c>
      <c r="G2184" s="10" t="s">
        <v>10917</v>
      </c>
      <c r="H2184" s="13" t="s">
        <v>10918</v>
      </c>
    </row>
    <row r="2185" spans="1:8">
      <c r="A2185" t="s">
        <v>4011</v>
      </c>
      <c r="B2185" t="s">
        <v>4012</v>
      </c>
      <c r="C2185" s="1" t="s">
        <v>4013</v>
      </c>
      <c r="D2185" s="1"/>
      <c r="E2185" s="1" t="str">
        <f t="shared" ref="E2185:E2251" si="170">HYPERLINK("https://www.kegg.jp/dbget-bin/www_bget?ec:" &amp; C2185, "https://www.kegg.jp/dbget-bin/www_bget?ec:" &amp; C2185)</f>
        <v>https://www.kegg.jp/dbget-bin/www_bget?ec:2.5.1.15</v>
      </c>
      <c r="F2185" t="s">
        <v>9926</v>
      </c>
      <c r="G2185" s="10" t="s">
        <v>10919</v>
      </c>
      <c r="H2185" s="13" t="s">
        <v>10920</v>
      </c>
    </row>
    <row r="2186" spans="1:8">
      <c r="A2186" t="s">
        <v>4014</v>
      </c>
      <c r="B2186" t="s">
        <v>4015</v>
      </c>
      <c r="E2186" s="1"/>
    </row>
    <row r="2187" spans="1:8">
      <c r="A2187" t="s">
        <v>4016</v>
      </c>
      <c r="B2187" t="s">
        <v>4017</v>
      </c>
      <c r="C2187" s="1" t="s">
        <v>4018</v>
      </c>
      <c r="D2187" s="1"/>
      <c r="E2187" s="1" t="str">
        <f t="shared" ref="E2187" si="171">HYPERLINK("https://www.kegg.jp/dbget-bin/www_bget?ec:" &amp; C2187, "https://www.kegg.jp/dbget-bin/www_bget?ec:" &amp; C2187)</f>
        <v>https://www.kegg.jp/dbget-bin/www_bget?ec:2.3.1.8</v>
      </c>
      <c r="F2187" s="1" t="s">
        <v>9931</v>
      </c>
      <c r="G2187" s="21" t="s">
        <v>10921</v>
      </c>
      <c r="H2187" s="13" t="s">
        <v>10922</v>
      </c>
    </row>
    <row r="2188" spans="1:8">
      <c r="A2188" t="s">
        <v>4016</v>
      </c>
      <c r="B2188" t="s">
        <v>4017</v>
      </c>
      <c r="C2188" s="1" t="s">
        <v>4018</v>
      </c>
      <c r="D2188" s="1"/>
      <c r="E2188" s="1" t="str">
        <f t="shared" si="170"/>
        <v>https://www.kegg.jp/dbget-bin/www_bget?ec:2.3.1.8</v>
      </c>
      <c r="F2188" s="1" t="s">
        <v>9931</v>
      </c>
      <c r="G2188" s="21" t="s">
        <v>10923</v>
      </c>
      <c r="H2188" s="13" t="s">
        <v>10924</v>
      </c>
    </row>
    <row r="2189" spans="1:8">
      <c r="A2189" t="s">
        <v>4019</v>
      </c>
      <c r="B2189" t="s">
        <v>4020</v>
      </c>
      <c r="E2189" s="1"/>
    </row>
    <row r="2190" spans="1:8">
      <c r="A2190" t="s">
        <v>4021</v>
      </c>
      <c r="B2190" t="s">
        <v>4022</v>
      </c>
      <c r="E2190" s="1"/>
    </row>
    <row r="2191" spans="1:8">
      <c r="A2191" t="s">
        <v>4023</v>
      </c>
      <c r="B2191" t="s">
        <v>4024</v>
      </c>
      <c r="E2191" s="1"/>
    </row>
    <row r="2192" spans="1:8">
      <c r="A2192" t="s">
        <v>4025</v>
      </c>
      <c r="B2192" t="s">
        <v>4026</v>
      </c>
      <c r="C2192" s="1" t="s">
        <v>4027</v>
      </c>
      <c r="D2192" s="1"/>
      <c r="E2192" s="1" t="str">
        <f t="shared" si="170"/>
        <v>https://www.kegg.jp/dbget-bin/www_bget?ec:2.7.4.22</v>
      </c>
      <c r="F2192" s="1" t="s">
        <v>9936</v>
      </c>
      <c r="G2192" s="10" t="s">
        <v>10925</v>
      </c>
      <c r="H2192" s="13" t="s">
        <v>10926</v>
      </c>
    </row>
    <row r="2193" spans="1:5">
      <c r="A2193" t="s">
        <v>4028</v>
      </c>
      <c r="B2193" t="s">
        <v>4029</v>
      </c>
      <c r="E2193" s="1"/>
    </row>
    <row r="2194" spans="1:5">
      <c r="A2194" t="s">
        <v>4030</v>
      </c>
      <c r="B2194" t="s">
        <v>4031</v>
      </c>
      <c r="E2194" s="1"/>
    </row>
    <row r="2195" spans="1:5">
      <c r="A2195" t="s">
        <v>4032</v>
      </c>
      <c r="B2195" t="s">
        <v>4033</v>
      </c>
      <c r="E2195" s="1"/>
    </row>
    <row r="2196" spans="1:5">
      <c r="A2196" t="s">
        <v>4034</v>
      </c>
      <c r="B2196" t="s">
        <v>4035</v>
      </c>
      <c r="E2196" s="1"/>
    </row>
    <row r="2197" spans="1:5">
      <c r="A2197" t="s">
        <v>4036</v>
      </c>
      <c r="B2197" t="s">
        <v>4037</v>
      </c>
      <c r="E2197" s="1"/>
    </row>
    <row r="2198" spans="1:5">
      <c r="A2198" t="s">
        <v>4038</v>
      </c>
      <c r="B2198" t="s">
        <v>4039</v>
      </c>
      <c r="E2198" s="1"/>
    </row>
    <row r="2199" spans="1:5">
      <c r="A2199" t="s">
        <v>4040</v>
      </c>
      <c r="B2199" t="s">
        <v>4041</v>
      </c>
      <c r="E2199" s="1"/>
    </row>
    <row r="2200" spans="1:5">
      <c r="A2200" t="s">
        <v>4042</v>
      </c>
      <c r="B2200" t="s">
        <v>4043</v>
      </c>
      <c r="E2200" s="1"/>
    </row>
    <row r="2201" spans="1:5">
      <c r="A2201" t="s">
        <v>4044</v>
      </c>
      <c r="B2201" t="s">
        <v>4045</v>
      </c>
      <c r="E2201" s="1"/>
    </row>
    <row r="2202" spans="1:5">
      <c r="A2202" t="s">
        <v>4046</v>
      </c>
      <c r="B2202" t="s">
        <v>4047</v>
      </c>
      <c r="E2202" s="1"/>
    </row>
    <row r="2203" spans="1:5">
      <c r="A2203" t="s">
        <v>4048</v>
      </c>
      <c r="B2203" t="s">
        <v>4049</v>
      </c>
      <c r="E2203" s="1"/>
    </row>
    <row r="2204" spans="1:5">
      <c r="A2204" t="s">
        <v>4050</v>
      </c>
      <c r="B2204" t="s">
        <v>4051</v>
      </c>
      <c r="E2204" s="1"/>
    </row>
    <row r="2205" spans="1:5">
      <c r="A2205" t="s">
        <v>4052</v>
      </c>
      <c r="B2205" t="s">
        <v>4053</v>
      </c>
      <c r="E2205" s="1"/>
    </row>
    <row r="2206" spans="1:5">
      <c r="A2206" t="s">
        <v>4054</v>
      </c>
      <c r="B2206" t="s">
        <v>4055</v>
      </c>
      <c r="E2206" s="1"/>
    </row>
    <row r="2207" spans="1:5">
      <c r="A2207" t="s">
        <v>4056</v>
      </c>
      <c r="B2207" t="s">
        <v>4057</v>
      </c>
      <c r="E2207" s="1"/>
    </row>
    <row r="2208" spans="1:5">
      <c r="A2208" t="s">
        <v>4058</v>
      </c>
      <c r="B2208" t="s">
        <v>4059</v>
      </c>
      <c r="E2208" s="1"/>
    </row>
    <row r="2209" spans="1:8">
      <c r="A2209" t="s">
        <v>4060</v>
      </c>
      <c r="B2209" t="s">
        <v>4061</v>
      </c>
      <c r="E2209" s="1"/>
    </row>
    <row r="2210" spans="1:8">
      <c r="A2210" t="s">
        <v>4062</v>
      </c>
      <c r="B2210" t="s">
        <v>4063</v>
      </c>
      <c r="E2210" s="1"/>
    </row>
    <row r="2211" spans="1:8">
      <c r="A2211" t="s">
        <v>4064</v>
      </c>
      <c r="B2211" t="s">
        <v>4065</v>
      </c>
      <c r="E2211" s="1"/>
    </row>
    <row r="2212" spans="1:8">
      <c r="A2212" t="s">
        <v>4066</v>
      </c>
      <c r="B2212" t="s">
        <v>4067</v>
      </c>
      <c r="E2212" s="1"/>
    </row>
    <row r="2213" spans="1:8">
      <c r="A2213" t="s">
        <v>4068</v>
      </c>
      <c r="B2213" t="s">
        <v>4069</v>
      </c>
      <c r="C2213" s="1" t="s">
        <v>4070</v>
      </c>
      <c r="D2213" s="1"/>
      <c r="E2213" s="1" t="str">
        <f t="shared" ref="E2213" si="172">HYPERLINK("https://www.kegg.jp/dbget-bin/www_bget?ec:" &amp; C2213, "https://www.kegg.jp/dbget-bin/www_bget?ec:" &amp; C2213)</f>
        <v>https://www.kegg.jp/dbget-bin/www_bget?ec:2.3.1.54</v>
      </c>
      <c r="F2213" t="s">
        <v>9941</v>
      </c>
      <c r="G2213" s="10" t="s">
        <v>10927</v>
      </c>
      <c r="H2213" s="13" t="s">
        <v>10928</v>
      </c>
    </row>
    <row r="2214" spans="1:8">
      <c r="A2214" t="s">
        <v>4068</v>
      </c>
      <c r="B2214" t="s">
        <v>4069</v>
      </c>
      <c r="C2214" s="1" t="s">
        <v>4070</v>
      </c>
      <c r="D2214" s="1"/>
      <c r="E2214" s="1" t="str">
        <f t="shared" si="170"/>
        <v>https://www.kegg.jp/dbget-bin/www_bget?ec:2.3.1.54</v>
      </c>
      <c r="F2214" t="s">
        <v>9941</v>
      </c>
      <c r="G2214" s="10" t="s">
        <v>10929</v>
      </c>
      <c r="H2214" s="13" t="s">
        <v>10930</v>
      </c>
    </row>
    <row r="2215" spans="1:8">
      <c r="A2215" t="s">
        <v>4071</v>
      </c>
      <c r="B2215" t="s">
        <v>4072</v>
      </c>
      <c r="C2215" s="1" t="s">
        <v>4073</v>
      </c>
      <c r="D2215" s="1"/>
      <c r="E2215" s="1" t="str">
        <f t="shared" si="170"/>
        <v>https://www.kegg.jp/dbget-bin/www_bget?ec:1.97.1.4</v>
      </c>
      <c r="F2215" t="s">
        <v>9944</v>
      </c>
      <c r="G2215" s="10" t="s">
        <v>10931</v>
      </c>
      <c r="H2215" s="13" t="s">
        <v>10932</v>
      </c>
    </row>
    <row r="2216" spans="1:8">
      <c r="A2216" t="s">
        <v>4074</v>
      </c>
      <c r="B2216" t="s">
        <v>4075</v>
      </c>
      <c r="E2216" s="1"/>
    </row>
    <row r="2217" spans="1:8">
      <c r="A2217" t="s">
        <v>4076</v>
      </c>
      <c r="B2217" t="s">
        <v>4077</v>
      </c>
      <c r="C2217" s="1" t="s">
        <v>4078</v>
      </c>
      <c r="D2217" s="1"/>
      <c r="E2217" s="1" t="str">
        <f t="shared" ref="E2217" si="173">HYPERLINK("https://www.kegg.jp/dbget-bin/www_bget?ec:" &amp; C2217, "https://www.kegg.jp/dbget-bin/www_bget?ec:" &amp; C2217)</f>
        <v>https://www.kegg.jp/dbget-bin/www_bget?ec:4.2.1.11</v>
      </c>
      <c r="F2217" t="s">
        <v>9947</v>
      </c>
      <c r="G2217" s="10" t="s">
        <v>9716</v>
      </c>
      <c r="H2217" s="13" t="s">
        <v>10933</v>
      </c>
    </row>
    <row r="2218" spans="1:8">
      <c r="A2218" t="s">
        <v>4076</v>
      </c>
      <c r="B2218" t="s">
        <v>4077</v>
      </c>
      <c r="C2218" s="1" t="s">
        <v>4078</v>
      </c>
      <c r="D2218" s="1"/>
      <c r="E2218" s="1" t="str">
        <f t="shared" si="170"/>
        <v>https://www.kegg.jp/dbget-bin/www_bget?ec:4.2.1.11</v>
      </c>
      <c r="F2218" t="s">
        <v>9947</v>
      </c>
      <c r="G2218" s="10" t="s">
        <v>9949</v>
      </c>
      <c r="H2218" s="13" t="s">
        <v>10934</v>
      </c>
    </row>
    <row r="2219" spans="1:8">
      <c r="A2219" t="s">
        <v>4079</v>
      </c>
      <c r="B2219" t="s">
        <v>4080</v>
      </c>
      <c r="C2219" s="1" t="s">
        <v>4081</v>
      </c>
      <c r="D2219" s="1"/>
      <c r="E2219" s="1" t="str">
        <f t="shared" si="170"/>
        <v>https://www.kegg.jp/dbget-bin/www_bget?ec:1.11.1.24</v>
      </c>
      <c r="F2219" t="s">
        <v>9951</v>
      </c>
      <c r="G2219" s="10" t="s">
        <v>10935</v>
      </c>
      <c r="H2219" s="13" t="s">
        <v>10936</v>
      </c>
    </row>
    <row r="2220" spans="1:8">
      <c r="A2220" t="s">
        <v>4082</v>
      </c>
      <c r="B2220" t="s">
        <v>4083</v>
      </c>
      <c r="E2220" s="1"/>
    </row>
    <row r="2221" spans="1:8">
      <c r="A2221" t="s">
        <v>4084</v>
      </c>
      <c r="B2221" t="s">
        <v>4085</v>
      </c>
      <c r="E2221" s="1"/>
    </row>
    <row r="2222" spans="1:8">
      <c r="A2222" t="s">
        <v>4086</v>
      </c>
      <c r="B2222" t="s">
        <v>4087</v>
      </c>
      <c r="E2222" s="1"/>
    </row>
    <row r="2223" spans="1:8">
      <c r="A2223" t="s">
        <v>4088</v>
      </c>
      <c r="B2223" t="s">
        <v>4089</v>
      </c>
      <c r="E2223" s="1"/>
    </row>
    <row r="2224" spans="1:8">
      <c r="A2224" t="s">
        <v>4090</v>
      </c>
      <c r="B2224" t="s">
        <v>4091</v>
      </c>
      <c r="E2224" s="1"/>
    </row>
    <row r="2225" spans="1:5">
      <c r="A2225" t="s">
        <v>4092</v>
      </c>
      <c r="B2225" t="s">
        <v>4093</v>
      </c>
      <c r="E2225" s="1"/>
    </row>
    <row r="2226" spans="1:5">
      <c r="A2226" t="s">
        <v>4094</v>
      </c>
      <c r="B2226" t="s">
        <v>4095</v>
      </c>
      <c r="E2226" s="1"/>
    </row>
    <row r="2227" spans="1:5">
      <c r="A2227" t="s">
        <v>4096</v>
      </c>
      <c r="B2227" t="s">
        <v>4097</v>
      </c>
      <c r="E2227" s="1"/>
    </row>
    <row r="2228" spans="1:5">
      <c r="A2228" t="s">
        <v>4098</v>
      </c>
      <c r="B2228" t="s">
        <v>4099</v>
      </c>
      <c r="E2228" s="1"/>
    </row>
    <row r="2229" spans="1:5">
      <c r="A2229" t="s">
        <v>4100</v>
      </c>
      <c r="B2229" t="s">
        <v>4101</v>
      </c>
      <c r="E2229" s="1"/>
    </row>
    <row r="2230" spans="1:5">
      <c r="A2230" t="s">
        <v>4102</v>
      </c>
      <c r="B2230" t="s">
        <v>4103</v>
      </c>
      <c r="E2230" s="1"/>
    </row>
    <row r="2231" spans="1:5">
      <c r="A2231" t="s">
        <v>4104</v>
      </c>
      <c r="B2231" t="s">
        <v>4105</v>
      </c>
      <c r="E2231" s="1"/>
    </row>
    <row r="2232" spans="1:5">
      <c r="A2232" t="s">
        <v>4106</v>
      </c>
      <c r="B2232" t="s">
        <v>4107</v>
      </c>
      <c r="E2232" s="1"/>
    </row>
    <row r="2233" spans="1:5">
      <c r="A2233" t="s">
        <v>4108</v>
      </c>
      <c r="B2233" t="s">
        <v>4109</v>
      </c>
      <c r="E2233" s="1"/>
    </row>
    <row r="2234" spans="1:5">
      <c r="A2234" t="s">
        <v>4110</v>
      </c>
      <c r="B2234" t="s">
        <v>4111</v>
      </c>
      <c r="E2234" s="1"/>
    </row>
    <row r="2235" spans="1:5">
      <c r="A2235" t="s">
        <v>4112</v>
      </c>
      <c r="B2235" t="s">
        <v>4113</v>
      </c>
      <c r="E2235" s="1"/>
    </row>
    <row r="2236" spans="1:5">
      <c r="B2236" t="s">
        <v>4114</v>
      </c>
      <c r="E2236" s="1"/>
    </row>
    <row r="2237" spans="1:5">
      <c r="A2237" t="s">
        <v>4115</v>
      </c>
      <c r="B2237" t="s">
        <v>4116</v>
      </c>
      <c r="E2237" s="1"/>
    </row>
    <row r="2238" spans="1:5">
      <c r="A2238" t="s">
        <v>4117</v>
      </c>
      <c r="B2238" t="s">
        <v>4118</v>
      </c>
      <c r="E2238" s="1"/>
    </row>
    <row r="2239" spans="1:5">
      <c r="A2239" t="s">
        <v>4119</v>
      </c>
      <c r="B2239" t="s">
        <v>4120</v>
      </c>
      <c r="E2239" s="1"/>
    </row>
    <row r="2240" spans="1:5">
      <c r="A2240" t="s">
        <v>4121</v>
      </c>
      <c r="B2240" t="s">
        <v>4122</v>
      </c>
      <c r="E2240" s="1"/>
    </row>
    <row r="2241" spans="1:8">
      <c r="A2241" t="s">
        <v>4123</v>
      </c>
      <c r="B2241" t="s">
        <v>4124</v>
      </c>
      <c r="E2241" s="1"/>
    </row>
    <row r="2242" spans="1:8">
      <c r="A2242" t="s">
        <v>4125</v>
      </c>
      <c r="B2242" t="s">
        <v>4126</v>
      </c>
      <c r="E2242" s="1"/>
    </row>
    <row r="2243" spans="1:8">
      <c r="A2243" t="s">
        <v>4127</v>
      </c>
      <c r="B2243" t="s">
        <v>4128</v>
      </c>
      <c r="E2243" s="1"/>
    </row>
    <row r="2244" spans="1:8">
      <c r="A2244" t="s">
        <v>4129</v>
      </c>
      <c r="B2244" t="s">
        <v>4130</v>
      </c>
      <c r="E2244" s="1"/>
    </row>
    <row r="2245" spans="1:8">
      <c r="A2245" t="s">
        <v>4131</v>
      </c>
      <c r="B2245" t="s">
        <v>4132</v>
      </c>
      <c r="E2245" s="1"/>
    </row>
    <row r="2246" spans="1:8">
      <c r="A2246" t="s">
        <v>4133</v>
      </c>
      <c r="B2246" t="s">
        <v>4134</v>
      </c>
      <c r="E2246" s="1"/>
    </row>
    <row r="2247" spans="1:8">
      <c r="A2247" t="s">
        <v>4135</v>
      </c>
      <c r="B2247" t="s">
        <v>4136</v>
      </c>
      <c r="C2247" s="25" t="s">
        <v>4137</v>
      </c>
      <c r="D2247" s="25"/>
      <c r="E2247" s="25" t="str">
        <f t="shared" ref="E2247" si="174">HYPERLINK("https://www.kegg.jp/dbget-bin/www_bget?ec:" &amp; C2247, "https://www.kegg.jp/dbget-bin/www_bget?ec:" &amp; C2247)</f>
        <v>https://www.kegg.jp/dbget-bin/www_bget?ec:1.17.4.2</v>
      </c>
      <c r="F2247" t="s">
        <v>9954</v>
      </c>
      <c r="G2247" s="10" t="s">
        <v>10937</v>
      </c>
      <c r="H2247" s="13" t="s">
        <v>10938</v>
      </c>
    </row>
    <row r="2248" spans="1:8">
      <c r="A2248" t="s">
        <v>4135</v>
      </c>
      <c r="B2248" t="s">
        <v>4136</v>
      </c>
      <c r="C2248" s="25" t="s">
        <v>4137</v>
      </c>
      <c r="D2248" s="25"/>
      <c r="E2248" s="25" t="str">
        <f t="shared" ref="E2248" si="175">HYPERLINK("https://www.kegg.jp/dbget-bin/www_bget?ec:" &amp; C2248, "https://www.kegg.jp/dbget-bin/www_bget?ec:" &amp; C2248)</f>
        <v>https://www.kegg.jp/dbget-bin/www_bget?ec:1.17.4.2</v>
      </c>
      <c r="F2248" t="s">
        <v>9954</v>
      </c>
      <c r="G2248" s="10" t="s">
        <v>10939</v>
      </c>
      <c r="H2248" s="13" t="s">
        <v>10940</v>
      </c>
    </row>
    <row r="2249" spans="1:8">
      <c r="A2249" t="s">
        <v>4135</v>
      </c>
      <c r="B2249" t="s">
        <v>4136</v>
      </c>
      <c r="C2249" s="25" t="s">
        <v>4137</v>
      </c>
      <c r="D2249" s="25"/>
      <c r="E2249" s="25" t="str">
        <f t="shared" ref="E2249" si="176">HYPERLINK("https://www.kegg.jp/dbget-bin/www_bget?ec:" &amp; C2249, "https://www.kegg.jp/dbget-bin/www_bget?ec:" &amp; C2249)</f>
        <v>https://www.kegg.jp/dbget-bin/www_bget?ec:1.17.4.2</v>
      </c>
      <c r="F2249" t="s">
        <v>9954</v>
      </c>
      <c r="G2249" s="10" t="s">
        <v>10941</v>
      </c>
      <c r="H2249" s="13" t="s">
        <v>10942</v>
      </c>
    </row>
    <row r="2250" spans="1:8">
      <c r="A2250" t="s">
        <v>4135</v>
      </c>
      <c r="B2250" t="s">
        <v>4136</v>
      </c>
      <c r="C2250" s="25" t="s">
        <v>4137</v>
      </c>
      <c r="D2250" s="25"/>
      <c r="E2250" s="25" t="str">
        <f t="shared" ref="E2250" si="177">HYPERLINK("https://www.kegg.jp/dbget-bin/www_bget?ec:" &amp; C2250, "https://www.kegg.jp/dbget-bin/www_bget?ec:" &amp; C2250)</f>
        <v>https://www.kegg.jp/dbget-bin/www_bget?ec:1.17.4.2</v>
      </c>
      <c r="F2250" t="s">
        <v>9954</v>
      </c>
      <c r="G2250" s="10" t="s">
        <v>10943</v>
      </c>
      <c r="H2250" s="13" t="s">
        <v>10944</v>
      </c>
    </row>
    <row r="2251" spans="1:8">
      <c r="A2251" t="s">
        <v>4135</v>
      </c>
      <c r="B2251" t="s">
        <v>4136</v>
      </c>
      <c r="C2251" s="25" t="s">
        <v>4137</v>
      </c>
      <c r="D2251" s="25"/>
      <c r="E2251" s="25" t="str">
        <f t="shared" si="170"/>
        <v>https://www.kegg.jp/dbget-bin/www_bget?ec:1.17.4.2</v>
      </c>
      <c r="F2251" t="s">
        <v>9954</v>
      </c>
      <c r="G2251" s="10" t="s">
        <v>10945</v>
      </c>
      <c r="H2251" s="13" t="s">
        <v>10946</v>
      </c>
    </row>
    <row r="2252" spans="1:8">
      <c r="A2252" t="s">
        <v>4138</v>
      </c>
      <c r="B2252" t="s">
        <v>4139</v>
      </c>
      <c r="E2252" s="1"/>
    </row>
    <row r="2253" spans="1:8">
      <c r="A2253" t="s">
        <v>4140</v>
      </c>
      <c r="B2253" t="s">
        <v>4141</v>
      </c>
      <c r="E2253" s="1"/>
    </row>
    <row r="2254" spans="1:8">
      <c r="A2254" t="s">
        <v>4142</v>
      </c>
      <c r="B2254" t="s">
        <v>4143</v>
      </c>
      <c r="E2254" s="1"/>
    </row>
    <row r="2255" spans="1:8">
      <c r="B2255" t="s">
        <v>4144</v>
      </c>
      <c r="E2255" s="1"/>
    </row>
    <row r="2256" spans="1:8">
      <c r="A2256" t="s">
        <v>4145</v>
      </c>
      <c r="B2256" t="s">
        <v>4146</v>
      </c>
      <c r="E2256" s="1"/>
    </row>
    <row r="2257" spans="1:11">
      <c r="A2257" t="s">
        <v>4147</v>
      </c>
      <c r="B2257" t="s">
        <v>4148</v>
      </c>
      <c r="E2257" s="1"/>
    </row>
    <row r="2258" spans="1:11">
      <c r="A2258" t="s">
        <v>4149</v>
      </c>
      <c r="B2258" t="s">
        <v>4150</v>
      </c>
      <c r="E2258" s="1"/>
    </row>
    <row r="2259" spans="1:11">
      <c r="A2259" t="s">
        <v>4151</v>
      </c>
      <c r="B2259" t="s">
        <v>4152</v>
      </c>
      <c r="E2259" s="1"/>
    </row>
    <row r="2260" spans="1:11">
      <c r="B2260" t="s">
        <v>4153</v>
      </c>
      <c r="E2260" s="1"/>
    </row>
    <row r="2261" spans="1:11">
      <c r="A2261" t="s">
        <v>4154</v>
      </c>
      <c r="B2261" t="s">
        <v>4155</v>
      </c>
      <c r="C2261" s="1" t="s">
        <v>4156</v>
      </c>
      <c r="D2261" s="1"/>
      <c r="E2261" s="1" t="str">
        <f t="shared" ref="E2261" si="178">HYPERLINK("https://www.kegg.jp/dbget-bin/www_bget?ec:" &amp; C2261, "https://www.kegg.jp/dbget-bin/www_bget?ec:" &amp; C2261)</f>
        <v>https://www.kegg.jp/dbget-bin/www_bget?ec:6.3.4.14</v>
      </c>
      <c r="F2261" t="s">
        <v>9955</v>
      </c>
      <c r="G2261" s="10" t="s">
        <v>10947</v>
      </c>
      <c r="H2261" s="13" t="s">
        <v>10948</v>
      </c>
    </row>
    <row r="2262" spans="1:11">
      <c r="A2262" t="s">
        <v>4157</v>
      </c>
      <c r="B2262" t="s">
        <v>4158</v>
      </c>
      <c r="E2262" s="1"/>
    </row>
    <row r="2263" spans="1:11">
      <c r="A2263" t="s">
        <v>4159</v>
      </c>
      <c r="B2263" t="s">
        <v>4160</v>
      </c>
      <c r="E2263" s="1"/>
    </row>
    <row r="2264" spans="1:11">
      <c r="A2264" t="s">
        <v>4161</v>
      </c>
      <c r="B2264" t="s">
        <v>4162</v>
      </c>
      <c r="E2264" s="1"/>
    </row>
    <row r="2265" spans="1:11">
      <c r="A2265" t="s">
        <v>4163</v>
      </c>
      <c r="B2265" t="s">
        <v>4164</v>
      </c>
      <c r="E2265" s="1"/>
    </row>
    <row r="2266" spans="1:11">
      <c r="A2266" t="s">
        <v>4165</v>
      </c>
      <c r="B2266" t="s">
        <v>4166</v>
      </c>
      <c r="E2266" s="1"/>
    </row>
    <row r="2267" spans="1:11">
      <c r="A2267" t="s">
        <v>4167</v>
      </c>
      <c r="B2267" t="s">
        <v>4168</v>
      </c>
      <c r="E2267" s="1"/>
    </row>
    <row r="2268" spans="1:11">
      <c r="A2268" t="s">
        <v>4169</v>
      </c>
      <c r="B2268" t="s">
        <v>4170</v>
      </c>
      <c r="E2268" s="1"/>
    </row>
    <row r="2269" spans="1:11">
      <c r="A2269" t="s">
        <v>4171</v>
      </c>
      <c r="B2269" t="s">
        <v>4172</v>
      </c>
      <c r="E2269" s="1"/>
    </row>
    <row r="2270" spans="1:11">
      <c r="A2270" t="s">
        <v>4173</v>
      </c>
      <c r="B2270" t="s">
        <v>4174</v>
      </c>
      <c r="E2270" s="1"/>
    </row>
    <row r="2271" spans="1:11">
      <c r="A2271" s="19" t="s">
        <v>4175</v>
      </c>
      <c r="B2271" s="19" t="s">
        <v>4176</v>
      </c>
      <c r="C2271" s="25" t="s">
        <v>536</v>
      </c>
      <c r="D2271" s="26"/>
      <c r="E2271" s="25" t="s">
        <v>9958</v>
      </c>
      <c r="F2271" s="19" t="s">
        <v>9371</v>
      </c>
      <c r="G2271" s="22" t="s">
        <v>9372</v>
      </c>
      <c r="H2271" s="20" t="s">
        <v>9373</v>
      </c>
      <c r="I2271" s="19"/>
      <c r="J2271" s="19"/>
      <c r="K2271" s="19"/>
    </row>
    <row r="2272" spans="1:11">
      <c r="A2272" s="19" t="s">
        <v>4175</v>
      </c>
      <c r="B2272" s="19" t="s">
        <v>4176</v>
      </c>
      <c r="C2272" s="25" t="s">
        <v>536</v>
      </c>
      <c r="D2272" s="26"/>
      <c r="E2272" s="25" t="s">
        <v>9958</v>
      </c>
      <c r="F2272" s="19" t="s">
        <v>9371</v>
      </c>
      <c r="G2272" s="22" t="s">
        <v>9374</v>
      </c>
      <c r="H2272" s="20" t="s">
        <v>9375</v>
      </c>
      <c r="I2272" s="19"/>
      <c r="J2272" s="19"/>
      <c r="K2272" s="19"/>
    </row>
    <row r="2273" spans="1:11">
      <c r="A2273" s="19" t="s">
        <v>4175</v>
      </c>
      <c r="B2273" s="19" t="s">
        <v>4176</v>
      </c>
      <c r="C2273" s="25" t="s">
        <v>536</v>
      </c>
      <c r="D2273" s="26"/>
      <c r="E2273" s="25" t="s">
        <v>9958</v>
      </c>
      <c r="F2273" s="19" t="s">
        <v>9371</v>
      </c>
      <c r="G2273" s="22" t="s">
        <v>9376</v>
      </c>
      <c r="H2273" s="20" t="s">
        <v>9377</v>
      </c>
      <c r="I2273" s="19"/>
      <c r="J2273" s="19"/>
      <c r="K2273" s="19"/>
    </row>
    <row r="2274" spans="1:11">
      <c r="A2274" s="19" t="s">
        <v>4175</v>
      </c>
      <c r="B2274" s="19" t="s">
        <v>4176</v>
      </c>
      <c r="C2274" s="25" t="s">
        <v>536</v>
      </c>
      <c r="D2274" s="26"/>
      <c r="E2274" s="25" t="s">
        <v>9958</v>
      </c>
      <c r="F2274" s="19" t="s">
        <v>9371</v>
      </c>
      <c r="G2274" s="22" t="s">
        <v>9378</v>
      </c>
      <c r="H2274" s="20" t="s">
        <v>9379</v>
      </c>
      <c r="I2274" s="19"/>
      <c r="J2274" s="19"/>
      <c r="K2274" s="19"/>
    </row>
    <row r="2275" spans="1:11">
      <c r="A2275" s="19" t="s">
        <v>4175</v>
      </c>
      <c r="B2275" s="19" t="s">
        <v>4176</v>
      </c>
      <c r="C2275" s="25" t="s">
        <v>536</v>
      </c>
      <c r="D2275" s="26"/>
      <c r="E2275" s="25" t="s">
        <v>9958</v>
      </c>
      <c r="F2275" s="19" t="s">
        <v>9371</v>
      </c>
      <c r="G2275" s="22" t="s">
        <v>9380</v>
      </c>
      <c r="H2275" s="20" t="s">
        <v>9381</v>
      </c>
      <c r="I2275" s="19"/>
      <c r="J2275" s="19"/>
      <c r="K2275" s="19"/>
    </row>
    <row r="2276" spans="1:11">
      <c r="A2276" s="19" t="s">
        <v>4175</v>
      </c>
      <c r="B2276" s="19" t="s">
        <v>4176</v>
      </c>
      <c r="C2276" s="25" t="s">
        <v>536</v>
      </c>
      <c r="D2276" s="26"/>
      <c r="E2276" s="25" t="s">
        <v>9958</v>
      </c>
      <c r="F2276" s="19" t="s">
        <v>9371</v>
      </c>
      <c r="G2276" s="22" t="s">
        <v>9382</v>
      </c>
      <c r="H2276" s="20" t="s">
        <v>9383</v>
      </c>
      <c r="I2276" s="19"/>
      <c r="J2276" s="19"/>
      <c r="K2276" s="19"/>
    </row>
    <row r="2277" spans="1:11">
      <c r="A2277" t="s">
        <v>4177</v>
      </c>
      <c r="B2277" t="s">
        <v>4178</v>
      </c>
      <c r="E2277" s="1"/>
    </row>
    <row r="2278" spans="1:11">
      <c r="A2278" t="s">
        <v>4179</v>
      </c>
      <c r="B2278" t="s">
        <v>4180</v>
      </c>
      <c r="E2278" s="1"/>
    </row>
    <row r="2279" spans="1:11">
      <c r="A2279" t="s">
        <v>4181</v>
      </c>
      <c r="B2279" t="s">
        <v>4182</v>
      </c>
      <c r="E2279" s="1"/>
    </row>
    <row r="2280" spans="1:11">
      <c r="A2280" t="s">
        <v>4183</v>
      </c>
      <c r="B2280" t="s">
        <v>4184</v>
      </c>
      <c r="E2280" s="1"/>
    </row>
    <row r="2281" spans="1:11">
      <c r="B2281" t="s">
        <v>4185</v>
      </c>
      <c r="E2281" s="1"/>
    </row>
    <row r="2282" spans="1:11">
      <c r="A2282" t="s">
        <v>4186</v>
      </c>
      <c r="B2282" t="s">
        <v>4187</v>
      </c>
      <c r="E2282" s="1"/>
    </row>
    <row r="2283" spans="1:11">
      <c r="A2283" t="s">
        <v>4188</v>
      </c>
      <c r="B2283" t="s">
        <v>4189</v>
      </c>
      <c r="E2283" s="1"/>
    </row>
    <row r="2284" spans="1:11">
      <c r="A2284" t="s">
        <v>4190</v>
      </c>
      <c r="B2284" t="s">
        <v>4191</v>
      </c>
      <c r="E2284" s="1"/>
    </row>
    <row r="2285" spans="1:11">
      <c r="A2285" t="s">
        <v>4192</v>
      </c>
      <c r="B2285" t="s">
        <v>4193</v>
      </c>
      <c r="E2285" s="1"/>
    </row>
    <row r="2286" spans="1:11">
      <c r="A2286" t="s">
        <v>4194</v>
      </c>
      <c r="B2286" t="s">
        <v>4195</v>
      </c>
      <c r="E2286" s="1"/>
    </row>
    <row r="2287" spans="1:11">
      <c r="A2287" t="s">
        <v>4196</v>
      </c>
      <c r="B2287" t="s">
        <v>4197</v>
      </c>
      <c r="E2287" s="1"/>
    </row>
    <row r="2288" spans="1:11">
      <c r="A2288" t="s">
        <v>4198</v>
      </c>
      <c r="B2288" t="s">
        <v>4199</v>
      </c>
      <c r="E2288" s="1"/>
    </row>
    <row r="2289" spans="1:8">
      <c r="A2289" t="s">
        <v>4200</v>
      </c>
      <c r="B2289" t="s">
        <v>4201</v>
      </c>
      <c r="E2289" s="1"/>
    </row>
    <row r="2290" spans="1:8">
      <c r="A2290" t="s">
        <v>4202</v>
      </c>
      <c r="B2290" t="s">
        <v>4203</v>
      </c>
      <c r="E2290" s="1"/>
    </row>
    <row r="2291" spans="1:8">
      <c r="A2291" t="s">
        <v>4204</v>
      </c>
      <c r="B2291" t="s">
        <v>4205</v>
      </c>
      <c r="C2291" s="1" t="s">
        <v>2999</v>
      </c>
      <c r="D2291" s="1"/>
      <c r="E2291" s="1" t="str">
        <f>HYPERLINK("https://www.kegg.jp/dbget-bin/www_bget?ec:" &amp; C2291, "https://www.kegg.jp/dbget-bin/www_bget?ec:" &amp; C2291)</f>
        <v>https://www.kegg.jp/dbget-bin/www_bget?ec:3.4.21.89</v>
      </c>
      <c r="F2291" t="s">
        <v>9650</v>
      </c>
    </row>
    <row r="2292" spans="1:8">
      <c r="A2292" t="s">
        <v>4206</v>
      </c>
      <c r="B2292" t="s">
        <v>4207</v>
      </c>
      <c r="E2292" s="1"/>
    </row>
    <row r="2293" spans="1:8">
      <c r="A2293" t="s">
        <v>4208</v>
      </c>
      <c r="B2293" t="s">
        <v>4209</v>
      </c>
      <c r="E2293" s="1"/>
    </row>
    <row r="2294" spans="1:8">
      <c r="A2294" t="s">
        <v>4210</v>
      </c>
      <c r="B2294" t="s">
        <v>4211</v>
      </c>
      <c r="E2294" s="1"/>
    </row>
    <row r="2295" spans="1:8">
      <c r="A2295" t="s">
        <v>4212</v>
      </c>
      <c r="B2295" t="s">
        <v>4213</v>
      </c>
      <c r="E2295" s="1"/>
    </row>
    <row r="2296" spans="1:8">
      <c r="A2296" t="s">
        <v>4214</v>
      </c>
      <c r="B2296" t="s">
        <v>4215</v>
      </c>
      <c r="E2296" s="1"/>
    </row>
    <row r="2297" spans="1:8">
      <c r="A2297" t="s">
        <v>4216</v>
      </c>
      <c r="B2297" t="s">
        <v>4217</v>
      </c>
      <c r="E2297" s="1"/>
    </row>
    <row r="2298" spans="1:8">
      <c r="A2298" t="s">
        <v>4218</v>
      </c>
      <c r="B2298" t="s">
        <v>4219</v>
      </c>
      <c r="E2298" s="1"/>
    </row>
    <row r="2299" spans="1:8">
      <c r="A2299" t="s">
        <v>4220</v>
      </c>
      <c r="B2299" t="s">
        <v>4221</v>
      </c>
      <c r="E2299" s="1"/>
    </row>
    <row r="2300" spans="1:8">
      <c r="A2300" t="s">
        <v>4222</v>
      </c>
      <c r="B2300" t="s">
        <v>4223</v>
      </c>
      <c r="E2300" s="1"/>
    </row>
    <row r="2301" spans="1:8">
      <c r="A2301" t="s">
        <v>4224</v>
      </c>
      <c r="B2301" t="s">
        <v>4225</v>
      </c>
      <c r="E2301" s="1"/>
    </row>
    <row r="2302" spans="1:8">
      <c r="A2302" t="s">
        <v>4226</v>
      </c>
      <c r="B2302" t="s">
        <v>4227</v>
      </c>
      <c r="E2302" s="1"/>
    </row>
    <row r="2303" spans="1:8">
      <c r="A2303" t="s">
        <v>4228</v>
      </c>
      <c r="B2303" t="s">
        <v>4229</v>
      </c>
      <c r="C2303" s="1" t="s">
        <v>4230</v>
      </c>
      <c r="D2303" s="1"/>
      <c r="E2303" s="1" t="str">
        <f>HYPERLINK("https://www.kegg.jp/dbget-bin/www_bget?ec:" &amp; C2303, "https://www.kegg.jp/dbget-bin/www_bget?ec:" &amp; C2303)</f>
        <v>https://www.kegg.jp/dbget-bin/www_bget?ec:6.1.1.2</v>
      </c>
      <c r="F2303" t="s">
        <v>9991</v>
      </c>
      <c r="G2303" s="10" t="s">
        <v>10949</v>
      </c>
      <c r="H2303" s="13" t="s">
        <v>10950</v>
      </c>
    </row>
    <row r="2304" spans="1:8">
      <c r="A2304" t="s">
        <v>4231</v>
      </c>
      <c r="B2304" t="s">
        <v>4232</v>
      </c>
      <c r="E2304" s="1"/>
    </row>
    <row r="2305" spans="1:5">
      <c r="A2305" t="s">
        <v>4233</v>
      </c>
      <c r="B2305" t="s">
        <v>4234</v>
      </c>
      <c r="E2305" s="1"/>
    </row>
    <row r="2306" spans="1:5">
      <c r="A2306" t="s">
        <v>4235</v>
      </c>
      <c r="B2306" t="s">
        <v>4236</v>
      </c>
      <c r="E2306" s="1"/>
    </row>
    <row r="2307" spans="1:5">
      <c r="A2307" t="s">
        <v>4237</v>
      </c>
      <c r="B2307" t="s">
        <v>4238</v>
      </c>
      <c r="E2307" s="1"/>
    </row>
    <row r="2308" spans="1:5">
      <c r="A2308" t="s">
        <v>4239</v>
      </c>
      <c r="B2308" t="s">
        <v>4240</v>
      </c>
      <c r="E2308" s="1"/>
    </row>
    <row r="2309" spans="1:5">
      <c r="B2309" t="s">
        <v>4241</v>
      </c>
      <c r="E2309" s="1"/>
    </row>
    <row r="2310" spans="1:5">
      <c r="A2310" t="s">
        <v>4242</v>
      </c>
      <c r="B2310" t="s">
        <v>4243</v>
      </c>
      <c r="E2310" s="1"/>
    </row>
    <row r="2311" spans="1:5">
      <c r="B2311" t="s">
        <v>4244</v>
      </c>
      <c r="E2311" s="1"/>
    </row>
    <row r="2312" spans="1:5">
      <c r="A2312" t="s">
        <v>4245</v>
      </c>
      <c r="B2312" t="s">
        <v>4246</v>
      </c>
      <c r="E2312" s="1"/>
    </row>
    <row r="2313" spans="1:5">
      <c r="A2313" t="s">
        <v>4247</v>
      </c>
      <c r="B2313" t="s">
        <v>4248</v>
      </c>
      <c r="E2313" s="1"/>
    </row>
    <row r="2314" spans="1:5">
      <c r="B2314" t="s">
        <v>4249</v>
      </c>
      <c r="E2314" s="1"/>
    </row>
    <row r="2315" spans="1:5">
      <c r="A2315" t="s">
        <v>4250</v>
      </c>
      <c r="B2315" t="s">
        <v>4251</v>
      </c>
      <c r="E2315" s="1"/>
    </row>
    <row r="2316" spans="1:5">
      <c r="A2316" t="s">
        <v>4252</v>
      </c>
      <c r="B2316" t="s">
        <v>4253</v>
      </c>
      <c r="E2316" s="1"/>
    </row>
    <row r="2317" spans="1:5">
      <c r="A2317" t="s">
        <v>4254</v>
      </c>
      <c r="B2317" t="s">
        <v>4255</v>
      </c>
      <c r="E2317" s="1"/>
    </row>
    <row r="2318" spans="1:5">
      <c r="A2318" t="s">
        <v>4256</v>
      </c>
      <c r="B2318" t="s">
        <v>4257</v>
      </c>
      <c r="E2318" s="1"/>
    </row>
    <row r="2319" spans="1:5">
      <c r="A2319" t="s">
        <v>4258</v>
      </c>
      <c r="B2319" t="s">
        <v>4259</v>
      </c>
      <c r="E2319" s="1"/>
    </row>
    <row r="2320" spans="1:5">
      <c r="A2320" t="s">
        <v>4260</v>
      </c>
      <c r="B2320" t="s">
        <v>4261</v>
      </c>
      <c r="E2320" s="1"/>
    </row>
    <row r="2321" spans="1:7">
      <c r="A2321" t="s">
        <v>4262</v>
      </c>
      <c r="B2321" t="s">
        <v>4263</v>
      </c>
      <c r="E2321" s="1"/>
    </row>
    <row r="2322" spans="1:7">
      <c r="A2322" t="s">
        <v>4264</v>
      </c>
      <c r="B2322" t="s">
        <v>4265</v>
      </c>
      <c r="E2322" s="1"/>
    </row>
    <row r="2323" spans="1:7">
      <c r="A2323" t="s">
        <v>4266</v>
      </c>
      <c r="B2323" t="s">
        <v>4267</v>
      </c>
      <c r="E2323" s="1"/>
    </row>
    <row r="2324" spans="1:7">
      <c r="A2324" t="s">
        <v>4268</v>
      </c>
      <c r="B2324" t="s">
        <v>4269</v>
      </c>
      <c r="E2324" s="1"/>
    </row>
    <row r="2325" spans="1:7">
      <c r="A2325" t="s">
        <v>4270</v>
      </c>
      <c r="B2325" t="s">
        <v>4271</v>
      </c>
      <c r="E2325" s="1"/>
    </row>
    <row r="2326" spans="1:7">
      <c r="A2326" t="s">
        <v>4272</v>
      </c>
      <c r="B2326" t="s">
        <v>4273</v>
      </c>
      <c r="E2326" s="1"/>
    </row>
    <row r="2327" spans="1:7">
      <c r="A2327" t="s">
        <v>4274</v>
      </c>
      <c r="B2327" t="s">
        <v>4275</v>
      </c>
      <c r="E2327" s="1"/>
    </row>
    <row r="2328" spans="1:7">
      <c r="A2328" t="s">
        <v>4276</v>
      </c>
      <c r="B2328" t="s">
        <v>4277</v>
      </c>
      <c r="E2328" s="1"/>
    </row>
    <row r="2329" spans="1:7">
      <c r="A2329" t="s">
        <v>4278</v>
      </c>
      <c r="B2329" t="s">
        <v>4279</v>
      </c>
      <c r="E2329" s="1"/>
    </row>
    <row r="2330" spans="1:7">
      <c r="A2330" t="s">
        <v>4280</v>
      </c>
      <c r="B2330" t="s">
        <v>4281</v>
      </c>
      <c r="E2330" s="1"/>
    </row>
    <row r="2331" spans="1:7">
      <c r="A2331" t="s">
        <v>4282</v>
      </c>
      <c r="B2331" t="s">
        <v>4283</v>
      </c>
      <c r="E2331" s="1"/>
    </row>
    <row r="2332" spans="1:7">
      <c r="A2332" t="s">
        <v>4284</v>
      </c>
      <c r="B2332" t="s">
        <v>4285</v>
      </c>
      <c r="E2332" s="1"/>
    </row>
    <row r="2333" spans="1:7">
      <c r="A2333" t="s">
        <v>4286</v>
      </c>
      <c r="B2333" t="s">
        <v>4287</v>
      </c>
      <c r="C2333" s="1" t="s">
        <v>4288</v>
      </c>
      <c r="D2333" s="1"/>
      <c r="E2333" s="1" t="str">
        <f>HYPERLINK("https://www.kegg.jp/dbget-bin/www_bget?ec:" &amp; C2333, "https://www.kegg.jp/dbget-bin/www_bget?ec:" &amp; C2333)</f>
        <v>https://www.kegg.jp/dbget-bin/www_bget?ec:3.6.1.22</v>
      </c>
      <c r="F2333" t="s">
        <v>10951</v>
      </c>
      <c r="G2333" s="10" t="s">
        <v>10952</v>
      </c>
    </row>
    <row r="2334" spans="1:7">
      <c r="A2334" t="s">
        <v>4289</v>
      </c>
      <c r="B2334" t="s">
        <v>4290</v>
      </c>
      <c r="E2334" s="1"/>
    </row>
    <row r="2335" spans="1:7">
      <c r="A2335" t="s">
        <v>4291</v>
      </c>
      <c r="B2335" t="s">
        <v>4292</v>
      </c>
      <c r="E2335" s="1"/>
    </row>
    <row r="2336" spans="1:7">
      <c r="A2336" t="s">
        <v>4293</v>
      </c>
      <c r="B2336" t="s">
        <v>4294</v>
      </c>
      <c r="E2336" s="1"/>
    </row>
    <row r="2337" spans="1:8">
      <c r="A2337" t="s">
        <v>4295</v>
      </c>
      <c r="B2337" t="s">
        <v>4296</v>
      </c>
      <c r="E2337" s="1"/>
    </row>
    <row r="2338" spans="1:8">
      <c r="A2338" t="s">
        <v>4297</v>
      </c>
      <c r="B2338" t="s">
        <v>4298</v>
      </c>
      <c r="E2338" s="1"/>
    </row>
    <row r="2339" spans="1:8">
      <c r="A2339" t="s">
        <v>4299</v>
      </c>
      <c r="B2339" t="s">
        <v>4300</v>
      </c>
      <c r="E2339" s="1"/>
    </row>
    <row r="2340" spans="1:8">
      <c r="A2340" t="s">
        <v>4301</v>
      </c>
      <c r="B2340" t="s">
        <v>4302</v>
      </c>
      <c r="E2340" s="1"/>
    </row>
    <row r="2341" spans="1:8">
      <c r="A2341" t="s">
        <v>4303</v>
      </c>
      <c r="B2341" t="s">
        <v>4304</v>
      </c>
      <c r="C2341" s="1" t="s">
        <v>298</v>
      </c>
      <c r="D2341" s="1"/>
      <c r="E2341" s="1" t="str">
        <f>HYPERLINK("https://www.genome.jp/dbget-bin/www_bget?cpd:C03723" &amp; C2341, "https://www.kegg.jp/dbget-bin/www_bget?ec:" &amp; C2341)</f>
        <v>https://www.kegg.jp/dbget-bin/www_bget?ec:2.7.7.7</v>
      </c>
      <c r="F2341" s="1" t="s">
        <v>9321</v>
      </c>
      <c r="G2341" s="22" t="s">
        <v>10816</v>
      </c>
      <c r="H2341" s="20" t="s">
        <v>9322</v>
      </c>
    </row>
    <row r="2342" spans="1:8">
      <c r="A2342" t="s">
        <v>4303</v>
      </c>
      <c r="B2342" t="s">
        <v>4304</v>
      </c>
      <c r="C2342" s="1" t="s">
        <v>298</v>
      </c>
      <c r="D2342" s="1"/>
      <c r="E2342" s="1" t="str">
        <f t="shared" ref="E2342:E2346" si="179">HYPERLINK("https://www.kegg.jp/dbget-bin/www_bget?ec:" &amp; C2342, "https://www.kegg.jp/dbget-bin/www_bget?ec:" &amp; C2342)</f>
        <v>https://www.kegg.jp/dbget-bin/www_bget?ec:2.7.7.7</v>
      </c>
      <c r="F2342" s="19" t="s">
        <v>9809</v>
      </c>
      <c r="G2342" s="22" t="s">
        <v>9514</v>
      </c>
      <c r="H2342" s="20" t="s">
        <v>10657</v>
      </c>
    </row>
    <row r="2343" spans="1:8">
      <c r="A2343" t="s">
        <v>4303</v>
      </c>
      <c r="B2343" t="s">
        <v>4304</v>
      </c>
      <c r="C2343" s="1" t="s">
        <v>298</v>
      </c>
      <c r="D2343" s="1"/>
      <c r="E2343" s="1" t="str">
        <f t="shared" si="179"/>
        <v>https://www.kegg.jp/dbget-bin/www_bget?ec:2.7.7.7</v>
      </c>
      <c r="F2343" s="19" t="s">
        <v>9810</v>
      </c>
      <c r="G2343" s="22" t="s">
        <v>9516</v>
      </c>
      <c r="H2343" s="20" t="s">
        <v>10657</v>
      </c>
    </row>
    <row r="2344" spans="1:8">
      <c r="A2344" t="s">
        <v>4303</v>
      </c>
      <c r="B2344" t="s">
        <v>4304</v>
      </c>
      <c r="C2344" s="1" t="s">
        <v>298</v>
      </c>
      <c r="D2344" s="1"/>
      <c r="E2344" s="1" t="str">
        <f t="shared" si="179"/>
        <v>https://www.kegg.jp/dbget-bin/www_bget?ec:2.7.7.7</v>
      </c>
      <c r="F2344" s="19" t="s">
        <v>9811</v>
      </c>
      <c r="G2344" s="22" t="s">
        <v>9517</v>
      </c>
      <c r="H2344" s="20" t="s">
        <v>9515</v>
      </c>
    </row>
    <row r="2345" spans="1:8">
      <c r="A2345" t="s">
        <v>4303</v>
      </c>
      <c r="B2345" t="s">
        <v>4304</v>
      </c>
      <c r="C2345" s="1" t="s">
        <v>298</v>
      </c>
      <c r="D2345" s="1"/>
      <c r="E2345" s="1" t="str">
        <f t="shared" si="179"/>
        <v>https://www.kegg.jp/dbget-bin/www_bget?ec:2.7.7.7</v>
      </c>
      <c r="F2345" s="19" t="s">
        <v>9812</v>
      </c>
      <c r="G2345" s="22" t="s">
        <v>10818</v>
      </c>
      <c r="H2345" s="20" t="s">
        <v>10657</v>
      </c>
    </row>
    <row r="2346" spans="1:8">
      <c r="A2346" t="s">
        <v>4303</v>
      </c>
      <c r="B2346" t="s">
        <v>4304</v>
      </c>
      <c r="C2346" s="1" t="s">
        <v>298</v>
      </c>
      <c r="D2346" s="1"/>
      <c r="E2346" s="1" t="str">
        <f t="shared" si="179"/>
        <v>https://www.kegg.jp/dbget-bin/www_bget?ec:2.7.7.7</v>
      </c>
      <c r="F2346" s="19" t="s">
        <v>9813</v>
      </c>
      <c r="G2346" s="22" t="s">
        <v>9820</v>
      </c>
      <c r="H2346" s="20" t="s">
        <v>9821</v>
      </c>
    </row>
    <row r="2347" spans="1:8">
      <c r="A2347" t="s">
        <v>4305</v>
      </c>
      <c r="B2347" t="s">
        <v>4306</v>
      </c>
      <c r="E2347" s="1"/>
    </row>
    <row r="2348" spans="1:8">
      <c r="A2348" t="s">
        <v>4307</v>
      </c>
      <c r="B2348" t="s">
        <v>4308</v>
      </c>
      <c r="E2348" s="1"/>
    </row>
    <row r="2349" spans="1:8">
      <c r="B2349" t="s">
        <v>4309</v>
      </c>
      <c r="E2349" s="1"/>
    </row>
    <row r="2350" spans="1:8">
      <c r="A2350" t="s">
        <v>4310</v>
      </c>
      <c r="B2350" t="s">
        <v>4311</v>
      </c>
      <c r="E2350" s="1"/>
    </row>
    <row r="2351" spans="1:8">
      <c r="A2351" t="s">
        <v>4312</v>
      </c>
      <c r="B2351" t="s">
        <v>4313</v>
      </c>
      <c r="E2351" s="1"/>
    </row>
    <row r="2352" spans="1:8">
      <c r="A2352" t="s">
        <v>4314</v>
      </c>
      <c r="B2352" t="s">
        <v>4315</v>
      </c>
      <c r="E2352" s="1"/>
    </row>
    <row r="2353" spans="1:8">
      <c r="A2353" t="s">
        <v>4316</v>
      </c>
      <c r="B2353" t="s">
        <v>4317</v>
      </c>
      <c r="E2353" s="1"/>
    </row>
    <row r="2354" spans="1:8">
      <c r="A2354" t="s">
        <v>4318</v>
      </c>
      <c r="B2354" t="s">
        <v>4319</v>
      </c>
      <c r="E2354" s="1"/>
    </row>
    <row r="2355" spans="1:8">
      <c r="A2355" t="s">
        <v>4320</v>
      </c>
      <c r="B2355" t="s">
        <v>4321</v>
      </c>
      <c r="C2355" s="1" t="s">
        <v>4322</v>
      </c>
      <c r="D2355" s="1"/>
      <c r="E2355" s="1" t="str">
        <f>HYPERLINK("https://www.kegg.jp/dbget-bin/www_bget?ec:" &amp; C2355, "https://www.kegg.jp/dbget-bin/www_bget?ec:" &amp; C2355)</f>
        <v>https://www.kegg.jp/dbget-bin/www_bget?ec:3.5.4.25</v>
      </c>
      <c r="F2355" s="1" t="s">
        <v>9997</v>
      </c>
      <c r="G2355" s="10" t="s">
        <v>10953</v>
      </c>
      <c r="H2355" s="13" t="s">
        <v>10954</v>
      </c>
    </row>
    <row r="2356" spans="1:8">
      <c r="A2356" t="s">
        <v>4320</v>
      </c>
      <c r="B2356" t="s">
        <v>4321</v>
      </c>
      <c r="C2356" s="1" t="s">
        <v>4323</v>
      </c>
      <c r="D2356" s="1"/>
      <c r="E2356" s="1" t="str">
        <f>HYPERLINK("https://www.kegg.jp/dbget-bin/www_bget?ec:" &amp; C2356, "https://www.kegg.jp/dbget-bin/www_bget?ec:" &amp; C2356)</f>
        <v>https://www.kegg.jp/dbget-bin/www_bget?ec:4.1.99.12</v>
      </c>
      <c r="F2356" s="1" t="s">
        <v>9998</v>
      </c>
      <c r="G2356" s="10" t="s">
        <v>9999</v>
      </c>
      <c r="H2356" s="13" t="s">
        <v>10955</v>
      </c>
    </row>
    <row r="2357" spans="1:8">
      <c r="A2357" t="s">
        <v>4324</v>
      </c>
      <c r="B2357" t="s">
        <v>4325</v>
      </c>
      <c r="E2357" s="1"/>
    </row>
    <row r="2358" spans="1:8">
      <c r="A2358" t="s">
        <v>4326</v>
      </c>
      <c r="B2358" t="s">
        <v>4327</v>
      </c>
      <c r="E2358" s="1"/>
    </row>
    <row r="2359" spans="1:8">
      <c r="B2359" t="s">
        <v>4328</v>
      </c>
      <c r="E2359" s="1"/>
    </row>
    <row r="2360" spans="1:8">
      <c r="A2360" t="s">
        <v>4329</v>
      </c>
      <c r="B2360" t="s">
        <v>4330</v>
      </c>
      <c r="E2360" s="1"/>
    </row>
    <row r="2361" spans="1:8">
      <c r="A2361" t="s">
        <v>4331</v>
      </c>
      <c r="B2361" t="s">
        <v>4332</v>
      </c>
      <c r="E2361" s="1"/>
    </row>
    <row r="2362" spans="1:8">
      <c r="A2362" t="s">
        <v>4333</v>
      </c>
      <c r="B2362" t="s">
        <v>4334</v>
      </c>
      <c r="E2362" s="1"/>
    </row>
    <row r="2363" spans="1:8">
      <c r="A2363" t="s">
        <v>4335</v>
      </c>
      <c r="B2363" t="s">
        <v>4336</v>
      </c>
      <c r="E2363" s="1"/>
    </row>
    <row r="2364" spans="1:8">
      <c r="A2364" t="s">
        <v>4337</v>
      </c>
      <c r="B2364" t="s">
        <v>4338</v>
      </c>
      <c r="E2364" s="1"/>
    </row>
    <row r="2365" spans="1:8">
      <c r="B2365" t="s">
        <v>4339</v>
      </c>
      <c r="E2365" s="1"/>
    </row>
    <row r="2366" spans="1:8">
      <c r="A2366" t="s">
        <v>4340</v>
      </c>
      <c r="B2366" t="s">
        <v>4341</v>
      </c>
      <c r="E2366" s="1"/>
    </row>
    <row r="2367" spans="1:8">
      <c r="A2367" t="s">
        <v>4342</v>
      </c>
      <c r="B2367" t="s">
        <v>4343</v>
      </c>
      <c r="E2367" s="1"/>
    </row>
    <row r="2368" spans="1:8">
      <c r="A2368" t="s">
        <v>4344</v>
      </c>
      <c r="B2368" t="s">
        <v>4345</v>
      </c>
      <c r="E2368" s="1"/>
    </row>
    <row r="2369" spans="1:8">
      <c r="A2369" t="s">
        <v>4346</v>
      </c>
      <c r="B2369" t="s">
        <v>4347</v>
      </c>
      <c r="E2369" s="1"/>
    </row>
    <row r="2370" spans="1:8">
      <c r="B2370" t="s">
        <v>4348</v>
      </c>
      <c r="E2370" s="1"/>
    </row>
    <row r="2371" spans="1:8">
      <c r="A2371" t="s">
        <v>4349</v>
      </c>
      <c r="B2371" t="s">
        <v>4350</v>
      </c>
      <c r="C2371" s="1" t="s">
        <v>1187</v>
      </c>
      <c r="D2371" s="1"/>
      <c r="E2371" s="1" t="str">
        <f>HYPERLINK("https://www.kegg.jp/dbget-bin/www_bget?ec:" &amp; C2371, "https://www.kegg.jp/dbget-bin/www_bget?ec:" &amp; C2371)</f>
        <v>https://www.kegg.jp/dbget-bin/www_bget?ec:4.2.3.3</v>
      </c>
      <c r="F2371" s="1" t="s">
        <v>9477</v>
      </c>
      <c r="G2371" s="10" t="s">
        <v>10001</v>
      </c>
      <c r="H2371" s="13" t="s">
        <v>10956</v>
      </c>
    </row>
    <row r="2372" spans="1:8">
      <c r="A2372" t="s">
        <v>4351</v>
      </c>
      <c r="B2372" t="s">
        <v>4352</v>
      </c>
      <c r="E2372" s="1"/>
    </row>
    <row r="2373" spans="1:8">
      <c r="A2373" t="s">
        <v>4353</v>
      </c>
      <c r="B2373" t="s">
        <v>4354</v>
      </c>
      <c r="E2373" s="1"/>
    </row>
    <row r="2374" spans="1:8">
      <c r="A2374" t="s">
        <v>4355</v>
      </c>
      <c r="B2374" t="s">
        <v>4356</v>
      </c>
      <c r="E2374" s="1"/>
    </row>
    <row r="2375" spans="1:8">
      <c r="A2375" t="s">
        <v>4357</v>
      </c>
      <c r="B2375" t="s">
        <v>4358</v>
      </c>
      <c r="C2375" s="1" t="s">
        <v>4359</v>
      </c>
      <c r="D2375" s="1"/>
      <c r="E2375" s="1" t="str">
        <f t="shared" ref="E2375:E2384" si="180">HYPERLINK("https://www.kegg.jp/dbget-bin/www_bget?ec:" &amp; C2375, "https://www.kegg.jp/dbget-bin/www_bget?ec:" &amp; C2375)</f>
        <v>https://www.kegg.jp/dbget-bin/www_bget?ec:2.7.1.11</v>
      </c>
      <c r="F2375" s="1" t="s">
        <v>10003</v>
      </c>
      <c r="G2375" s="10" t="s">
        <v>10957</v>
      </c>
      <c r="H2375" s="13" t="s">
        <v>10958</v>
      </c>
    </row>
    <row r="2376" spans="1:8">
      <c r="A2376" t="s">
        <v>4357</v>
      </c>
      <c r="B2376" t="s">
        <v>4358</v>
      </c>
      <c r="C2376" s="1" t="s">
        <v>4359</v>
      </c>
      <c r="D2376" s="1"/>
      <c r="E2376" s="1" t="str">
        <f t="shared" si="180"/>
        <v>https://www.kegg.jp/dbget-bin/www_bget?ec:2.7.1.11</v>
      </c>
      <c r="F2376" s="1" t="s">
        <v>10003</v>
      </c>
      <c r="G2376" s="10" t="s">
        <v>10959</v>
      </c>
      <c r="H2376" s="13" t="s">
        <v>10960</v>
      </c>
    </row>
    <row r="2377" spans="1:8">
      <c r="A2377" t="s">
        <v>4357</v>
      </c>
      <c r="B2377" t="s">
        <v>4358</v>
      </c>
      <c r="C2377" s="1" t="s">
        <v>4359</v>
      </c>
      <c r="D2377" s="1"/>
      <c r="E2377" s="1" t="str">
        <f t="shared" si="180"/>
        <v>https://www.kegg.jp/dbget-bin/www_bget?ec:2.7.1.11</v>
      </c>
      <c r="F2377" s="1" t="s">
        <v>10003</v>
      </c>
      <c r="G2377" s="10" t="s">
        <v>10961</v>
      </c>
      <c r="H2377" s="13" t="s">
        <v>10962</v>
      </c>
    </row>
    <row r="2378" spans="1:8">
      <c r="A2378" t="s">
        <v>4357</v>
      </c>
      <c r="B2378" t="s">
        <v>4358</v>
      </c>
      <c r="C2378" s="1" t="s">
        <v>4359</v>
      </c>
      <c r="D2378" s="1"/>
      <c r="E2378" s="1" t="str">
        <f t="shared" si="180"/>
        <v>https://www.kegg.jp/dbget-bin/www_bget?ec:2.7.1.11</v>
      </c>
      <c r="F2378" s="1" t="s">
        <v>10003</v>
      </c>
      <c r="G2378" s="10" t="s">
        <v>10963</v>
      </c>
      <c r="H2378" s="13" t="s">
        <v>10964</v>
      </c>
    </row>
    <row r="2379" spans="1:8">
      <c r="A2379" t="s">
        <v>4357</v>
      </c>
      <c r="B2379" t="s">
        <v>4358</v>
      </c>
      <c r="C2379" s="1" t="s">
        <v>4359</v>
      </c>
      <c r="D2379" s="1"/>
      <c r="E2379" s="1" t="str">
        <f t="shared" si="180"/>
        <v>https://www.kegg.jp/dbget-bin/www_bget?ec:2.7.1.11</v>
      </c>
      <c r="F2379" s="1" t="s">
        <v>10003</v>
      </c>
      <c r="G2379" s="10" t="s">
        <v>10965</v>
      </c>
      <c r="H2379" s="13" t="s">
        <v>10966</v>
      </c>
    </row>
    <row r="2380" spans="1:8">
      <c r="A2380" t="s">
        <v>4357</v>
      </c>
      <c r="B2380" t="s">
        <v>4358</v>
      </c>
      <c r="C2380" s="1" t="s">
        <v>4359</v>
      </c>
      <c r="D2380" s="1"/>
      <c r="E2380" s="1" t="str">
        <f t="shared" si="180"/>
        <v>https://www.kegg.jp/dbget-bin/www_bget?ec:2.7.1.11</v>
      </c>
      <c r="F2380" s="1" t="s">
        <v>10003</v>
      </c>
      <c r="G2380" s="10" t="s">
        <v>10967</v>
      </c>
      <c r="H2380" s="13" t="s">
        <v>10968</v>
      </c>
    </row>
    <row r="2381" spans="1:8">
      <c r="A2381" t="s">
        <v>4357</v>
      </c>
      <c r="B2381" t="s">
        <v>4358</v>
      </c>
      <c r="C2381" s="1" t="s">
        <v>4359</v>
      </c>
      <c r="D2381" s="1"/>
      <c r="E2381" s="1" t="str">
        <f t="shared" si="180"/>
        <v>https://www.kegg.jp/dbget-bin/www_bget?ec:2.7.1.11</v>
      </c>
      <c r="F2381" s="1" t="s">
        <v>10003</v>
      </c>
      <c r="G2381" s="10" t="s">
        <v>10969</v>
      </c>
      <c r="H2381" s="13" t="s">
        <v>10970</v>
      </c>
    </row>
    <row r="2382" spans="1:8">
      <c r="A2382" t="s">
        <v>4357</v>
      </c>
      <c r="B2382" t="s">
        <v>4358</v>
      </c>
      <c r="C2382" s="1" t="s">
        <v>4359</v>
      </c>
      <c r="D2382" s="1"/>
      <c r="E2382" s="1" t="str">
        <f t="shared" si="180"/>
        <v>https://www.kegg.jp/dbget-bin/www_bget?ec:2.7.1.11</v>
      </c>
      <c r="F2382" s="1" t="s">
        <v>10003</v>
      </c>
      <c r="G2382" s="10" t="s">
        <v>10971</v>
      </c>
      <c r="H2382" s="13" t="s">
        <v>10972</v>
      </c>
    </row>
    <row r="2383" spans="1:8">
      <c r="A2383" t="s">
        <v>4357</v>
      </c>
      <c r="B2383" t="s">
        <v>4358</v>
      </c>
      <c r="C2383" s="1" t="s">
        <v>4359</v>
      </c>
      <c r="D2383" s="1"/>
      <c r="E2383" s="1" t="str">
        <f t="shared" si="180"/>
        <v>https://www.kegg.jp/dbget-bin/www_bget?ec:2.7.1.11</v>
      </c>
      <c r="F2383" s="1" t="s">
        <v>10003</v>
      </c>
      <c r="G2383" s="10" t="s">
        <v>10973</v>
      </c>
      <c r="H2383" s="13" t="s">
        <v>10974</v>
      </c>
    </row>
    <row r="2384" spans="1:8">
      <c r="A2384" t="s">
        <v>4357</v>
      </c>
      <c r="B2384" t="s">
        <v>4358</v>
      </c>
      <c r="C2384" s="1" t="s">
        <v>4359</v>
      </c>
      <c r="D2384" s="1"/>
      <c r="E2384" s="1" t="str">
        <f t="shared" si="180"/>
        <v>https://www.kegg.jp/dbget-bin/www_bget?ec:2.7.1.11</v>
      </c>
      <c r="F2384" s="1" t="s">
        <v>10003</v>
      </c>
      <c r="G2384" s="10" t="s">
        <v>10975</v>
      </c>
      <c r="H2384" s="13" t="s">
        <v>10976</v>
      </c>
    </row>
    <row r="2385" spans="1:8">
      <c r="A2385" t="s">
        <v>4360</v>
      </c>
      <c r="B2385" t="s">
        <v>4361</v>
      </c>
      <c r="E2385" s="1"/>
    </row>
    <row r="2386" spans="1:8">
      <c r="A2386" t="s">
        <v>4362</v>
      </c>
      <c r="B2386" t="s">
        <v>4363</v>
      </c>
      <c r="E2386" s="1"/>
    </row>
    <row r="2387" spans="1:8">
      <c r="A2387" t="s">
        <v>4364</v>
      </c>
      <c r="B2387" t="s">
        <v>4365</v>
      </c>
      <c r="C2387" s="1" t="s">
        <v>460</v>
      </c>
      <c r="D2387" s="1"/>
      <c r="E2387" s="1" t="str">
        <f t="shared" ref="E2387:E2392" si="181">HYPERLINK("https://www.kegg.jp/dbget-bin/www_bget?ec:" &amp; C2387, "https://www.kegg.jp/dbget-bin/www_bget?ec:" &amp; C2387)</f>
        <v>https://www.kegg.jp/dbget-bin/www_bget?ec:5.4.2.11</v>
      </c>
      <c r="F2387" t="s">
        <v>9352</v>
      </c>
      <c r="G2387" s="10" t="s">
        <v>10977</v>
      </c>
      <c r="H2387" s="13" t="s">
        <v>10978</v>
      </c>
    </row>
    <row r="2388" spans="1:8">
      <c r="A2388" t="s">
        <v>4364</v>
      </c>
      <c r="B2388" t="s">
        <v>4365</v>
      </c>
      <c r="C2388" s="1" t="s">
        <v>460</v>
      </c>
      <c r="D2388" s="1"/>
      <c r="E2388" s="1" t="str">
        <f t="shared" si="181"/>
        <v>https://www.kegg.jp/dbget-bin/www_bget?ec:5.4.2.11</v>
      </c>
      <c r="F2388" t="s">
        <v>9352</v>
      </c>
      <c r="G2388" s="10" t="s">
        <v>9355</v>
      </c>
      <c r="H2388" s="13" t="s">
        <v>9356</v>
      </c>
    </row>
    <row r="2389" spans="1:8">
      <c r="A2389" t="s">
        <v>4366</v>
      </c>
      <c r="B2389" t="s">
        <v>4367</v>
      </c>
      <c r="C2389" s="1" t="s">
        <v>4368</v>
      </c>
      <c r="D2389" s="1"/>
      <c r="E2389" s="1" t="str">
        <f t="shared" si="181"/>
        <v>https://www.kegg.jp/dbget-bin/www_bget?ec:4.1.2.13</v>
      </c>
      <c r="F2389" t="s">
        <v>10026</v>
      </c>
      <c r="G2389" s="10" t="s">
        <v>10027</v>
      </c>
      <c r="H2389" s="13" t="s">
        <v>10979</v>
      </c>
    </row>
    <row r="2390" spans="1:8">
      <c r="A2390" t="s">
        <v>4366</v>
      </c>
      <c r="B2390" t="s">
        <v>4367</v>
      </c>
      <c r="C2390" s="1" t="s">
        <v>4368</v>
      </c>
      <c r="D2390" s="1"/>
      <c r="E2390" s="1" t="str">
        <f t="shared" si="181"/>
        <v>https://www.kegg.jp/dbget-bin/www_bget?ec:4.1.2.13</v>
      </c>
      <c r="F2390" t="s">
        <v>10026</v>
      </c>
      <c r="G2390" s="10" t="s">
        <v>10029</v>
      </c>
      <c r="H2390" s="13" t="s">
        <v>10979</v>
      </c>
    </row>
    <row r="2391" spans="1:8">
      <c r="A2391" t="s">
        <v>4366</v>
      </c>
      <c r="B2391" t="s">
        <v>4367</v>
      </c>
      <c r="C2391" s="1" t="s">
        <v>4368</v>
      </c>
      <c r="D2391" s="1"/>
      <c r="E2391" s="1" t="str">
        <f t="shared" si="181"/>
        <v>https://www.kegg.jp/dbget-bin/www_bget?ec:4.1.2.13</v>
      </c>
      <c r="F2391" t="s">
        <v>10026</v>
      </c>
      <c r="G2391" s="10" t="s">
        <v>10030</v>
      </c>
      <c r="H2391" s="13" t="s">
        <v>10980</v>
      </c>
    </row>
    <row r="2392" spans="1:8">
      <c r="A2392" t="s">
        <v>4366</v>
      </c>
      <c r="B2392" t="s">
        <v>4367</v>
      </c>
      <c r="C2392" s="1" t="s">
        <v>4368</v>
      </c>
      <c r="D2392" s="1"/>
      <c r="E2392" s="1" t="str">
        <f t="shared" si="181"/>
        <v>https://www.kegg.jp/dbget-bin/www_bget?ec:4.1.2.13</v>
      </c>
      <c r="F2392" t="s">
        <v>10026</v>
      </c>
      <c r="G2392" s="10" t="s">
        <v>10032</v>
      </c>
      <c r="H2392" s="13" t="s">
        <v>10981</v>
      </c>
    </row>
    <row r="2393" spans="1:8">
      <c r="A2393" t="s">
        <v>4369</v>
      </c>
      <c r="B2393" t="s">
        <v>4370</v>
      </c>
      <c r="E2393" s="1"/>
    </row>
    <row r="2394" spans="1:8">
      <c r="A2394" t="s">
        <v>4371</v>
      </c>
      <c r="B2394" t="s">
        <v>4372</v>
      </c>
      <c r="E2394" s="1"/>
    </row>
    <row r="2395" spans="1:8">
      <c r="A2395" t="s">
        <v>4373</v>
      </c>
      <c r="B2395" t="s">
        <v>4374</v>
      </c>
      <c r="E2395" s="1"/>
    </row>
    <row r="2396" spans="1:8">
      <c r="A2396" t="s">
        <v>4375</v>
      </c>
      <c r="B2396" t="s">
        <v>4376</v>
      </c>
      <c r="E2396" s="1"/>
    </row>
    <row r="2397" spans="1:8">
      <c r="A2397" t="s">
        <v>4377</v>
      </c>
      <c r="B2397" t="s">
        <v>4378</v>
      </c>
      <c r="E2397" s="1"/>
    </row>
    <row r="2398" spans="1:8">
      <c r="A2398" t="s">
        <v>4379</v>
      </c>
      <c r="B2398" t="s">
        <v>4380</v>
      </c>
      <c r="E2398" s="1"/>
    </row>
    <row r="2399" spans="1:8">
      <c r="A2399" t="s">
        <v>4381</v>
      </c>
      <c r="B2399" t="s">
        <v>4382</v>
      </c>
      <c r="E2399" s="1"/>
    </row>
    <row r="2400" spans="1:8">
      <c r="B2400" t="s">
        <v>4383</v>
      </c>
      <c r="E2400" s="1"/>
    </row>
    <row r="2401" spans="1:5">
      <c r="A2401" t="s">
        <v>4384</v>
      </c>
      <c r="B2401" t="s">
        <v>4385</v>
      </c>
      <c r="E2401" s="1"/>
    </row>
    <row r="2402" spans="1:5">
      <c r="A2402" t="s">
        <v>4386</v>
      </c>
      <c r="B2402" t="s">
        <v>4387</v>
      </c>
      <c r="E2402" s="1"/>
    </row>
    <row r="2403" spans="1:5">
      <c r="A2403" t="s">
        <v>4388</v>
      </c>
      <c r="B2403" t="s">
        <v>4389</v>
      </c>
      <c r="E2403" s="1"/>
    </row>
    <row r="2404" spans="1:5">
      <c r="A2404" t="s">
        <v>4390</v>
      </c>
      <c r="B2404" t="s">
        <v>4391</v>
      </c>
      <c r="E2404" s="1"/>
    </row>
    <row r="2405" spans="1:5">
      <c r="A2405" t="s">
        <v>4392</v>
      </c>
      <c r="B2405" t="s">
        <v>4393</v>
      </c>
      <c r="E2405" s="1"/>
    </row>
    <row r="2406" spans="1:5">
      <c r="A2406" t="s">
        <v>4394</v>
      </c>
      <c r="B2406" t="s">
        <v>4395</v>
      </c>
      <c r="E2406" s="1"/>
    </row>
    <row r="2407" spans="1:5">
      <c r="A2407" t="s">
        <v>4396</v>
      </c>
      <c r="B2407" t="s">
        <v>4397</v>
      </c>
      <c r="E2407" s="1"/>
    </row>
    <row r="2408" spans="1:5">
      <c r="A2408" t="s">
        <v>4398</v>
      </c>
      <c r="B2408" t="s">
        <v>4399</v>
      </c>
      <c r="E2408" s="1"/>
    </row>
    <row r="2409" spans="1:5">
      <c r="A2409" t="s">
        <v>4400</v>
      </c>
      <c r="B2409" t="s">
        <v>4401</v>
      </c>
      <c r="E2409" s="1"/>
    </row>
    <row r="2410" spans="1:5">
      <c r="A2410" t="s">
        <v>4402</v>
      </c>
      <c r="B2410" t="s">
        <v>4403</v>
      </c>
      <c r="E2410" s="1"/>
    </row>
    <row r="2411" spans="1:5">
      <c r="A2411" t="s">
        <v>4404</v>
      </c>
      <c r="B2411" t="s">
        <v>4405</v>
      </c>
      <c r="E2411" s="1"/>
    </row>
    <row r="2412" spans="1:5">
      <c r="A2412" t="s">
        <v>4406</v>
      </c>
      <c r="B2412" t="s">
        <v>4407</v>
      </c>
      <c r="E2412" s="1"/>
    </row>
    <row r="2413" spans="1:5">
      <c r="A2413" t="s">
        <v>4408</v>
      </c>
      <c r="B2413" t="s">
        <v>4409</v>
      </c>
      <c r="E2413" s="1"/>
    </row>
    <row r="2414" spans="1:5">
      <c r="A2414" t="s">
        <v>4410</v>
      </c>
      <c r="B2414" t="s">
        <v>4411</v>
      </c>
      <c r="E2414" s="1"/>
    </row>
    <row r="2415" spans="1:5">
      <c r="A2415" t="s">
        <v>4412</v>
      </c>
      <c r="B2415" t="s">
        <v>4413</v>
      </c>
      <c r="E2415" s="1"/>
    </row>
    <row r="2416" spans="1:5">
      <c r="A2416" t="s">
        <v>4414</v>
      </c>
      <c r="B2416" t="s">
        <v>4415</v>
      </c>
      <c r="E2416" s="1"/>
    </row>
    <row r="2417" spans="1:8">
      <c r="A2417" t="s">
        <v>4416</v>
      </c>
      <c r="B2417" t="s">
        <v>4417</v>
      </c>
      <c r="E2417" s="1"/>
    </row>
    <row r="2418" spans="1:8">
      <c r="A2418" t="s">
        <v>4418</v>
      </c>
      <c r="B2418" t="s">
        <v>4419</v>
      </c>
      <c r="E2418" s="1"/>
    </row>
    <row r="2419" spans="1:8" s="27" customFormat="1">
      <c r="A2419" s="27" t="s">
        <v>4420</v>
      </c>
      <c r="B2419" s="27" t="s">
        <v>4421</v>
      </c>
      <c r="C2419" s="28" t="s">
        <v>4422</v>
      </c>
      <c r="D2419" s="28"/>
      <c r="E2419" s="28" t="str">
        <f>HYPERLINK("https://www.kegg.jp/dbget-bin/www_bget?ec:" &amp; C2419, "https://www.kegg.jp/dbget-bin/www_bget?ec:" &amp; C2419)</f>
        <v>https://www.kegg.jp/dbget-bin/www_bget?ec:2.7.6.2</v>
      </c>
      <c r="F2419" s="27" t="s">
        <v>10034</v>
      </c>
      <c r="G2419" s="29" t="s">
        <v>10982</v>
      </c>
      <c r="H2419" s="30" t="s">
        <v>10983</v>
      </c>
    </row>
    <row r="2420" spans="1:8">
      <c r="A2420" t="s">
        <v>4423</v>
      </c>
      <c r="B2420" t="s">
        <v>4424</v>
      </c>
      <c r="E2420" s="1"/>
    </row>
    <row r="2421" spans="1:8">
      <c r="A2421" t="s">
        <v>4425</v>
      </c>
      <c r="B2421" t="s">
        <v>4426</v>
      </c>
      <c r="E2421" s="1"/>
    </row>
    <row r="2422" spans="1:8">
      <c r="A2422" t="s">
        <v>4427</v>
      </c>
      <c r="B2422" t="s">
        <v>4428</v>
      </c>
      <c r="E2422" s="1"/>
    </row>
    <row r="2423" spans="1:8">
      <c r="A2423" t="s">
        <v>4429</v>
      </c>
      <c r="B2423" t="s">
        <v>4430</v>
      </c>
      <c r="E2423" s="1"/>
    </row>
    <row r="2424" spans="1:8">
      <c r="A2424" t="s">
        <v>4431</v>
      </c>
      <c r="B2424" t="s">
        <v>4432</v>
      </c>
      <c r="E2424" s="1"/>
    </row>
    <row r="2425" spans="1:8">
      <c r="A2425" t="s">
        <v>4433</v>
      </c>
      <c r="B2425" t="s">
        <v>4434</v>
      </c>
      <c r="E2425" s="1"/>
    </row>
    <row r="2426" spans="1:8">
      <c r="A2426" t="s">
        <v>4435</v>
      </c>
      <c r="B2426" t="s">
        <v>4436</v>
      </c>
      <c r="E2426" s="1"/>
    </row>
    <row r="2427" spans="1:8">
      <c r="A2427" t="s">
        <v>4437</v>
      </c>
      <c r="B2427" t="s">
        <v>4438</v>
      </c>
      <c r="E2427" s="1"/>
    </row>
    <row r="2428" spans="1:8">
      <c r="A2428" t="s">
        <v>4439</v>
      </c>
      <c r="B2428" t="s">
        <v>4440</v>
      </c>
      <c r="E2428" s="1"/>
    </row>
    <row r="2429" spans="1:8">
      <c r="A2429" t="s">
        <v>4441</v>
      </c>
      <c r="B2429" t="s">
        <v>4442</v>
      </c>
      <c r="E2429" s="1"/>
    </row>
    <row r="2430" spans="1:8">
      <c r="A2430" t="s">
        <v>4443</v>
      </c>
      <c r="B2430" t="s">
        <v>4444</v>
      </c>
      <c r="E2430" s="1"/>
    </row>
    <row r="2431" spans="1:8">
      <c r="A2431" t="s">
        <v>4445</v>
      </c>
      <c r="B2431" t="s">
        <v>4446</v>
      </c>
      <c r="E2431" s="1"/>
    </row>
    <row r="2432" spans="1:8">
      <c r="A2432" t="s">
        <v>4447</v>
      </c>
      <c r="B2432" t="s">
        <v>4448</v>
      </c>
      <c r="E2432" s="1"/>
    </row>
    <row r="2433" spans="1:6">
      <c r="A2433" t="s">
        <v>4449</v>
      </c>
      <c r="B2433" t="s">
        <v>4450</v>
      </c>
      <c r="E2433" s="1"/>
    </row>
    <row r="2434" spans="1:6">
      <c r="A2434" t="s">
        <v>4451</v>
      </c>
      <c r="B2434" t="s">
        <v>4452</v>
      </c>
      <c r="E2434" s="1"/>
    </row>
    <row r="2435" spans="1:6">
      <c r="A2435" t="s">
        <v>4453</v>
      </c>
      <c r="B2435" t="s">
        <v>4454</v>
      </c>
      <c r="C2435" s="1" t="s">
        <v>4455</v>
      </c>
      <c r="D2435" s="1"/>
      <c r="E2435" s="1" t="str">
        <f>HYPERLINK("https://www.kegg.jp/dbget-bin/www_bget?ec:" &amp; C2435, "https://www.kegg.jp/dbget-bin/www_bget?ec:" &amp; C2435)</f>
        <v>https://www.kegg.jp/dbget-bin/www_bget?ec:3.1.26.4</v>
      </c>
      <c r="F2435" t="s">
        <v>9650</v>
      </c>
    </row>
    <row r="2436" spans="1:6">
      <c r="A2436" t="s">
        <v>4456</v>
      </c>
      <c r="B2436" t="s">
        <v>4457</v>
      </c>
      <c r="E2436" s="1"/>
    </row>
    <row r="2437" spans="1:6">
      <c r="A2437" t="s">
        <v>4458</v>
      </c>
      <c r="B2437" t="s">
        <v>4459</v>
      </c>
      <c r="E2437" s="1"/>
    </row>
    <row r="2438" spans="1:6">
      <c r="A2438" t="s">
        <v>4460</v>
      </c>
      <c r="B2438" t="s">
        <v>4461</v>
      </c>
      <c r="E2438" s="1"/>
    </row>
    <row r="2439" spans="1:6">
      <c r="A2439" t="s">
        <v>4462</v>
      </c>
      <c r="B2439" t="s">
        <v>4463</v>
      </c>
      <c r="E2439" s="1"/>
    </row>
    <row r="2440" spans="1:6">
      <c r="A2440" t="s">
        <v>4464</v>
      </c>
      <c r="B2440" t="s">
        <v>4465</v>
      </c>
      <c r="E2440" s="1"/>
    </row>
    <row r="2441" spans="1:6">
      <c r="B2441" t="s">
        <v>4466</v>
      </c>
      <c r="E2441" s="1"/>
    </row>
    <row r="2442" spans="1:6">
      <c r="A2442" t="s">
        <v>4467</v>
      </c>
      <c r="B2442" t="s">
        <v>4468</v>
      </c>
      <c r="E2442" s="1"/>
    </row>
    <row r="2443" spans="1:6">
      <c r="B2443" t="s">
        <v>4469</v>
      </c>
      <c r="E2443" s="1"/>
    </row>
    <row r="2444" spans="1:6">
      <c r="A2444" t="s">
        <v>4470</v>
      </c>
      <c r="B2444" t="s">
        <v>4471</v>
      </c>
      <c r="E2444" s="1"/>
    </row>
    <row r="2445" spans="1:6">
      <c r="A2445" t="s">
        <v>4472</v>
      </c>
      <c r="B2445" t="s">
        <v>4473</v>
      </c>
      <c r="E2445" s="1"/>
    </row>
    <row r="2446" spans="1:6">
      <c r="B2446" t="s">
        <v>4474</v>
      </c>
      <c r="E2446" s="1"/>
    </row>
    <row r="2447" spans="1:6">
      <c r="A2447" t="s">
        <v>4475</v>
      </c>
      <c r="B2447" t="s">
        <v>4476</v>
      </c>
      <c r="E2447" s="1"/>
    </row>
    <row r="2448" spans="1:6">
      <c r="A2448" t="s">
        <v>4477</v>
      </c>
      <c r="B2448" t="s">
        <v>4478</v>
      </c>
      <c r="E2448" s="1"/>
    </row>
    <row r="2449" spans="1:5">
      <c r="A2449" t="s">
        <v>4479</v>
      </c>
      <c r="B2449" t="s">
        <v>4480</v>
      </c>
      <c r="E2449" s="1"/>
    </row>
    <row r="2450" spans="1:5">
      <c r="A2450" t="s">
        <v>4481</v>
      </c>
      <c r="B2450" t="s">
        <v>4482</v>
      </c>
      <c r="E2450" s="1"/>
    </row>
    <row r="2451" spans="1:5">
      <c r="A2451" t="s">
        <v>4483</v>
      </c>
      <c r="B2451" t="s">
        <v>4484</v>
      </c>
      <c r="E2451" s="1"/>
    </row>
    <row r="2452" spans="1:5">
      <c r="A2452" t="s">
        <v>4485</v>
      </c>
      <c r="B2452" t="s">
        <v>4486</v>
      </c>
      <c r="E2452" s="1"/>
    </row>
    <row r="2453" spans="1:5">
      <c r="A2453" t="s">
        <v>4487</v>
      </c>
      <c r="B2453" t="s">
        <v>4488</v>
      </c>
      <c r="E2453" s="1"/>
    </row>
    <row r="2454" spans="1:5">
      <c r="A2454" t="s">
        <v>4489</v>
      </c>
      <c r="B2454" t="s">
        <v>4490</v>
      </c>
      <c r="E2454" s="1"/>
    </row>
    <row r="2455" spans="1:5">
      <c r="A2455" t="s">
        <v>4491</v>
      </c>
      <c r="B2455" t="s">
        <v>4492</v>
      </c>
      <c r="E2455" s="1"/>
    </row>
    <row r="2456" spans="1:5">
      <c r="A2456" t="s">
        <v>4493</v>
      </c>
      <c r="B2456" t="s">
        <v>4494</v>
      </c>
      <c r="E2456" s="1"/>
    </row>
    <row r="2457" spans="1:5">
      <c r="A2457" t="s">
        <v>4495</v>
      </c>
      <c r="B2457" t="s">
        <v>4496</v>
      </c>
      <c r="E2457" s="1"/>
    </row>
    <row r="2458" spans="1:5">
      <c r="A2458" t="s">
        <v>4497</v>
      </c>
      <c r="B2458" t="s">
        <v>4498</v>
      </c>
      <c r="E2458" s="1"/>
    </row>
    <row r="2459" spans="1:5">
      <c r="A2459" t="s">
        <v>4499</v>
      </c>
      <c r="B2459" t="s">
        <v>4500</v>
      </c>
      <c r="E2459" s="1"/>
    </row>
    <row r="2460" spans="1:5">
      <c r="A2460" t="s">
        <v>4501</v>
      </c>
      <c r="B2460" t="s">
        <v>4502</v>
      </c>
      <c r="E2460" s="1"/>
    </row>
    <row r="2461" spans="1:5">
      <c r="A2461" t="s">
        <v>4503</v>
      </c>
      <c r="B2461" t="s">
        <v>4504</v>
      </c>
      <c r="E2461" s="1"/>
    </row>
    <row r="2462" spans="1:5">
      <c r="A2462" t="s">
        <v>4505</v>
      </c>
      <c r="B2462" t="s">
        <v>4506</v>
      </c>
      <c r="E2462" s="1"/>
    </row>
    <row r="2463" spans="1:5">
      <c r="A2463" t="s">
        <v>4507</v>
      </c>
      <c r="B2463" t="s">
        <v>4508</v>
      </c>
      <c r="E2463" s="1"/>
    </row>
    <row r="2464" spans="1:5">
      <c r="A2464" t="s">
        <v>4509</v>
      </c>
      <c r="B2464" t="s">
        <v>4510</v>
      </c>
      <c r="E2464" s="1"/>
    </row>
    <row r="2465" spans="1:8">
      <c r="A2465" t="s">
        <v>4511</v>
      </c>
      <c r="B2465" t="s">
        <v>4512</v>
      </c>
      <c r="C2465" s="1" t="s">
        <v>4513</v>
      </c>
      <c r="D2465" s="1"/>
      <c r="E2465" s="1" t="str">
        <f>HYPERLINK("https://www.kegg.jp/dbget-bin/www_bget?ec:" &amp; C2465, "https://www.kegg.jp/dbget-bin/www_bget?ec:" &amp; C2465)</f>
        <v>https://www.kegg.jp/dbget-bin/www_bget?ec:1.4.1.16</v>
      </c>
      <c r="F2465" t="s">
        <v>10037</v>
      </c>
      <c r="G2465" s="10" t="s">
        <v>10984</v>
      </c>
      <c r="H2465" s="13" t="s">
        <v>10985</v>
      </c>
    </row>
    <row r="2466" spans="1:8">
      <c r="A2466" t="s">
        <v>4514</v>
      </c>
      <c r="B2466" t="s">
        <v>4515</v>
      </c>
      <c r="E2466" s="1"/>
    </row>
    <row r="2467" spans="1:8">
      <c r="A2467" t="s">
        <v>4516</v>
      </c>
      <c r="B2467" t="s">
        <v>4517</v>
      </c>
      <c r="E2467" s="1"/>
    </row>
    <row r="2468" spans="1:8">
      <c r="A2468" t="s">
        <v>4518</v>
      </c>
      <c r="B2468" t="s">
        <v>4519</v>
      </c>
      <c r="C2468" s="1" t="s">
        <v>4520</v>
      </c>
      <c r="D2468" s="1"/>
      <c r="E2468" s="1" t="str">
        <f>HYPERLINK("https://www.kegg.jp/dbget-bin/www_bget?ec:" &amp; C2468, "https://www.kegg.jp/dbget-bin/www_bget?ec:" &amp; C2468)</f>
        <v>https://www.kegg.jp/dbget-bin/www_bget?ec:3.5.99.6</v>
      </c>
      <c r="F2468" t="s">
        <v>10040</v>
      </c>
      <c r="G2468" s="10" t="s">
        <v>10986</v>
      </c>
      <c r="H2468" s="13" t="s">
        <v>10987</v>
      </c>
    </row>
    <row r="2469" spans="1:8">
      <c r="A2469" t="s">
        <v>4521</v>
      </c>
      <c r="B2469" t="s">
        <v>4522</v>
      </c>
      <c r="E2469" s="1"/>
    </row>
    <row r="2470" spans="1:8">
      <c r="A2470" t="s">
        <v>4523</v>
      </c>
      <c r="B2470" t="s">
        <v>4524</v>
      </c>
      <c r="E2470" s="1"/>
    </row>
    <row r="2471" spans="1:8">
      <c r="A2471" t="s">
        <v>4525</v>
      </c>
      <c r="B2471" t="s">
        <v>4526</v>
      </c>
      <c r="E2471" s="1"/>
    </row>
    <row r="2472" spans="1:8">
      <c r="A2472" t="s">
        <v>4527</v>
      </c>
      <c r="B2472" t="s">
        <v>4528</v>
      </c>
      <c r="E2472" s="1"/>
    </row>
    <row r="2473" spans="1:8">
      <c r="A2473" t="s">
        <v>4529</v>
      </c>
      <c r="B2473" t="s">
        <v>4530</v>
      </c>
      <c r="E2473" s="1"/>
    </row>
    <row r="2474" spans="1:8">
      <c r="A2474" t="s">
        <v>4531</v>
      </c>
      <c r="B2474" t="s">
        <v>4532</v>
      </c>
      <c r="E2474" s="1"/>
    </row>
    <row r="2475" spans="1:8">
      <c r="A2475" t="s">
        <v>4533</v>
      </c>
      <c r="B2475" t="s">
        <v>4534</v>
      </c>
      <c r="E2475" s="1"/>
    </row>
    <row r="2476" spans="1:8">
      <c r="A2476" t="s">
        <v>4535</v>
      </c>
      <c r="B2476" t="s">
        <v>4536</v>
      </c>
      <c r="E2476" s="1"/>
    </row>
    <row r="2477" spans="1:8">
      <c r="A2477" t="s">
        <v>4537</v>
      </c>
      <c r="B2477" t="s">
        <v>4538</v>
      </c>
      <c r="E2477" s="1"/>
    </row>
    <row r="2478" spans="1:8">
      <c r="A2478" t="s">
        <v>4539</v>
      </c>
      <c r="B2478" t="s">
        <v>4540</v>
      </c>
      <c r="C2478" s="1" t="s">
        <v>4541</v>
      </c>
      <c r="D2478" s="1"/>
      <c r="E2478" s="1" t="str">
        <f>HYPERLINK("https://www.kegg.jp/dbget-bin/www_bget?ec:" &amp; C2478, "https://www.kegg.jp/dbget-bin/www_bget?ec:" &amp; C2478)</f>
        <v>https://www.kegg.jp/dbget-bin/www_bget?ec:2.1.2.-</v>
      </c>
      <c r="F2478" t="s">
        <v>9650</v>
      </c>
    </row>
    <row r="2479" spans="1:8">
      <c r="A2479" t="s">
        <v>4542</v>
      </c>
      <c r="B2479" t="s">
        <v>4543</v>
      </c>
      <c r="E2479" s="1"/>
    </row>
    <row r="2480" spans="1:8">
      <c r="A2480" t="s">
        <v>4544</v>
      </c>
      <c r="B2480" t="s">
        <v>4545</v>
      </c>
      <c r="E2480" s="1"/>
    </row>
    <row r="2481" spans="1:5">
      <c r="A2481" t="s">
        <v>4546</v>
      </c>
      <c r="B2481" t="s">
        <v>4547</v>
      </c>
      <c r="E2481" s="1"/>
    </row>
    <row r="2482" spans="1:5">
      <c r="A2482" t="s">
        <v>4548</v>
      </c>
      <c r="B2482" t="s">
        <v>4549</v>
      </c>
      <c r="E2482" s="1"/>
    </row>
    <row r="2483" spans="1:5">
      <c r="A2483" t="s">
        <v>4550</v>
      </c>
      <c r="B2483" t="s">
        <v>4551</v>
      </c>
      <c r="E2483" s="1"/>
    </row>
    <row r="2484" spans="1:5">
      <c r="A2484" t="s">
        <v>4552</v>
      </c>
      <c r="B2484" t="s">
        <v>4553</v>
      </c>
      <c r="E2484" s="1"/>
    </row>
    <row r="2485" spans="1:5">
      <c r="A2485" t="s">
        <v>4554</v>
      </c>
      <c r="B2485" t="s">
        <v>4555</v>
      </c>
      <c r="E2485" s="1"/>
    </row>
    <row r="2486" spans="1:5">
      <c r="A2486" t="s">
        <v>4556</v>
      </c>
      <c r="B2486" t="s">
        <v>4557</v>
      </c>
      <c r="E2486" s="1"/>
    </row>
    <row r="2487" spans="1:5">
      <c r="A2487" t="s">
        <v>4558</v>
      </c>
      <c r="B2487" t="s">
        <v>4559</v>
      </c>
      <c r="E2487" s="1"/>
    </row>
    <row r="2488" spans="1:5">
      <c r="A2488" t="s">
        <v>4560</v>
      </c>
      <c r="B2488" t="s">
        <v>4561</v>
      </c>
      <c r="E2488" s="1"/>
    </row>
    <row r="2489" spans="1:5">
      <c r="A2489" t="s">
        <v>4562</v>
      </c>
      <c r="B2489" t="s">
        <v>4563</v>
      </c>
      <c r="E2489" s="1"/>
    </row>
    <row r="2490" spans="1:5">
      <c r="A2490" t="s">
        <v>4564</v>
      </c>
      <c r="B2490" t="s">
        <v>4565</v>
      </c>
      <c r="E2490" s="1"/>
    </row>
    <row r="2491" spans="1:5">
      <c r="A2491" t="s">
        <v>4566</v>
      </c>
      <c r="B2491" t="s">
        <v>4567</v>
      </c>
      <c r="E2491" s="1"/>
    </row>
    <row r="2492" spans="1:5">
      <c r="A2492" t="s">
        <v>4568</v>
      </c>
      <c r="B2492" t="s">
        <v>4569</v>
      </c>
      <c r="E2492" s="1"/>
    </row>
    <row r="2493" spans="1:5">
      <c r="A2493" t="s">
        <v>4570</v>
      </c>
      <c r="B2493" t="s">
        <v>4571</v>
      </c>
      <c r="E2493" s="1"/>
    </row>
    <row r="2494" spans="1:5">
      <c r="A2494" t="s">
        <v>4572</v>
      </c>
      <c r="B2494" t="s">
        <v>4573</v>
      </c>
      <c r="E2494" s="1"/>
    </row>
    <row r="2495" spans="1:5">
      <c r="A2495" t="s">
        <v>4574</v>
      </c>
      <c r="B2495" t="s">
        <v>4575</v>
      </c>
      <c r="E2495" s="1"/>
    </row>
    <row r="2496" spans="1:5">
      <c r="A2496" t="s">
        <v>4576</v>
      </c>
      <c r="B2496" t="s">
        <v>4577</v>
      </c>
      <c r="E2496" s="1"/>
    </row>
    <row r="2497" spans="1:8">
      <c r="A2497" t="s">
        <v>4578</v>
      </c>
      <c r="B2497" t="s">
        <v>4579</v>
      </c>
      <c r="E2497" s="1"/>
    </row>
    <row r="2498" spans="1:8">
      <c r="A2498" t="s">
        <v>4580</v>
      </c>
      <c r="B2498" t="s">
        <v>4581</v>
      </c>
      <c r="E2498" s="1"/>
    </row>
    <row r="2499" spans="1:8">
      <c r="A2499" t="s">
        <v>4582</v>
      </c>
      <c r="B2499" t="s">
        <v>4583</v>
      </c>
      <c r="E2499" s="1"/>
    </row>
    <row r="2500" spans="1:8">
      <c r="A2500" t="s">
        <v>4584</v>
      </c>
      <c r="B2500" t="s">
        <v>4585</v>
      </c>
      <c r="C2500" s="1" t="s">
        <v>4586</v>
      </c>
      <c r="D2500" s="1"/>
      <c r="E2500" s="1" t="str">
        <f>HYPERLINK("https://www.kegg.jp/dbget-bin/www_bget?ec:" &amp; C2500, "https://www.kegg.jp/dbget-bin/www_bget?ec:" &amp; C2500)</f>
        <v>https://www.kegg.jp/dbget-bin/www_bget?ec:6.1.1.19</v>
      </c>
      <c r="F2500" s="1" t="s">
        <v>10043</v>
      </c>
      <c r="G2500" s="10" t="s">
        <v>10988</v>
      </c>
      <c r="H2500" s="13" t="s">
        <v>10989</v>
      </c>
    </row>
    <row r="2501" spans="1:8">
      <c r="A2501" t="s">
        <v>4587</v>
      </c>
      <c r="B2501" t="s">
        <v>4588</v>
      </c>
      <c r="E2501" s="1"/>
    </row>
    <row r="2502" spans="1:8">
      <c r="A2502" t="s">
        <v>4589</v>
      </c>
      <c r="B2502" t="s">
        <v>4590</v>
      </c>
      <c r="E2502" s="1"/>
    </row>
    <row r="2503" spans="1:8">
      <c r="A2503" t="s">
        <v>4591</v>
      </c>
      <c r="B2503" t="s">
        <v>4592</v>
      </c>
      <c r="E2503" s="1"/>
    </row>
    <row r="2504" spans="1:8">
      <c r="A2504" t="s">
        <v>4593</v>
      </c>
      <c r="B2504" t="s">
        <v>4594</v>
      </c>
      <c r="E2504" s="1"/>
    </row>
    <row r="2505" spans="1:8">
      <c r="A2505" t="s">
        <v>4595</v>
      </c>
      <c r="B2505" t="s">
        <v>4596</v>
      </c>
      <c r="E2505" s="1"/>
    </row>
    <row r="2506" spans="1:8">
      <c r="A2506" t="s">
        <v>4597</v>
      </c>
      <c r="B2506" t="s">
        <v>4598</v>
      </c>
      <c r="E2506" s="1"/>
    </row>
    <row r="2507" spans="1:8">
      <c r="A2507" t="s">
        <v>4599</v>
      </c>
      <c r="B2507" t="s">
        <v>4600</v>
      </c>
      <c r="E2507" s="1"/>
    </row>
    <row r="2508" spans="1:8">
      <c r="A2508" t="s">
        <v>4601</v>
      </c>
      <c r="B2508" t="s">
        <v>4602</v>
      </c>
      <c r="E2508" s="1"/>
    </row>
    <row r="2509" spans="1:8">
      <c r="A2509" t="s">
        <v>4603</v>
      </c>
      <c r="B2509" t="s">
        <v>4604</v>
      </c>
      <c r="E2509" s="1"/>
    </row>
    <row r="2510" spans="1:8">
      <c r="A2510" t="s">
        <v>4605</v>
      </c>
      <c r="B2510" t="s">
        <v>4606</v>
      </c>
      <c r="E2510" s="1"/>
    </row>
    <row r="2511" spans="1:8">
      <c r="A2511" t="s">
        <v>4607</v>
      </c>
      <c r="B2511" t="s">
        <v>4608</v>
      </c>
      <c r="E2511" s="1"/>
    </row>
    <row r="2512" spans="1:8">
      <c r="A2512" t="s">
        <v>4609</v>
      </c>
      <c r="B2512" t="s">
        <v>4610</v>
      </c>
      <c r="E2512" s="1"/>
    </row>
    <row r="2513" spans="1:8">
      <c r="A2513" t="s">
        <v>4611</v>
      </c>
      <c r="B2513" t="s">
        <v>4612</v>
      </c>
      <c r="E2513" s="1"/>
    </row>
    <row r="2514" spans="1:8">
      <c r="A2514" t="s">
        <v>4613</v>
      </c>
      <c r="B2514" t="s">
        <v>4614</v>
      </c>
      <c r="E2514" s="1"/>
    </row>
    <row r="2515" spans="1:8">
      <c r="A2515" t="s">
        <v>4615</v>
      </c>
      <c r="B2515" t="s">
        <v>4616</v>
      </c>
      <c r="E2515" s="1"/>
    </row>
    <row r="2516" spans="1:8">
      <c r="B2516" t="s">
        <v>4617</v>
      </c>
      <c r="E2516" s="1"/>
    </row>
    <row r="2517" spans="1:8">
      <c r="A2517" t="s">
        <v>4618</v>
      </c>
      <c r="B2517" t="s">
        <v>4619</v>
      </c>
      <c r="E2517" s="1"/>
    </row>
    <row r="2518" spans="1:8">
      <c r="A2518" t="s">
        <v>4620</v>
      </c>
      <c r="B2518" t="s">
        <v>4621</v>
      </c>
      <c r="E2518" s="1"/>
    </row>
    <row r="2519" spans="1:8">
      <c r="A2519" t="s">
        <v>4622</v>
      </c>
      <c r="B2519" t="s">
        <v>4623</v>
      </c>
      <c r="E2519" s="1"/>
    </row>
    <row r="2520" spans="1:8">
      <c r="A2520" t="s">
        <v>4624</v>
      </c>
      <c r="B2520" t="s">
        <v>4625</v>
      </c>
      <c r="E2520" s="1"/>
    </row>
    <row r="2521" spans="1:8">
      <c r="A2521" t="s">
        <v>4626</v>
      </c>
      <c r="B2521" t="s">
        <v>4627</v>
      </c>
      <c r="C2521" s="1" t="s">
        <v>388</v>
      </c>
      <c r="D2521" s="1"/>
      <c r="E2521" s="1" t="str">
        <f>HYPERLINK("https://www.kegg.jp/dbget-bin/www_bget?ec:" &amp; C2521, "https://www.kegg.jp/dbget-bin/www_bget?ec:" &amp; C2521)</f>
        <v>https://www.kegg.jp/dbget-bin/www_bget?ec:4.2.1.47</v>
      </c>
      <c r="F2521" t="s">
        <v>9340</v>
      </c>
      <c r="G2521" s="10" t="s">
        <v>9384</v>
      </c>
      <c r="H2521" s="13" t="s">
        <v>9577</v>
      </c>
    </row>
    <row r="2522" spans="1:8">
      <c r="A2522" t="s">
        <v>4628</v>
      </c>
      <c r="B2522" t="s">
        <v>4629</v>
      </c>
      <c r="E2522" s="1"/>
    </row>
    <row r="2523" spans="1:8">
      <c r="A2523" t="s">
        <v>4630</v>
      </c>
      <c r="B2523" t="s">
        <v>4631</v>
      </c>
      <c r="E2523" s="1"/>
    </row>
    <row r="2524" spans="1:8">
      <c r="A2524" t="s">
        <v>4632</v>
      </c>
      <c r="B2524" t="s">
        <v>4633</v>
      </c>
      <c r="E2524" s="1"/>
    </row>
    <row r="2525" spans="1:8">
      <c r="A2525" t="s">
        <v>4634</v>
      </c>
      <c r="B2525" t="s">
        <v>4635</v>
      </c>
      <c r="E2525" s="1"/>
    </row>
    <row r="2526" spans="1:8">
      <c r="A2526" t="s">
        <v>4636</v>
      </c>
      <c r="B2526" t="s">
        <v>4637</v>
      </c>
      <c r="E2526" s="1"/>
    </row>
    <row r="2527" spans="1:8">
      <c r="A2527" t="s">
        <v>4638</v>
      </c>
      <c r="B2527" t="s">
        <v>4639</v>
      </c>
      <c r="E2527" s="1"/>
    </row>
    <row r="2528" spans="1:8">
      <c r="A2528" t="s">
        <v>4640</v>
      </c>
      <c r="B2528" t="s">
        <v>4641</v>
      </c>
      <c r="E2528" s="1"/>
    </row>
    <row r="2529" spans="1:8">
      <c r="A2529" t="s">
        <v>4642</v>
      </c>
      <c r="B2529" t="s">
        <v>4643</v>
      </c>
      <c r="E2529" s="1"/>
    </row>
    <row r="2530" spans="1:8">
      <c r="A2530" t="s">
        <v>4644</v>
      </c>
      <c r="B2530" t="s">
        <v>4645</v>
      </c>
      <c r="E2530" s="1"/>
    </row>
    <row r="2531" spans="1:8">
      <c r="A2531" t="s">
        <v>4646</v>
      </c>
      <c r="B2531" t="s">
        <v>4647</v>
      </c>
      <c r="E2531" s="1"/>
    </row>
    <row r="2532" spans="1:8">
      <c r="A2532" t="s">
        <v>4648</v>
      </c>
      <c r="B2532" t="s">
        <v>4649</v>
      </c>
      <c r="E2532" s="1"/>
    </row>
    <row r="2533" spans="1:8">
      <c r="A2533" t="s">
        <v>4650</v>
      </c>
      <c r="B2533" t="s">
        <v>4651</v>
      </c>
      <c r="E2533" s="1"/>
    </row>
    <row r="2534" spans="1:8">
      <c r="A2534" t="s">
        <v>4652</v>
      </c>
      <c r="B2534" t="s">
        <v>4653</v>
      </c>
      <c r="E2534" s="1"/>
    </row>
    <row r="2535" spans="1:8">
      <c r="A2535" t="s">
        <v>4654</v>
      </c>
      <c r="B2535" t="s">
        <v>4655</v>
      </c>
      <c r="E2535" s="1"/>
    </row>
    <row r="2536" spans="1:8">
      <c r="A2536" t="s">
        <v>4656</v>
      </c>
      <c r="B2536" t="s">
        <v>4657</v>
      </c>
      <c r="E2536" s="1"/>
    </row>
    <row r="2537" spans="1:8">
      <c r="B2537" t="s">
        <v>4658</v>
      </c>
      <c r="E2537" s="1"/>
    </row>
    <row r="2538" spans="1:8">
      <c r="A2538" t="s">
        <v>4659</v>
      </c>
      <c r="B2538" t="s">
        <v>4660</v>
      </c>
      <c r="E2538" s="1"/>
    </row>
    <row r="2539" spans="1:8">
      <c r="A2539" t="s">
        <v>4661</v>
      </c>
      <c r="B2539" t="s">
        <v>4662</v>
      </c>
      <c r="C2539" s="1" t="s">
        <v>4663</v>
      </c>
      <c r="D2539" s="1"/>
      <c r="E2539" s="1" t="str">
        <f>HYPERLINK("https://www.kegg.jp/dbget-bin/www_bget?ec:" &amp; C2539, "https://www.kegg.jp/dbget-bin/www_bget?ec:" &amp; C2539)</f>
        <v>https://www.kegg.jp/dbget-bin/www_bget?ec:4.2.1.49</v>
      </c>
      <c r="F2539" t="s">
        <v>10046</v>
      </c>
      <c r="G2539" s="1" t="s">
        <v>10047</v>
      </c>
      <c r="H2539" s="13" t="s">
        <v>10990</v>
      </c>
    </row>
    <row r="2540" spans="1:8">
      <c r="A2540" t="s">
        <v>4664</v>
      </c>
      <c r="B2540" t="s">
        <v>4665</v>
      </c>
      <c r="C2540" s="1" t="s">
        <v>4666</v>
      </c>
      <c r="D2540" s="1"/>
      <c r="E2540" s="1" t="str">
        <f>HYPERLINK("https://www.kegg.jp/dbget-bin/www_bget?ec:" &amp; C2540, "https://www.kegg.jp/dbget-bin/www_bget?ec:" &amp; C2540)</f>
        <v>https://www.kegg.jp/dbget-bin/www_bget?ec:2.1.2.5</v>
      </c>
      <c r="F2540" t="s">
        <v>10049</v>
      </c>
      <c r="G2540" s="10" t="s">
        <v>10991</v>
      </c>
      <c r="H2540" s="13" t="s">
        <v>10992</v>
      </c>
    </row>
    <row r="2541" spans="1:8">
      <c r="A2541" t="s">
        <v>4664</v>
      </c>
      <c r="B2541" t="s">
        <v>4665</v>
      </c>
      <c r="C2541" s="1" t="s">
        <v>4666</v>
      </c>
      <c r="D2541" s="1"/>
      <c r="E2541" s="1" t="str">
        <f>HYPERLINK("https://www.kegg.jp/dbget-bin/www_bget?ec:" &amp; C2541, "https://www.kegg.jp/dbget-bin/www_bget?ec:" &amp; C2541)</f>
        <v>https://www.kegg.jp/dbget-bin/www_bget?ec:2.1.2.5</v>
      </c>
      <c r="F2541" t="s">
        <v>10049</v>
      </c>
      <c r="G2541" s="10" t="s">
        <v>10993</v>
      </c>
      <c r="H2541" s="13" t="s">
        <v>10994</v>
      </c>
    </row>
    <row r="2542" spans="1:8">
      <c r="A2542" t="s">
        <v>4667</v>
      </c>
      <c r="B2542" t="s">
        <v>4668</v>
      </c>
      <c r="C2542" s="1" t="s">
        <v>9081</v>
      </c>
      <c r="D2542" s="1"/>
      <c r="E2542" s="1" t="str">
        <f>HYPERLINK("https://www.kegg.jp/dbget-bin/www_bget?ec:" &amp; C2542, "https://www.kegg.jp/dbget-bin/www_bget?ec:" &amp; C2542)</f>
        <v>https://www.kegg.jp/dbget-bin/www_bget?ec:3.5.2.7</v>
      </c>
      <c r="F2542" s="1" t="s">
        <v>10054</v>
      </c>
      <c r="G2542" s="10" t="s">
        <v>10995</v>
      </c>
      <c r="H2542" s="13" t="s">
        <v>10056</v>
      </c>
    </row>
    <row r="2543" spans="1:8">
      <c r="A2543" t="s">
        <v>4669</v>
      </c>
      <c r="B2543" t="s">
        <v>4670</v>
      </c>
      <c r="E2543" s="1"/>
    </row>
    <row r="2544" spans="1:8">
      <c r="A2544" t="s">
        <v>4671</v>
      </c>
      <c r="B2544" t="s">
        <v>4672</v>
      </c>
      <c r="C2544" s="1" t="s">
        <v>9083</v>
      </c>
      <c r="D2544" s="1"/>
      <c r="E2544" s="1" t="str">
        <f>HYPERLINK("https://www.kegg.jp/dbget-bin/www_bget?ec:" &amp; C2544, "https://www.kegg.jp/dbget-bin/www_bget?ec:" &amp; C2544)</f>
        <v>https://www.kegg.jp/dbget-bin/www_bget?ec:4.3.1.3</v>
      </c>
      <c r="F2544" s="1" t="s">
        <v>10057</v>
      </c>
      <c r="G2544" s="10" t="s">
        <v>10058</v>
      </c>
      <c r="H2544" s="13" t="s">
        <v>10996</v>
      </c>
    </row>
    <row r="2545" spans="1:8">
      <c r="A2545" t="s">
        <v>4671</v>
      </c>
      <c r="B2545" t="s">
        <v>4672</v>
      </c>
      <c r="C2545" s="1" t="s">
        <v>9083</v>
      </c>
      <c r="D2545" s="1"/>
      <c r="E2545" s="1" t="str">
        <f>HYPERLINK("https://www.kegg.jp/dbget-bin/www_bget?ec:" &amp; C2545, "https://www.kegg.jp/dbget-bin/www_bget?ec:" &amp; C2545)</f>
        <v>https://www.kegg.jp/dbget-bin/www_bget?ec:4.3.1.3</v>
      </c>
      <c r="F2545" s="1" t="s">
        <v>10057</v>
      </c>
      <c r="G2545" s="10" t="s">
        <v>10060</v>
      </c>
      <c r="H2545" s="13" t="s">
        <v>10997</v>
      </c>
    </row>
    <row r="2546" spans="1:8">
      <c r="A2546" t="s">
        <v>4673</v>
      </c>
      <c r="B2546" t="s">
        <v>4674</v>
      </c>
      <c r="E2546" s="1"/>
    </row>
    <row r="2547" spans="1:8">
      <c r="A2547" t="s">
        <v>4675</v>
      </c>
      <c r="B2547" t="s">
        <v>4676</v>
      </c>
      <c r="E2547" s="1"/>
    </row>
    <row r="2548" spans="1:8">
      <c r="A2548" t="s">
        <v>4677</v>
      </c>
      <c r="B2548" t="s">
        <v>4678</v>
      </c>
      <c r="C2548" s="1" t="s">
        <v>9084</v>
      </c>
      <c r="D2548" s="1"/>
      <c r="E2548" s="1" t="str">
        <f>HYPERLINK("https://www.kegg.jp/dbget-bin/www_bget?ec:" &amp; C2548, "https://www.kegg.jp/dbget-bin/www_bget?ec:" &amp; C2548)</f>
        <v>https://www.kegg.jp/dbget-bin/www_bget?ec:2.1.1.33</v>
      </c>
      <c r="F2548" s="1" t="s">
        <v>10062</v>
      </c>
      <c r="G2548" s="10" t="s">
        <v>10998</v>
      </c>
      <c r="H2548" s="13" t="s">
        <v>10999</v>
      </c>
    </row>
    <row r="2549" spans="1:8">
      <c r="A2549" t="s">
        <v>4679</v>
      </c>
      <c r="B2549" t="s">
        <v>4680</v>
      </c>
      <c r="E2549" s="1"/>
    </row>
    <row r="2550" spans="1:8">
      <c r="B2550" t="s">
        <v>4681</v>
      </c>
      <c r="E2550" s="1"/>
    </row>
    <row r="2551" spans="1:8">
      <c r="B2551" t="s">
        <v>4682</v>
      </c>
      <c r="E2551" s="1"/>
    </row>
    <row r="2552" spans="1:8">
      <c r="B2552" t="s">
        <v>4683</v>
      </c>
      <c r="E2552" s="1"/>
    </row>
    <row r="2553" spans="1:8">
      <c r="A2553" t="s">
        <v>4684</v>
      </c>
      <c r="B2553" t="s">
        <v>4685</v>
      </c>
      <c r="E2553" s="1"/>
    </row>
    <row r="2554" spans="1:8">
      <c r="A2554" t="s">
        <v>4686</v>
      </c>
      <c r="B2554" t="s">
        <v>4687</v>
      </c>
      <c r="E2554" s="1"/>
    </row>
    <row r="2555" spans="1:8">
      <c r="A2555" t="s">
        <v>4688</v>
      </c>
      <c r="B2555" t="s">
        <v>4689</v>
      </c>
      <c r="E2555" s="1"/>
    </row>
    <row r="2556" spans="1:8">
      <c r="A2556" t="s">
        <v>4690</v>
      </c>
      <c r="B2556" t="s">
        <v>4691</v>
      </c>
      <c r="E2556" s="1"/>
    </row>
    <row r="2557" spans="1:8">
      <c r="B2557" t="s">
        <v>4692</v>
      </c>
      <c r="E2557" s="1"/>
    </row>
    <row r="2558" spans="1:8">
      <c r="B2558" t="s">
        <v>4693</v>
      </c>
      <c r="E2558" s="1"/>
    </row>
    <row r="2559" spans="1:8">
      <c r="A2559" t="s">
        <v>4694</v>
      </c>
      <c r="B2559" t="s">
        <v>4695</v>
      </c>
      <c r="E2559" s="1"/>
    </row>
    <row r="2560" spans="1:8">
      <c r="A2560" t="s">
        <v>4696</v>
      </c>
      <c r="B2560" t="s">
        <v>4697</v>
      </c>
      <c r="E2560" s="1"/>
    </row>
    <row r="2561" spans="1:5">
      <c r="A2561" t="s">
        <v>4698</v>
      </c>
      <c r="B2561" t="s">
        <v>4699</v>
      </c>
      <c r="E2561" s="1"/>
    </row>
    <row r="2562" spans="1:5">
      <c r="A2562" t="s">
        <v>4700</v>
      </c>
      <c r="B2562" t="s">
        <v>4701</v>
      </c>
      <c r="E2562" s="1"/>
    </row>
    <row r="2563" spans="1:5">
      <c r="A2563" t="s">
        <v>4702</v>
      </c>
      <c r="B2563" t="s">
        <v>4703</v>
      </c>
      <c r="E2563" s="1"/>
    </row>
    <row r="2564" spans="1:5">
      <c r="A2564" t="s">
        <v>4704</v>
      </c>
      <c r="B2564" t="s">
        <v>4705</v>
      </c>
      <c r="E2564" s="1"/>
    </row>
    <row r="2565" spans="1:5">
      <c r="A2565" t="s">
        <v>4706</v>
      </c>
      <c r="B2565" t="s">
        <v>4707</v>
      </c>
      <c r="E2565" s="1"/>
    </row>
    <row r="2566" spans="1:5">
      <c r="A2566" t="s">
        <v>4708</v>
      </c>
      <c r="B2566" t="s">
        <v>4709</v>
      </c>
      <c r="E2566" s="1"/>
    </row>
    <row r="2567" spans="1:5">
      <c r="A2567" t="s">
        <v>4710</v>
      </c>
      <c r="B2567" t="s">
        <v>4711</v>
      </c>
      <c r="E2567" s="1"/>
    </row>
    <row r="2568" spans="1:5">
      <c r="A2568" t="s">
        <v>4712</v>
      </c>
      <c r="B2568" t="s">
        <v>4713</v>
      </c>
      <c r="E2568" s="1"/>
    </row>
    <row r="2569" spans="1:5">
      <c r="A2569" t="s">
        <v>4714</v>
      </c>
      <c r="B2569" t="s">
        <v>4715</v>
      </c>
      <c r="E2569" s="1"/>
    </row>
    <row r="2570" spans="1:5">
      <c r="A2570" t="s">
        <v>4716</v>
      </c>
      <c r="B2570" t="s">
        <v>4717</v>
      </c>
      <c r="E2570" s="1"/>
    </row>
    <row r="2571" spans="1:5">
      <c r="A2571" t="s">
        <v>4718</v>
      </c>
      <c r="B2571" t="s">
        <v>4719</v>
      </c>
      <c r="E2571" s="1"/>
    </row>
    <row r="2572" spans="1:5">
      <c r="A2572" t="s">
        <v>4720</v>
      </c>
      <c r="B2572" t="s">
        <v>4721</v>
      </c>
      <c r="E2572" s="1"/>
    </row>
    <row r="2573" spans="1:5">
      <c r="A2573" t="s">
        <v>4722</v>
      </c>
      <c r="B2573" t="s">
        <v>4723</v>
      </c>
      <c r="E2573" s="1"/>
    </row>
    <row r="2574" spans="1:5">
      <c r="A2574" t="s">
        <v>4724</v>
      </c>
      <c r="B2574" t="s">
        <v>4725</v>
      </c>
      <c r="E2574" s="1"/>
    </row>
    <row r="2575" spans="1:5">
      <c r="A2575" t="s">
        <v>4726</v>
      </c>
      <c r="B2575" t="s">
        <v>4727</v>
      </c>
      <c r="E2575" s="1"/>
    </row>
    <row r="2576" spans="1:5">
      <c r="A2576" t="s">
        <v>4728</v>
      </c>
      <c r="B2576" t="s">
        <v>4729</v>
      </c>
      <c r="E2576" s="1"/>
    </row>
    <row r="2577" spans="1:8">
      <c r="A2577" t="s">
        <v>4730</v>
      </c>
      <c r="B2577" t="s">
        <v>4731</v>
      </c>
      <c r="C2577" s="1" t="s">
        <v>9085</v>
      </c>
      <c r="D2577" s="1"/>
      <c r="E2577" s="1" t="str">
        <f>HYPERLINK("https://www.kegg.jp/dbget-bin/www_bget?ec:" &amp; C2577, "https://www.kegg.jp/dbget-bin/www_bget?ec:" &amp; C2577)</f>
        <v>https://www.kegg.jp/dbget-bin/www_bget?ec:1.4.1.13</v>
      </c>
      <c r="F2577" t="s">
        <v>10065</v>
      </c>
      <c r="G2577" s="10" t="s">
        <v>11000</v>
      </c>
      <c r="H2577" s="13" t="s">
        <v>11001</v>
      </c>
    </row>
    <row r="2578" spans="1:8">
      <c r="A2578" t="s">
        <v>4730</v>
      </c>
      <c r="B2578" t="s">
        <v>4731</v>
      </c>
      <c r="C2578" s="1" t="s">
        <v>9085</v>
      </c>
      <c r="D2578" s="1"/>
      <c r="E2578" s="1" t="str">
        <f>HYPERLINK("https://www.kegg.jp/dbget-bin/www_bget?ec:" &amp; C2578, "https://www.kegg.jp/dbget-bin/www_bget?ec:" &amp; C2578)</f>
        <v>https://www.kegg.jp/dbget-bin/www_bget?ec:1.4.1.13</v>
      </c>
      <c r="F2578" t="s">
        <v>10066</v>
      </c>
      <c r="G2578" s="10" t="s">
        <v>11002</v>
      </c>
      <c r="H2578" s="13" t="s">
        <v>11003</v>
      </c>
    </row>
    <row r="2579" spans="1:8">
      <c r="A2579" t="s">
        <v>4730</v>
      </c>
      <c r="B2579" t="s">
        <v>4731</v>
      </c>
      <c r="C2579" s="1" t="s">
        <v>9085</v>
      </c>
      <c r="D2579" s="1"/>
      <c r="E2579" s="1" t="str">
        <f>HYPERLINK("https://www.kegg.jp/dbget-bin/www_bget?ec:" &amp; C2579, "https://www.kegg.jp/dbget-bin/www_bget?ec:" &amp; C2579)</f>
        <v>https://www.kegg.jp/dbget-bin/www_bget?ec:1.4.1.13</v>
      </c>
      <c r="F2579" t="s">
        <v>10067</v>
      </c>
      <c r="G2579" s="10" t="s">
        <v>9372</v>
      </c>
      <c r="H2579" s="13" t="s">
        <v>11004</v>
      </c>
    </row>
    <row r="2580" spans="1:8">
      <c r="A2580" t="s">
        <v>4732</v>
      </c>
      <c r="B2580" t="s">
        <v>4733</v>
      </c>
      <c r="E2580" s="1"/>
    </row>
    <row r="2581" spans="1:8">
      <c r="A2581" t="s">
        <v>4734</v>
      </c>
      <c r="B2581" t="s">
        <v>4735</v>
      </c>
      <c r="E2581" s="1"/>
    </row>
    <row r="2582" spans="1:8">
      <c r="B2582" t="s">
        <v>4736</v>
      </c>
      <c r="E2582" s="1"/>
    </row>
    <row r="2583" spans="1:8">
      <c r="B2583" t="s">
        <v>4737</v>
      </c>
      <c r="E2583" s="1"/>
    </row>
    <row r="2584" spans="1:8">
      <c r="B2584" t="s">
        <v>4738</v>
      </c>
      <c r="E2584" s="1"/>
    </row>
    <row r="2585" spans="1:8">
      <c r="A2585" t="s">
        <v>4739</v>
      </c>
      <c r="B2585" t="s">
        <v>4740</v>
      </c>
      <c r="E2585" s="1"/>
    </row>
    <row r="2586" spans="1:8">
      <c r="A2586" t="s">
        <v>4741</v>
      </c>
      <c r="B2586" t="s">
        <v>4742</v>
      </c>
      <c r="C2586" s="1" t="s">
        <v>9086</v>
      </c>
      <c r="D2586" s="1"/>
      <c r="E2586" s="1" t="str">
        <f>HYPERLINK("https://www.kegg.jp/dbget-bin/www_bget?ec:" &amp; C2586, "https://www.kegg.jp/dbget-bin/www_bget?ec:" &amp; C2586)</f>
        <v>https://www.kegg.jp/dbget-bin/www_bget?ec:4.3.2.1</v>
      </c>
      <c r="F2586" t="s">
        <v>10073</v>
      </c>
      <c r="G2586" s="1" t="s">
        <v>10074</v>
      </c>
      <c r="H2586" s="13" t="s">
        <v>11005</v>
      </c>
    </row>
    <row r="2587" spans="1:8">
      <c r="A2587" t="s">
        <v>4743</v>
      </c>
      <c r="B2587" t="s">
        <v>4744</v>
      </c>
      <c r="E2587" s="1"/>
    </row>
    <row r="2588" spans="1:8">
      <c r="A2588" t="s">
        <v>4745</v>
      </c>
      <c r="B2588" t="s">
        <v>4746</v>
      </c>
      <c r="C2588" s="1" t="s">
        <v>9087</v>
      </c>
      <c r="D2588" s="1"/>
      <c r="E2588" s="1" t="str">
        <f>HYPERLINK("https://www.kegg.jp/dbget-bin/www_bget?ec:" &amp; C2588, "https://www.kegg.jp/dbget-bin/www_bget?ec:" &amp; C2588)</f>
        <v>https://www.kegg.jp/dbget-bin/www_bget?ec:2.4.2.10</v>
      </c>
      <c r="F2588" t="s">
        <v>10076</v>
      </c>
      <c r="G2588" s="10" t="s">
        <v>11006</v>
      </c>
      <c r="H2588" s="13" t="s">
        <v>11007</v>
      </c>
    </row>
    <row r="2589" spans="1:8">
      <c r="A2589" t="s">
        <v>4745</v>
      </c>
      <c r="B2589" t="s">
        <v>4746</v>
      </c>
      <c r="C2589" s="1" t="s">
        <v>9087</v>
      </c>
      <c r="D2589" s="1"/>
      <c r="E2589" s="1" t="str">
        <f>HYPERLINK("https://www.kegg.jp/dbget-bin/www_bget?ec:" &amp; C2589, "https://www.kegg.jp/dbget-bin/www_bget?ec:" &amp; C2589)</f>
        <v>https://www.kegg.jp/dbget-bin/www_bget?ec:2.4.2.10</v>
      </c>
      <c r="F2589" t="s">
        <v>10076</v>
      </c>
      <c r="G2589" s="10" t="s">
        <v>11008</v>
      </c>
      <c r="H2589" s="13" t="s">
        <v>11009</v>
      </c>
    </row>
    <row r="2590" spans="1:8">
      <c r="A2590" t="s">
        <v>4747</v>
      </c>
      <c r="B2590" t="s">
        <v>4748</v>
      </c>
      <c r="E2590" s="1"/>
    </row>
    <row r="2591" spans="1:8">
      <c r="A2591" t="s">
        <v>4749</v>
      </c>
      <c r="B2591" t="s">
        <v>4750</v>
      </c>
      <c r="E2591" s="1"/>
    </row>
    <row r="2592" spans="1:8">
      <c r="A2592" t="s">
        <v>4751</v>
      </c>
      <c r="B2592" t="s">
        <v>4752</v>
      </c>
      <c r="E2592" s="1"/>
    </row>
    <row r="2593" spans="1:8">
      <c r="A2593" t="s">
        <v>4753</v>
      </c>
      <c r="B2593" t="s">
        <v>4754</v>
      </c>
      <c r="C2593" s="1" t="s">
        <v>9088</v>
      </c>
      <c r="D2593" s="1"/>
      <c r="E2593" s="1" t="str">
        <f>HYPERLINK("https://www.kegg.jp/dbget-bin/www_bget?ec:" &amp; C2593, "https://www.kegg.jp/dbget-bin/www_bget?ec:" &amp; C2593)</f>
        <v>https://www.kegg.jp/dbget-bin/www_bget?ec:1.1.1.193</v>
      </c>
      <c r="F2593" t="s">
        <v>10081</v>
      </c>
      <c r="G2593" s="10" t="s">
        <v>11010</v>
      </c>
      <c r="H2593" s="13" t="s">
        <v>11011</v>
      </c>
    </row>
    <row r="2594" spans="1:8">
      <c r="A2594" t="s">
        <v>4753</v>
      </c>
      <c r="B2594" t="s">
        <v>4754</v>
      </c>
      <c r="C2594" s="1" t="s">
        <v>9089</v>
      </c>
      <c r="D2594" s="1"/>
      <c r="E2594" s="1" t="str">
        <f>HYPERLINK("https://www.kegg.jp/dbget-bin/www_bget?ec:" &amp; C2594, "https://www.kegg.jp/dbget-bin/www_bget?ec:" &amp; C2594)</f>
        <v>https://www.kegg.jp/dbget-bin/www_bget?ec:3.5.4.26</v>
      </c>
      <c r="F2594" s="1" t="s">
        <v>10084</v>
      </c>
      <c r="G2594" s="10" t="s">
        <v>11012</v>
      </c>
      <c r="H2594" s="13" t="s">
        <v>11013</v>
      </c>
    </row>
    <row r="2595" spans="1:8">
      <c r="A2595" t="s">
        <v>4755</v>
      </c>
      <c r="B2595" t="s">
        <v>4756</v>
      </c>
      <c r="E2595" s="1"/>
    </row>
    <row r="2596" spans="1:8">
      <c r="A2596" t="s">
        <v>4757</v>
      </c>
      <c r="B2596" t="s">
        <v>4758</v>
      </c>
      <c r="E2596" s="1"/>
    </row>
    <row r="2597" spans="1:8">
      <c r="A2597" t="s">
        <v>4759</v>
      </c>
      <c r="B2597" t="s">
        <v>4760</v>
      </c>
      <c r="E2597" s="1"/>
    </row>
    <row r="2598" spans="1:8">
      <c r="A2598" t="s">
        <v>4761</v>
      </c>
      <c r="B2598" t="s">
        <v>4762</v>
      </c>
      <c r="E2598" s="1"/>
    </row>
    <row r="2599" spans="1:8">
      <c r="A2599" t="s">
        <v>4763</v>
      </c>
      <c r="B2599" t="s">
        <v>4764</v>
      </c>
      <c r="E2599" s="1"/>
    </row>
    <row r="2600" spans="1:8">
      <c r="A2600" t="s">
        <v>4765</v>
      </c>
      <c r="B2600" t="s">
        <v>4766</v>
      </c>
      <c r="E2600" s="1"/>
    </row>
    <row r="2601" spans="1:8">
      <c r="A2601" t="s">
        <v>4767</v>
      </c>
      <c r="B2601" t="s">
        <v>4768</v>
      </c>
      <c r="C2601" s="1" t="s">
        <v>9090</v>
      </c>
      <c r="D2601" s="1"/>
      <c r="E2601" s="1" t="str">
        <f>HYPERLINK("https://www.kegg.jp/dbget-bin/www_bget?ec:" &amp; C2601, "https://www.kegg.jp/dbget-bin/www_bget?ec:" &amp; C2601)</f>
        <v>https://www.kegg.jp/dbget-bin/www_bget?ec:5.1.1.3</v>
      </c>
      <c r="F2601" s="1" t="s">
        <v>10087</v>
      </c>
      <c r="G2601" s="10" t="s">
        <v>9272</v>
      </c>
      <c r="H2601" s="13" t="s">
        <v>10088</v>
      </c>
    </row>
    <row r="2602" spans="1:8">
      <c r="A2602" t="s">
        <v>4769</v>
      </c>
      <c r="B2602" t="s">
        <v>4770</v>
      </c>
      <c r="E2602" s="1"/>
    </row>
    <row r="2603" spans="1:8">
      <c r="A2603" t="s">
        <v>4771</v>
      </c>
      <c r="B2603" t="s">
        <v>4772</v>
      </c>
      <c r="E2603" s="1"/>
    </row>
    <row r="2604" spans="1:8">
      <c r="A2604" t="s">
        <v>4773</v>
      </c>
      <c r="B2604" t="s">
        <v>4774</v>
      </c>
      <c r="E2604" s="1"/>
    </row>
    <row r="2605" spans="1:8">
      <c r="A2605" t="s">
        <v>4775</v>
      </c>
      <c r="B2605" t="s">
        <v>4776</v>
      </c>
      <c r="E2605" s="1"/>
    </row>
    <row r="2606" spans="1:8">
      <c r="A2606" t="s">
        <v>4777</v>
      </c>
      <c r="B2606" t="s">
        <v>4778</v>
      </c>
      <c r="E2606" s="1"/>
    </row>
    <row r="2607" spans="1:8">
      <c r="A2607" t="s">
        <v>4779</v>
      </c>
      <c r="B2607" t="s">
        <v>4780</v>
      </c>
      <c r="E2607" s="1"/>
    </row>
    <row r="2608" spans="1:8">
      <c r="A2608" t="s">
        <v>4781</v>
      </c>
      <c r="B2608" t="s">
        <v>4782</v>
      </c>
      <c r="E2608" s="1"/>
    </row>
    <row r="2609" spans="1:8">
      <c r="A2609" t="s">
        <v>4783</v>
      </c>
      <c r="B2609" t="s">
        <v>4784</v>
      </c>
      <c r="E2609" s="1"/>
    </row>
    <row r="2610" spans="1:8">
      <c r="A2610" t="s">
        <v>4785</v>
      </c>
      <c r="B2610" t="s">
        <v>4786</v>
      </c>
      <c r="E2610" s="1"/>
    </row>
    <row r="2611" spans="1:8">
      <c r="A2611" t="s">
        <v>4787</v>
      </c>
      <c r="B2611" t="s">
        <v>4788</v>
      </c>
      <c r="E2611" s="1"/>
    </row>
    <row r="2612" spans="1:8">
      <c r="A2612" t="s">
        <v>4789</v>
      </c>
      <c r="B2612" t="s">
        <v>4790</v>
      </c>
      <c r="C2612" s="1" t="s">
        <v>1117</v>
      </c>
      <c r="D2612" s="1"/>
      <c r="E2612" s="1" t="str">
        <f>HYPERLINK("https://www.kegg.jp/dbget-bin/www_bget?ec:" &amp; C2612, "https://www.kegg.jp/dbget-bin/www_bget?ec:" &amp; C2612)</f>
        <v>https://www.kegg.jp/dbget-bin/www_bget?ec:3.2.2.27</v>
      </c>
      <c r="F2612" t="s">
        <v>9463</v>
      </c>
    </row>
    <row r="2613" spans="1:8">
      <c r="A2613" t="s">
        <v>4791</v>
      </c>
      <c r="B2613" t="s">
        <v>4792</v>
      </c>
      <c r="C2613" s="1" t="s">
        <v>9091</v>
      </c>
      <c r="D2613" s="1"/>
      <c r="E2613" s="1" t="str">
        <f>HYPERLINK("https://www.kegg.jp/dbget-bin/www_bget?ec:" &amp; C2613, "https://www.kegg.jp/dbget-bin/www_bget?ec:" &amp; C2613)</f>
        <v>https://www.kegg.jp/dbget-bin/www_bget?ec:6.3.1.1</v>
      </c>
      <c r="F2613" t="s">
        <v>10089</v>
      </c>
      <c r="G2613" s="10" t="s">
        <v>11014</v>
      </c>
      <c r="H2613" s="13" t="s">
        <v>11015</v>
      </c>
    </row>
    <row r="2614" spans="1:8">
      <c r="B2614" t="s">
        <v>4793</v>
      </c>
      <c r="E2614" s="1"/>
    </row>
    <row r="2615" spans="1:8">
      <c r="A2615" t="s">
        <v>4794</v>
      </c>
      <c r="B2615" t="s">
        <v>4795</v>
      </c>
      <c r="E2615" s="1"/>
    </row>
    <row r="2616" spans="1:8">
      <c r="B2616" t="s">
        <v>4796</v>
      </c>
      <c r="E2616" s="1"/>
    </row>
    <row r="2617" spans="1:8">
      <c r="B2617" t="s">
        <v>4797</v>
      </c>
      <c r="E2617" s="1"/>
    </row>
    <row r="2618" spans="1:8">
      <c r="B2618" t="s">
        <v>4798</v>
      </c>
      <c r="E2618" s="1"/>
    </row>
    <row r="2619" spans="1:8">
      <c r="A2619" t="s">
        <v>4799</v>
      </c>
      <c r="B2619" t="s">
        <v>4800</v>
      </c>
      <c r="C2619" s="1" t="s">
        <v>9092</v>
      </c>
      <c r="D2619" s="1"/>
      <c r="E2619" s="1" t="str">
        <f>HYPERLINK("https://www.kegg.jp/dbget-bin/www_bget?ec:" &amp; C2619, "https://www.kegg.jp/dbget-bin/www_bget?ec:" &amp; C2619)</f>
        <v>https://www.kegg.jp/dbget-bin/www_bget?ec:4.3.2.2</v>
      </c>
      <c r="F2619" t="s">
        <v>10092</v>
      </c>
      <c r="G2619" s="10" t="s">
        <v>10093</v>
      </c>
      <c r="H2619" s="13" t="s">
        <v>11016</v>
      </c>
    </row>
    <row r="2620" spans="1:8">
      <c r="A2620" t="s">
        <v>4799</v>
      </c>
      <c r="B2620" t="s">
        <v>4800</v>
      </c>
      <c r="C2620" s="1" t="s">
        <v>9092</v>
      </c>
      <c r="D2620" s="1"/>
      <c r="E2620" s="1" t="str">
        <f>HYPERLINK("https://www.kegg.jp/dbget-bin/www_bget?ec:" &amp; C2620, "https://www.kegg.jp/dbget-bin/www_bget?ec:" &amp; C2620)</f>
        <v>https://www.kegg.jp/dbget-bin/www_bget?ec:4.3.2.2</v>
      </c>
      <c r="F2620" t="s">
        <v>10092</v>
      </c>
      <c r="G2620" s="10" t="s">
        <v>10095</v>
      </c>
      <c r="H2620" s="13" t="s">
        <v>11017</v>
      </c>
    </row>
    <row r="2621" spans="1:8">
      <c r="A2621" t="s">
        <v>4799</v>
      </c>
      <c r="B2621" t="s">
        <v>4800</v>
      </c>
      <c r="C2621" s="1" t="s">
        <v>9092</v>
      </c>
      <c r="D2621" s="1"/>
      <c r="E2621" s="1" t="str">
        <f>HYPERLINK("https://www.kegg.jp/dbget-bin/www_bget?ec:" &amp; C2621, "https://www.kegg.jp/dbget-bin/www_bget?ec:" &amp; C2621)</f>
        <v>https://www.kegg.jp/dbget-bin/www_bget?ec:4.3.2.2</v>
      </c>
      <c r="F2621" t="s">
        <v>10092</v>
      </c>
      <c r="G2621" s="10" t="s">
        <v>10097</v>
      </c>
      <c r="H2621" s="13" t="s">
        <v>11018</v>
      </c>
    </row>
    <row r="2622" spans="1:8">
      <c r="A2622" t="s">
        <v>4801</v>
      </c>
      <c r="B2622" t="s">
        <v>4802</v>
      </c>
      <c r="E2622" s="1"/>
    </row>
    <row r="2623" spans="1:8">
      <c r="A2623" t="s">
        <v>4803</v>
      </c>
      <c r="B2623" t="s">
        <v>4804</v>
      </c>
      <c r="C2623" s="1" t="s">
        <v>9093</v>
      </c>
      <c r="D2623" s="1"/>
      <c r="E2623" s="1" t="str">
        <f>HYPERLINK("https://www.kegg.jp/dbget-bin/www_bget?ec:" &amp; C2623, "https://www.kegg.jp/dbget-bin/www_bget?ec:" &amp; C2623)</f>
        <v>https://www.kegg.jp/dbget-bin/www_bget?ec:6.1.1.22</v>
      </c>
      <c r="F2623" s="1" t="s">
        <v>10099</v>
      </c>
      <c r="G2623" s="10" t="s">
        <v>11019</v>
      </c>
      <c r="H2623" s="13" t="s">
        <v>11020</v>
      </c>
    </row>
    <row r="2624" spans="1:8">
      <c r="A2624" t="s">
        <v>4805</v>
      </c>
      <c r="B2624" t="s">
        <v>4806</v>
      </c>
      <c r="E2624" s="1"/>
    </row>
    <row r="2625" spans="1:8">
      <c r="A2625" t="s">
        <v>4807</v>
      </c>
      <c r="B2625" t="s">
        <v>4808</v>
      </c>
      <c r="E2625" s="1"/>
    </row>
    <row r="2626" spans="1:8">
      <c r="A2626" t="s">
        <v>4809</v>
      </c>
      <c r="B2626" t="s">
        <v>4810</v>
      </c>
      <c r="E2626" s="1"/>
    </row>
    <row r="2627" spans="1:8">
      <c r="A2627" t="s">
        <v>4811</v>
      </c>
      <c r="B2627" t="s">
        <v>4812</v>
      </c>
      <c r="E2627" s="1"/>
    </row>
    <row r="2628" spans="1:8">
      <c r="A2628" t="s">
        <v>4813</v>
      </c>
      <c r="B2628" t="s">
        <v>4814</v>
      </c>
      <c r="E2628" s="1"/>
    </row>
    <row r="2629" spans="1:8">
      <c r="A2629" t="s">
        <v>4815</v>
      </c>
      <c r="B2629" t="s">
        <v>4816</v>
      </c>
      <c r="E2629" s="1"/>
    </row>
    <row r="2630" spans="1:8">
      <c r="B2630" t="s">
        <v>4817</v>
      </c>
      <c r="E2630" s="1"/>
    </row>
    <row r="2631" spans="1:8">
      <c r="A2631" t="s">
        <v>4818</v>
      </c>
      <c r="B2631" t="s">
        <v>4819</v>
      </c>
      <c r="E2631" s="1"/>
    </row>
    <row r="2632" spans="1:8">
      <c r="A2632" t="s">
        <v>4820</v>
      </c>
      <c r="B2632" t="s">
        <v>4821</v>
      </c>
      <c r="E2632" s="1"/>
    </row>
    <row r="2633" spans="1:8">
      <c r="A2633" t="s">
        <v>4822</v>
      </c>
      <c r="B2633" t="s">
        <v>4823</v>
      </c>
      <c r="E2633" s="1"/>
    </row>
    <row r="2634" spans="1:8">
      <c r="A2634" t="s">
        <v>4824</v>
      </c>
      <c r="B2634" t="s">
        <v>4825</v>
      </c>
      <c r="E2634" s="1"/>
    </row>
    <row r="2635" spans="1:8">
      <c r="A2635" t="s">
        <v>4826</v>
      </c>
      <c r="B2635" t="s">
        <v>4827</v>
      </c>
      <c r="C2635" s="1" t="s">
        <v>9094</v>
      </c>
      <c r="D2635" s="1"/>
      <c r="E2635" s="1" t="str">
        <f t="shared" ref="E2635:E2648" si="182">HYPERLINK("https://www.kegg.jp/dbget-bin/www_bget?ec:" &amp; C2635, "https://www.kegg.jp/dbget-bin/www_bget?ec:" &amp; C2635)</f>
        <v>https://www.kegg.jp/dbget-bin/www_bget?ec:2.7.4.25</v>
      </c>
      <c r="F2635" t="s">
        <v>10102</v>
      </c>
      <c r="G2635" s="10" t="s">
        <v>11021</v>
      </c>
      <c r="H2635" s="13" t="s">
        <v>11022</v>
      </c>
    </row>
    <row r="2636" spans="1:8">
      <c r="A2636" t="s">
        <v>4826</v>
      </c>
      <c r="B2636" t="s">
        <v>4827</v>
      </c>
      <c r="C2636" s="1" t="s">
        <v>9094</v>
      </c>
      <c r="D2636" s="1"/>
      <c r="E2636" s="1" t="str">
        <f t="shared" si="182"/>
        <v>https://www.kegg.jp/dbget-bin/www_bget?ec:2.7.4.25</v>
      </c>
      <c r="F2636" t="s">
        <v>10102</v>
      </c>
      <c r="G2636" s="10" t="s">
        <v>11023</v>
      </c>
      <c r="H2636" s="13" t="s">
        <v>11024</v>
      </c>
    </row>
    <row r="2637" spans="1:8">
      <c r="A2637" t="s">
        <v>4828</v>
      </c>
      <c r="B2637" t="s">
        <v>4829</v>
      </c>
      <c r="C2637" s="1" t="s">
        <v>9095</v>
      </c>
      <c r="D2637" s="1"/>
      <c r="E2637" s="1" t="str">
        <f t="shared" si="182"/>
        <v>https://www.kegg.jp/dbget-bin/www_bget?ec:1.17.7.4</v>
      </c>
      <c r="F2637" t="s">
        <v>10107</v>
      </c>
      <c r="G2637" s="10" t="s">
        <v>11025</v>
      </c>
      <c r="H2637" s="13" t="s">
        <v>11026</v>
      </c>
    </row>
    <row r="2638" spans="1:8">
      <c r="A2638" t="s">
        <v>4828</v>
      </c>
      <c r="B2638" t="s">
        <v>4829</v>
      </c>
      <c r="C2638" s="1" t="s">
        <v>9095</v>
      </c>
      <c r="D2638" s="1"/>
      <c r="E2638" s="1" t="str">
        <f t="shared" si="182"/>
        <v>https://www.kegg.jp/dbget-bin/www_bget?ec:1.17.7.4</v>
      </c>
      <c r="F2638" t="s">
        <v>10107</v>
      </c>
      <c r="G2638" s="10" t="s">
        <v>11027</v>
      </c>
      <c r="H2638" s="13" t="s">
        <v>11028</v>
      </c>
    </row>
    <row r="2639" spans="1:8">
      <c r="A2639" t="s">
        <v>4830</v>
      </c>
      <c r="B2639" t="s">
        <v>4831</v>
      </c>
      <c r="C2639" s="1" t="s">
        <v>4359</v>
      </c>
      <c r="D2639" s="1"/>
      <c r="E2639" s="1" t="str">
        <f t="shared" si="182"/>
        <v>https://www.kegg.jp/dbget-bin/www_bget?ec:2.7.1.11</v>
      </c>
      <c r="F2639" s="1" t="s">
        <v>10003</v>
      </c>
      <c r="G2639" s="22" t="s">
        <v>10957</v>
      </c>
      <c r="H2639" s="20" t="s">
        <v>10958</v>
      </c>
    </row>
    <row r="2640" spans="1:8">
      <c r="A2640" t="s">
        <v>4830</v>
      </c>
      <c r="B2640" t="s">
        <v>4831</v>
      </c>
      <c r="C2640" s="1" t="s">
        <v>4359</v>
      </c>
      <c r="D2640" s="1"/>
      <c r="E2640" s="1" t="str">
        <f t="shared" si="182"/>
        <v>https://www.kegg.jp/dbget-bin/www_bget?ec:2.7.1.11</v>
      </c>
      <c r="F2640" s="1" t="s">
        <v>10003</v>
      </c>
      <c r="G2640" s="22" t="s">
        <v>10959</v>
      </c>
      <c r="H2640" s="20" t="s">
        <v>10960</v>
      </c>
    </row>
    <row r="2641" spans="1:8">
      <c r="A2641" t="s">
        <v>4830</v>
      </c>
      <c r="B2641" t="s">
        <v>4831</v>
      </c>
      <c r="C2641" s="1" t="s">
        <v>4359</v>
      </c>
      <c r="D2641" s="1"/>
      <c r="E2641" s="1" t="str">
        <f t="shared" si="182"/>
        <v>https://www.kegg.jp/dbget-bin/www_bget?ec:2.7.1.11</v>
      </c>
      <c r="F2641" s="1" t="s">
        <v>10003</v>
      </c>
      <c r="G2641" s="22" t="s">
        <v>10961</v>
      </c>
      <c r="H2641" s="20" t="s">
        <v>10962</v>
      </c>
    </row>
    <row r="2642" spans="1:8">
      <c r="A2642" t="s">
        <v>4830</v>
      </c>
      <c r="B2642" t="s">
        <v>4831</v>
      </c>
      <c r="C2642" s="1" t="s">
        <v>4359</v>
      </c>
      <c r="D2642" s="1"/>
      <c r="E2642" s="1" t="str">
        <f t="shared" si="182"/>
        <v>https://www.kegg.jp/dbget-bin/www_bget?ec:2.7.1.11</v>
      </c>
      <c r="F2642" s="1" t="s">
        <v>10003</v>
      </c>
      <c r="G2642" s="22" t="s">
        <v>10963</v>
      </c>
      <c r="H2642" s="20" t="s">
        <v>10964</v>
      </c>
    </row>
    <row r="2643" spans="1:8">
      <c r="A2643" t="s">
        <v>4830</v>
      </c>
      <c r="B2643" t="s">
        <v>4831</v>
      </c>
      <c r="C2643" s="1" t="s">
        <v>4359</v>
      </c>
      <c r="D2643" s="1"/>
      <c r="E2643" s="1" t="str">
        <f t="shared" si="182"/>
        <v>https://www.kegg.jp/dbget-bin/www_bget?ec:2.7.1.11</v>
      </c>
      <c r="F2643" s="1" t="s">
        <v>10003</v>
      </c>
      <c r="G2643" s="22" t="s">
        <v>10965</v>
      </c>
      <c r="H2643" s="20" t="s">
        <v>10966</v>
      </c>
    </row>
    <row r="2644" spans="1:8">
      <c r="A2644" t="s">
        <v>4830</v>
      </c>
      <c r="B2644" t="s">
        <v>4831</v>
      </c>
      <c r="C2644" s="1" t="s">
        <v>4359</v>
      </c>
      <c r="D2644" s="1"/>
      <c r="E2644" s="1" t="str">
        <f t="shared" si="182"/>
        <v>https://www.kegg.jp/dbget-bin/www_bget?ec:2.7.1.11</v>
      </c>
      <c r="F2644" s="1" t="s">
        <v>10003</v>
      </c>
      <c r="G2644" s="22" t="s">
        <v>10967</v>
      </c>
      <c r="H2644" s="20" t="s">
        <v>10968</v>
      </c>
    </row>
    <row r="2645" spans="1:8">
      <c r="A2645" t="s">
        <v>4830</v>
      </c>
      <c r="B2645" t="s">
        <v>4831</v>
      </c>
      <c r="C2645" s="1" t="s">
        <v>4359</v>
      </c>
      <c r="D2645" s="1"/>
      <c r="E2645" s="1" t="str">
        <f t="shared" si="182"/>
        <v>https://www.kegg.jp/dbget-bin/www_bget?ec:2.7.1.11</v>
      </c>
      <c r="F2645" s="1" t="s">
        <v>10003</v>
      </c>
      <c r="G2645" s="22" t="s">
        <v>10969</v>
      </c>
      <c r="H2645" s="20" t="s">
        <v>10970</v>
      </c>
    </row>
    <row r="2646" spans="1:8">
      <c r="A2646" t="s">
        <v>4830</v>
      </c>
      <c r="B2646" t="s">
        <v>4831</v>
      </c>
      <c r="C2646" s="1" t="s">
        <v>4359</v>
      </c>
      <c r="D2646" s="1"/>
      <c r="E2646" s="1" t="str">
        <f t="shared" si="182"/>
        <v>https://www.kegg.jp/dbget-bin/www_bget?ec:2.7.1.11</v>
      </c>
      <c r="F2646" s="1" t="s">
        <v>10003</v>
      </c>
      <c r="G2646" s="22" t="s">
        <v>10971</v>
      </c>
      <c r="H2646" s="20" t="s">
        <v>10972</v>
      </c>
    </row>
    <row r="2647" spans="1:8">
      <c r="A2647" t="s">
        <v>4830</v>
      </c>
      <c r="B2647" t="s">
        <v>4831</v>
      </c>
      <c r="C2647" s="1" t="s">
        <v>4359</v>
      </c>
      <c r="D2647" s="1"/>
      <c r="E2647" s="1" t="str">
        <f t="shared" si="182"/>
        <v>https://www.kegg.jp/dbget-bin/www_bget?ec:2.7.1.11</v>
      </c>
      <c r="F2647" s="1" t="s">
        <v>10003</v>
      </c>
      <c r="G2647" s="22" t="s">
        <v>10973</v>
      </c>
      <c r="H2647" s="20" t="s">
        <v>10974</v>
      </c>
    </row>
    <row r="2648" spans="1:8">
      <c r="A2648" t="s">
        <v>4830</v>
      </c>
      <c r="B2648" t="s">
        <v>4831</v>
      </c>
      <c r="C2648" s="1" t="s">
        <v>4359</v>
      </c>
      <c r="D2648" s="1"/>
      <c r="E2648" s="1" t="str">
        <f t="shared" si="182"/>
        <v>https://www.kegg.jp/dbget-bin/www_bget?ec:2.7.1.11</v>
      </c>
      <c r="F2648" s="1" t="s">
        <v>10003</v>
      </c>
      <c r="G2648" s="22" t="s">
        <v>10975</v>
      </c>
      <c r="H2648" s="20" t="s">
        <v>10976</v>
      </c>
    </row>
    <row r="2649" spans="1:8">
      <c r="A2649" t="s">
        <v>4832</v>
      </c>
      <c r="B2649" t="s">
        <v>4833</v>
      </c>
      <c r="E2649" s="1"/>
    </row>
    <row r="2650" spans="1:8">
      <c r="A2650" t="s">
        <v>4834</v>
      </c>
      <c r="B2650" t="s">
        <v>4835</v>
      </c>
      <c r="E2650" s="1"/>
    </row>
    <row r="2651" spans="1:8">
      <c r="A2651" t="s">
        <v>4836</v>
      </c>
      <c r="B2651" t="s">
        <v>4837</v>
      </c>
      <c r="C2651" s="1" t="s">
        <v>9096</v>
      </c>
      <c r="D2651" s="1"/>
      <c r="E2651" s="1" t="str">
        <f>HYPERLINK("https://www.kegg.jp/dbget-bin/www_bget?ec:" &amp; C2651, "https://www.kegg.jp/dbget-bin/www_bget?ec:" &amp; C2651)</f>
        <v>https://www.kegg.jp/dbget-bin/www_bget?ec:3.6.5.-"</v>
      </c>
      <c r="F2651" t="s">
        <v>9650</v>
      </c>
    </row>
    <row r="2652" spans="1:8">
      <c r="A2652" t="s">
        <v>4838</v>
      </c>
      <c r="B2652" t="s">
        <v>4839</v>
      </c>
      <c r="E2652" s="1"/>
    </row>
    <row r="2653" spans="1:8">
      <c r="A2653" t="s">
        <v>4840</v>
      </c>
      <c r="B2653" t="s">
        <v>4841</v>
      </c>
      <c r="E2653" s="1"/>
    </row>
    <row r="2654" spans="1:8">
      <c r="A2654" t="s">
        <v>4842</v>
      </c>
      <c r="B2654" t="s">
        <v>4843</v>
      </c>
      <c r="C2654" s="1"/>
      <c r="D2654" s="1"/>
      <c r="E2654" s="1"/>
    </row>
    <row r="2655" spans="1:8">
      <c r="A2655" t="s">
        <v>4844</v>
      </c>
      <c r="B2655" t="s">
        <v>4845</v>
      </c>
      <c r="E2655" s="1"/>
    </row>
    <row r="2656" spans="1:8">
      <c r="A2656" t="s">
        <v>4846</v>
      </c>
      <c r="B2656" t="s">
        <v>4847</v>
      </c>
      <c r="C2656" s="1" t="s">
        <v>9097</v>
      </c>
      <c r="D2656" s="1"/>
      <c r="E2656" s="1" t="str">
        <f>HYPERLINK("https://www.kegg.jp/dbget-bin/www_bget?ec:" &amp; C2656, "https://www.kegg.jp/dbget-bin/www_bget?ec:" &amp; C2656)</f>
        <v>https://www.kegg.jp/dbget-bin/www_bget?ec:2.1.1.45</v>
      </c>
      <c r="F2656" s="1" t="s">
        <v>10108</v>
      </c>
      <c r="G2656" s="10" t="s">
        <v>11029</v>
      </c>
      <c r="H2656" s="13" t="s">
        <v>11030</v>
      </c>
    </row>
    <row r="2657" spans="1:5">
      <c r="A2657" t="s">
        <v>4848</v>
      </c>
      <c r="B2657" t="s">
        <v>4849</v>
      </c>
      <c r="E2657" s="1"/>
    </row>
    <row r="2658" spans="1:5">
      <c r="A2658" t="s">
        <v>4850</v>
      </c>
      <c r="B2658" t="s">
        <v>4851</v>
      </c>
      <c r="E2658" s="1"/>
    </row>
    <row r="2659" spans="1:5">
      <c r="A2659" t="s">
        <v>4852</v>
      </c>
      <c r="B2659" t="s">
        <v>4853</v>
      </c>
      <c r="E2659" s="1"/>
    </row>
    <row r="2660" spans="1:5">
      <c r="A2660" t="s">
        <v>4854</v>
      </c>
      <c r="B2660" t="s">
        <v>4855</v>
      </c>
      <c r="E2660" s="1"/>
    </row>
    <row r="2661" spans="1:5">
      <c r="A2661" t="s">
        <v>4856</v>
      </c>
      <c r="B2661" t="s">
        <v>4857</v>
      </c>
      <c r="E2661" s="1"/>
    </row>
    <row r="2662" spans="1:5">
      <c r="A2662" t="s">
        <v>4858</v>
      </c>
      <c r="B2662" t="s">
        <v>4859</v>
      </c>
      <c r="E2662" s="1"/>
    </row>
    <row r="2663" spans="1:5">
      <c r="A2663" t="s">
        <v>4860</v>
      </c>
      <c r="B2663" t="s">
        <v>4861</v>
      </c>
      <c r="E2663" s="1"/>
    </row>
    <row r="2664" spans="1:5">
      <c r="A2664" t="s">
        <v>4862</v>
      </c>
      <c r="B2664" t="s">
        <v>4863</v>
      </c>
      <c r="E2664" s="1"/>
    </row>
    <row r="2665" spans="1:5">
      <c r="A2665" t="s">
        <v>4864</v>
      </c>
      <c r="B2665" t="s">
        <v>4865</v>
      </c>
      <c r="E2665" s="1"/>
    </row>
    <row r="2666" spans="1:5">
      <c r="A2666" t="s">
        <v>4866</v>
      </c>
      <c r="B2666" t="s">
        <v>4867</v>
      </c>
      <c r="E2666" s="1"/>
    </row>
    <row r="2667" spans="1:5">
      <c r="A2667" t="s">
        <v>4868</v>
      </c>
      <c r="B2667" t="s">
        <v>4869</v>
      </c>
      <c r="E2667" s="1"/>
    </row>
    <row r="2668" spans="1:5">
      <c r="A2668" t="s">
        <v>4870</v>
      </c>
      <c r="B2668" t="s">
        <v>4871</v>
      </c>
      <c r="E2668" s="1"/>
    </row>
    <row r="2669" spans="1:5">
      <c r="A2669" t="s">
        <v>4872</v>
      </c>
      <c r="B2669" t="s">
        <v>4873</v>
      </c>
      <c r="E2669" s="1"/>
    </row>
    <row r="2670" spans="1:5">
      <c r="A2670" t="s">
        <v>4874</v>
      </c>
      <c r="B2670" t="s">
        <v>4875</v>
      </c>
      <c r="E2670" s="1"/>
    </row>
    <row r="2671" spans="1:5">
      <c r="A2671" t="s">
        <v>4876</v>
      </c>
      <c r="B2671" t="s">
        <v>4877</v>
      </c>
      <c r="E2671" s="1"/>
    </row>
    <row r="2672" spans="1:5">
      <c r="A2672" t="s">
        <v>4878</v>
      </c>
      <c r="B2672" t="s">
        <v>4879</v>
      </c>
      <c r="E2672" s="1"/>
    </row>
    <row r="2673" spans="1:8">
      <c r="A2673" t="s">
        <v>4880</v>
      </c>
      <c r="B2673" t="s">
        <v>4881</v>
      </c>
      <c r="C2673" s="1" t="s">
        <v>9098</v>
      </c>
      <c r="D2673" s="1"/>
      <c r="E2673" s="1" t="str">
        <f>HYPERLINK("https://www.kegg.jp/dbget-bin/www_bget?ec:" &amp; C2673, "https://www.kegg.jp/dbget-bin/www_bget?ec:" &amp; C2673)</f>
        <v>https://www.kegg.jp/dbget-bin/www_bget?ec:3.6.1.1</v>
      </c>
      <c r="F2673" s="1" t="s">
        <v>10111</v>
      </c>
      <c r="G2673" s="10" t="s">
        <v>11031</v>
      </c>
      <c r="H2673" s="13" t="s">
        <v>10113</v>
      </c>
    </row>
    <row r="2674" spans="1:8">
      <c r="A2674" t="s">
        <v>4882</v>
      </c>
      <c r="B2674" t="s">
        <v>4883</v>
      </c>
      <c r="E2674" s="1"/>
    </row>
    <row r="2675" spans="1:8">
      <c r="A2675" t="s">
        <v>4884</v>
      </c>
      <c r="B2675" t="s">
        <v>4885</v>
      </c>
      <c r="E2675" s="1"/>
    </row>
    <row r="2676" spans="1:8">
      <c r="B2676" t="s">
        <v>4886</v>
      </c>
      <c r="E2676" s="1"/>
    </row>
    <row r="2677" spans="1:8">
      <c r="A2677" t="s">
        <v>4887</v>
      </c>
      <c r="B2677" t="s">
        <v>4888</v>
      </c>
      <c r="E2677" s="1"/>
    </row>
    <row r="2678" spans="1:8">
      <c r="A2678" t="s">
        <v>4889</v>
      </c>
      <c r="B2678" t="s">
        <v>4890</v>
      </c>
      <c r="E2678" s="1"/>
    </row>
    <row r="2679" spans="1:8">
      <c r="A2679" t="s">
        <v>4891</v>
      </c>
      <c r="B2679" t="s">
        <v>4892</v>
      </c>
      <c r="E2679" s="1"/>
    </row>
    <row r="2680" spans="1:8">
      <c r="A2680" t="s">
        <v>4893</v>
      </c>
      <c r="B2680" t="s">
        <v>4894</v>
      </c>
      <c r="C2680" s="1" t="s">
        <v>9099</v>
      </c>
      <c r="D2680" s="1"/>
      <c r="E2680" s="1" t="str">
        <f>HYPERLINK("https://www.kegg.jp/dbget-bin/www_bget?ec:" &amp; C2680, "https://www.kegg.jp/dbget-bin/www_bget?ec:" &amp; C2680)</f>
        <v>https://www.kegg.jp/dbget-bin/www_bget?ec:2.8.1.13</v>
      </c>
      <c r="F2680" s="1" t="s">
        <v>10114</v>
      </c>
      <c r="G2680" s="10" t="s">
        <v>11032</v>
      </c>
      <c r="H2680" s="13" t="s">
        <v>11033</v>
      </c>
    </row>
    <row r="2681" spans="1:8">
      <c r="A2681" t="s">
        <v>4895</v>
      </c>
      <c r="B2681" t="s">
        <v>4896</v>
      </c>
      <c r="E2681" s="1"/>
    </row>
    <row r="2682" spans="1:8">
      <c r="A2682" t="s">
        <v>4897</v>
      </c>
      <c r="B2682" t="s">
        <v>4898</v>
      </c>
      <c r="E2682" s="1"/>
    </row>
    <row r="2683" spans="1:8">
      <c r="A2683" t="s">
        <v>4899</v>
      </c>
      <c r="B2683" t="s">
        <v>4900</v>
      </c>
      <c r="E2683" s="1"/>
    </row>
    <row r="2684" spans="1:8">
      <c r="A2684" t="s">
        <v>4901</v>
      </c>
      <c r="B2684" t="s">
        <v>4902</v>
      </c>
      <c r="C2684" s="1" t="s">
        <v>9100</v>
      </c>
      <c r="D2684" s="1"/>
      <c r="E2684" s="1" t="str">
        <f>HYPERLINK("https://www.kegg.jp/dbget-bin/www_bget?ec:" &amp; C2684, "https://www.kegg.jp/dbget-bin/www_bget?ec:" &amp; C2684)</f>
        <v>https://www.kegg.jp/dbget-bin/www_bget?ec:6.3.4.4</v>
      </c>
      <c r="F2684" s="1" t="s">
        <v>10117</v>
      </c>
      <c r="G2684" s="10" t="s">
        <v>11034</v>
      </c>
      <c r="H2684" s="13" t="s">
        <v>11035</v>
      </c>
    </row>
    <row r="2685" spans="1:8">
      <c r="A2685" t="s">
        <v>4903</v>
      </c>
      <c r="B2685" t="s">
        <v>4904</v>
      </c>
      <c r="E2685" s="1"/>
    </row>
    <row r="2686" spans="1:8">
      <c r="A2686" t="s">
        <v>4905</v>
      </c>
      <c r="B2686" t="s">
        <v>4906</v>
      </c>
      <c r="C2686" s="1" t="s">
        <v>9101</v>
      </c>
      <c r="D2686" s="1"/>
      <c r="E2686" s="1" t="str">
        <f>HYPERLINK("https://www.kegg.jp/dbget-bin/www_bget?ec:" &amp; C2686, "https://www.kegg.jp/dbget-bin/www_bget?ec:" &amp; C2686)</f>
        <v>https://www.kegg.jp/dbget-bin/www_bget?ec:6.1.1.21</v>
      </c>
      <c r="F2686" s="1" t="s">
        <v>10120</v>
      </c>
      <c r="G2686" s="10" t="s">
        <v>11036</v>
      </c>
      <c r="H2686" s="13" t="s">
        <v>11037</v>
      </c>
    </row>
    <row r="2687" spans="1:8">
      <c r="A2687" t="s">
        <v>4907</v>
      </c>
      <c r="B2687" t="s">
        <v>4908</v>
      </c>
      <c r="E2687" s="1"/>
    </row>
    <row r="2688" spans="1:8">
      <c r="A2688" t="s">
        <v>4909</v>
      </c>
      <c r="B2688" t="s">
        <v>4910</v>
      </c>
      <c r="E2688" s="1"/>
    </row>
    <row r="2689" spans="1:8">
      <c r="A2689" t="s">
        <v>4911</v>
      </c>
      <c r="B2689" t="s">
        <v>4912</v>
      </c>
      <c r="E2689" s="1"/>
    </row>
    <row r="2690" spans="1:8">
      <c r="B2690" t="s">
        <v>4913</v>
      </c>
      <c r="E2690" s="1"/>
    </row>
    <row r="2691" spans="1:8">
      <c r="A2691" t="s">
        <v>4914</v>
      </c>
      <c r="B2691" t="s">
        <v>4915</v>
      </c>
      <c r="E2691" s="1"/>
    </row>
    <row r="2692" spans="1:8">
      <c r="A2692" t="s">
        <v>4916</v>
      </c>
      <c r="B2692" t="s">
        <v>4917</v>
      </c>
      <c r="E2692" s="1"/>
    </row>
    <row r="2693" spans="1:8">
      <c r="A2693" t="s">
        <v>4918</v>
      </c>
      <c r="B2693" t="s">
        <v>4919</v>
      </c>
      <c r="E2693" s="1"/>
    </row>
    <row r="2694" spans="1:8">
      <c r="A2694" t="s">
        <v>4920</v>
      </c>
      <c r="B2694" t="s">
        <v>4921</v>
      </c>
      <c r="C2694" s="1" t="s">
        <v>9102</v>
      </c>
      <c r="D2694" s="1"/>
      <c r="E2694" s="1" t="str">
        <f t="shared" ref="E2694:E2704" si="183">HYPERLINK("https://www.kegg.jp/dbget-bin/www_bget?ec:" &amp; C2694, "https://www.kegg.jp/dbget-bin/www_bget?ec:" &amp; C2694)</f>
        <v>https://www.kegg.jp/dbget-bin/www_bget?ec:3.6.1.9</v>
      </c>
      <c r="F2694" s="1" t="s">
        <v>10123</v>
      </c>
      <c r="G2694" s="10" t="s">
        <v>11038</v>
      </c>
      <c r="H2694" s="13" t="s">
        <v>11039</v>
      </c>
    </row>
    <row r="2695" spans="1:8">
      <c r="A2695" t="s">
        <v>4920</v>
      </c>
      <c r="B2695" t="s">
        <v>4921</v>
      </c>
      <c r="C2695" s="1" t="s">
        <v>9102</v>
      </c>
      <c r="D2695" s="1"/>
      <c r="E2695" s="1" t="str">
        <f t="shared" si="183"/>
        <v>https://www.kegg.jp/dbget-bin/www_bget?ec:3.6.1.9</v>
      </c>
      <c r="F2695" s="1" t="s">
        <v>10123</v>
      </c>
      <c r="G2695" s="10" t="s">
        <v>11040</v>
      </c>
      <c r="H2695" s="13" t="s">
        <v>11041</v>
      </c>
    </row>
    <row r="2696" spans="1:8">
      <c r="A2696" t="s">
        <v>4920</v>
      </c>
      <c r="B2696" t="s">
        <v>4921</v>
      </c>
      <c r="C2696" s="1" t="s">
        <v>9102</v>
      </c>
      <c r="D2696" s="1"/>
      <c r="E2696" s="1" t="str">
        <f t="shared" si="183"/>
        <v>https://www.kegg.jp/dbget-bin/www_bget?ec:3.6.1.9</v>
      </c>
      <c r="F2696" s="1" t="s">
        <v>10123</v>
      </c>
      <c r="G2696" s="10" t="s">
        <v>10757</v>
      </c>
      <c r="H2696" s="13" t="s">
        <v>11042</v>
      </c>
    </row>
    <row r="2697" spans="1:8">
      <c r="A2697" t="s">
        <v>4920</v>
      </c>
      <c r="B2697" t="s">
        <v>4921</v>
      </c>
      <c r="C2697" s="1" t="s">
        <v>9102</v>
      </c>
      <c r="D2697" s="1"/>
      <c r="E2697" s="1" t="str">
        <f t="shared" si="183"/>
        <v>https://www.kegg.jp/dbget-bin/www_bget?ec:3.6.1.9</v>
      </c>
      <c r="F2697" s="1" t="s">
        <v>10123</v>
      </c>
      <c r="G2697" s="10" t="s">
        <v>11043</v>
      </c>
      <c r="H2697" s="13" t="s">
        <v>11044</v>
      </c>
    </row>
    <row r="2698" spans="1:8">
      <c r="A2698" t="s">
        <v>4920</v>
      </c>
      <c r="B2698" t="s">
        <v>4921</v>
      </c>
      <c r="C2698" s="1" t="s">
        <v>9102</v>
      </c>
      <c r="D2698" s="1"/>
      <c r="E2698" s="1" t="str">
        <f t="shared" si="183"/>
        <v>https://www.kegg.jp/dbget-bin/www_bget?ec:3.6.1.9</v>
      </c>
      <c r="F2698" s="1" t="s">
        <v>10123</v>
      </c>
      <c r="G2698" s="10" t="s">
        <v>11045</v>
      </c>
      <c r="H2698" s="13" t="s">
        <v>11046</v>
      </c>
    </row>
    <row r="2699" spans="1:8">
      <c r="A2699" t="s">
        <v>4920</v>
      </c>
      <c r="B2699" t="s">
        <v>4921</v>
      </c>
      <c r="C2699" s="1" t="s">
        <v>9102</v>
      </c>
      <c r="D2699" s="1"/>
      <c r="E2699" s="1" t="str">
        <f t="shared" si="183"/>
        <v>https://www.kegg.jp/dbget-bin/www_bget?ec:3.6.1.9</v>
      </c>
      <c r="F2699" s="1" t="s">
        <v>10123</v>
      </c>
      <c r="G2699" s="10" t="s">
        <v>11047</v>
      </c>
      <c r="H2699" s="13" t="s">
        <v>11048</v>
      </c>
    </row>
    <row r="2700" spans="1:8">
      <c r="A2700" t="s">
        <v>4920</v>
      </c>
      <c r="B2700" t="s">
        <v>4921</v>
      </c>
      <c r="C2700" s="1" t="s">
        <v>9102</v>
      </c>
      <c r="D2700" s="1"/>
      <c r="E2700" s="1" t="str">
        <f t="shared" si="183"/>
        <v>https://www.kegg.jp/dbget-bin/www_bget?ec:3.6.1.9</v>
      </c>
      <c r="F2700" s="1" t="s">
        <v>10123</v>
      </c>
      <c r="G2700" s="10" t="s">
        <v>11049</v>
      </c>
      <c r="H2700" s="13" t="s">
        <v>11050</v>
      </c>
    </row>
    <row r="2701" spans="1:8">
      <c r="A2701" t="s">
        <v>4920</v>
      </c>
      <c r="B2701" t="s">
        <v>4921</v>
      </c>
      <c r="C2701" s="1" t="s">
        <v>9102</v>
      </c>
      <c r="D2701" s="1"/>
      <c r="E2701" s="1" t="str">
        <f t="shared" si="183"/>
        <v>https://www.kegg.jp/dbget-bin/www_bget?ec:3.6.1.9</v>
      </c>
      <c r="F2701" s="1" t="s">
        <v>10123</v>
      </c>
      <c r="G2701" s="10" t="s">
        <v>11051</v>
      </c>
      <c r="H2701" s="13" t="s">
        <v>11052</v>
      </c>
    </row>
    <row r="2702" spans="1:8">
      <c r="A2702" t="s">
        <v>4920</v>
      </c>
      <c r="B2702" t="s">
        <v>4921</v>
      </c>
      <c r="C2702" s="1" t="s">
        <v>9102</v>
      </c>
      <c r="D2702" s="1"/>
      <c r="E2702" s="1" t="str">
        <f t="shared" si="183"/>
        <v>https://www.kegg.jp/dbget-bin/www_bget?ec:3.6.1.9</v>
      </c>
      <c r="F2702" s="1" t="s">
        <v>10123</v>
      </c>
      <c r="G2702" s="10" t="s">
        <v>11053</v>
      </c>
      <c r="H2702" s="13" t="s">
        <v>11054</v>
      </c>
    </row>
    <row r="2703" spans="1:8">
      <c r="A2703" t="s">
        <v>4920</v>
      </c>
      <c r="B2703" t="s">
        <v>4921</v>
      </c>
      <c r="C2703" s="1" t="s">
        <v>9102</v>
      </c>
      <c r="D2703" s="1"/>
      <c r="E2703" s="1" t="str">
        <f t="shared" si="183"/>
        <v>https://www.kegg.jp/dbget-bin/www_bget?ec:3.6.1.9</v>
      </c>
      <c r="F2703" s="1" t="s">
        <v>10123</v>
      </c>
      <c r="G2703" s="10" t="s">
        <v>11055</v>
      </c>
      <c r="H2703" s="13" t="s">
        <v>11056</v>
      </c>
    </row>
    <row r="2704" spans="1:8">
      <c r="A2704" t="s">
        <v>4920</v>
      </c>
      <c r="B2704" t="s">
        <v>4921</v>
      </c>
      <c r="C2704" s="1" t="s">
        <v>9102</v>
      </c>
      <c r="D2704" s="1"/>
      <c r="E2704" s="1" t="str">
        <f t="shared" si="183"/>
        <v>https://www.kegg.jp/dbget-bin/www_bget?ec:3.6.1.9</v>
      </c>
      <c r="F2704" s="1" t="s">
        <v>10123</v>
      </c>
      <c r="G2704" s="10" t="s">
        <v>11057</v>
      </c>
      <c r="H2704" s="13" t="s">
        <v>11058</v>
      </c>
    </row>
    <row r="2705" spans="1:8">
      <c r="A2705" t="s">
        <v>4922</v>
      </c>
      <c r="B2705" t="s">
        <v>4923</v>
      </c>
      <c r="E2705" s="1"/>
    </row>
    <row r="2706" spans="1:8">
      <c r="A2706" t="s">
        <v>4924</v>
      </c>
      <c r="B2706" t="s">
        <v>4925</v>
      </c>
      <c r="E2706" s="1"/>
    </row>
    <row r="2707" spans="1:8">
      <c r="A2707" t="s">
        <v>4926</v>
      </c>
      <c r="B2707" t="s">
        <v>4927</v>
      </c>
      <c r="C2707" s="1" t="s">
        <v>9103</v>
      </c>
      <c r="D2707" s="1"/>
      <c r="E2707" s="1" t="str">
        <f>HYPERLINK("https://www.kegg.jp/dbget-bin/www_bget?ec:" &amp; C2707, "https://www.kegg.jp/dbget-bin/www_bget?ec:" &amp; C2707)</f>
        <v>https://www.kegg.jp/dbget-bin/www_bget?ec:6.1.1.9</v>
      </c>
      <c r="F2707" s="1" t="s">
        <v>10145</v>
      </c>
      <c r="G2707" s="10" t="s">
        <v>11059</v>
      </c>
      <c r="H2707" s="13" t="s">
        <v>11060</v>
      </c>
    </row>
    <row r="2708" spans="1:8">
      <c r="A2708" t="s">
        <v>4928</v>
      </c>
      <c r="B2708" t="s">
        <v>4929</v>
      </c>
      <c r="E2708" s="1"/>
    </row>
    <row r="2709" spans="1:8">
      <c r="B2709" t="s">
        <v>4930</v>
      </c>
      <c r="C2709" s="1" t="s">
        <v>9104</v>
      </c>
      <c r="D2709" s="1"/>
      <c r="E2709" s="1" t="str">
        <f>HYPERLINK("https://www.kegg.jp/dbget-bin/www_bget?ec:" &amp; C2709, "https://www.kegg.jp/dbget-bin/www_bget?ec:" &amp; C2709)</f>
        <v>https://www.kegg.jp/dbget-bin/www_bget?ec:1.4.1.4</v>
      </c>
      <c r="F2709" s="1" t="s">
        <v>10148</v>
      </c>
      <c r="G2709" s="10" t="s">
        <v>11061</v>
      </c>
      <c r="H2709" s="13" t="s">
        <v>11062</v>
      </c>
    </row>
    <row r="2710" spans="1:8">
      <c r="B2710" t="s">
        <v>4930</v>
      </c>
      <c r="C2710" s="1" t="s">
        <v>9104</v>
      </c>
      <c r="D2710" s="1"/>
      <c r="E2710" s="1" t="str">
        <f>HYPERLINK("https://www.kegg.jp/dbget-bin/www_bget?ec:" &amp; C2710, "https://www.kegg.jp/dbget-bin/www_bget?ec:" &amp; C2710)</f>
        <v>https://www.kegg.jp/dbget-bin/www_bget?ec:1.4.1.4</v>
      </c>
      <c r="F2710" s="1" t="s">
        <v>10148</v>
      </c>
      <c r="G2710" s="10" t="s">
        <v>11063</v>
      </c>
      <c r="H2710" s="13" t="s">
        <v>11064</v>
      </c>
    </row>
    <row r="2711" spans="1:8">
      <c r="B2711" t="s">
        <v>4930</v>
      </c>
      <c r="C2711" s="1" t="s">
        <v>9104</v>
      </c>
      <c r="D2711" s="1"/>
      <c r="E2711" s="1" t="str">
        <f>HYPERLINK("https://www.kegg.jp/dbget-bin/www_bget?ec:" &amp; C2711, "https://www.kegg.jp/dbget-bin/www_bget?ec:" &amp; C2711)</f>
        <v>https://www.kegg.jp/dbget-bin/www_bget?ec:1.4.1.4</v>
      </c>
      <c r="F2711" s="1" t="s">
        <v>10148</v>
      </c>
      <c r="G2711" s="10" t="s">
        <v>11065</v>
      </c>
      <c r="H2711" s="13" t="s">
        <v>11066</v>
      </c>
    </row>
    <row r="2712" spans="1:8">
      <c r="A2712" t="s">
        <v>4931</v>
      </c>
      <c r="B2712" t="s">
        <v>4932</v>
      </c>
      <c r="E2712" s="1"/>
    </row>
    <row r="2713" spans="1:8">
      <c r="A2713" t="s">
        <v>4933</v>
      </c>
      <c r="B2713" t="s">
        <v>4934</v>
      </c>
      <c r="E2713" s="1"/>
    </row>
    <row r="2714" spans="1:8">
      <c r="A2714" t="s">
        <v>4935</v>
      </c>
      <c r="B2714" t="s">
        <v>4936</v>
      </c>
      <c r="E2714" s="1"/>
    </row>
    <row r="2715" spans="1:8">
      <c r="A2715" t="s">
        <v>4937</v>
      </c>
      <c r="B2715" t="s">
        <v>4938</v>
      </c>
      <c r="E2715" s="1"/>
    </row>
    <row r="2716" spans="1:8">
      <c r="B2716" t="s">
        <v>4939</v>
      </c>
      <c r="E2716" s="1"/>
    </row>
    <row r="2717" spans="1:8">
      <c r="A2717" t="s">
        <v>4940</v>
      </c>
      <c r="B2717" t="s">
        <v>4941</v>
      </c>
      <c r="E2717" s="1"/>
    </row>
    <row r="2718" spans="1:8">
      <c r="B2718" t="s">
        <v>4942</v>
      </c>
      <c r="E2718" s="1"/>
    </row>
    <row r="2719" spans="1:8">
      <c r="A2719" t="s">
        <v>4943</v>
      </c>
      <c r="B2719" t="s">
        <v>4944</v>
      </c>
      <c r="E2719" s="1"/>
    </row>
    <row r="2720" spans="1:8">
      <c r="A2720" t="s">
        <v>4945</v>
      </c>
      <c r="B2720" t="s">
        <v>4946</v>
      </c>
      <c r="E2720" s="1"/>
    </row>
    <row r="2721" spans="1:8">
      <c r="A2721" t="s">
        <v>4947</v>
      </c>
      <c r="B2721" t="s">
        <v>4948</v>
      </c>
      <c r="E2721" s="1"/>
    </row>
    <row r="2722" spans="1:8">
      <c r="A2722" t="s">
        <v>4949</v>
      </c>
      <c r="B2722" t="s">
        <v>4950</v>
      </c>
      <c r="E2722" s="1"/>
    </row>
    <row r="2723" spans="1:8">
      <c r="B2723" t="s">
        <v>4951</v>
      </c>
      <c r="E2723" s="1"/>
    </row>
    <row r="2724" spans="1:8">
      <c r="A2724" t="s">
        <v>4952</v>
      </c>
      <c r="B2724" t="s">
        <v>4953</v>
      </c>
      <c r="E2724" s="1"/>
    </row>
    <row r="2725" spans="1:8">
      <c r="A2725" t="s">
        <v>4954</v>
      </c>
      <c r="B2725" t="s">
        <v>4955</v>
      </c>
      <c r="E2725" s="1"/>
    </row>
    <row r="2726" spans="1:8">
      <c r="A2726" t="s">
        <v>4956</v>
      </c>
      <c r="B2726" t="s">
        <v>4957</v>
      </c>
      <c r="E2726" s="1"/>
    </row>
    <row r="2727" spans="1:8">
      <c r="A2727" t="s">
        <v>4958</v>
      </c>
      <c r="B2727" t="s">
        <v>4959</v>
      </c>
      <c r="E2727" s="1"/>
    </row>
    <row r="2728" spans="1:8">
      <c r="B2728" t="s">
        <v>4960</v>
      </c>
      <c r="E2728" s="1"/>
    </row>
    <row r="2729" spans="1:8">
      <c r="A2729" t="s">
        <v>4961</v>
      </c>
      <c r="B2729" t="s">
        <v>4962</v>
      </c>
      <c r="E2729" s="1"/>
    </row>
    <row r="2730" spans="1:8">
      <c r="A2730" t="s">
        <v>4963</v>
      </c>
      <c r="B2730" t="s">
        <v>4964</v>
      </c>
      <c r="C2730" s="1" t="s">
        <v>9105</v>
      </c>
      <c r="D2730" s="1" t="s">
        <v>10154</v>
      </c>
      <c r="E2730" s="1" t="str">
        <f>HYPERLINK("https://www.kegg.jp/dbget-bin/www_bget?ec:" &amp; C2730, "https://www.kegg.jp/dbget-bin/www_bget?ec:" &amp; C2730)</f>
        <v>https://www.kegg.jp/dbget-bin/www_bget?ec:3.1.22.4</v>
      </c>
      <c r="F2730" t="s">
        <v>9650</v>
      </c>
    </row>
    <row r="2731" spans="1:8">
      <c r="A2731" t="s">
        <v>4965</v>
      </c>
      <c r="B2731" t="s">
        <v>4966</v>
      </c>
      <c r="C2731" s="1" t="s">
        <v>9104</v>
      </c>
      <c r="D2731" s="1"/>
      <c r="E2731" s="1" t="str">
        <f>HYPERLINK("https://www.kegg.jp/dbget-bin/www_bget?ec:" &amp; C2731, "https://www.kegg.jp/dbget-bin/www_bget?ec:" &amp; C2731)</f>
        <v>https://www.kegg.jp/dbget-bin/www_bget?ec:1.4.1.4</v>
      </c>
      <c r="F2731" s="1" t="s">
        <v>10148</v>
      </c>
      <c r="G2731" s="10" t="s">
        <v>11061</v>
      </c>
      <c r="H2731" s="13" t="s">
        <v>11062</v>
      </c>
    </row>
    <row r="2732" spans="1:8">
      <c r="A2732" t="s">
        <v>4965</v>
      </c>
      <c r="B2732" t="s">
        <v>4966</v>
      </c>
      <c r="C2732" s="1" t="s">
        <v>9104</v>
      </c>
      <c r="D2732" s="1"/>
      <c r="E2732" s="1" t="str">
        <f>HYPERLINK("https://www.kegg.jp/dbget-bin/www_bget?ec:" &amp; C2732, "https://www.kegg.jp/dbget-bin/www_bget?ec:" &amp; C2732)</f>
        <v>https://www.kegg.jp/dbget-bin/www_bget?ec:1.4.1.4</v>
      </c>
      <c r="F2732" s="1" t="s">
        <v>10148</v>
      </c>
      <c r="G2732" s="10" t="s">
        <v>11063</v>
      </c>
      <c r="H2732" s="13" t="s">
        <v>11064</v>
      </c>
    </row>
    <row r="2733" spans="1:8">
      <c r="A2733" t="s">
        <v>4965</v>
      </c>
      <c r="B2733" t="s">
        <v>4966</v>
      </c>
      <c r="C2733" s="1" t="s">
        <v>9104</v>
      </c>
      <c r="D2733" s="1"/>
      <c r="E2733" s="1" t="str">
        <f>HYPERLINK("https://www.kegg.jp/dbget-bin/www_bget?ec:" &amp; C2733, "https://www.kegg.jp/dbget-bin/www_bget?ec:" &amp; C2733)</f>
        <v>https://www.kegg.jp/dbget-bin/www_bget?ec:1.4.1.4</v>
      </c>
      <c r="F2733" s="1" t="s">
        <v>10148</v>
      </c>
      <c r="G2733" s="10" t="s">
        <v>11065</v>
      </c>
      <c r="H2733" s="13" t="s">
        <v>11066</v>
      </c>
    </row>
    <row r="2734" spans="1:8">
      <c r="A2734" t="s">
        <v>4967</v>
      </c>
      <c r="B2734" t="s">
        <v>4968</v>
      </c>
      <c r="C2734" s="1"/>
      <c r="D2734" s="1"/>
      <c r="E2734" s="1"/>
    </row>
    <row r="2735" spans="1:8">
      <c r="A2735" t="s">
        <v>4969</v>
      </c>
      <c r="B2735" t="s">
        <v>4970</v>
      </c>
      <c r="E2735" s="1"/>
    </row>
    <row r="2736" spans="1:8">
      <c r="A2736" t="s">
        <v>4971</v>
      </c>
      <c r="B2736" t="s">
        <v>4972</v>
      </c>
      <c r="E2736" s="1"/>
    </row>
    <row r="2737" spans="1:5">
      <c r="A2737" t="s">
        <v>4973</v>
      </c>
      <c r="B2737" t="s">
        <v>4974</v>
      </c>
      <c r="E2737" s="1"/>
    </row>
    <row r="2738" spans="1:5">
      <c r="A2738" t="s">
        <v>4975</v>
      </c>
      <c r="B2738" t="s">
        <v>4976</v>
      </c>
      <c r="E2738" s="1"/>
    </row>
    <row r="2739" spans="1:5">
      <c r="A2739" t="s">
        <v>4977</v>
      </c>
      <c r="B2739" t="s">
        <v>4978</v>
      </c>
      <c r="E2739" s="1"/>
    </row>
    <row r="2740" spans="1:5">
      <c r="A2740" t="s">
        <v>4979</v>
      </c>
      <c r="B2740" t="s">
        <v>4980</v>
      </c>
      <c r="E2740" s="1"/>
    </row>
    <row r="2741" spans="1:5">
      <c r="A2741" t="s">
        <v>4981</v>
      </c>
      <c r="B2741" t="s">
        <v>4982</v>
      </c>
      <c r="E2741" s="1"/>
    </row>
    <row r="2742" spans="1:5">
      <c r="B2742" t="s">
        <v>4983</v>
      </c>
      <c r="E2742" s="1"/>
    </row>
    <row r="2743" spans="1:5">
      <c r="A2743" t="s">
        <v>4984</v>
      </c>
      <c r="B2743" t="s">
        <v>4985</v>
      </c>
      <c r="E2743" s="1"/>
    </row>
    <row r="2744" spans="1:5">
      <c r="A2744" t="s">
        <v>4986</v>
      </c>
      <c r="B2744" t="s">
        <v>4987</v>
      </c>
      <c r="E2744" s="1"/>
    </row>
    <row r="2745" spans="1:5">
      <c r="A2745" t="s">
        <v>4988</v>
      </c>
      <c r="B2745" t="s">
        <v>4989</v>
      </c>
      <c r="C2745" s="1"/>
      <c r="D2745" s="1"/>
      <c r="E2745" s="1"/>
    </row>
    <row r="2746" spans="1:5">
      <c r="A2746" t="s">
        <v>4990</v>
      </c>
      <c r="B2746" t="s">
        <v>4991</v>
      </c>
      <c r="E2746" s="1"/>
    </row>
    <row r="2747" spans="1:5">
      <c r="A2747" t="s">
        <v>4992</v>
      </c>
      <c r="B2747" t="s">
        <v>4993</v>
      </c>
      <c r="E2747" s="1"/>
    </row>
    <row r="2748" spans="1:5">
      <c r="A2748" t="s">
        <v>4994</v>
      </c>
      <c r="B2748" t="s">
        <v>4995</v>
      </c>
      <c r="E2748" s="1"/>
    </row>
    <row r="2749" spans="1:5">
      <c r="A2749" t="s">
        <v>4996</v>
      </c>
      <c r="B2749" t="s">
        <v>4997</v>
      </c>
      <c r="E2749" s="1"/>
    </row>
    <row r="2750" spans="1:5">
      <c r="A2750" t="s">
        <v>4998</v>
      </c>
      <c r="B2750" t="s">
        <v>4999</v>
      </c>
      <c r="E2750" s="1"/>
    </row>
    <row r="2751" spans="1:5">
      <c r="A2751" t="s">
        <v>5000</v>
      </c>
      <c r="B2751" t="s">
        <v>5001</v>
      </c>
      <c r="E2751" s="1"/>
    </row>
    <row r="2752" spans="1:5">
      <c r="A2752" t="s">
        <v>5002</v>
      </c>
      <c r="B2752" t="s">
        <v>5003</v>
      </c>
      <c r="E2752" s="1"/>
    </row>
    <row r="2753" spans="1:5">
      <c r="A2753" t="s">
        <v>5004</v>
      </c>
      <c r="B2753" t="s">
        <v>5005</v>
      </c>
      <c r="E2753" s="1"/>
    </row>
    <row r="2754" spans="1:5">
      <c r="A2754" t="s">
        <v>5006</v>
      </c>
      <c r="B2754" t="s">
        <v>5007</v>
      </c>
      <c r="E2754" s="1"/>
    </row>
    <row r="2755" spans="1:5">
      <c r="A2755" t="s">
        <v>5008</v>
      </c>
      <c r="B2755" t="s">
        <v>5009</v>
      </c>
      <c r="E2755" s="1"/>
    </row>
    <row r="2756" spans="1:5">
      <c r="A2756" t="s">
        <v>5010</v>
      </c>
      <c r="B2756" t="s">
        <v>5011</v>
      </c>
      <c r="E2756" s="1"/>
    </row>
    <row r="2757" spans="1:5">
      <c r="A2757" t="s">
        <v>5012</v>
      </c>
      <c r="B2757" t="s">
        <v>5013</v>
      </c>
      <c r="E2757" s="1"/>
    </row>
    <row r="2758" spans="1:5">
      <c r="A2758" t="s">
        <v>5014</v>
      </c>
      <c r="B2758" t="s">
        <v>5015</v>
      </c>
      <c r="E2758" s="1"/>
    </row>
    <row r="2759" spans="1:5">
      <c r="A2759" t="s">
        <v>5016</v>
      </c>
      <c r="B2759" t="s">
        <v>5017</v>
      </c>
      <c r="E2759" s="1"/>
    </row>
    <row r="2760" spans="1:5">
      <c r="A2760" t="s">
        <v>5018</v>
      </c>
      <c r="B2760" t="s">
        <v>5019</v>
      </c>
      <c r="E2760" s="1"/>
    </row>
    <row r="2761" spans="1:5">
      <c r="A2761" t="s">
        <v>5020</v>
      </c>
      <c r="B2761" t="s">
        <v>5021</v>
      </c>
      <c r="E2761" s="1"/>
    </row>
    <row r="2762" spans="1:5">
      <c r="A2762" t="s">
        <v>5022</v>
      </c>
      <c r="B2762" t="s">
        <v>5023</v>
      </c>
      <c r="E2762" s="1"/>
    </row>
    <row r="2763" spans="1:5">
      <c r="A2763" t="s">
        <v>5024</v>
      </c>
      <c r="B2763" t="s">
        <v>5025</v>
      </c>
      <c r="C2763" s="1"/>
      <c r="D2763" s="1"/>
      <c r="E2763" s="1"/>
    </row>
    <row r="2764" spans="1:5">
      <c r="A2764" t="s">
        <v>5026</v>
      </c>
      <c r="B2764" t="s">
        <v>5027</v>
      </c>
      <c r="E2764" s="1"/>
    </row>
    <row r="2765" spans="1:5">
      <c r="A2765" t="s">
        <v>5028</v>
      </c>
      <c r="B2765" t="s">
        <v>5029</v>
      </c>
      <c r="E2765" s="1"/>
    </row>
    <row r="2766" spans="1:5">
      <c r="A2766" t="s">
        <v>5030</v>
      </c>
      <c r="B2766" t="s">
        <v>5031</v>
      </c>
      <c r="E2766" s="1"/>
    </row>
    <row r="2767" spans="1:5">
      <c r="A2767" t="s">
        <v>5032</v>
      </c>
      <c r="B2767" t="s">
        <v>5033</v>
      </c>
      <c r="E2767" s="1"/>
    </row>
    <row r="2768" spans="1:5">
      <c r="A2768" t="s">
        <v>5034</v>
      </c>
      <c r="B2768" t="s">
        <v>5035</v>
      </c>
      <c r="E2768" s="1"/>
    </row>
    <row r="2769" spans="1:5">
      <c r="A2769" t="s">
        <v>5036</v>
      </c>
      <c r="B2769" t="s">
        <v>5037</v>
      </c>
      <c r="E2769" s="1"/>
    </row>
    <row r="2770" spans="1:5">
      <c r="A2770" t="s">
        <v>5038</v>
      </c>
      <c r="B2770" t="s">
        <v>5039</v>
      </c>
      <c r="E2770" s="1"/>
    </row>
    <row r="2771" spans="1:5">
      <c r="A2771" t="s">
        <v>5040</v>
      </c>
      <c r="B2771" t="s">
        <v>5041</v>
      </c>
      <c r="E2771" s="1"/>
    </row>
    <row r="2772" spans="1:5">
      <c r="A2772" t="s">
        <v>5042</v>
      </c>
      <c r="B2772" t="s">
        <v>5043</v>
      </c>
      <c r="E2772" s="1"/>
    </row>
    <row r="2773" spans="1:5">
      <c r="A2773" t="s">
        <v>5044</v>
      </c>
      <c r="B2773" t="s">
        <v>5045</v>
      </c>
      <c r="E2773" s="1"/>
    </row>
    <row r="2774" spans="1:5">
      <c r="A2774" t="s">
        <v>5046</v>
      </c>
      <c r="B2774" t="s">
        <v>5047</v>
      </c>
      <c r="E2774" s="1"/>
    </row>
    <row r="2775" spans="1:5">
      <c r="B2775" t="s">
        <v>5048</v>
      </c>
      <c r="E2775" s="1"/>
    </row>
    <row r="2776" spans="1:5">
      <c r="A2776" t="s">
        <v>5049</v>
      </c>
      <c r="B2776" t="s">
        <v>5050</v>
      </c>
      <c r="E2776" s="1"/>
    </row>
    <row r="2777" spans="1:5">
      <c r="A2777" t="s">
        <v>5051</v>
      </c>
      <c r="B2777" t="s">
        <v>5052</v>
      </c>
      <c r="E2777" s="1"/>
    </row>
    <row r="2778" spans="1:5">
      <c r="A2778" t="s">
        <v>5053</v>
      </c>
      <c r="B2778" t="s">
        <v>5054</v>
      </c>
      <c r="E2778" s="1"/>
    </row>
    <row r="2779" spans="1:5">
      <c r="A2779" t="s">
        <v>5055</v>
      </c>
      <c r="B2779" t="s">
        <v>5056</v>
      </c>
      <c r="E2779" s="1"/>
    </row>
    <row r="2780" spans="1:5">
      <c r="B2780" t="s">
        <v>5057</v>
      </c>
      <c r="E2780" s="1"/>
    </row>
    <row r="2781" spans="1:5">
      <c r="B2781" t="s">
        <v>5058</v>
      </c>
      <c r="E2781" s="1"/>
    </row>
    <row r="2782" spans="1:5">
      <c r="A2782" t="s">
        <v>5059</v>
      </c>
      <c r="B2782" t="s">
        <v>5060</v>
      </c>
      <c r="E2782" s="1"/>
    </row>
    <row r="2783" spans="1:5">
      <c r="A2783" t="s">
        <v>5061</v>
      </c>
      <c r="B2783" t="s">
        <v>5062</v>
      </c>
      <c r="E2783" s="1"/>
    </row>
    <row r="2784" spans="1:5">
      <c r="A2784" t="s">
        <v>5063</v>
      </c>
      <c r="B2784" t="s">
        <v>5064</v>
      </c>
      <c r="E2784" s="1"/>
    </row>
    <row r="2785" spans="1:5">
      <c r="A2785" t="s">
        <v>5065</v>
      </c>
      <c r="B2785" t="s">
        <v>5066</v>
      </c>
      <c r="E2785" s="1"/>
    </row>
    <row r="2786" spans="1:5">
      <c r="A2786" t="s">
        <v>5067</v>
      </c>
      <c r="B2786" t="s">
        <v>5068</v>
      </c>
      <c r="E2786" s="1"/>
    </row>
    <row r="2787" spans="1:5">
      <c r="A2787" t="s">
        <v>5069</v>
      </c>
      <c r="B2787" t="s">
        <v>5070</v>
      </c>
      <c r="E2787" s="1"/>
    </row>
    <row r="2788" spans="1:5">
      <c r="A2788" t="s">
        <v>5071</v>
      </c>
      <c r="B2788" t="s">
        <v>5072</v>
      </c>
      <c r="E2788" s="1"/>
    </row>
    <row r="2789" spans="1:5">
      <c r="A2789" t="s">
        <v>5073</v>
      </c>
      <c r="B2789" t="s">
        <v>5074</v>
      </c>
      <c r="E2789" s="1"/>
    </row>
    <row r="2790" spans="1:5">
      <c r="A2790" t="s">
        <v>5075</v>
      </c>
      <c r="B2790" t="s">
        <v>5076</v>
      </c>
      <c r="E2790" s="1"/>
    </row>
    <row r="2791" spans="1:5">
      <c r="A2791" t="s">
        <v>5077</v>
      </c>
      <c r="B2791" t="s">
        <v>5078</v>
      </c>
      <c r="E2791" s="1"/>
    </row>
    <row r="2792" spans="1:5">
      <c r="B2792" t="s">
        <v>5079</v>
      </c>
      <c r="E2792" s="1"/>
    </row>
    <row r="2793" spans="1:5">
      <c r="A2793" t="s">
        <v>5080</v>
      </c>
      <c r="B2793" t="s">
        <v>5081</v>
      </c>
      <c r="E2793" s="1"/>
    </row>
    <row r="2794" spans="1:5">
      <c r="A2794" t="s">
        <v>5082</v>
      </c>
      <c r="B2794" t="s">
        <v>5083</v>
      </c>
      <c r="E2794" s="1"/>
    </row>
    <row r="2795" spans="1:5">
      <c r="A2795" t="s">
        <v>5084</v>
      </c>
      <c r="B2795" t="s">
        <v>5085</v>
      </c>
      <c r="E2795" s="1"/>
    </row>
    <row r="2796" spans="1:5">
      <c r="A2796" t="s">
        <v>5086</v>
      </c>
      <c r="B2796" t="s">
        <v>5087</v>
      </c>
      <c r="E2796" s="1"/>
    </row>
    <row r="2797" spans="1:5">
      <c r="A2797" t="s">
        <v>5088</v>
      </c>
      <c r="B2797" t="s">
        <v>5089</v>
      </c>
      <c r="E2797" s="1"/>
    </row>
    <row r="2798" spans="1:5">
      <c r="A2798" t="s">
        <v>5090</v>
      </c>
      <c r="B2798" t="s">
        <v>5091</v>
      </c>
      <c r="E2798" s="1"/>
    </row>
    <row r="2799" spans="1:5">
      <c r="A2799" t="s">
        <v>5092</v>
      </c>
      <c r="B2799" t="s">
        <v>5093</v>
      </c>
      <c r="E2799" s="1"/>
    </row>
    <row r="2800" spans="1:5">
      <c r="A2800" t="s">
        <v>5094</v>
      </c>
      <c r="B2800" t="s">
        <v>5095</v>
      </c>
      <c r="E2800" s="1"/>
    </row>
    <row r="2801" spans="1:5">
      <c r="A2801" t="s">
        <v>5096</v>
      </c>
      <c r="B2801" t="s">
        <v>5097</v>
      </c>
      <c r="C2801" s="1"/>
      <c r="D2801" s="1"/>
      <c r="E2801" s="1"/>
    </row>
    <row r="2802" spans="1:5">
      <c r="A2802" t="s">
        <v>5098</v>
      </c>
      <c r="B2802" t="s">
        <v>5099</v>
      </c>
      <c r="C2802" s="1"/>
      <c r="D2802" s="1"/>
      <c r="E2802" s="1"/>
    </row>
    <row r="2803" spans="1:5">
      <c r="A2803" t="s">
        <v>5100</v>
      </c>
      <c r="B2803" t="s">
        <v>5101</v>
      </c>
      <c r="E2803" s="1"/>
    </row>
    <row r="2804" spans="1:5">
      <c r="A2804" t="s">
        <v>5102</v>
      </c>
      <c r="B2804" t="s">
        <v>5103</v>
      </c>
      <c r="E2804" s="1"/>
    </row>
    <row r="2805" spans="1:5">
      <c r="A2805" t="s">
        <v>5104</v>
      </c>
      <c r="B2805" t="s">
        <v>5105</v>
      </c>
      <c r="E2805" s="1"/>
    </row>
    <row r="2806" spans="1:5">
      <c r="A2806" t="s">
        <v>5106</v>
      </c>
      <c r="B2806" t="s">
        <v>5107</v>
      </c>
      <c r="E2806" s="1"/>
    </row>
    <row r="2807" spans="1:5">
      <c r="A2807" t="s">
        <v>5108</v>
      </c>
      <c r="B2807" t="s">
        <v>5109</v>
      </c>
      <c r="E2807" s="1"/>
    </row>
    <row r="2808" spans="1:5">
      <c r="A2808" t="s">
        <v>5110</v>
      </c>
      <c r="B2808" t="s">
        <v>5111</v>
      </c>
      <c r="E2808" s="1"/>
    </row>
    <row r="2809" spans="1:5">
      <c r="A2809" t="s">
        <v>5112</v>
      </c>
      <c r="B2809" t="s">
        <v>5113</v>
      </c>
      <c r="E2809" s="1"/>
    </row>
    <row r="2810" spans="1:5">
      <c r="A2810" t="s">
        <v>5114</v>
      </c>
      <c r="B2810" t="s">
        <v>5115</v>
      </c>
      <c r="E2810" s="1"/>
    </row>
    <row r="2811" spans="1:5">
      <c r="A2811" t="s">
        <v>5116</v>
      </c>
      <c r="B2811" t="s">
        <v>5117</v>
      </c>
      <c r="E2811" s="1"/>
    </row>
    <row r="2812" spans="1:5">
      <c r="A2812" t="s">
        <v>5118</v>
      </c>
      <c r="B2812" t="s">
        <v>5119</v>
      </c>
      <c r="E2812" s="1"/>
    </row>
    <row r="2813" spans="1:5">
      <c r="A2813" t="s">
        <v>5120</v>
      </c>
      <c r="B2813" t="s">
        <v>5121</v>
      </c>
      <c r="E2813" s="1"/>
    </row>
    <row r="2814" spans="1:5">
      <c r="A2814" t="s">
        <v>5122</v>
      </c>
      <c r="B2814" t="s">
        <v>5123</v>
      </c>
      <c r="E2814" s="1"/>
    </row>
    <row r="2815" spans="1:5">
      <c r="A2815" t="s">
        <v>5124</v>
      </c>
      <c r="B2815" t="s">
        <v>5125</v>
      </c>
      <c r="C2815" s="1"/>
      <c r="D2815" s="1"/>
      <c r="E2815" s="1"/>
    </row>
    <row r="2816" spans="1:5">
      <c r="A2816" t="s">
        <v>5126</v>
      </c>
      <c r="B2816" t="s">
        <v>5127</v>
      </c>
      <c r="E2816" s="1"/>
    </row>
    <row r="2817" spans="1:5">
      <c r="B2817" t="s">
        <v>5128</v>
      </c>
      <c r="E2817" s="1"/>
    </row>
    <row r="2818" spans="1:5">
      <c r="B2818" t="s">
        <v>5129</v>
      </c>
      <c r="E2818" s="1"/>
    </row>
    <row r="2819" spans="1:5">
      <c r="A2819" t="s">
        <v>5130</v>
      </c>
      <c r="B2819" t="s">
        <v>5131</v>
      </c>
      <c r="E2819" s="1"/>
    </row>
    <row r="2820" spans="1:5">
      <c r="A2820" t="s">
        <v>5132</v>
      </c>
      <c r="B2820" t="s">
        <v>5133</v>
      </c>
      <c r="E2820" s="1"/>
    </row>
    <row r="2821" spans="1:5">
      <c r="A2821" t="s">
        <v>5134</v>
      </c>
      <c r="B2821" t="s">
        <v>5135</v>
      </c>
      <c r="E2821" s="1"/>
    </row>
    <row r="2822" spans="1:5">
      <c r="A2822" t="s">
        <v>5136</v>
      </c>
      <c r="B2822" t="s">
        <v>5137</v>
      </c>
      <c r="E2822" s="1"/>
    </row>
    <row r="2823" spans="1:5">
      <c r="A2823" t="s">
        <v>5138</v>
      </c>
      <c r="B2823" t="s">
        <v>5139</v>
      </c>
      <c r="E2823" s="1"/>
    </row>
    <row r="2824" spans="1:5">
      <c r="A2824" t="s">
        <v>5140</v>
      </c>
      <c r="B2824" t="s">
        <v>5141</v>
      </c>
      <c r="E2824" s="1"/>
    </row>
    <row r="2825" spans="1:5">
      <c r="A2825" t="s">
        <v>5142</v>
      </c>
      <c r="B2825" t="s">
        <v>5143</v>
      </c>
      <c r="E2825" s="1"/>
    </row>
    <row r="2826" spans="1:5">
      <c r="A2826" t="s">
        <v>5144</v>
      </c>
      <c r="B2826" t="s">
        <v>5145</v>
      </c>
      <c r="E2826" s="1"/>
    </row>
    <row r="2827" spans="1:5">
      <c r="A2827" t="s">
        <v>5146</v>
      </c>
      <c r="B2827" t="s">
        <v>5147</v>
      </c>
      <c r="E2827" s="1"/>
    </row>
    <row r="2828" spans="1:5">
      <c r="A2828" t="s">
        <v>5148</v>
      </c>
      <c r="B2828" t="s">
        <v>5149</v>
      </c>
      <c r="E2828" s="1"/>
    </row>
    <row r="2829" spans="1:5">
      <c r="A2829" t="s">
        <v>5150</v>
      </c>
      <c r="B2829" t="s">
        <v>5151</v>
      </c>
      <c r="E2829" s="1"/>
    </row>
    <row r="2830" spans="1:5">
      <c r="A2830" t="s">
        <v>5152</v>
      </c>
      <c r="B2830" t="s">
        <v>5153</v>
      </c>
      <c r="E2830" s="1"/>
    </row>
    <row r="2831" spans="1:5">
      <c r="A2831" t="s">
        <v>5154</v>
      </c>
      <c r="B2831" t="s">
        <v>5155</v>
      </c>
      <c r="E2831" s="1"/>
    </row>
    <row r="2832" spans="1:5">
      <c r="A2832" t="s">
        <v>5156</v>
      </c>
      <c r="B2832" t="s">
        <v>5157</v>
      </c>
      <c r="E2832" s="1"/>
    </row>
    <row r="2833" spans="1:5">
      <c r="A2833" t="s">
        <v>5158</v>
      </c>
      <c r="B2833" t="s">
        <v>5159</v>
      </c>
      <c r="E2833" s="1"/>
    </row>
    <row r="2834" spans="1:5">
      <c r="A2834" t="s">
        <v>5160</v>
      </c>
      <c r="B2834" t="s">
        <v>5161</v>
      </c>
      <c r="E2834" s="1"/>
    </row>
    <row r="2835" spans="1:5">
      <c r="A2835" t="s">
        <v>5162</v>
      </c>
      <c r="B2835" t="s">
        <v>5163</v>
      </c>
      <c r="E2835" s="1"/>
    </row>
    <row r="2836" spans="1:5">
      <c r="A2836" t="s">
        <v>5164</v>
      </c>
      <c r="B2836" t="s">
        <v>5165</v>
      </c>
      <c r="E2836" s="1"/>
    </row>
    <row r="2837" spans="1:5">
      <c r="A2837" t="s">
        <v>5166</v>
      </c>
      <c r="B2837" t="s">
        <v>5167</v>
      </c>
      <c r="E2837" s="1"/>
    </row>
    <row r="2838" spans="1:5">
      <c r="A2838" t="s">
        <v>5168</v>
      </c>
      <c r="B2838" t="s">
        <v>5169</v>
      </c>
      <c r="E2838" s="1"/>
    </row>
    <row r="2839" spans="1:5">
      <c r="A2839" t="s">
        <v>5170</v>
      </c>
      <c r="B2839" t="s">
        <v>5171</v>
      </c>
      <c r="E2839" s="1"/>
    </row>
    <row r="2840" spans="1:5">
      <c r="A2840" t="s">
        <v>5172</v>
      </c>
      <c r="B2840" t="s">
        <v>5173</v>
      </c>
      <c r="E2840" s="1"/>
    </row>
    <row r="2841" spans="1:5">
      <c r="A2841" t="s">
        <v>5174</v>
      </c>
      <c r="B2841" t="s">
        <v>5175</v>
      </c>
      <c r="E2841" s="1"/>
    </row>
    <row r="2842" spans="1:5">
      <c r="A2842" t="s">
        <v>5176</v>
      </c>
      <c r="B2842" t="s">
        <v>5177</v>
      </c>
      <c r="E2842" s="1"/>
    </row>
    <row r="2843" spans="1:5">
      <c r="A2843" t="s">
        <v>5178</v>
      </c>
      <c r="B2843" t="s">
        <v>5179</v>
      </c>
      <c r="E2843" s="1"/>
    </row>
    <row r="2844" spans="1:5">
      <c r="A2844" t="s">
        <v>5180</v>
      </c>
      <c r="B2844" t="s">
        <v>5181</v>
      </c>
      <c r="E2844" s="1"/>
    </row>
    <row r="2845" spans="1:5">
      <c r="A2845" t="s">
        <v>5182</v>
      </c>
      <c r="B2845" t="s">
        <v>5183</v>
      </c>
      <c r="E2845" s="1"/>
    </row>
    <row r="2846" spans="1:5">
      <c r="A2846" t="s">
        <v>5184</v>
      </c>
      <c r="B2846" t="s">
        <v>5185</v>
      </c>
      <c r="E2846" s="1"/>
    </row>
    <row r="2847" spans="1:5">
      <c r="A2847" t="s">
        <v>5186</v>
      </c>
      <c r="B2847" t="s">
        <v>5187</v>
      </c>
      <c r="E2847" s="1"/>
    </row>
    <row r="2848" spans="1:5">
      <c r="A2848" t="s">
        <v>5188</v>
      </c>
      <c r="B2848" t="s">
        <v>5189</v>
      </c>
      <c r="E2848" s="1"/>
    </row>
    <row r="2849" spans="1:5">
      <c r="A2849" t="s">
        <v>5190</v>
      </c>
      <c r="B2849" t="s">
        <v>5191</v>
      </c>
      <c r="E2849" s="1"/>
    </row>
    <row r="2850" spans="1:5">
      <c r="A2850" t="s">
        <v>5192</v>
      </c>
      <c r="B2850" t="s">
        <v>5193</v>
      </c>
      <c r="E2850" s="1"/>
    </row>
    <row r="2851" spans="1:5">
      <c r="A2851" t="s">
        <v>5194</v>
      </c>
      <c r="B2851" t="s">
        <v>5195</v>
      </c>
      <c r="E2851" s="1"/>
    </row>
    <row r="2852" spans="1:5">
      <c r="A2852" t="s">
        <v>5196</v>
      </c>
      <c r="B2852" t="s">
        <v>5197</v>
      </c>
      <c r="E2852" s="1"/>
    </row>
    <row r="2853" spans="1:5">
      <c r="A2853" t="s">
        <v>5198</v>
      </c>
      <c r="B2853" t="s">
        <v>5199</v>
      </c>
      <c r="E2853" s="1"/>
    </row>
    <row r="2854" spans="1:5">
      <c r="A2854" t="s">
        <v>5200</v>
      </c>
      <c r="B2854" t="s">
        <v>5201</v>
      </c>
      <c r="E2854" s="1"/>
    </row>
    <row r="2855" spans="1:5">
      <c r="A2855" t="s">
        <v>5202</v>
      </c>
      <c r="B2855" t="s">
        <v>5203</v>
      </c>
      <c r="E2855" s="1"/>
    </row>
    <row r="2856" spans="1:5">
      <c r="A2856" t="s">
        <v>5204</v>
      </c>
      <c r="B2856" t="s">
        <v>5205</v>
      </c>
      <c r="E2856" s="1"/>
    </row>
    <row r="2857" spans="1:5">
      <c r="A2857" t="s">
        <v>5206</v>
      </c>
      <c r="B2857" t="s">
        <v>5207</v>
      </c>
      <c r="E2857" s="1"/>
    </row>
    <row r="2858" spans="1:5">
      <c r="A2858" t="s">
        <v>5208</v>
      </c>
      <c r="B2858" t="s">
        <v>5209</v>
      </c>
      <c r="E2858" s="1"/>
    </row>
    <row r="2859" spans="1:5">
      <c r="A2859" t="s">
        <v>5210</v>
      </c>
      <c r="B2859" t="s">
        <v>5211</v>
      </c>
      <c r="E2859" s="1"/>
    </row>
    <row r="2860" spans="1:5">
      <c r="A2860" t="s">
        <v>5212</v>
      </c>
      <c r="B2860" t="s">
        <v>5213</v>
      </c>
      <c r="E2860" s="1"/>
    </row>
    <row r="2861" spans="1:5">
      <c r="A2861" t="s">
        <v>5214</v>
      </c>
      <c r="B2861" t="s">
        <v>5215</v>
      </c>
      <c r="E2861" s="1"/>
    </row>
    <row r="2862" spans="1:5">
      <c r="A2862" t="s">
        <v>5216</v>
      </c>
      <c r="B2862" t="s">
        <v>5217</v>
      </c>
      <c r="E2862" s="1"/>
    </row>
    <row r="2863" spans="1:5">
      <c r="A2863" t="s">
        <v>5218</v>
      </c>
      <c r="B2863" t="s">
        <v>5219</v>
      </c>
      <c r="E2863" s="1"/>
    </row>
    <row r="2864" spans="1:5">
      <c r="A2864" t="s">
        <v>5220</v>
      </c>
      <c r="B2864" t="s">
        <v>5221</v>
      </c>
      <c r="E2864" s="1"/>
    </row>
    <row r="2865" spans="1:5">
      <c r="A2865" t="s">
        <v>5222</v>
      </c>
      <c r="B2865" t="s">
        <v>5223</v>
      </c>
      <c r="E2865" s="1"/>
    </row>
    <row r="2866" spans="1:5">
      <c r="A2866" t="s">
        <v>5224</v>
      </c>
      <c r="B2866" t="s">
        <v>5225</v>
      </c>
      <c r="E2866" s="1"/>
    </row>
    <row r="2867" spans="1:5">
      <c r="A2867" t="s">
        <v>5226</v>
      </c>
      <c r="B2867" t="s">
        <v>5227</v>
      </c>
      <c r="E2867" s="1"/>
    </row>
    <row r="2868" spans="1:5">
      <c r="A2868" t="s">
        <v>5228</v>
      </c>
      <c r="B2868" t="s">
        <v>5229</v>
      </c>
      <c r="E2868" s="1"/>
    </row>
    <row r="2869" spans="1:5">
      <c r="A2869" t="s">
        <v>5230</v>
      </c>
      <c r="B2869" t="s">
        <v>5231</v>
      </c>
      <c r="E2869" s="1"/>
    </row>
    <row r="2870" spans="1:5">
      <c r="A2870" t="s">
        <v>5232</v>
      </c>
      <c r="B2870" t="s">
        <v>5233</v>
      </c>
      <c r="E2870" s="1"/>
    </row>
    <row r="2871" spans="1:5">
      <c r="A2871" t="s">
        <v>5234</v>
      </c>
      <c r="B2871" t="s">
        <v>5235</v>
      </c>
      <c r="E2871" s="1"/>
    </row>
    <row r="2872" spans="1:5">
      <c r="A2872" t="s">
        <v>5236</v>
      </c>
      <c r="B2872" t="s">
        <v>5237</v>
      </c>
      <c r="E2872" s="1"/>
    </row>
    <row r="2873" spans="1:5">
      <c r="A2873" t="s">
        <v>5238</v>
      </c>
      <c r="B2873" t="s">
        <v>5239</v>
      </c>
      <c r="E2873" s="1"/>
    </row>
    <row r="2874" spans="1:5">
      <c r="A2874" t="s">
        <v>5240</v>
      </c>
      <c r="B2874" t="s">
        <v>5241</v>
      </c>
      <c r="E2874" s="1"/>
    </row>
    <row r="2875" spans="1:5">
      <c r="A2875" t="s">
        <v>5242</v>
      </c>
      <c r="B2875" t="s">
        <v>5243</v>
      </c>
      <c r="E2875" s="1"/>
    </row>
    <row r="2876" spans="1:5">
      <c r="A2876" t="s">
        <v>5244</v>
      </c>
      <c r="B2876" t="s">
        <v>5245</v>
      </c>
      <c r="E2876" s="1"/>
    </row>
    <row r="2877" spans="1:5">
      <c r="A2877" t="s">
        <v>5246</v>
      </c>
      <c r="B2877" t="s">
        <v>5247</v>
      </c>
      <c r="E2877" s="1"/>
    </row>
    <row r="2878" spans="1:5">
      <c r="A2878" t="s">
        <v>5248</v>
      </c>
      <c r="B2878" t="s">
        <v>5249</v>
      </c>
      <c r="E2878" s="1"/>
    </row>
    <row r="2879" spans="1:5">
      <c r="A2879" t="s">
        <v>5250</v>
      </c>
      <c r="B2879" t="s">
        <v>5251</v>
      </c>
      <c r="E2879" s="1"/>
    </row>
    <row r="2880" spans="1:5">
      <c r="A2880" t="s">
        <v>5252</v>
      </c>
      <c r="B2880" t="s">
        <v>5253</v>
      </c>
      <c r="E2880" s="1"/>
    </row>
    <row r="2881" spans="1:5">
      <c r="A2881" t="s">
        <v>5254</v>
      </c>
      <c r="B2881" t="s">
        <v>5255</v>
      </c>
      <c r="E2881" s="1"/>
    </row>
    <row r="2882" spans="1:5">
      <c r="A2882" t="s">
        <v>5256</v>
      </c>
      <c r="B2882" t="s">
        <v>5257</v>
      </c>
      <c r="E2882" s="1"/>
    </row>
    <row r="2883" spans="1:5">
      <c r="A2883" t="s">
        <v>5258</v>
      </c>
      <c r="B2883" t="s">
        <v>5259</v>
      </c>
      <c r="E2883" s="1"/>
    </row>
    <row r="2884" spans="1:5">
      <c r="A2884" t="s">
        <v>5260</v>
      </c>
      <c r="B2884" t="s">
        <v>5261</v>
      </c>
      <c r="E2884" s="1"/>
    </row>
    <row r="2885" spans="1:5">
      <c r="A2885" t="s">
        <v>5262</v>
      </c>
      <c r="B2885" t="s">
        <v>5263</v>
      </c>
      <c r="E2885" s="1"/>
    </row>
    <row r="2886" spans="1:5">
      <c r="A2886" t="s">
        <v>5264</v>
      </c>
      <c r="B2886" t="s">
        <v>5265</v>
      </c>
      <c r="E2886" s="1"/>
    </row>
    <row r="2887" spans="1:5">
      <c r="A2887" t="s">
        <v>5266</v>
      </c>
      <c r="B2887" t="s">
        <v>5267</v>
      </c>
      <c r="E2887" s="1"/>
    </row>
    <row r="2888" spans="1:5">
      <c r="A2888" t="s">
        <v>5268</v>
      </c>
      <c r="B2888" t="s">
        <v>5269</v>
      </c>
      <c r="E2888" s="1"/>
    </row>
    <row r="2889" spans="1:5">
      <c r="A2889" t="s">
        <v>5270</v>
      </c>
      <c r="B2889" t="s">
        <v>5271</v>
      </c>
      <c r="E2889" s="1"/>
    </row>
    <row r="2890" spans="1:5">
      <c r="A2890" t="s">
        <v>5272</v>
      </c>
      <c r="B2890" t="s">
        <v>5273</v>
      </c>
      <c r="E2890" s="1"/>
    </row>
    <row r="2891" spans="1:5">
      <c r="A2891" t="s">
        <v>5274</v>
      </c>
      <c r="B2891" t="s">
        <v>5275</v>
      </c>
      <c r="E2891" s="1"/>
    </row>
    <row r="2892" spans="1:5">
      <c r="A2892" t="s">
        <v>5276</v>
      </c>
      <c r="B2892" t="s">
        <v>5277</v>
      </c>
      <c r="E2892" s="1"/>
    </row>
    <row r="2893" spans="1:5">
      <c r="A2893" t="s">
        <v>5278</v>
      </c>
      <c r="B2893" t="s">
        <v>5279</v>
      </c>
      <c r="E2893" s="1"/>
    </row>
    <row r="2894" spans="1:5">
      <c r="A2894" t="s">
        <v>5280</v>
      </c>
      <c r="B2894" t="s">
        <v>5281</v>
      </c>
      <c r="E2894" s="1"/>
    </row>
    <row r="2895" spans="1:5">
      <c r="A2895" t="s">
        <v>5282</v>
      </c>
      <c r="B2895" t="s">
        <v>5283</v>
      </c>
      <c r="E2895" s="1"/>
    </row>
    <row r="2896" spans="1:5">
      <c r="A2896" t="s">
        <v>5284</v>
      </c>
      <c r="B2896" t="s">
        <v>5285</v>
      </c>
      <c r="E2896" s="1"/>
    </row>
    <row r="2897" spans="1:5">
      <c r="A2897" t="s">
        <v>5286</v>
      </c>
      <c r="B2897" t="s">
        <v>5287</v>
      </c>
      <c r="E2897" s="1"/>
    </row>
    <row r="2898" spans="1:5">
      <c r="A2898" t="s">
        <v>5288</v>
      </c>
      <c r="B2898" t="s">
        <v>5289</v>
      </c>
      <c r="E2898" s="1"/>
    </row>
    <row r="2899" spans="1:5">
      <c r="A2899" t="s">
        <v>5290</v>
      </c>
      <c r="B2899" t="s">
        <v>5291</v>
      </c>
      <c r="E2899" s="1"/>
    </row>
    <row r="2900" spans="1:5">
      <c r="A2900" t="s">
        <v>5292</v>
      </c>
      <c r="B2900" t="s">
        <v>5293</v>
      </c>
      <c r="E2900" s="1"/>
    </row>
    <row r="2901" spans="1:5">
      <c r="A2901" t="s">
        <v>5294</v>
      </c>
      <c r="B2901" t="s">
        <v>5295</v>
      </c>
      <c r="E2901" s="1"/>
    </row>
    <row r="2902" spans="1:5">
      <c r="A2902" t="s">
        <v>5296</v>
      </c>
      <c r="B2902" t="s">
        <v>5297</v>
      </c>
      <c r="E2902" s="1"/>
    </row>
    <row r="2903" spans="1:5">
      <c r="B2903" t="s">
        <v>5298</v>
      </c>
      <c r="E2903" s="1"/>
    </row>
    <row r="2904" spans="1:5">
      <c r="A2904" t="s">
        <v>5299</v>
      </c>
      <c r="B2904" t="s">
        <v>5300</v>
      </c>
      <c r="E2904" s="1"/>
    </row>
    <row r="2905" spans="1:5">
      <c r="A2905" t="s">
        <v>5301</v>
      </c>
      <c r="B2905" t="s">
        <v>5302</v>
      </c>
      <c r="E2905" s="1"/>
    </row>
    <row r="2906" spans="1:5">
      <c r="B2906" t="s">
        <v>5303</v>
      </c>
      <c r="E2906" s="1"/>
    </row>
    <row r="2907" spans="1:5">
      <c r="B2907" t="s">
        <v>5304</v>
      </c>
      <c r="E2907" s="1"/>
    </row>
    <row r="2908" spans="1:5">
      <c r="A2908" t="s">
        <v>5305</v>
      </c>
      <c r="B2908" t="s">
        <v>5306</v>
      </c>
      <c r="E2908" s="1"/>
    </row>
    <row r="2909" spans="1:5">
      <c r="B2909" t="s">
        <v>5307</v>
      </c>
      <c r="E2909" s="1"/>
    </row>
    <row r="2910" spans="1:5">
      <c r="A2910" t="s">
        <v>5308</v>
      </c>
      <c r="B2910" t="s">
        <v>5309</v>
      </c>
      <c r="E2910" s="1"/>
    </row>
    <row r="2911" spans="1:5">
      <c r="A2911" t="s">
        <v>5310</v>
      </c>
      <c r="B2911" t="s">
        <v>5311</v>
      </c>
      <c r="E2911" s="1"/>
    </row>
    <row r="2912" spans="1:5">
      <c r="A2912" t="s">
        <v>5312</v>
      </c>
      <c r="B2912" t="s">
        <v>5313</v>
      </c>
      <c r="E2912" s="1"/>
    </row>
    <row r="2913" spans="1:5">
      <c r="A2913" t="s">
        <v>5314</v>
      </c>
      <c r="B2913" t="s">
        <v>5315</v>
      </c>
      <c r="E2913" s="1"/>
    </row>
    <row r="2914" spans="1:5">
      <c r="A2914" t="s">
        <v>5316</v>
      </c>
      <c r="B2914" t="s">
        <v>5317</v>
      </c>
      <c r="E2914" s="1"/>
    </row>
    <row r="2915" spans="1:5">
      <c r="A2915" t="s">
        <v>5318</v>
      </c>
      <c r="B2915" t="s">
        <v>5319</v>
      </c>
      <c r="E2915" s="1"/>
    </row>
    <row r="2916" spans="1:5">
      <c r="A2916" t="s">
        <v>5320</v>
      </c>
      <c r="B2916" t="s">
        <v>5321</v>
      </c>
      <c r="E2916" s="1"/>
    </row>
    <row r="2917" spans="1:5">
      <c r="A2917" t="s">
        <v>5322</v>
      </c>
      <c r="B2917" t="s">
        <v>5323</v>
      </c>
      <c r="E2917" s="1"/>
    </row>
    <row r="2918" spans="1:5">
      <c r="A2918" t="s">
        <v>5324</v>
      </c>
      <c r="B2918" t="s">
        <v>5325</v>
      </c>
      <c r="E2918" s="1"/>
    </row>
    <row r="2919" spans="1:5">
      <c r="A2919" t="s">
        <v>5326</v>
      </c>
      <c r="B2919" t="s">
        <v>5327</v>
      </c>
      <c r="E2919" s="1"/>
    </row>
    <row r="2920" spans="1:5">
      <c r="A2920" t="s">
        <v>5328</v>
      </c>
      <c r="B2920" t="s">
        <v>5329</v>
      </c>
      <c r="E2920" s="1"/>
    </row>
    <row r="2921" spans="1:5">
      <c r="A2921" t="s">
        <v>5330</v>
      </c>
      <c r="B2921" t="s">
        <v>5331</v>
      </c>
      <c r="E2921" s="1"/>
    </row>
    <row r="2922" spans="1:5">
      <c r="A2922" t="s">
        <v>5332</v>
      </c>
      <c r="B2922" t="s">
        <v>5333</v>
      </c>
      <c r="E2922" s="1"/>
    </row>
    <row r="2923" spans="1:5">
      <c r="B2923" t="s">
        <v>5334</v>
      </c>
      <c r="E2923" s="1"/>
    </row>
    <row r="2924" spans="1:5">
      <c r="A2924" t="s">
        <v>5335</v>
      </c>
      <c r="B2924" t="s">
        <v>5336</v>
      </c>
      <c r="E2924" s="1"/>
    </row>
    <row r="2925" spans="1:5">
      <c r="A2925" t="s">
        <v>5337</v>
      </c>
      <c r="B2925" t="s">
        <v>5338</v>
      </c>
      <c r="E2925" s="1"/>
    </row>
    <row r="2926" spans="1:5">
      <c r="A2926" t="s">
        <v>5339</v>
      </c>
      <c r="B2926" t="s">
        <v>5340</v>
      </c>
      <c r="E2926" s="1"/>
    </row>
    <row r="2927" spans="1:5">
      <c r="A2927" t="s">
        <v>5341</v>
      </c>
      <c r="B2927" t="s">
        <v>5342</v>
      </c>
      <c r="E2927" s="1"/>
    </row>
    <row r="2928" spans="1:5">
      <c r="A2928" t="s">
        <v>5343</v>
      </c>
      <c r="B2928" t="s">
        <v>5344</v>
      </c>
      <c r="E2928" s="1"/>
    </row>
    <row r="2929" spans="1:6">
      <c r="A2929" t="s">
        <v>5345</v>
      </c>
      <c r="B2929" t="s">
        <v>5346</v>
      </c>
      <c r="E2929" s="1"/>
    </row>
    <row r="2930" spans="1:6">
      <c r="A2930" t="s">
        <v>5347</v>
      </c>
      <c r="B2930" t="s">
        <v>5348</v>
      </c>
      <c r="E2930" s="1"/>
    </row>
    <row r="2931" spans="1:6">
      <c r="A2931" t="s">
        <v>5349</v>
      </c>
      <c r="B2931" t="s">
        <v>5350</v>
      </c>
      <c r="E2931" s="1"/>
    </row>
    <row r="2932" spans="1:6">
      <c r="A2932" t="s">
        <v>5351</v>
      </c>
      <c r="B2932" t="s">
        <v>5352</v>
      </c>
      <c r="E2932" s="1"/>
    </row>
    <row r="2933" spans="1:6">
      <c r="A2933" t="s">
        <v>5353</v>
      </c>
      <c r="B2933" t="s">
        <v>5354</v>
      </c>
      <c r="E2933" s="1"/>
    </row>
    <row r="2934" spans="1:6">
      <c r="A2934" t="s">
        <v>5355</v>
      </c>
      <c r="B2934" t="s">
        <v>5356</v>
      </c>
      <c r="C2934" s="1" t="s">
        <v>9106</v>
      </c>
      <c r="D2934" s="1"/>
      <c r="E2934" s="1" t="str">
        <f>HYPERLINK("https://www.kegg.jp/dbget-bin/www_bget?ec:" &amp; C2934, "https://www.kegg.jp/dbget-bin/www_bget?ec:" &amp; C2934)</f>
        <v>https://www.kegg.jp/dbget-bin/www_bget?ec:1.7.1.13</v>
      </c>
      <c r="F2934" t="s">
        <v>9650</v>
      </c>
    </row>
    <row r="2935" spans="1:6">
      <c r="A2935" t="s">
        <v>5357</v>
      </c>
      <c r="B2935" t="s">
        <v>5358</v>
      </c>
      <c r="E2935" s="1"/>
    </row>
    <row r="2936" spans="1:6">
      <c r="A2936" t="s">
        <v>5359</v>
      </c>
      <c r="B2936" t="s">
        <v>5360</v>
      </c>
      <c r="E2936" s="1"/>
    </row>
    <row r="2937" spans="1:6">
      <c r="A2937" t="s">
        <v>5361</v>
      </c>
      <c r="B2937" t="s">
        <v>5362</v>
      </c>
      <c r="E2937" s="1"/>
    </row>
    <row r="2938" spans="1:6">
      <c r="A2938" t="s">
        <v>5363</v>
      </c>
      <c r="B2938" t="s">
        <v>5364</v>
      </c>
      <c r="E2938" s="1"/>
    </row>
    <row r="2939" spans="1:6">
      <c r="A2939" t="s">
        <v>5365</v>
      </c>
      <c r="B2939" t="s">
        <v>5366</v>
      </c>
      <c r="E2939" s="1"/>
    </row>
    <row r="2940" spans="1:6">
      <c r="B2940" t="s">
        <v>5367</v>
      </c>
      <c r="E2940" s="1"/>
    </row>
    <row r="2941" spans="1:6">
      <c r="A2941" t="s">
        <v>5368</v>
      </c>
      <c r="B2941" t="s">
        <v>5369</v>
      </c>
      <c r="E2941" s="1"/>
    </row>
    <row r="2942" spans="1:6">
      <c r="A2942" t="s">
        <v>5370</v>
      </c>
      <c r="B2942" t="s">
        <v>5371</v>
      </c>
      <c r="E2942" s="1"/>
    </row>
    <row r="2943" spans="1:6">
      <c r="A2943" t="s">
        <v>5372</v>
      </c>
      <c r="B2943" t="s">
        <v>5373</v>
      </c>
      <c r="E2943" s="1"/>
    </row>
    <row r="2944" spans="1:6">
      <c r="A2944" t="s">
        <v>5374</v>
      </c>
      <c r="B2944" t="s">
        <v>5375</v>
      </c>
      <c r="E2944" s="1"/>
    </row>
    <row r="2945" spans="1:5">
      <c r="A2945" t="s">
        <v>5376</v>
      </c>
      <c r="B2945" t="s">
        <v>5377</v>
      </c>
      <c r="E2945" s="1"/>
    </row>
    <row r="2946" spans="1:5">
      <c r="A2946" t="s">
        <v>5378</v>
      </c>
      <c r="B2946" t="s">
        <v>5379</v>
      </c>
      <c r="E2946" s="1"/>
    </row>
    <row r="2947" spans="1:5">
      <c r="A2947" t="s">
        <v>5380</v>
      </c>
      <c r="B2947" t="s">
        <v>5381</v>
      </c>
      <c r="E2947" s="1"/>
    </row>
    <row r="2948" spans="1:5">
      <c r="A2948" t="s">
        <v>5382</v>
      </c>
      <c r="B2948" t="s">
        <v>5383</v>
      </c>
      <c r="E2948" s="1"/>
    </row>
    <row r="2949" spans="1:5">
      <c r="A2949" t="s">
        <v>5384</v>
      </c>
      <c r="B2949" t="s">
        <v>5385</v>
      </c>
      <c r="E2949" s="1"/>
    </row>
    <row r="2950" spans="1:5">
      <c r="A2950" t="s">
        <v>5386</v>
      </c>
      <c r="B2950" t="s">
        <v>5387</v>
      </c>
      <c r="E2950" s="1"/>
    </row>
    <row r="2951" spans="1:5">
      <c r="B2951" t="s">
        <v>5388</v>
      </c>
      <c r="E2951" s="1"/>
    </row>
    <row r="2952" spans="1:5">
      <c r="B2952" t="s">
        <v>5389</v>
      </c>
      <c r="E2952" s="1"/>
    </row>
    <row r="2953" spans="1:5">
      <c r="A2953" t="s">
        <v>5390</v>
      </c>
      <c r="B2953" t="s">
        <v>5391</v>
      </c>
      <c r="E2953" s="1"/>
    </row>
    <row r="2954" spans="1:5">
      <c r="A2954" t="s">
        <v>5392</v>
      </c>
      <c r="B2954" t="s">
        <v>5393</v>
      </c>
      <c r="E2954" s="1"/>
    </row>
    <row r="2955" spans="1:5">
      <c r="A2955" t="s">
        <v>5394</v>
      </c>
      <c r="B2955" t="s">
        <v>5395</v>
      </c>
      <c r="E2955" s="1"/>
    </row>
    <row r="2956" spans="1:5">
      <c r="A2956" t="s">
        <v>5396</v>
      </c>
      <c r="B2956" t="s">
        <v>5397</v>
      </c>
      <c r="E2956" s="1"/>
    </row>
    <row r="2957" spans="1:5">
      <c r="B2957" t="s">
        <v>5398</v>
      </c>
      <c r="E2957" s="1"/>
    </row>
    <row r="2958" spans="1:5">
      <c r="A2958" t="s">
        <v>5399</v>
      </c>
      <c r="B2958" t="s">
        <v>5400</v>
      </c>
      <c r="E2958" s="1"/>
    </row>
    <row r="2959" spans="1:5">
      <c r="A2959" t="s">
        <v>5401</v>
      </c>
      <c r="B2959" t="s">
        <v>5402</v>
      </c>
      <c r="E2959" s="1"/>
    </row>
    <row r="2960" spans="1:5">
      <c r="A2960" t="s">
        <v>5403</v>
      </c>
      <c r="B2960" t="s">
        <v>5404</v>
      </c>
      <c r="E2960" s="1"/>
    </row>
    <row r="2961" spans="1:8">
      <c r="A2961" t="s">
        <v>5405</v>
      </c>
      <c r="B2961" t="s">
        <v>5406</v>
      </c>
      <c r="E2961" s="1"/>
    </row>
    <row r="2962" spans="1:8">
      <c r="A2962" t="s">
        <v>5407</v>
      </c>
      <c r="B2962" t="s">
        <v>5408</v>
      </c>
      <c r="E2962" s="1"/>
    </row>
    <row r="2963" spans="1:8">
      <c r="A2963" t="s">
        <v>5409</v>
      </c>
      <c r="B2963" t="s">
        <v>5410</v>
      </c>
      <c r="E2963" s="1"/>
    </row>
    <row r="2964" spans="1:8">
      <c r="A2964" t="s">
        <v>5411</v>
      </c>
      <c r="B2964" t="s">
        <v>5412</v>
      </c>
      <c r="E2964" s="1"/>
    </row>
    <row r="2965" spans="1:8">
      <c r="A2965" t="s">
        <v>5413</v>
      </c>
      <c r="B2965" t="s">
        <v>5414</v>
      </c>
      <c r="C2965" s="1" t="s">
        <v>1079</v>
      </c>
      <c r="D2965" s="1"/>
      <c r="E2965" s="1" t="str">
        <f>HYPERLINK("https://www.kegg.jp/dbget-bin/www_bget?ec:" &amp; C2965, "https://www.kegg.jp/dbget-bin/www_bget?ec:" &amp; C2965)</f>
        <v>https://www.kegg.jp/dbget-bin/www_bget?ec:2.7.2.4</v>
      </c>
      <c r="F2965" t="s">
        <v>9460</v>
      </c>
      <c r="G2965" s="10" t="s">
        <v>9461</v>
      </c>
      <c r="H2965" s="13" t="s">
        <v>9462</v>
      </c>
    </row>
    <row r="2966" spans="1:8">
      <c r="A2966" t="s">
        <v>5415</v>
      </c>
      <c r="B2966" t="s">
        <v>5416</v>
      </c>
      <c r="E2966" s="1"/>
    </row>
    <row r="2967" spans="1:8">
      <c r="A2967" t="s">
        <v>5417</v>
      </c>
      <c r="B2967" t="s">
        <v>5418</v>
      </c>
      <c r="E2967" s="1"/>
    </row>
    <row r="2968" spans="1:8">
      <c r="B2968" t="s">
        <v>5419</v>
      </c>
      <c r="E2968" s="1"/>
    </row>
    <row r="2969" spans="1:8">
      <c r="A2969" t="s">
        <v>5420</v>
      </c>
      <c r="B2969" t="s">
        <v>5421</v>
      </c>
      <c r="E2969" s="1"/>
    </row>
    <row r="2970" spans="1:8">
      <c r="A2970" t="s">
        <v>5422</v>
      </c>
      <c r="B2970" t="s">
        <v>5423</v>
      </c>
      <c r="E2970" s="1"/>
    </row>
    <row r="2971" spans="1:8">
      <c r="A2971" t="s">
        <v>5424</v>
      </c>
      <c r="B2971" t="s">
        <v>5425</v>
      </c>
      <c r="E2971" s="1"/>
    </row>
    <row r="2972" spans="1:8">
      <c r="A2972" t="s">
        <v>5426</v>
      </c>
      <c r="B2972" t="s">
        <v>5427</v>
      </c>
      <c r="E2972" s="1"/>
    </row>
    <row r="2973" spans="1:8">
      <c r="A2973" t="s">
        <v>5428</v>
      </c>
      <c r="B2973" t="s">
        <v>5429</v>
      </c>
      <c r="E2973" s="1"/>
    </row>
    <row r="2974" spans="1:8">
      <c r="B2974" t="s">
        <v>5430</v>
      </c>
      <c r="E2974" s="1"/>
    </row>
    <row r="2975" spans="1:8">
      <c r="A2975" t="s">
        <v>5431</v>
      </c>
      <c r="B2975" t="s">
        <v>5432</v>
      </c>
      <c r="E2975" s="1"/>
    </row>
    <row r="2976" spans="1:8">
      <c r="A2976" t="s">
        <v>5433</v>
      </c>
      <c r="B2976" t="s">
        <v>5434</v>
      </c>
      <c r="E2976" s="1"/>
    </row>
    <row r="2977" spans="1:5">
      <c r="A2977" t="s">
        <v>5435</v>
      </c>
      <c r="B2977" t="s">
        <v>5436</v>
      </c>
      <c r="E2977" s="1"/>
    </row>
    <row r="2978" spans="1:5">
      <c r="B2978" t="s">
        <v>5437</v>
      </c>
      <c r="E2978" s="1"/>
    </row>
    <row r="2979" spans="1:5">
      <c r="A2979" t="s">
        <v>5438</v>
      </c>
      <c r="B2979" t="s">
        <v>5439</v>
      </c>
      <c r="E2979" s="1"/>
    </row>
    <row r="2980" spans="1:5">
      <c r="A2980" t="s">
        <v>5440</v>
      </c>
      <c r="B2980" t="s">
        <v>5441</v>
      </c>
      <c r="E2980" s="1"/>
    </row>
    <row r="2981" spans="1:5">
      <c r="A2981" t="s">
        <v>5442</v>
      </c>
      <c r="B2981" t="s">
        <v>5443</v>
      </c>
      <c r="E2981" s="1"/>
    </row>
    <row r="2982" spans="1:5">
      <c r="A2982" t="s">
        <v>5444</v>
      </c>
      <c r="B2982" t="s">
        <v>5445</v>
      </c>
      <c r="E2982" s="1"/>
    </row>
    <row r="2983" spans="1:5">
      <c r="A2983" t="s">
        <v>5446</v>
      </c>
      <c r="B2983" t="s">
        <v>5447</v>
      </c>
      <c r="E2983" s="1"/>
    </row>
    <row r="2984" spans="1:5">
      <c r="A2984" t="s">
        <v>5448</v>
      </c>
      <c r="B2984" t="s">
        <v>5449</v>
      </c>
      <c r="E2984" s="1"/>
    </row>
    <row r="2985" spans="1:5">
      <c r="A2985" t="s">
        <v>5450</v>
      </c>
      <c r="B2985" t="s">
        <v>5451</v>
      </c>
      <c r="E2985" s="1"/>
    </row>
    <row r="2986" spans="1:5">
      <c r="A2986" t="s">
        <v>5452</v>
      </c>
      <c r="B2986" t="s">
        <v>5453</v>
      </c>
      <c r="E2986" s="1"/>
    </row>
    <row r="2987" spans="1:5">
      <c r="A2987" t="s">
        <v>5454</v>
      </c>
      <c r="B2987" t="s">
        <v>5455</v>
      </c>
      <c r="E2987" s="1"/>
    </row>
    <row r="2988" spans="1:5">
      <c r="A2988" t="s">
        <v>5456</v>
      </c>
      <c r="B2988" t="s">
        <v>5457</v>
      </c>
      <c r="E2988" s="1"/>
    </row>
    <row r="2989" spans="1:5">
      <c r="A2989" t="s">
        <v>5458</v>
      </c>
      <c r="B2989" t="s">
        <v>5459</v>
      </c>
      <c r="E2989" s="1"/>
    </row>
    <row r="2990" spans="1:5">
      <c r="A2990" t="s">
        <v>5460</v>
      </c>
      <c r="B2990" t="s">
        <v>5461</v>
      </c>
      <c r="E2990" s="1"/>
    </row>
    <row r="2991" spans="1:5">
      <c r="A2991" t="s">
        <v>5462</v>
      </c>
      <c r="B2991" t="s">
        <v>5463</v>
      </c>
      <c r="E2991" s="1"/>
    </row>
    <row r="2992" spans="1:5">
      <c r="A2992" t="s">
        <v>5464</v>
      </c>
      <c r="B2992" t="s">
        <v>5465</v>
      </c>
      <c r="E2992" s="1"/>
    </row>
    <row r="2993" spans="1:8">
      <c r="A2993" t="s">
        <v>5466</v>
      </c>
      <c r="B2993" t="s">
        <v>5467</v>
      </c>
      <c r="E2993" s="1"/>
    </row>
    <row r="2994" spans="1:8">
      <c r="A2994" t="s">
        <v>5468</v>
      </c>
      <c r="B2994" t="s">
        <v>5469</v>
      </c>
      <c r="E2994" s="1"/>
    </row>
    <row r="2995" spans="1:8">
      <c r="A2995" t="s">
        <v>5470</v>
      </c>
      <c r="B2995" t="s">
        <v>5471</v>
      </c>
      <c r="E2995" s="1"/>
    </row>
    <row r="2996" spans="1:8">
      <c r="A2996" t="s">
        <v>5472</v>
      </c>
      <c r="B2996" t="s">
        <v>5473</v>
      </c>
      <c r="E2996" s="1"/>
    </row>
    <row r="2997" spans="1:8">
      <c r="A2997" t="s">
        <v>5474</v>
      </c>
      <c r="B2997" t="s">
        <v>5475</v>
      </c>
      <c r="E2997" s="1"/>
    </row>
    <row r="2998" spans="1:8">
      <c r="B2998" t="s">
        <v>5476</v>
      </c>
      <c r="E2998" s="1"/>
    </row>
    <row r="2999" spans="1:8">
      <c r="B2999" t="s">
        <v>5477</v>
      </c>
      <c r="E2999" s="1"/>
    </row>
    <row r="3000" spans="1:8">
      <c r="A3000" t="s">
        <v>5478</v>
      </c>
      <c r="B3000" t="s">
        <v>5479</v>
      </c>
      <c r="E3000" s="1"/>
    </row>
    <row r="3001" spans="1:8">
      <c r="A3001" t="s">
        <v>5480</v>
      </c>
      <c r="B3001" t="s">
        <v>5481</v>
      </c>
      <c r="C3001" s="1" t="s">
        <v>9107</v>
      </c>
      <c r="D3001" s="1"/>
      <c r="E3001" s="1" t="str">
        <f>HYPERLINK("https://www.kegg.jp/dbget-bin/www_bget?ec:" &amp; C3001, "https://www.kegg.jp/dbget-bin/www_bget?ec:" &amp; C3001)</f>
        <v>https://www.kegg.jp/dbget-bin/www_bget?ec:2.7.4.16</v>
      </c>
      <c r="F3001" t="s">
        <v>9552</v>
      </c>
      <c r="G3001" s="10" t="s">
        <v>9551</v>
      </c>
      <c r="H3001" s="13" t="s">
        <v>9550</v>
      </c>
    </row>
    <row r="3002" spans="1:8">
      <c r="A3002" t="s">
        <v>5482</v>
      </c>
      <c r="B3002" t="s">
        <v>5483</v>
      </c>
      <c r="C3002" s="1" t="s">
        <v>9108</v>
      </c>
      <c r="D3002" s="1"/>
      <c r="E3002" s="1" t="str">
        <f>HYPERLINK("https://www.kegg.jp/dbget-bin/www_bget?ec:" &amp; C3002, "https://www.kegg.jp/dbget-bin/www_bget?ec:" &amp; C3002)</f>
        <v>https://www.kegg.jp/dbget-bin/www_bget?ec:2.7.1.130</v>
      </c>
      <c r="F3002" s="1" t="s">
        <v>10155</v>
      </c>
      <c r="G3002" s="10" t="s">
        <v>11067</v>
      </c>
      <c r="H3002" s="13" t="s">
        <v>11068</v>
      </c>
    </row>
    <row r="3003" spans="1:8">
      <c r="A3003" t="s">
        <v>5484</v>
      </c>
      <c r="B3003" t="s">
        <v>5485</v>
      </c>
      <c r="E3003" s="1"/>
    </row>
    <row r="3004" spans="1:8">
      <c r="A3004" t="s">
        <v>5486</v>
      </c>
      <c r="B3004" t="s">
        <v>5487</v>
      </c>
      <c r="E3004" s="1"/>
    </row>
    <row r="3005" spans="1:8">
      <c r="A3005" t="s">
        <v>5488</v>
      </c>
      <c r="B3005" t="s">
        <v>5489</v>
      </c>
      <c r="E3005" s="1"/>
    </row>
    <row r="3006" spans="1:8">
      <c r="A3006" t="s">
        <v>5490</v>
      </c>
      <c r="B3006" t="s">
        <v>5491</v>
      </c>
      <c r="E3006" s="1"/>
    </row>
    <row r="3007" spans="1:8">
      <c r="B3007" t="s">
        <v>5492</v>
      </c>
      <c r="E3007" s="1"/>
    </row>
    <row r="3008" spans="1:8">
      <c r="B3008" t="s">
        <v>5493</v>
      </c>
      <c r="E3008" s="1"/>
    </row>
    <row r="3009" spans="1:8">
      <c r="B3009" t="s">
        <v>5494</v>
      </c>
      <c r="E3009" s="1"/>
    </row>
    <row r="3010" spans="1:8">
      <c r="B3010" t="s">
        <v>5495</v>
      </c>
      <c r="E3010" s="1"/>
    </row>
    <row r="3011" spans="1:8">
      <c r="B3011" t="s">
        <v>5496</v>
      </c>
      <c r="E3011" s="1"/>
    </row>
    <row r="3012" spans="1:8">
      <c r="B3012" t="s">
        <v>5497</v>
      </c>
      <c r="E3012" s="1"/>
    </row>
    <row r="3013" spans="1:8">
      <c r="A3013" t="s">
        <v>5498</v>
      </c>
      <c r="B3013" t="s">
        <v>5499</v>
      </c>
      <c r="E3013" s="1"/>
    </row>
    <row r="3014" spans="1:8">
      <c r="A3014" t="s">
        <v>5500</v>
      </c>
      <c r="B3014" t="s">
        <v>5501</v>
      </c>
      <c r="E3014" s="1"/>
    </row>
    <row r="3015" spans="1:8">
      <c r="A3015" t="s">
        <v>5502</v>
      </c>
      <c r="B3015" t="s">
        <v>5503</v>
      </c>
      <c r="C3015" s="1" t="s">
        <v>9109</v>
      </c>
      <c r="D3015" s="1"/>
      <c r="E3015" s="1" t="str">
        <f>HYPERLINK("https://www.kegg.jp/dbget-bin/www_bget?ec:" &amp; C3015, "https://www.kegg.jp/dbget-bin/www_bget?ec:" &amp; C3015)</f>
        <v>https://www.kegg.jp/dbget-bin/www_bget?ec:2.4.2.21</v>
      </c>
      <c r="F3015" s="1" t="s">
        <v>10158</v>
      </c>
      <c r="G3015" s="10" t="s">
        <v>11069</v>
      </c>
      <c r="H3015" s="13" t="s">
        <v>11070</v>
      </c>
    </row>
    <row r="3016" spans="1:8">
      <c r="A3016" t="s">
        <v>5504</v>
      </c>
      <c r="B3016" t="s">
        <v>5505</v>
      </c>
      <c r="E3016" s="1"/>
    </row>
    <row r="3017" spans="1:8">
      <c r="A3017" t="s">
        <v>5506</v>
      </c>
      <c r="B3017" t="s">
        <v>5507</v>
      </c>
      <c r="E3017" s="1"/>
    </row>
    <row r="3018" spans="1:8">
      <c r="A3018" t="s">
        <v>5508</v>
      </c>
      <c r="B3018" t="s">
        <v>5509</v>
      </c>
      <c r="E3018" s="1"/>
    </row>
    <row r="3019" spans="1:8">
      <c r="B3019" t="s">
        <v>5510</v>
      </c>
      <c r="E3019" s="1"/>
    </row>
    <row r="3020" spans="1:8">
      <c r="A3020" t="s">
        <v>5511</v>
      </c>
      <c r="B3020" t="s">
        <v>5512</v>
      </c>
      <c r="E3020" s="1"/>
    </row>
    <row r="3021" spans="1:8">
      <c r="A3021" t="s">
        <v>5513</v>
      </c>
      <c r="B3021" t="s">
        <v>5514</v>
      </c>
      <c r="E3021" s="1"/>
    </row>
    <row r="3022" spans="1:8">
      <c r="A3022" t="s">
        <v>5515</v>
      </c>
      <c r="B3022" t="s">
        <v>5516</v>
      </c>
      <c r="E3022" s="1"/>
    </row>
    <row r="3023" spans="1:8">
      <c r="A3023" t="s">
        <v>5517</v>
      </c>
      <c r="B3023" t="s">
        <v>5518</v>
      </c>
      <c r="E3023" s="1"/>
    </row>
    <row r="3024" spans="1:8">
      <c r="A3024" t="s">
        <v>5519</v>
      </c>
      <c r="B3024" t="s">
        <v>5520</v>
      </c>
      <c r="E3024" s="1"/>
    </row>
    <row r="3025" spans="1:8">
      <c r="A3025" t="s">
        <v>5521</v>
      </c>
      <c r="B3025" t="s">
        <v>5522</v>
      </c>
      <c r="E3025" s="1"/>
    </row>
    <row r="3026" spans="1:8">
      <c r="A3026" t="s">
        <v>5523</v>
      </c>
      <c r="B3026" t="s">
        <v>5524</v>
      </c>
      <c r="E3026" s="1"/>
    </row>
    <row r="3027" spans="1:8">
      <c r="A3027" t="s">
        <v>5525</v>
      </c>
      <c r="B3027" t="s">
        <v>5526</v>
      </c>
      <c r="E3027" s="1"/>
    </row>
    <row r="3028" spans="1:8">
      <c r="A3028" t="s">
        <v>5527</v>
      </c>
      <c r="B3028" t="s">
        <v>5528</v>
      </c>
      <c r="E3028" s="1"/>
    </row>
    <row r="3029" spans="1:8">
      <c r="A3029" t="s">
        <v>5529</v>
      </c>
      <c r="B3029" t="s">
        <v>5530</v>
      </c>
      <c r="E3029" s="1"/>
    </row>
    <row r="3030" spans="1:8">
      <c r="A3030" t="s">
        <v>5531</v>
      </c>
      <c r="B3030" t="s">
        <v>5532</v>
      </c>
      <c r="E3030" s="1"/>
    </row>
    <row r="3031" spans="1:8">
      <c r="A3031" t="s">
        <v>5533</v>
      </c>
      <c r="B3031" t="s">
        <v>5534</v>
      </c>
      <c r="C3031" s="1" t="s">
        <v>9110</v>
      </c>
      <c r="D3031" s="1"/>
      <c r="E3031" s="1" t="str">
        <f t="shared" ref="E3031:E3038" si="184">HYPERLINK("https://www.kegg.jp/dbget-bin/www_bget?ec:" &amp; C3031, "https://www.kegg.jp/dbget-bin/www_bget?ec:" &amp; C3031)</f>
        <v>https://www.kegg.jp/dbget-bin/www_bget?ec:1.17.4.1</v>
      </c>
      <c r="F3031" s="1" t="s">
        <v>10161</v>
      </c>
      <c r="G3031" s="10" t="s">
        <v>11071</v>
      </c>
      <c r="H3031" s="13" t="s">
        <v>11072</v>
      </c>
    </row>
    <row r="3032" spans="1:8">
      <c r="A3032" t="s">
        <v>5533</v>
      </c>
      <c r="B3032" t="s">
        <v>5534</v>
      </c>
      <c r="C3032" s="1" t="s">
        <v>9110</v>
      </c>
      <c r="D3032" s="1"/>
      <c r="E3032" s="1" t="str">
        <f t="shared" si="184"/>
        <v>https://www.kegg.jp/dbget-bin/www_bget?ec:1.17.4.1</v>
      </c>
      <c r="F3032" s="1" t="s">
        <v>10161</v>
      </c>
      <c r="G3032" s="10" t="s">
        <v>11073</v>
      </c>
      <c r="H3032" s="13" t="s">
        <v>11074</v>
      </c>
    </row>
    <row r="3033" spans="1:8">
      <c r="A3033" t="s">
        <v>5533</v>
      </c>
      <c r="B3033" t="s">
        <v>5534</v>
      </c>
      <c r="C3033" s="1" t="s">
        <v>9110</v>
      </c>
      <c r="D3033" s="1"/>
      <c r="E3033" s="1" t="str">
        <f t="shared" si="184"/>
        <v>https://www.kegg.jp/dbget-bin/www_bget?ec:1.17.4.1</v>
      </c>
      <c r="F3033" s="1" t="s">
        <v>10161</v>
      </c>
      <c r="G3033" s="10" t="s">
        <v>11075</v>
      </c>
      <c r="H3033" s="13" t="s">
        <v>11076</v>
      </c>
    </row>
    <row r="3034" spans="1:8">
      <c r="A3034" t="s">
        <v>5533</v>
      </c>
      <c r="B3034" t="s">
        <v>5534</v>
      </c>
      <c r="C3034" s="1" t="s">
        <v>9110</v>
      </c>
      <c r="D3034" s="1"/>
      <c r="E3034" s="1" t="str">
        <f t="shared" si="184"/>
        <v>https://www.kegg.jp/dbget-bin/www_bget?ec:1.17.4.1</v>
      </c>
      <c r="F3034" s="1" t="s">
        <v>10161</v>
      </c>
      <c r="G3034" s="10" t="s">
        <v>11077</v>
      </c>
      <c r="H3034" s="13" t="s">
        <v>11078</v>
      </c>
    </row>
    <row r="3035" spans="1:8">
      <c r="A3035" t="s">
        <v>5533</v>
      </c>
      <c r="B3035" t="s">
        <v>5534</v>
      </c>
      <c r="C3035" s="1" t="s">
        <v>9110</v>
      </c>
      <c r="D3035" s="1"/>
      <c r="E3035" s="1" t="str">
        <f t="shared" si="184"/>
        <v>https://www.kegg.jp/dbget-bin/www_bget?ec:1.17.4.1</v>
      </c>
      <c r="F3035" s="1" t="s">
        <v>10161</v>
      </c>
      <c r="G3035" s="10" t="s">
        <v>11079</v>
      </c>
      <c r="H3035" s="13" t="s">
        <v>11080</v>
      </c>
    </row>
    <row r="3036" spans="1:8">
      <c r="A3036" t="s">
        <v>5533</v>
      </c>
      <c r="B3036" t="s">
        <v>5534</v>
      </c>
      <c r="C3036" s="1" t="s">
        <v>9110</v>
      </c>
      <c r="D3036" s="1"/>
      <c r="E3036" s="1" t="str">
        <f t="shared" si="184"/>
        <v>https://www.kegg.jp/dbget-bin/www_bget?ec:1.17.4.1</v>
      </c>
      <c r="F3036" s="1" t="s">
        <v>10161</v>
      </c>
      <c r="G3036" s="10" t="s">
        <v>11081</v>
      </c>
      <c r="H3036" s="13" t="s">
        <v>11082</v>
      </c>
    </row>
    <row r="3037" spans="1:8">
      <c r="A3037" t="s">
        <v>5533</v>
      </c>
      <c r="B3037" t="s">
        <v>5534</v>
      </c>
      <c r="C3037" s="1" t="s">
        <v>9110</v>
      </c>
      <c r="D3037" s="1"/>
      <c r="E3037" s="1" t="str">
        <f t="shared" si="184"/>
        <v>https://www.kegg.jp/dbget-bin/www_bget?ec:1.17.4.1</v>
      </c>
      <c r="F3037" s="1" t="s">
        <v>10161</v>
      </c>
      <c r="G3037" s="10" t="s">
        <v>11083</v>
      </c>
      <c r="H3037" s="13" t="s">
        <v>11084</v>
      </c>
    </row>
    <row r="3038" spans="1:8">
      <c r="A3038" t="s">
        <v>5533</v>
      </c>
      <c r="B3038" t="s">
        <v>5534</v>
      </c>
      <c r="C3038" s="1" t="s">
        <v>9110</v>
      </c>
      <c r="D3038" s="1"/>
      <c r="E3038" s="1" t="str">
        <f t="shared" si="184"/>
        <v>https://www.kegg.jp/dbget-bin/www_bget?ec:1.17.4.1</v>
      </c>
      <c r="F3038" s="1" t="s">
        <v>10161</v>
      </c>
      <c r="G3038" s="10" t="s">
        <v>11085</v>
      </c>
      <c r="H3038" s="13" t="s">
        <v>11086</v>
      </c>
    </row>
    <row r="3039" spans="1:8">
      <c r="A3039" t="s">
        <v>5535</v>
      </c>
      <c r="B3039" t="s">
        <v>5536</v>
      </c>
      <c r="E3039" s="1"/>
    </row>
    <row r="3040" spans="1:8">
      <c r="A3040" t="s">
        <v>5537</v>
      </c>
      <c r="B3040" t="s">
        <v>5538</v>
      </c>
      <c r="E3040" s="1"/>
    </row>
    <row r="3041" spans="1:8">
      <c r="A3041" t="s">
        <v>5539</v>
      </c>
      <c r="B3041" t="s">
        <v>5540</v>
      </c>
      <c r="C3041" s="1" t="s">
        <v>9111</v>
      </c>
      <c r="D3041" s="1"/>
      <c r="E3041" s="1" t="str">
        <f>HYPERLINK("https://www.kegg.jp/dbget-bin/www_bget?ec:" &amp; C3041, "https://www.kegg.jp/dbget-bin/www_bget?ec:" &amp; C3041)</f>
        <v>https://www.kegg.jp/dbget-bin/www_bget?ec:4.1.2.25</v>
      </c>
      <c r="F3041" s="1" t="s">
        <v>10178</v>
      </c>
      <c r="G3041" s="10" t="s">
        <v>10179</v>
      </c>
      <c r="H3041" s="13" t="s">
        <v>11087</v>
      </c>
    </row>
    <row r="3042" spans="1:8">
      <c r="A3042" t="s">
        <v>5541</v>
      </c>
      <c r="B3042" t="s">
        <v>5542</v>
      </c>
      <c r="E3042" s="1"/>
    </row>
    <row r="3043" spans="1:8">
      <c r="A3043" t="s">
        <v>5543</v>
      </c>
      <c r="B3043" t="s">
        <v>5544</v>
      </c>
      <c r="E3043" s="1"/>
    </row>
    <row r="3044" spans="1:8">
      <c r="A3044" t="s">
        <v>5545</v>
      </c>
      <c r="B3044" t="s">
        <v>5546</v>
      </c>
      <c r="E3044" s="1"/>
    </row>
    <row r="3045" spans="1:8">
      <c r="B3045" t="s">
        <v>5547</v>
      </c>
      <c r="E3045" s="1"/>
    </row>
    <row r="3046" spans="1:8">
      <c r="B3046" t="s">
        <v>5548</v>
      </c>
      <c r="E3046" s="1"/>
    </row>
    <row r="3047" spans="1:8">
      <c r="A3047" t="s">
        <v>5549</v>
      </c>
      <c r="B3047" t="s">
        <v>5550</v>
      </c>
      <c r="E3047" s="1"/>
    </row>
    <row r="3048" spans="1:8">
      <c r="A3048" t="s">
        <v>5551</v>
      </c>
      <c r="B3048" t="s">
        <v>5552</v>
      </c>
      <c r="E3048" s="1"/>
    </row>
    <row r="3049" spans="1:8">
      <c r="A3049" t="s">
        <v>5553</v>
      </c>
      <c r="B3049" t="s">
        <v>5554</v>
      </c>
      <c r="E3049" s="1"/>
    </row>
    <row r="3050" spans="1:8">
      <c r="A3050" t="s">
        <v>5555</v>
      </c>
      <c r="B3050" t="s">
        <v>5556</v>
      </c>
      <c r="E3050" s="1"/>
    </row>
    <row r="3051" spans="1:8">
      <c r="A3051" t="s">
        <v>5557</v>
      </c>
      <c r="B3051" t="s">
        <v>5558</v>
      </c>
      <c r="E3051" s="1"/>
    </row>
    <row r="3052" spans="1:8">
      <c r="A3052" t="s">
        <v>5559</v>
      </c>
      <c r="B3052" t="s">
        <v>5560</v>
      </c>
      <c r="E3052" s="1"/>
    </row>
    <row r="3053" spans="1:8">
      <c r="A3053" t="s">
        <v>5561</v>
      </c>
      <c r="B3053" t="s">
        <v>5562</v>
      </c>
      <c r="E3053" s="1"/>
    </row>
    <row r="3054" spans="1:8">
      <c r="A3054" t="s">
        <v>5563</v>
      </c>
      <c r="B3054" t="s">
        <v>5564</v>
      </c>
      <c r="E3054" s="1"/>
    </row>
    <row r="3055" spans="1:8">
      <c r="A3055" t="s">
        <v>5565</v>
      </c>
      <c r="B3055" t="s">
        <v>5566</v>
      </c>
      <c r="E3055" s="1"/>
    </row>
    <row r="3056" spans="1:8">
      <c r="A3056" t="s">
        <v>5567</v>
      </c>
      <c r="B3056" t="s">
        <v>5568</v>
      </c>
      <c r="E3056" s="1"/>
    </row>
    <row r="3057" spans="1:9">
      <c r="A3057" t="s">
        <v>5569</v>
      </c>
      <c r="B3057" t="s">
        <v>5570</v>
      </c>
      <c r="E3057" s="1"/>
    </row>
    <row r="3058" spans="1:9">
      <c r="A3058" t="s">
        <v>5571</v>
      </c>
      <c r="B3058" t="s">
        <v>5572</v>
      </c>
      <c r="E3058" s="1"/>
    </row>
    <row r="3059" spans="1:9">
      <c r="A3059" t="s">
        <v>5573</v>
      </c>
      <c r="B3059" t="s">
        <v>5574</v>
      </c>
      <c r="E3059" s="1"/>
    </row>
    <row r="3060" spans="1:9">
      <c r="A3060" t="s">
        <v>5575</v>
      </c>
      <c r="B3060" t="s">
        <v>5576</v>
      </c>
      <c r="C3060" s="1" t="s">
        <v>70</v>
      </c>
      <c r="D3060" s="1"/>
      <c r="E3060" s="1" t="s">
        <v>9286</v>
      </c>
      <c r="F3060" s="19" t="s">
        <v>9269</v>
      </c>
      <c r="G3060" s="12" t="s">
        <v>9270</v>
      </c>
      <c r="H3060" s="20" t="s">
        <v>9287</v>
      </c>
      <c r="I3060" s="20"/>
    </row>
    <row r="3061" spans="1:9">
      <c r="A3061" t="s">
        <v>5577</v>
      </c>
      <c r="B3061" t="s">
        <v>5578</v>
      </c>
      <c r="E3061" s="1"/>
    </row>
    <row r="3062" spans="1:9">
      <c r="A3062" t="s">
        <v>5579</v>
      </c>
      <c r="B3062" t="s">
        <v>5580</v>
      </c>
      <c r="E3062" s="1"/>
    </row>
    <row r="3063" spans="1:9">
      <c r="A3063" t="s">
        <v>5581</v>
      </c>
      <c r="B3063" t="s">
        <v>5582</v>
      </c>
      <c r="E3063" s="1"/>
    </row>
    <row r="3064" spans="1:9">
      <c r="A3064" t="s">
        <v>5583</v>
      </c>
      <c r="B3064" t="s">
        <v>5584</v>
      </c>
      <c r="E3064" s="1"/>
    </row>
    <row r="3065" spans="1:9">
      <c r="A3065" t="s">
        <v>5585</v>
      </c>
      <c r="B3065" t="s">
        <v>5586</v>
      </c>
      <c r="E3065" s="1"/>
    </row>
    <row r="3066" spans="1:9">
      <c r="A3066" t="s">
        <v>5587</v>
      </c>
      <c r="B3066" t="s">
        <v>5588</v>
      </c>
      <c r="E3066" s="1"/>
    </row>
    <row r="3067" spans="1:9">
      <c r="A3067" t="s">
        <v>5589</v>
      </c>
      <c r="B3067" t="s">
        <v>5590</v>
      </c>
      <c r="E3067" s="1"/>
    </row>
    <row r="3068" spans="1:9">
      <c r="A3068" t="s">
        <v>5591</v>
      </c>
      <c r="B3068" t="s">
        <v>5592</v>
      </c>
      <c r="E3068" s="1"/>
    </row>
    <row r="3069" spans="1:9">
      <c r="A3069" t="s">
        <v>5593</v>
      </c>
      <c r="B3069" t="s">
        <v>5594</v>
      </c>
      <c r="E3069" s="1"/>
    </row>
    <row r="3070" spans="1:9">
      <c r="A3070" t="s">
        <v>5595</v>
      </c>
      <c r="B3070" t="s">
        <v>5596</v>
      </c>
      <c r="E3070" s="1"/>
    </row>
    <row r="3071" spans="1:9">
      <c r="A3071" t="s">
        <v>5597</v>
      </c>
      <c r="B3071" t="s">
        <v>5598</v>
      </c>
      <c r="E3071" s="1"/>
    </row>
    <row r="3072" spans="1:9">
      <c r="A3072" t="s">
        <v>5599</v>
      </c>
      <c r="B3072" t="s">
        <v>5600</v>
      </c>
      <c r="E3072" s="1"/>
    </row>
    <row r="3073" spans="1:8">
      <c r="A3073" t="s">
        <v>5601</v>
      </c>
      <c r="B3073" t="s">
        <v>5602</v>
      </c>
      <c r="C3073" s="1" t="s">
        <v>388</v>
      </c>
      <c r="D3073" s="1"/>
      <c r="E3073" s="1" t="str">
        <f>HYPERLINK("https://www.kegg.jp/dbget-bin/www_bget?ec:" &amp; C3073, "https://www.kegg.jp/dbget-bin/www_bget?ec:" &amp; C3073)</f>
        <v>https://www.kegg.jp/dbget-bin/www_bget?ec:4.2.1.47</v>
      </c>
      <c r="F3073" s="1" t="s">
        <v>9340</v>
      </c>
      <c r="G3073" s="10" t="s">
        <v>9384</v>
      </c>
      <c r="H3073" s="13" t="s">
        <v>9577</v>
      </c>
    </row>
    <row r="3074" spans="1:8">
      <c r="A3074" t="s">
        <v>5603</v>
      </c>
      <c r="B3074" t="s">
        <v>5604</v>
      </c>
      <c r="E3074" s="1"/>
    </row>
    <row r="3075" spans="1:8">
      <c r="A3075" t="s">
        <v>5605</v>
      </c>
      <c r="B3075" t="s">
        <v>5606</v>
      </c>
      <c r="E3075" s="1"/>
    </row>
    <row r="3076" spans="1:8">
      <c r="A3076" t="s">
        <v>5607</v>
      </c>
      <c r="B3076" t="s">
        <v>5608</v>
      </c>
      <c r="E3076" s="1"/>
    </row>
    <row r="3077" spans="1:8">
      <c r="A3077" t="s">
        <v>5609</v>
      </c>
      <c r="B3077" t="s">
        <v>5610</v>
      </c>
      <c r="E3077" s="1"/>
    </row>
    <row r="3078" spans="1:8">
      <c r="A3078" t="s">
        <v>5611</v>
      </c>
      <c r="B3078" t="s">
        <v>5612</v>
      </c>
      <c r="E3078" s="1"/>
    </row>
    <row r="3079" spans="1:8">
      <c r="A3079" t="s">
        <v>5613</v>
      </c>
      <c r="B3079" t="s">
        <v>5614</v>
      </c>
      <c r="E3079" s="1"/>
    </row>
    <row r="3080" spans="1:8">
      <c r="A3080" t="s">
        <v>5615</v>
      </c>
      <c r="B3080" t="s">
        <v>5616</v>
      </c>
      <c r="E3080" s="1"/>
    </row>
    <row r="3081" spans="1:8">
      <c r="A3081" t="s">
        <v>5617</v>
      </c>
      <c r="B3081" t="s">
        <v>5618</v>
      </c>
      <c r="E3081" s="1"/>
    </row>
    <row r="3082" spans="1:8">
      <c r="A3082" t="s">
        <v>5619</v>
      </c>
      <c r="B3082" t="s">
        <v>5620</v>
      </c>
      <c r="E3082" s="1"/>
    </row>
    <row r="3083" spans="1:8">
      <c r="A3083" t="s">
        <v>5621</v>
      </c>
      <c r="B3083" t="s">
        <v>5622</v>
      </c>
      <c r="E3083" s="1"/>
    </row>
    <row r="3084" spans="1:8">
      <c r="A3084" t="s">
        <v>5623</v>
      </c>
      <c r="B3084" t="s">
        <v>5624</v>
      </c>
      <c r="E3084" s="1"/>
    </row>
    <row r="3085" spans="1:8">
      <c r="A3085" t="s">
        <v>5625</v>
      </c>
      <c r="B3085" t="s">
        <v>5626</v>
      </c>
      <c r="E3085" s="1"/>
    </row>
    <row r="3086" spans="1:8">
      <c r="A3086" t="s">
        <v>5627</v>
      </c>
      <c r="B3086" t="s">
        <v>5628</v>
      </c>
      <c r="E3086" s="1"/>
    </row>
    <row r="3087" spans="1:8">
      <c r="A3087" t="s">
        <v>5629</v>
      </c>
      <c r="B3087" t="s">
        <v>5630</v>
      </c>
      <c r="E3087" s="1"/>
    </row>
    <row r="3088" spans="1:8">
      <c r="A3088" t="s">
        <v>5631</v>
      </c>
      <c r="B3088" t="s">
        <v>5632</v>
      </c>
      <c r="E3088" s="1"/>
    </row>
    <row r="3089" spans="1:8">
      <c r="A3089" t="s">
        <v>5633</v>
      </c>
      <c r="B3089" t="s">
        <v>5634</v>
      </c>
      <c r="E3089" s="1"/>
    </row>
    <row r="3090" spans="1:8">
      <c r="A3090" t="s">
        <v>5635</v>
      </c>
      <c r="B3090" t="s">
        <v>5636</v>
      </c>
      <c r="E3090" s="1"/>
    </row>
    <row r="3091" spans="1:8">
      <c r="A3091" t="s">
        <v>5637</v>
      </c>
      <c r="B3091" t="s">
        <v>5638</v>
      </c>
      <c r="E3091" s="1"/>
    </row>
    <row r="3092" spans="1:8">
      <c r="A3092" t="s">
        <v>5639</v>
      </c>
      <c r="B3092" t="s">
        <v>5640</v>
      </c>
      <c r="E3092" s="1"/>
    </row>
    <row r="3093" spans="1:8">
      <c r="A3093" t="s">
        <v>5641</v>
      </c>
      <c r="B3093" t="s">
        <v>5642</v>
      </c>
      <c r="E3093" s="1"/>
    </row>
    <row r="3094" spans="1:8">
      <c r="A3094" t="s">
        <v>5643</v>
      </c>
      <c r="B3094" t="s">
        <v>5644</v>
      </c>
      <c r="E3094" s="1"/>
    </row>
    <row r="3095" spans="1:8">
      <c r="A3095" t="s">
        <v>5645</v>
      </c>
      <c r="B3095" t="s">
        <v>5646</v>
      </c>
      <c r="E3095" s="1"/>
    </row>
    <row r="3096" spans="1:8">
      <c r="A3096" t="s">
        <v>5647</v>
      </c>
      <c r="B3096" t="s">
        <v>5648</v>
      </c>
      <c r="E3096" s="1"/>
    </row>
    <row r="3097" spans="1:8">
      <c r="A3097" t="s">
        <v>5649</v>
      </c>
      <c r="B3097" t="s">
        <v>5650</v>
      </c>
      <c r="E3097" s="1"/>
    </row>
    <row r="3098" spans="1:8">
      <c r="A3098" t="s">
        <v>5651</v>
      </c>
      <c r="B3098" t="s">
        <v>5652</v>
      </c>
      <c r="E3098" s="1"/>
    </row>
    <row r="3099" spans="1:8">
      <c r="A3099" t="s">
        <v>5653</v>
      </c>
      <c r="B3099" t="s">
        <v>5654</v>
      </c>
      <c r="E3099" s="1"/>
    </row>
    <row r="3100" spans="1:8">
      <c r="A3100" t="s">
        <v>5655</v>
      </c>
      <c r="B3100" t="s">
        <v>5656</v>
      </c>
      <c r="C3100" s="1" t="s">
        <v>9112</v>
      </c>
      <c r="D3100" s="1"/>
      <c r="E3100" s="1" t="str">
        <f>HYPERLINK("https://www.kegg.jp/dbget-bin/www_bget?ec:" &amp; C3100, "https://www.kegg.jp/dbget-bin/www_bget?ec:" &amp; C3100)</f>
        <v>https://www.kegg.jp/dbget-bin/www_bget?ec:1.2.1.38</v>
      </c>
      <c r="F3100" t="s">
        <v>10181</v>
      </c>
      <c r="G3100" s="10" t="s">
        <v>12781</v>
      </c>
      <c r="H3100" s="13" t="s">
        <v>12782</v>
      </c>
    </row>
    <row r="3101" spans="1:8">
      <c r="A3101" t="s">
        <v>5657</v>
      </c>
      <c r="B3101" t="s">
        <v>5658</v>
      </c>
      <c r="E3101" s="1"/>
    </row>
    <row r="3102" spans="1:8">
      <c r="A3102" t="s">
        <v>5659</v>
      </c>
      <c r="B3102" t="s">
        <v>5660</v>
      </c>
      <c r="E3102" s="1"/>
    </row>
    <row r="3103" spans="1:8">
      <c r="A3103" t="s">
        <v>5661</v>
      </c>
      <c r="B3103" t="s">
        <v>5662</v>
      </c>
      <c r="E3103" s="1"/>
    </row>
    <row r="3104" spans="1:8">
      <c r="A3104" t="s">
        <v>5663</v>
      </c>
      <c r="B3104" t="s">
        <v>5664</v>
      </c>
      <c r="E3104" s="1"/>
    </row>
    <row r="3105" spans="1:8">
      <c r="A3105" t="s">
        <v>5665</v>
      </c>
      <c r="B3105" t="s">
        <v>5666</v>
      </c>
      <c r="E3105" s="1"/>
    </row>
    <row r="3106" spans="1:8">
      <c r="A3106" t="s">
        <v>5667</v>
      </c>
      <c r="B3106" t="s">
        <v>5668</v>
      </c>
      <c r="E3106" s="1"/>
    </row>
    <row r="3107" spans="1:8">
      <c r="A3107" t="s">
        <v>5669</v>
      </c>
      <c r="B3107" t="s">
        <v>5670</v>
      </c>
      <c r="C3107" s="2" t="s">
        <v>4156</v>
      </c>
      <c r="D3107" s="2"/>
      <c r="E3107" s="1" t="str">
        <f>HYPERLINK("https://www.kegg.jp/dbget-bin/www_bget?ec:" &amp; C3107, "https://www.kegg.jp/dbget-bin/www_bget?ec:" &amp; C3107)</f>
        <v>https://www.kegg.jp/dbget-bin/www_bget?ec:6.3.4.14</v>
      </c>
      <c r="F3107" s="19" t="s">
        <v>9955</v>
      </c>
      <c r="G3107" s="22" t="s">
        <v>10947</v>
      </c>
      <c r="H3107" s="20" t="s">
        <v>10948</v>
      </c>
    </row>
    <row r="3108" spans="1:8">
      <c r="A3108" t="s">
        <v>5671</v>
      </c>
      <c r="B3108" t="s">
        <v>5672</v>
      </c>
      <c r="E3108" s="1"/>
    </row>
    <row r="3109" spans="1:8">
      <c r="A3109" t="s">
        <v>5673</v>
      </c>
      <c r="B3109" t="s">
        <v>5674</v>
      </c>
      <c r="E3109" s="1"/>
    </row>
    <row r="3110" spans="1:8">
      <c r="A3110" t="s">
        <v>5675</v>
      </c>
      <c r="B3110" t="s">
        <v>5676</v>
      </c>
      <c r="E3110" s="1"/>
    </row>
    <row r="3111" spans="1:8">
      <c r="A3111" t="s">
        <v>5677</v>
      </c>
      <c r="B3111" t="s">
        <v>5678</v>
      </c>
      <c r="C3111" s="1" t="s">
        <v>9113</v>
      </c>
      <c r="D3111" s="1"/>
      <c r="E3111" s="1" t="str">
        <f>HYPERLINK("https://www.kegg.jp/dbget-bin/www_bget?ec:" &amp; C3111, "https://www.kegg.jp/dbget-bin/www_bget?ec:" &amp; C3111)</f>
        <v>https://www.kegg.jp/dbget-bin/www_bget?ec:4.2.1.126</v>
      </c>
      <c r="F3111" t="s">
        <v>10181</v>
      </c>
      <c r="G3111" s="10" t="s">
        <v>11088</v>
      </c>
      <c r="H3111" s="13" t="s">
        <v>11089</v>
      </c>
    </row>
    <row r="3112" spans="1:8">
      <c r="A3112" t="s">
        <v>5679</v>
      </c>
      <c r="B3112" t="s">
        <v>5680</v>
      </c>
      <c r="E3112" s="1"/>
    </row>
    <row r="3113" spans="1:8">
      <c r="A3113" t="s">
        <v>5681</v>
      </c>
      <c r="B3113" t="s">
        <v>5682</v>
      </c>
      <c r="E3113" s="1"/>
    </row>
    <row r="3114" spans="1:8">
      <c r="A3114" t="s">
        <v>5683</v>
      </c>
      <c r="B3114" t="s">
        <v>5684</v>
      </c>
      <c r="E3114" s="1"/>
    </row>
    <row r="3115" spans="1:8">
      <c r="A3115" t="s">
        <v>5685</v>
      </c>
      <c r="B3115" t="s">
        <v>5686</v>
      </c>
      <c r="E3115" s="1"/>
    </row>
    <row r="3116" spans="1:8">
      <c r="A3116" t="s">
        <v>5687</v>
      </c>
      <c r="B3116" t="s">
        <v>5688</v>
      </c>
      <c r="E3116" s="1"/>
    </row>
    <row r="3117" spans="1:8">
      <c r="A3117" t="s">
        <v>5689</v>
      </c>
      <c r="B3117" t="s">
        <v>5690</v>
      </c>
      <c r="E3117" s="1"/>
    </row>
    <row r="3118" spans="1:8">
      <c r="A3118" t="s">
        <v>5691</v>
      </c>
      <c r="B3118" t="s">
        <v>5692</v>
      </c>
      <c r="E3118" s="1"/>
    </row>
    <row r="3119" spans="1:8">
      <c r="A3119" t="s">
        <v>5693</v>
      </c>
      <c r="B3119" t="s">
        <v>5694</v>
      </c>
      <c r="E3119" s="1"/>
    </row>
    <row r="3120" spans="1:8">
      <c r="A3120" t="s">
        <v>5695</v>
      </c>
      <c r="B3120" t="s">
        <v>5696</v>
      </c>
      <c r="E3120" s="1"/>
    </row>
    <row r="3121" spans="1:8">
      <c r="A3121" t="s">
        <v>5697</v>
      </c>
      <c r="B3121" t="s">
        <v>5698</v>
      </c>
      <c r="E3121" s="1"/>
    </row>
    <row r="3122" spans="1:8" ht="17" customHeight="1">
      <c r="A3122" t="s">
        <v>5699</v>
      </c>
      <c r="B3122" t="s">
        <v>5700</v>
      </c>
      <c r="C3122" s="1" t="s">
        <v>1890</v>
      </c>
      <c r="D3122" s="1"/>
      <c r="E3122" s="1" t="str">
        <f>HYPERLINK("https://www.kegg.jp/dbget-bin/www_bget?ec:" &amp; C3122, "https://www.kegg.jp/dbget-bin/www_bget?ec:" &amp; C3122)</f>
        <v>https://www.kegg.jp/dbget-bin/www_bget?ec:1.1.1.205</v>
      </c>
      <c r="F3122" s="1" t="s">
        <v>9628</v>
      </c>
      <c r="G3122" s="21" t="s">
        <v>10689</v>
      </c>
      <c r="H3122" s="13" t="s">
        <v>11090</v>
      </c>
    </row>
    <row r="3123" spans="1:8">
      <c r="A3123" t="s">
        <v>5699</v>
      </c>
      <c r="B3123" t="s">
        <v>5700</v>
      </c>
      <c r="C3123" s="1" t="s">
        <v>1890</v>
      </c>
      <c r="D3123" s="1"/>
      <c r="E3123" s="1" t="str">
        <f>HYPERLINK("https://www.kegg.jp/dbget-bin/www_bget?ec:" &amp; C3123, "https://www.kegg.jp/dbget-bin/www_bget?ec:" &amp; C3123)</f>
        <v>https://www.kegg.jp/dbget-bin/www_bget?ec:1.1.1.205</v>
      </c>
      <c r="F3123" t="s">
        <v>9628</v>
      </c>
      <c r="G3123" s="10" t="s">
        <v>11091</v>
      </c>
      <c r="H3123" s="13" t="s">
        <v>10692</v>
      </c>
    </row>
    <row r="3124" spans="1:8">
      <c r="A3124" t="s">
        <v>5701</v>
      </c>
      <c r="B3124" t="s">
        <v>5702</v>
      </c>
      <c r="E3124" s="1"/>
    </row>
    <row r="3125" spans="1:8">
      <c r="A3125" t="s">
        <v>5703</v>
      </c>
      <c r="B3125" t="s">
        <v>5704</v>
      </c>
      <c r="E3125" s="1"/>
    </row>
    <row r="3126" spans="1:8">
      <c r="A3126" t="s">
        <v>5705</v>
      </c>
      <c r="B3126" t="s">
        <v>5706</v>
      </c>
      <c r="E3126" s="1"/>
    </row>
    <row r="3127" spans="1:8">
      <c r="A3127" t="s">
        <v>5707</v>
      </c>
      <c r="B3127" t="s">
        <v>5708</v>
      </c>
      <c r="E3127" s="1"/>
    </row>
    <row r="3128" spans="1:8">
      <c r="A3128" t="s">
        <v>5709</v>
      </c>
      <c r="B3128" t="s">
        <v>5710</v>
      </c>
      <c r="E3128" s="1"/>
    </row>
    <row r="3129" spans="1:8">
      <c r="A3129" t="s">
        <v>5711</v>
      </c>
      <c r="B3129" t="s">
        <v>5712</v>
      </c>
      <c r="E3129" s="1"/>
    </row>
    <row r="3130" spans="1:8">
      <c r="A3130" t="s">
        <v>5713</v>
      </c>
      <c r="B3130" t="s">
        <v>5714</v>
      </c>
      <c r="E3130" s="1"/>
    </row>
    <row r="3131" spans="1:8">
      <c r="A3131" t="s">
        <v>5715</v>
      </c>
      <c r="B3131" t="s">
        <v>5716</v>
      </c>
      <c r="E3131" s="1"/>
    </row>
    <row r="3132" spans="1:8">
      <c r="A3132" t="s">
        <v>5717</v>
      </c>
      <c r="B3132" t="s">
        <v>5718</v>
      </c>
      <c r="E3132" s="1"/>
    </row>
    <row r="3133" spans="1:8">
      <c r="A3133" t="s">
        <v>5719</v>
      </c>
      <c r="B3133" t="s">
        <v>5720</v>
      </c>
      <c r="E3133" s="1"/>
    </row>
    <row r="3134" spans="1:8">
      <c r="A3134" t="s">
        <v>5721</v>
      </c>
      <c r="B3134" t="s">
        <v>5722</v>
      </c>
      <c r="E3134" s="1"/>
    </row>
    <row r="3135" spans="1:8">
      <c r="A3135" t="s">
        <v>5723</v>
      </c>
      <c r="B3135" t="s">
        <v>5724</v>
      </c>
      <c r="E3135" s="1"/>
    </row>
    <row r="3136" spans="1:8">
      <c r="A3136" t="s">
        <v>5725</v>
      </c>
      <c r="B3136" t="s">
        <v>5726</v>
      </c>
      <c r="E3136" s="1"/>
    </row>
    <row r="3137" spans="1:8">
      <c r="A3137" t="s">
        <v>5727</v>
      </c>
      <c r="B3137" t="s">
        <v>5728</v>
      </c>
      <c r="E3137" s="1"/>
    </row>
    <row r="3138" spans="1:8">
      <c r="A3138" t="s">
        <v>5729</v>
      </c>
      <c r="B3138" t="s">
        <v>5730</v>
      </c>
      <c r="E3138" s="1"/>
    </row>
    <row r="3139" spans="1:8">
      <c r="A3139" t="s">
        <v>5731</v>
      </c>
      <c r="B3139" t="s">
        <v>5732</v>
      </c>
      <c r="E3139" s="1"/>
    </row>
    <row r="3140" spans="1:8">
      <c r="A3140" t="s">
        <v>5733</v>
      </c>
      <c r="B3140" t="s">
        <v>5734</v>
      </c>
      <c r="E3140" s="1"/>
    </row>
    <row r="3141" spans="1:8">
      <c r="A3141" t="s">
        <v>5735</v>
      </c>
      <c r="B3141" t="s">
        <v>5736</v>
      </c>
      <c r="E3141" s="1"/>
    </row>
    <row r="3142" spans="1:8">
      <c r="A3142" t="s">
        <v>5737</v>
      </c>
      <c r="B3142" t="s">
        <v>5738</v>
      </c>
      <c r="C3142" s="1" t="s">
        <v>337</v>
      </c>
      <c r="D3142" s="1"/>
      <c r="E3142" s="1" t="str">
        <f>HYPERLINK("https://www.kegg.jp/dbget-bin/www_bget?ec:" &amp; C3142, "https://www.kegg.jp/dbget-bin/www_bget?ec:" &amp; C3142)</f>
        <v>https://www.kegg.jp/dbget-bin/www_bget?ec:1.7.2.2</v>
      </c>
      <c r="F3142" t="s">
        <v>9326</v>
      </c>
      <c r="G3142" s="10" t="s">
        <v>9327</v>
      </c>
      <c r="H3142" s="13" t="s">
        <v>9328</v>
      </c>
    </row>
    <row r="3143" spans="1:8">
      <c r="A3143" t="s">
        <v>5739</v>
      </c>
      <c r="B3143" t="s">
        <v>5740</v>
      </c>
      <c r="E3143" s="1"/>
    </row>
    <row r="3144" spans="1:8">
      <c r="A3144" t="s">
        <v>5741</v>
      </c>
      <c r="B3144" t="s">
        <v>5742</v>
      </c>
      <c r="C3144" s="1" t="s">
        <v>337</v>
      </c>
      <c r="D3144" s="1"/>
      <c r="E3144" s="1" t="str">
        <f>HYPERLINK("https://www.kegg.jp/dbget-bin/www_bget?ec:" &amp; C3144, "https://www.kegg.jp/dbget-bin/www_bget?ec:" &amp; C3144)</f>
        <v>https://www.kegg.jp/dbget-bin/www_bget?ec:1.7.2.2</v>
      </c>
      <c r="F3144" t="s">
        <v>9326</v>
      </c>
      <c r="G3144" s="10" t="s">
        <v>9327</v>
      </c>
      <c r="H3144" s="13" t="s">
        <v>9328</v>
      </c>
    </row>
    <row r="3145" spans="1:8">
      <c r="A3145" t="s">
        <v>5743</v>
      </c>
      <c r="B3145" t="s">
        <v>5744</v>
      </c>
      <c r="E3145" s="1"/>
    </row>
    <row r="3146" spans="1:8">
      <c r="A3146" t="s">
        <v>5745</v>
      </c>
      <c r="B3146" t="s">
        <v>5746</v>
      </c>
      <c r="E3146" s="1"/>
    </row>
    <row r="3147" spans="1:8">
      <c r="A3147" t="s">
        <v>5747</v>
      </c>
      <c r="B3147" t="s">
        <v>5748</v>
      </c>
      <c r="E3147" s="1"/>
    </row>
    <row r="3148" spans="1:8">
      <c r="A3148" t="s">
        <v>5749</v>
      </c>
      <c r="B3148" t="s">
        <v>5750</v>
      </c>
      <c r="E3148" s="1"/>
    </row>
    <row r="3149" spans="1:8">
      <c r="A3149" t="s">
        <v>5751</v>
      </c>
      <c r="B3149" t="s">
        <v>5752</v>
      </c>
      <c r="E3149" s="1"/>
    </row>
    <row r="3150" spans="1:8">
      <c r="A3150" t="s">
        <v>5753</v>
      </c>
      <c r="B3150" t="s">
        <v>5754</v>
      </c>
      <c r="E3150" s="1"/>
    </row>
    <row r="3151" spans="1:8">
      <c r="A3151" t="s">
        <v>5755</v>
      </c>
      <c r="B3151" t="s">
        <v>5756</v>
      </c>
      <c r="E3151" s="1"/>
    </row>
    <row r="3152" spans="1:8">
      <c r="A3152" t="s">
        <v>5757</v>
      </c>
      <c r="B3152" t="s">
        <v>5758</v>
      </c>
      <c r="E3152" s="1"/>
    </row>
    <row r="3153" spans="1:5">
      <c r="A3153" t="s">
        <v>5759</v>
      </c>
      <c r="B3153" t="s">
        <v>5760</v>
      </c>
      <c r="E3153" s="1"/>
    </row>
    <row r="3154" spans="1:5">
      <c r="A3154" t="s">
        <v>5761</v>
      </c>
      <c r="B3154" t="s">
        <v>5762</v>
      </c>
      <c r="E3154" s="1"/>
    </row>
    <row r="3155" spans="1:5">
      <c r="A3155" t="s">
        <v>5763</v>
      </c>
      <c r="B3155" t="s">
        <v>5764</v>
      </c>
      <c r="E3155" s="1"/>
    </row>
    <row r="3156" spans="1:5">
      <c r="B3156" t="s">
        <v>5765</v>
      </c>
      <c r="E3156" s="1"/>
    </row>
    <row r="3157" spans="1:5">
      <c r="A3157" t="s">
        <v>5766</v>
      </c>
      <c r="B3157" t="s">
        <v>5767</v>
      </c>
      <c r="E3157" s="1"/>
    </row>
    <row r="3158" spans="1:5">
      <c r="A3158" t="s">
        <v>5768</v>
      </c>
      <c r="B3158" t="s">
        <v>5769</v>
      </c>
      <c r="E3158" s="1"/>
    </row>
    <row r="3159" spans="1:5">
      <c r="A3159" t="s">
        <v>5770</v>
      </c>
      <c r="B3159" t="s">
        <v>5771</v>
      </c>
      <c r="E3159" s="1"/>
    </row>
    <row r="3160" spans="1:5">
      <c r="A3160" t="s">
        <v>5772</v>
      </c>
      <c r="B3160" t="s">
        <v>5773</v>
      </c>
      <c r="E3160" s="1"/>
    </row>
    <row r="3161" spans="1:5">
      <c r="A3161" t="s">
        <v>5774</v>
      </c>
      <c r="B3161" t="s">
        <v>5775</v>
      </c>
      <c r="E3161" s="1"/>
    </row>
    <row r="3162" spans="1:5">
      <c r="A3162" t="s">
        <v>5776</v>
      </c>
      <c r="B3162" t="s">
        <v>5777</v>
      </c>
      <c r="E3162" s="1"/>
    </row>
    <row r="3163" spans="1:5">
      <c r="A3163" t="s">
        <v>5778</v>
      </c>
      <c r="B3163" t="s">
        <v>5779</v>
      </c>
      <c r="E3163" s="1"/>
    </row>
    <row r="3164" spans="1:5">
      <c r="A3164" t="s">
        <v>5780</v>
      </c>
      <c r="B3164" t="s">
        <v>5781</v>
      </c>
      <c r="E3164" s="1"/>
    </row>
    <row r="3165" spans="1:5">
      <c r="A3165" t="s">
        <v>5782</v>
      </c>
      <c r="B3165" t="s">
        <v>5783</v>
      </c>
      <c r="E3165" s="1"/>
    </row>
    <row r="3166" spans="1:5">
      <c r="A3166" t="s">
        <v>5784</v>
      </c>
      <c r="B3166" t="s">
        <v>5785</v>
      </c>
      <c r="E3166" s="1"/>
    </row>
    <row r="3167" spans="1:5">
      <c r="A3167" t="s">
        <v>5786</v>
      </c>
      <c r="B3167" t="s">
        <v>5787</v>
      </c>
      <c r="E3167" s="1"/>
    </row>
    <row r="3168" spans="1:5">
      <c r="A3168" t="s">
        <v>5788</v>
      </c>
      <c r="B3168" t="s">
        <v>5789</v>
      </c>
      <c r="E3168" s="1"/>
    </row>
    <row r="3169" spans="1:5">
      <c r="A3169" t="s">
        <v>5790</v>
      </c>
      <c r="B3169" t="s">
        <v>5791</v>
      </c>
      <c r="E3169" s="1"/>
    </row>
    <row r="3170" spans="1:5">
      <c r="A3170" t="s">
        <v>5792</v>
      </c>
      <c r="B3170" t="s">
        <v>5793</v>
      </c>
      <c r="E3170" s="1"/>
    </row>
    <row r="3171" spans="1:5">
      <c r="A3171" t="s">
        <v>5794</v>
      </c>
      <c r="B3171" t="s">
        <v>5795</v>
      </c>
      <c r="E3171" s="1"/>
    </row>
    <row r="3172" spans="1:5">
      <c r="A3172" t="s">
        <v>5796</v>
      </c>
      <c r="B3172" t="s">
        <v>5797</v>
      </c>
      <c r="E3172" s="1"/>
    </row>
    <row r="3173" spans="1:5">
      <c r="A3173" t="s">
        <v>5798</v>
      </c>
      <c r="B3173" t="s">
        <v>5799</v>
      </c>
      <c r="E3173" s="1"/>
    </row>
    <row r="3174" spans="1:5">
      <c r="A3174" t="s">
        <v>5800</v>
      </c>
      <c r="B3174" t="s">
        <v>5801</v>
      </c>
      <c r="E3174" s="1"/>
    </row>
    <row r="3175" spans="1:5">
      <c r="A3175" t="s">
        <v>5802</v>
      </c>
      <c r="B3175" t="s">
        <v>5803</v>
      </c>
      <c r="E3175" s="1"/>
    </row>
    <row r="3176" spans="1:5">
      <c r="A3176" t="s">
        <v>5804</v>
      </c>
      <c r="B3176" t="s">
        <v>5805</v>
      </c>
      <c r="E3176" s="1"/>
    </row>
    <row r="3177" spans="1:5">
      <c r="A3177" t="s">
        <v>5806</v>
      </c>
      <c r="B3177" t="s">
        <v>5807</v>
      </c>
      <c r="E3177" s="1"/>
    </row>
    <row r="3178" spans="1:5">
      <c r="A3178" t="s">
        <v>5808</v>
      </c>
      <c r="B3178" t="s">
        <v>5809</v>
      </c>
      <c r="E3178" s="1"/>
    </row>
    <row r="3179" spans="1:5">
      <c r="A3179" t="s">
        <v>5810</v>
      </c>
      <c r="B3179" t="s">
        <v>5811</v>
      </c>
      <c r="E3179" s="1"/>
    </row>
    <row r="3180" spans="1:5">
      <c r="A3180" t="s">
        <v>5812</v>
      </c>
      <c r="B3180" t="s">
        <v>5813</v>
      </c>
      <c r="E3180" s="1"/>
    </row>
    <row r="3181" spans="1:5">
      <c r="A3181" t="s">
        <v>5814</v>
      </c>
      <c r="B3181" t="s">
        <v>5815</v>
      </c>
      <c r="E3181" s="1"/>
    </row>
    <row r="3182" spans="1:5">
      <c r="A3182" t="s">
        <v>5816</v>
      </c>
      <c r="B3182" t="s">
        <v>5817</v>
      </c>
      <c r="E3182" s="1"/>
    </row>
    <row r="3183" spans="1:5">
      <c r="A3183" t="s">
        <v>5818</v>
      </c>
      <c r="B3183" t="s">
        <v>5819</v>
      </c>
      <c r="E3183" s="1"/>
    </row>
    <row r="3184" spans="1:5">
      <c r="A3184" t="s">
        <v>5820</v>
      </c>
      <c r="B3184" t="s">
        <v>5821</v>
      </c>
      <c r="E3184" s="1"/>
    </row>
    <row r="3185" spans="1:5">
      <c r="A3185" t="s">
        <v>5822</v>
      </c>
      <c r="B3185" t="s">
        <v>5823</v>
      </c>
      <c r="E3185" s="1"/>
    </row>
    <row r="3186" spans="1:5">
      <c r="A3186" t="s">
        <v>5824</v>
      </c>
      <c r="B3186" t="s">
        <v>5825</v>
      </c>
      <c r="E3186" s="1"/>
    </row>
    <row r="3187" spans="1:5">
      <c r="A3187" t="s">
        <v>5826</v>
      </c>
      <c r="B3187" t="s">
        <v>5827</v>
      </c>
      <c r="E3187" s="1"/>
    </row>
    <row r="3188" spans="1:5">
      <c r="A3188" t="s">
        <v>5828</v>
      </c>
      <c r="B3188" t="s">
        <v>5829</v>
      </c>
      <c r="E3188" s="1"/>
    </row>
    <row r="3189" spans="1:5">
      <c r="A3189" t="s">
        <v>5830</v>
      </c>
      <c r="B3189" t="s">
        <v>5831</v>
      </c>
      <c r="E3189" s="1"/>
    </row>
    <row r="3190" spans="1:5">
      <c r="A3190" t="s">
        <v>5832</v>
      </c>
      <c r="B3190" t="s">
        <v>5833</v>
      </c>
      <c r="E3190" s="1"/>
    </row>
    <row r="3191" spans="1:5">
      <c r="B3191" t="s">
        <v>5834</v>
      </c>
      <c r="E3191" s="1"/>
    </row>
    <row r="3192" spans="1:5">
      <c r="B3192" t="s">
        <v>5835</v>
      </c>
      <c r="E3192" s="1"/>
    </row>
    <row r="3193" spans="1:5">
      <c r="B3193" t="s">
        <v>5836</v>
      </c>
      <c r="E3193" s="1"/>
    </row>
    <row r="3194" spans="1:5">
      <c r="B3194" t="s">
        <v>5837</v>
      </c>
      <c r="E3194" s="1"/>
    </row>
    <row r="3195" spans="1:5">
      <c r="B3195" t="s">
        <v>5838</v>
      </c>
      <c r="E3195" s="1"/>
    </row>
    <row r="3196" spans="1:5">
      <c r="A3196" t="s">
        <v>5839</v>
      </c>
      <c r="B3196" t="s">
        <v>5840</v>
      </c>
      <c r="E3196" s="1"/>
    </row>
    <row r="3197" spans="1:5">
      <c r="A3197" t="s">
        <v>5841</v>
      </c>
      <c r="B3197" t="s">
        <v>5842</v>
      </c>
      <c r="E3197" s="1"/>
    </row>
    <row r="3198" spans="1:5">
      <c r="A3198" t="s">
        <v>5843</v>
      </c>
      <c r="B3198" t="s">
        <v>5844</v>
      </c>
      <c r="E3198" s="1"/>
    </row>
    <row r="3199" spans="1:5">
      <c r="A3199" t="s">
        <v>5845</v>
      </c>
      <c r="B3199" t="s">
        <v>5846</v>
      </c>
      <c r="E3199" s="1"/>
    </row>
    <row r="3200" spans="1:5">
      <c r="A3200" t="s">
        <v>5847</v>
      </c>
      <c r="B3200" t="s">
        <v>5848</v>
      </c>
      <c r="E3200" s="1"/>
    </row>
    <row r="3201" spans="1:8">
      <c r="A3201" t="s">
        <v>5849</v>
      </c>
      <c r="B3201" t="s">
        <v>5850</v>
      </c>
      <c r="E3201" s="1"/>
    </row>
    <row r="3202" spans="1:8">
      <c r="A3202" t="s">
        <v>5851</v>
      </c>
      <c r="B3202" t="s">
        <v>5852</v>
      </c>
      <c r="E3202" s="1"/>
    </row>
    <row r="3203" spans="1:8">
      <c r="A3203" t="s">
        <v>5853</v>
      </c>
      <c r="B3203" t="s">
        <v>5854</v>
      </c>
      <c r="E3203" s="1"/>
    </row>
    <row r="3204" spans="1:8">
      <c r="A3204" t="s">
        <v>5855</v>
      </c>
      <c r="B3204" t="s">
        <v>5856</v>
      </c>
      <c r="E3204" s="1"/>
    </row>
    <row r="3205" spans="1:8">
      <c r="A3205" t="s">
        <v>5857</v>
      </c>
      <c r="B3205" t="s">
        <v>5858</v>
      </c>
      <c r="E3205" s="1"/>
    </row>
    <row r="3206" spans="1:8">
      <c r="A3206" t="s">
        <v>5859</v>
      </c>
      <c r="B3206" t="s">
        <v>5860</v>
      </c>
      <c r="C3206" s="1" t="s">
        <v>9114</v>
      </c>
      <c r="D3206" s="1"/>
      <c r="E3206" s="1" t="str">
        <f t="shared" ref="E3206:E3213" si="185">HYPERLINK("https://www.kegg.jp/dbget-bin/www_bget?ec:" &amp; C3206, "https://www.kegg.jp/dbget-bin/www_bget?ec:" &amp; C3206)</f>
        <v>https://www.kegg.jp/dbget-bin/www_bget?ec:5.3.1.9</v>
      </c>
      <c r="F3206" s="1" t="s">
        <v>10184</v>
      </c>
      <c r="G3206" s="10" t="s">
        <v>10185</v>
      </c>
      <c r="H3206" s="13" t="s">
        <v>10186</v>
      </c>
    </row>
    <row r="3207" spans="1:8">
      <c r="A3207" t="s">
        <v>5859</v>
      </c>
      <c r="B3207" t="s">
        <v>5860</v>
      </c>
      <c r="C3207" s="1" t="s">
        <v>9114</v>
      </c>
      <c r="D3207" s="1"/>
      <c r="E3207" s="1" t="str">
        <f t="shared" si="185"/>
        <v>https://www.kegg.jp/dbget-bin/www_bget?ec:5.3.1.9</v>
      </c>
      <c r="F3207" s="1" t="s">
        <v>10184</v>
      </c>
      <c r="G3207" s="10" t="s">
        <v>10187</v>
      </c>
      <c r="H3207" s="13" t="s">
        <v>10188</v>
      </c>
    </row>
    <row r="3208" spans="1:8">
      <c r="A3208" t="s">
        <v>5859</v>
      </c>
      <c r="B3208" t="s">
        <v>5860</v>
      </c>
      <c r="C3208" s="1" t="s">
        <v>9114</v>
      </c>
      <c r="D3208" s="1"/>
      <c r="E3208" s="1" t="str">
        <f t="shared" si="185"/>
        <v>https://www.kegg.jp/dbget-bin/www_bget?ec:5.3.1.9</v>
      </c>
      <c r="F3208" s="1" t="s">
        <v>10184</v>
      </c>
      <c r="G3208" s="10" t="s">
        <v>10185</v>
      </c>
      <c r="H3208" s="1" t="s">
        <v>10189</v>
      </c>
    </row>
    <row r="3209" spans="1:8">
      <c r="A3209" t="s">
        <v>5859</v>
      </c>
      <c r="B3209" t="s">
        <v>5860</v>
      </c>
      <c r="C3209" s="1" t="s">
        <v>9114</v>
      </c>
      <c r="D3209" s="1"/>
      <c r="E3209" s="1" t="str">
        <f t="shared" si="185"/>
        <v>https://www.kegg.jp/dbget-bin/www_bget?ec:5.3.1.9</v>
      </c>
      <c r="F3209" s="1" t="s">
        <v>10184</v>
      </c>
      <c r="G3209" s="1" t="s">
        <v>10190</v>
      </c>
      <c r="H3209" s="13" t="s">
        <v>10186</v>
      </c>
    </row>
    <row r="3210" spans="1:8">
      <c r="A3210" t="s">
        <v>5859</v>
      </c>
      <c r="B3210" t="s">
        <v>5860</v>
      </c>
      <c r="C3210" s="1" t="s">
        <v>9114</v>
      </c>
      <c r="D3210" s="1"/>
      <c r="E3210" s="1" t="str">
        <f t="shared" si="185"/>
        <v>https://www.kegg.jp/dbget-bin/www_bget?ec:5.3.1.9</v>
      </c>
      <c r="F3210" s="1" t="s">
        <v>10184</v>
      </c>
      <c r="G3210" s="10" t="s">
        <v>10185</v>
      </c>
      <c r="H3210" s="13" t="s">
        <v>10188</v>
      </c>
    </row>
    <row r="3211" spans="1:8">
      <c r="A3211" t="s">
        <v>5861</v>
      </c>
      <c r="B3211" t="s">
        <v>5862</v>
      </c>
      <c r="C3211" s="1" t="s">
        <v>9115</v>
      </c>
      <c r="D3211" s="1"/>
      <c r="E3211" s="1" t="str">
        <f t="shared" si="185"/>
        <v>https://www.kegg.jp/dbget-bin/www_bget?ec:1.1.1.94</v>
      </c>
      <c r="F3211" s="1" t="s">
        <v>10191</v>
      </c>
      <c r="G3211" s="10" t="s">
        <v>11092</v>
      </c>
      <c r="H3211" s="13" t="s">
        <v>11093</v>
      </c>
    </row>
    <row r="3212" spans="1:8">
      <c r="A3212" t="s">
        <v>5861</v>
      </c>
      <c r="B3212" t="s">
        <v>5862</v>
      </c>
      <c r="C3212" s="1" t="s">
        <v>9115</v>
      </c>
      <c r="D3212" s="1"/>
      <c r="E3212" s="1" t="str">
        <f t="shared" si="185"/>
        <v>https://www.kegg.jp/dbget-bin/www_bget?ec:1.1.1.94</v>
      </c>
      <c r="F3212" t="s">
        <v>10191</v>
      </c>
      <c r="G3212" s="10" t="s">
        <v>11094</v>
      </c>
      <c r="H3212" s="13" t="s">
        <v>11095</v>
      </c>
    </row>
    <row r="3213" spans="1:8">
      <c r="A3213" t="s">
        <v>5863</v>
      </c>
      <c r="B3213" t="s">
        <v>5864</v>
      </c>
      <c r="C3213" s="1" t="s">
        <v>9116</v>
      </c>
      <c r="D3213" s="1"/>
      <c r="E3213" s="1" t="str">
        <f t="shared" si="185"/>
        <v>https://www.kegg.jp/dbget-bin/www_bget?ec:6.1.1.6</v>
      </c>
      <c r="F3213" s="1" t="s">
        <v>10196</v>
      </c>
      <c r="G3213" s="10" t="s">
        <v>11096</v>
      </c>
      <c r="H3213" s="13" t="s">
        <v>11097</v>
      </c>
    </row>
    <row r="3214" spans="1:8">
      <c r="A3214" t="s">
        <v>5865</v>
      </c>
      <c r="B3214" t="s">
        <v>5866</v>
      </c>
      <c r="E3214" s="1"/>
    </row>
    <row r="3215" spans="1:8">
      <c r="A3215" t="s">
        <v>5867</v>
      </c>
      <c r="B3215" t="s">
        <v>5868</v>
      </c>
      <c r="E3215" s="1"/>
    </row>
    <row r="3216" spans="1:8">
      <c r="A3216" t="s">
        <v>5869</v>
      </c>
      <c r="B3216" t="s">
        <v>5870</v>
      </c>
      <c r="E3216" s="1"/>
    </row>
    <row r="3217" spans="1:8">
      <c r="A3217" t="s">
        <v>5871</v>
      </c>
      <c r="B3217" t="s">
        <v>5872</v>
      </c>
      <c r="E3217" s="1"/>
    </row>
    <row r="3218" spans="1:8">
      <c r="A3218" t="s">
        <v>5873</v>
      </c>
      <c r="B3218" t="s">
        <v>5874</v>
      </c>
      <c r="E3218" s="1"/>
    </row>
    <row r="3219" spans="1:8">
      <c r="A3219" t="s">
        <v>5875</v>
      </c>
      <c r="B3219" t="s">
        <v>5876</v>
      </c>
      <c r="E3219" s="1"/>
    </row>
    <row r="3220" spans="1:8">
      <c r="A3220" t="s">
        <v>5877</v>
      </c>
      <c r="B3220" t="s">
        <v>5878</v>
      </c>
      <c r="E3220" s="1"/>
    </row>
    <row r="3221" spans="1:8">
      <c r="A3221" t="s">
        <v>5879</v>
      </c>
      <c r="B3221" t="s">
        <v>5880</v>
      </c>
      <c r="C3221" s="1" t="s">
        <v>9117</v>
      </c>
      <c r="D3221" s="1"/>
      <c r="E3221" s="1" t="str">
        <f>HYPERLINK("https://www.kegg.jp/dbget-bin/www_bget?ec:" &amp; C3221, "https://www.kegg.jp/dbget-bin/www_bget?ec:" &amp; C3221)</f>
        <v>https://www.kegg.jp/dbget-bin/www_bget?ec:2.7.7.18</v>
      </c>
      <c r="F3221" t="s">
        <v>10199</v>
      </c>
      <c r="G3221" s="10" t="s">
        <v>11098</v>
      </c>
      <c r="H3221" s="13" t="s">
        <v>11099</v>
      </c>
    </row>
    <row r="3222" spans="1:8">
      <c r="A3222" t="s">
        <v>5879</v>
      </c>
      <c r="B3222" t="s">
        <v>5880</v>
      </c>
      <c r="C3222" s="1" t="s">
        <v>9117</v>
      </c>
      <c r="D3222" s="1"/>
      <c r="E3222" s="1" t="str">
        <f>HYPERLINK("https://www.kegg.jp/dbget-bin/www_bget?ec:" &amp; C3222, "https://www.kegg.jp/dbget-bin/www_bget?ec:" &amp; C3222)</f>
        <v>https://www.kegg.jp/dbget-bin/www_bget?ec:2.7.7.18</v>
      </c>
      <c r="F3222" t="s">
        <v>10199</v>
      </c>
      <c r="G3222" s="10" t="s">
        <v>11100</v>
      </c>
      <c r="H3222" s="13" t="s">
        <v>11101</v>
      </c>
    </row>
    <row r="3223" spans="1:8">
      <c r="A3223" t="s">
        <v>5881</v>
      </c>
      <c r="B3223" t="s">
        <v>5882</v>
      </c>
      <c r="E3223" s="1"/>
    </row>
    <row r="3224" spans="1:8">
      <c r="A3224" t="s">
        <v>5883</v>
      </c>
      <c r="B3224" t="s">
        <v>5884</v>
      </c>
      <c r="C3224" s="1" t="s">
        <v>9118</v>
      </c>
      <c r="D3224" s="1"/>
      <c r="E3224" s="1" t="str">
        <f>HYPERLINK("https://www.kegg.jp/dbget-bin/www_bget?ec:" &amp; C3224, "https://www.kegg.jp/dbget-bin/www_bget?ec:" &amp; C3224)</f>
        <v>https://www.kegg.jp/dbget-bin/www_bget?ec:2.7.4.8</v>
      </c>
      <c r="F3224" t="s">
        <v>10204</v>
      </c>
      <c r="G3224" s="10" t="s">
        <v>11102</v>
      </c>
      <c r="H3224" s="13" t="s">
        <v>11103</v>
      </c>
    </row>
    <row r="3225" spans="1:8">
      <c r="A3225" t="s">
        <v>5883</v>
      </c>
      <c r="B3225" t="s">
        <v>5884</v>
      </c>
      <c r="C3225" s="1" t="s">
        <v>9118</v>
      </c>
      <c r="D3225" s="1"/>
      <c r="E3225" s="1" t="str">
        <f>HYPERLINK("https://www.kegg.jp/dbget-bin/www_bget?ec:" &amp; C3225, "https://www.kegg.jp/dbget-bin/www_bget?ec:" &amp; C3225)</f>
        <v>https://www.kegg.jp/dbget-bin/www_bget?ec:2.7.4.8</v>
      </c>
      <c r="F3225" t="s">
        <v>10204</v>
      </c>
      <c r="G3225" s="10" t="s">
        <v>11104</v>
      </c>
      <c r="H3225" s="23" t="s">
        <v>11105</v>
      </c>
    </row>
    <row r="3226" spans="1:8">
      <c r="A3226" t="s">
        <v>5883</v>
      </c>
      <c r="B3226" t="s">
        <v>5884</v>
      </c>
      <c r="C3226" s="1" t="s">
        <v>9118</v>
      </c>
      <c r="D3226" s="1"/>
      <c r="E3226" s="1" t="str">
        <f>HYPERLINK("https://www.kegg.jp/dbget-bin/www_bget?ec:" &amp; C3226, "https://www.kegg.jp/dbget-bin/www_bget?ec:" &amp; C3226)</f>
        <v>https://www.kegg.jp/dbget-bin/www_bget?ec:2.7.4.8</v>
      </c>
      <c r="F3226" t="s">
        <v>10204</v>
      </c>
      <c r="G3226" s="10" t="s">
        <v>11106</v>
      </c>
      <c r="H3226" s="13" t="s">
        <v>11107</v>
      </c>
    </row>
    <row r="3227" spans="1:8">
      <c r="A3227" t="s">
        <v>5885</v>
      </c>
      <c r="B3227" t="s">
        <v>5886</v>
      </c>
      <c r="E3227" s="1"/>
    </row>
    <row r="3228" spans="1:8">
      <c r="A3228" t="s">
        <v>5887</v>
      </c>
      <c r="B3228" t="s">
        <v>5888</v>
      </c>
      <c r="E3228" s="1"/>
    </row>
    <row r="3229" spans="1:8">
      <c r="A3229" t="s">
        <v>5889</v>
      </c>
      <c r="B3229" t="s">
        <v>5890</v>
      </c>
      <c r="E3229" s="1"/>
    </row>
    <row r="3230" spans="1:8">
      <c r="A3230" t="s">
        <v>5891</v>
      </c>
      <c r="B3230" t="s">
        <v>5892</v>
      </c>
      <c r="E3230" s="1"/>
    </row>
    <row r="3231" spans="1:8">
      <c r="A3231" t="s">
        <v>5893</v>
      </c>
      <c r="B3231" t="s">
        <v>5894</v>
      </c>
      <c r="E3231" s="1"/>
    </row>
    <row r="3232" spans="1:8">
      <c r="A3232" t="s">
        <v>5895</v>
      </c>
      <c r="B3232" t="s">
        <v>5896</v>
      </c>
      <c r="E3232" s="1"/>
    </row>
    <row r="3233" spans="1:8">
      <c r="A3233" t="s">
        <v>5897</v>
      </c>
      <c r="B3233" t="s">
        <v>5898</v>
      </c>
      <c r="E3233" s="1"/>
    </row>
    <row r="3234" spans="1:8">
      <c r="A3234" t="s">
        <v>5899</v>
      </c>
      <c r="B3234" t="s">
        <v>5900</v>
      </c>
      <c r="C3234" s="1" t="s">
        <v>9119</v>
      </c>
      <c r="D3234" s="1"/>
      <c r="E3234" s="1" t="str">
        <f>HYPERLINK("https://www.kegg.jp/dbget-bin/www_bget?ec:" &amp; C3234, "https://www.kegg.jp/dbget-bin/www_bget?ec:" &amp; C3234)</f>
        <v>https://www.kegg.jp/dbget-bin/www_bget?ec:5.1.99.1</v>
      </c>
      <c r="F3234" s="1" t="s">
        <v>10210</v>
      </c>
      <c r="G3234" s="10" t="s">
        <v>10211</v>
      </c>
      <c r="H3234" s="13" t="s">
        <v>10212</v>
      </c>
    </row>
    <row r="3235" spans="1:8">
      <c r="A3235" t="s">
        <v>5899</v>
      </c>
      <c r="B3235" t="s">
        <v>5900</v>
      </c>
      <c r="C3235" s="1" t="s">
        <v>9119</v>
      </c>
      <c r="D3235" s="1"/>
      <c r="E3235" s="1" t="str">
        <f>HYPERLINK("https://www.kegg.jp/dbget-bin/www_bget?ec:" &amp; C3235, "https://www.kegg.jp/dbget-bin/www_bget?ec:" &amp; C3235)</f>
        <v>https://www.kegg.jp/dbget-bin/www_bget?ec:5.1.99.1</v>
      </c>
      <c r="F3235" s="1" t="s">
        <v>10210</v>
      </c>
      <c r="G3235" s="10" t="s">
        <v>10213</v>
      </c>
      <c r="H3235" s="13" t="s">
        <v>10214</v>
      </c>
    </row>
    <row r="3236" spans="1:8">
      <c r="A3236" t="s">
        <v>5901</v>
      </c>
      <c r="B3236" t="s">
        <v>5902</v>
      </c>
      <c r="E3236" s="1"/>
    </row>
    <row r="3237" spans="1:8">
      <c r="A3237" t="s">
        <v>5903</v>
      </c>
      <c r="B3237" t="s">
        <v>5904</v>
      </c>
      <c r="E3237" s="1"/>
    </row>
    <row r="3238" spans="1:8">
      <c r="A3238" t="s">
        <v>5905</v>
      </c>
      <c r="B3238" t="s">
        <v>5906</v>
      </c>
      <c r="E3238" s="1"/>
    </row>
    <row r="3239" spans="1:8">
      <c r="A3239" t="s">
        <v>5907</v>
      </c>
      <c r="B3239" t="s">
        <v>5908</v>
      </c>
      <c r="E3239" s="1"/>
    </row>
    <row r="3240" spans="1:8">
      <c r="A3240" t="s">
        <v>5909</v>
      </c>
      <c r="B3240" t="s">
        <v>5910</v>
      </c>
      <c r="E3240" s="1"/>
    </row>
    <row r="3241" spans="1:8">
      <c r="A3241" t="s">
        <v>5911</v>
      </c>
      <c r="B3241" t="s">
        <v>5912</v>
      </c>
      <c r="E3241" s="1"/>
    </row>
    <row r="3242" spans="1:8">
      <c r="A3242" t="s">
        <v>5913</v>
      </c>
      <c r="B3242" t="s">
        <v>5914</v>
      </c>
      <c r="E3242" s="1"/>
    </row>
    <row r="3243" spans="1:8">
      <c r="A3243" t="s">
        <v>5915</v>
      </c>
      <c r="B3243" t="s">
        <v>5916</v>
      </c>
      <c r="E3243" s="1"/>
    </row>
    <row r="3244" spans="1:8">
      <c r="A3244" t="s">
        <v>5917</v>
      </c>
      <c r="B3244" t="s">
        <v>5918</v>
      </c>
      <c r="E3244" s="1"/>
    </row>
    <row r="3245" spans="1:8">
      <c r="A3245" t="s">
        <v>5919</v>
      </c>
      <c r="B3245" t="s">
        <v>5920</v>
      </c>
      <c r="E3245" s="1"/>
    </row>
    <row r="3246" spans="1:8">
      <c r="A3246" t="s">
        <v>5921</v>
      </c>
      <c r="B3246" t="s">
        <v>5922</v>
      </c>
      <c r="E3246" s="1"/>
    </row>
    <row r="3247" spans="1:8">
      <c r="A3247" t="s">
        <v>5923</v>
      </c>
      <c r="B3247" t="s">
        <v>5924</v>
      </c>
      <c r="E3247" s="1"/>
    </row>
    <row r="3248" spans="1:8">
      <c r="B3248" t="s">
        <v>5925</v>
      </c>
      <c r="E3248" s="1"/>
    </row>
    <row r="3249" spans="1:8">
      <c r="B3249" t="s">
        <v>5926</v>
      </c>
      <c r="E3249" s="1"/>
    </row>
    <row r="3250" spans="1:8">
      <c r="A3250" t="s">
        <v>5927</v>
      </c>
      <c r="B3250" t="s">
        <v>5928</v>
      </c>
      <c r="E3250" s="1"/>
    </row>
    <row r="3251" spans="1:8">
      <c r="A3251" t="s">
        <v>5929</v>
      </c>
      <c r="B3251" t="s">
        <v>5930</v>
      </c>
      <c r="E3251" s="1"/>
    </row>
    <row r="3252" spans="1:8">
      <c r="A3252" t="s">
        <v>5931</v>
      </c>
      <c r="B3252" t="s">
        <v>5932</v>
      </c>
      <c r="E3252" s="1"/>
    </row>
    <row r="3253" spans="1:8">
      <c r="A3253" t="s">
        <v>5933</v>
      </c>
      <c r="B3253" t="s">
        <v>5934</v>
      </c>
      <c r="E3253" s="1"/>
    </row>
    <row r="3254" spans="1:8">
      <c r="A3254" t="s">
        <v>5935</v>
      </c>
      <c r="B3254" t="s">
        <v>5936</v>
      </c>
      <c r="E3254" s="1"/>
    </row>
    <row r="3255" spans="1:8">
      <c r="A3255" t="s">
        <v>5937</v>
      </c>
      <c r="B3255" t="s">
        <v>5938</v>
      </c>
      <c r="E3255" s="1"/>
    </row>
    <row r="3256" spans="1:8">
      <c r="A3256" t="s">
        <v>5939</v>
      </c>
      <c r="B3256" t="s">
        <v>5940</v>
      </c>
      <c r="E3256" s="1"/>
    </row>
    <row r="3257" spans="1:8">
      <c r="A3257" t="s">
        <v>5941</v>
      </c>
      <c r="B3257" t="s">
        <v>5942</v>
      </c>
      <c r="E3257" s="1"/>
    </row>
    <row r="3258" spans="1:8">
      <c r="A3258" t="s">
        <v>5943</v>
      </c>
      <c r="B3258" t="s">
        <v>5944</v>
      </c>
      <c r="E3258" s="1"/>
    </row>
    <row r="3259" spans="1:8">
      <c r="A3259" t="s">
        <v>5945</v>
      </c>
      <c r="B3259" t="s">
        <v>5946</v>
      </c>
      <c r="C3259" s="1" t="s">
        <v>9120</v>
      </c>
      <c r="D3259" s="1"/>
      <c r="E3259" s="1" t="str">
        <f>HYPERLINK("https://www.kegg.jp/dbget-bin/www_bget?ec:" &amp; C3259, "https://www.kegg.jp/dbget-bin/www_bget?ec:" &amp; C3259)</f>
        <v>https://www.kegg.jp/dbget-bin/www_bget?ec:1.1.1.262</v>
      </c>
      <c r="F3259" t="s">
        <v>10215</v>
      </c>
      <c r="G3259" s="10" t="s">
        <v>11108</v>
      </c>
      <c r="H3259" s="13" t="s">
        <v>11109</v>
      </c>
    </row>
    <row r="3260" spans="1:8">
      <c r="A3260" t="s">
        <v>5945</v>
      </c>
      <c r="B3260" t="s">
        <v>5946</v>
      </c>
      <c r="C3260" s="1" t="s">
        <v>9120</v>
      </c>
      <c r="D3260" s="1"/>
      <c r="E3260" s="1" t="str">
        <f>HYPERLINK("https://www.kegg.jp/dbget-bin/www_bget?ec:" &amp; C3260, "https://www.kegg.jp/dbget-bin/www_bget?ec:" &amp; C3260)</f>
        <v>https://www.kegg.jp/dbget-bin/www_bget?ec:1.1.1.262</v>
      </c>
      <c r="F3260" t="s">
        <v>10215</v>
      </c>
      <c r="G3260" s="10" t="s">
        <v>11108</v>
      </c>
      <c r="H3260" s="13" t="s">
        <v>11110</v>
      </c>
    </row>
    <row r="3261" spans="1:8">
      <c r="A3261" t="s">
        <v>5945</v>
      </c>
      <c r="B3261" t="s">
        <v>5946</v>
      </c>
      <c r="C3261" s="1" t="s">
        <v>9120</v>
      </c>
      <c r="D3261" s="1"/>
      <c r="E3261" s="1" t="str">
        <f>HYPERLINK("https://www.kegg.jp/dbget-bin/www_bget?ec:" &amp; C3261, "https://www.kegg.jp/dbget-bin/www_bget?ec:" &amp; C3261)</f>
        <v>https://www.kegg.jp/dbget-bin/www_bget?ec:1.1.1.262</v>
      </c>
      <c r="F3261" t="s">
        <v>10215</v>
      </c>
      <c r="G3261" s="10" t="s">
        <v>10219</v>
      </c>
      <c r="H3261" s="13" t="s">
        <v>11111</v>
      </c>
    </row>
    <row r="3262" spans="1:8">
      <c r="A3262" t="s">
        <v>5947</v>
      </c>
      <c r="B3262" t="s">
        <v>5948</v>
      </c>
      <c r="E3262" s="1"/>
    </row>
    <row r="3263" spans="1:8">
      <c r="A3263" t="s">
        <v>5949</v>
      </c>
      <c r="B3263" t="s">
        <v>5950</v>
      </c>
      <c r="E3263" s="1"/>
    </row>
    <row r="3264" spans="1:8">
      <c r="A3264" t="s">
        <v>5951</v>
      </c>
      <c r="B3264" t="s">
        <v>5952</v>
      </c>
      <c r="E3264" s="1"/>
    </row>
    <row r="3265" spans="1:8">
      <c r="A3265" t="s">
        <v>5953</v>
      </c>
      <c r="B3265" t="s">
        <v>5954</v>
      </c>
      <c r="E3265" s="1"/>
    </row>
    <row r="3266" spans="1:8">
      <c r="A3266" t="s">
        <v>5955</v>
      </c>
      <c r="B3266" t="s">
        <v>5956</v>
      </c>
      <c r="E3266" s="1"/>
    </row>
    <row r="3267" spans="1:8">
      <c r="A3267" t="s">
        <v>5957</v>
      </c>
      <c r="B3267" t="s">
        <v>5958</v>
      </c>
      <c r="E3267" s="1"/>
    </row>
    <row r="3268" spans="1:8">
      <c r="A3268" t="s">
        <v>5959</v>
      </c>
      <c r="B3268" t="s">
        <v>5960</v>
      </c>
      <c r="E3268" s="1"/>
    </row>
    <row r="3269" spans="1:8">
      <c r="A3269" t="s">
        <v>5961</v>
      </c>
      <c r="B3269" t="s">
        <v>5962</v>
      </c>
      <c r="E3269" s="1"/>
    </row>
    <row r="3270" spans="1:8">
      <c r="A3270" t="s">
        <v>5963</v>
      </c>
      <c r="B3270" t="s">
        <v>5964</v>
      </c>
      <c r="E3270" s="1"/>
    </row>
    <row r="3271" spans="1:8">
      <c r="A3271" t="s">
        <v>5965</v>
      </c>
      <c r="B3271" t="s">
        <v>5966</v>
      </c>
      <c r="E3271" s="1"/>
    </row>
    <row r="3272" spans="1:8">
      <c r="A3272" t="s">
        <v>5967</v>
      </c>
      <c r="B3272" t="s">
        <v>5968</v>
      </c>
      <c r="E3272" s="1"/>
    </row>
    <row r="3273" spans="1:8">
      <c r="B3273" t="s">
        <v>5969</v>
      </c>
      <c r="E3273" s="1"/>
    </row>
    <row r="3274" spans="1:8">
      <c r="B3274" t="s">
        <v>5970</v>
      </c>
      <c r="E3274" s="1"/>
    </row>
    <row r="3275" spans="1:8">
      <c r="A3275" t="s">
        <v>5971</v>
      </c>
      <c r="B3275" t="s">
        <v>5972</v>
      </c>
      <c r="C3275" s="1" t="s">
        <v>9121</v>
      </c>
      <c r="D3275" s="1"/>
      <c r="E3275" s="1" t="str">
        <f>HYPERLINK("https://www.kegg.jp/dbget-bin/www_bget?ec:" &amp; C3275, "https://www.kegg.jp/dbget-bin/www_bget?ec:" &amp; C3275)</f>
        <v>https://www.kegg.jp/dbget-bin/www_bget?ec:2.5.1.78</v>
      </c>
      <c r="F3275" t="s">
        <v>10221</v>
      </c>
      <c r="G3275" s="10" t="s">
        <v>11112</v>
      </c>
      <c r="H3275" s="13" t="s">
        <v>11113</v>
      </c>
    </row>
    <row r="3276" spans="1:8">
      <c r="A3276" t="s">
        <v>5973</v>
      </c>
      <c r="B3276" t="s">
        <v>5974</v>
      </c>
      <c r="E3276" s="1"/>
    </row>
    <row r="3277" spans="1:8">
      <c r="A3277" t="s">
        <v>5975</v>
      </c>
      <c r="B3277" t="s">
        <v>5976</v>
      </c>
      <c r="E3277" s="1"/>
    </row>
    <row r="3278" spans="1:8">
      <c r="A3278" t="s">
        <v>5977</v>
      </c>
      <c r="B3278" t="s">
        <v>5978</v>
      </c>
      <c r="E3278" s="1"/>
    </row>
    <row r="3279" spans="1:8">
      <c r="A3279" t="s">
        <v>5979</v>
      </c>
      <c r="B3279" t="s">
        <v>5980</v>
      </c>
      <c r="C3279" s="1" t="s">
        <v>9122</v>
      </c>
      <c r="D3279" s="1"/>
      <c r="E3279" s="1" t="str">
        <f>HYPERLINK("https://www.kegg.jp/dbget-bin/www_bget?ec:" &amp; C3279, "https://www.kegg.jp/dbget-bin/www_bget?ec:" &amp; C3279)</f>
        <v>https://www.kegg.jp/dbget-bin/www_bget?ec:6.3.3.2</v>
      </c>
      <c r="F3279" s="1" t="s">
        <v>10223</v>
      </c>
      <c r="G3279" s="10" t="s">
        <v>11114</v>
      </c>
      <c r="H3279" s="13" t="s">
        <v>11115</v>
      </c>
    </row>
    <row r="3280" spans="1:8">
      <c r="A3280" t="s">
        <v>5981</v>
      </c>
      <c r="B3280" t="s">
        <v>5982</v>
      </c>
      <c r="E3280" s="1"/>
    </row>
    <row r="3281" spans="1:8">
      <c r="A3281" t="s">
        <v>5983</v>
      </c>
      <c r="B3281" t="s">
        <v>5984</v>
      </c>
      <c r="E3281" s="1"/>
    </row>
    <row r="3282" spans="1:8">
      <c r="A3282" t="s">
        <v>5985</v>
      </c>
      <c r="B3282" t="s">
        <v>5986</v>
      </c>
      <c r="E3282" s="1"/>
    </row>
    <row r="3283" spans="1:8">
      <c r="A3283" t="s">
        <v>5987</v>
      </c>
      <c r="B3283" t="s">
        <v>5988</v>
      </c>
      <c r="E3283" s="1"/>
    </row>
    <row r="3284" spans="1:8">
      <c r="A3284" t="s">
        <v>5989</v>
      </c>
      <c r="B3284" t="s">
        <v>5990</v>
      </c>
      <c r="E3284" s="1"/>
    </row>
    <row r="3285" spans="1:8">
      <c r="A3285" t="s">
        <v>5991</v>
      </c>
      <c r="B3285" t="s">
        <v>5992</v>
      </c>
      <c r="E3285" s="1"/>
    </row>
    <row r="3286" spans="1:8">
      <c r="A3286" t="s">
        <v>5993</v>
      </c>
      <c r="B3286" t="s">
        <v>5994</v>
      </c>
      <c r="E3286" s="1"/>
    </row>
    <row r="3287" spans="1:8">
      <c r="A3287" t="s">
        <v>5995</v>
      </c>
      <c r="B3287" t="s">
        <v>5996</v>
      </c>
      <c r="E3287" s="1"/>
    </row>
    <row r="3288" spans="1:8">
      <c r="A3288" t="s">
        <v>5997</v>
      </c>
      <c r="B3288" t="s">
        <v>5998</v>
      </c>
      <c r="C3288" s="1" t="s">
        <v>2099</v>
      </c>
      <c r="D3288" s="1"/>
      <c r="E3288" s="1" t="str">
        <f t="shared" ref="E3288" si="186">HYPERLINK("https://www.kegg.jp/dbget-bin/www_bget?ec:" &amp; C3288, "https://www.kegg.jp/dbget-bin/www_bget?ec:" &amp; C3288)</f>
        <v>https://www.kegg.jp/dbget-bin/www_bget?ec:6.3.2.13</v>
      </c>
      <c r="F3288" s="1" t="s">
        <v>9668</v>
      </c>
      <c r="G3288" s="21" t="s">
        <v>10717</v>
      </c>
      <c r="H3288" s="13" t="s">
        <v>10718</v>
      </c>
    </row>
    <row r="3289" spans="1:8">
      <c r="A3289" t="s">
        <v>5999</v>
      </c>
      <c r="B3289" t="s">
        <v>6000</v>
      </c>
      <c r="C3289" s="1" t="s">
        <v>9123</v>
      </c>
      <c r="D3289" s="1"/>
      <c r="E3289" s="1" t="str">
        <f>HYPERLINK("https://www.kegg.jp/dbget-bin/www_bget?ec:" &amp; C3289, "https://www.kegg.jp/dbget-bin/www_bget?ec:" &amp; C3289)</f>
        <v>https://www.kegg.jp/dbget-bin/www_bget?ec:4.1.1.11</v>
      </c>
      <c r="F3289" s="1" t="s">
        <v>10225</v>
      </c>
      <c r="G3289" s="10" t="s">
        <v>9273</v>
      </c>
      <c r="H3289" s="13" t="s">
        <v>11116</v>
      </c>
    </row>
    <row r="3290" spans="1:8">
      <c r="A3290" t="s">
        <v>6001</v>
      </c>
      <c r="B3290" t="s">
        <v>6002</v>
      </c>
      <c r="E3290" s="1"/>
    </row>
    <row r="3291" spans="1:8">
      <c r="A3291" t="s">
        <v>6003</v>
      </c>
      <c r="B3291" t="s">
        <v>6004</v>
      </c>
      <c r="E3291" s="1"/>
    </row>
    <row r="3292" spans="1:8">
      <c r="A3292" t="s">
        <v>6005</v>
      </c>
      <c r="B3292" t="s">
        <v>6006</v>
      </c>
      <c r="C3292" s="1" t="s">
        <v>9124</v>
      </c>
      <c r="D3292" s="1"/>
      <c r="E3292" s="1" t="str">
        <f>HYPERLINK("https://www.kegg.jp/dbget-bin/www_bget?ec:" &amp; C3292, "https://www.kegg.jp/dbget-bin/www_bget?ec:" &amp; C3292)</f>
        <v>https://www.kegg.jp/dbget-bin/www_bget?ec:7.2.2.21</v>
      </c>
      <c r="F3292" t="s">
        <v>9650</v>
      </c>
    </row>
    <row r="3293" spans="1:8">
      <c r="A3293" t="s">
        <v>6007</v>
      </c>
      <c r="B3293" t="s">
        <v>6008</v>
      </c>
      <c r="E3293" s="1"/>
    </row>
    <row r="3294" spans="1:8">
      <c r="A3294" t="s">
        <v>6009</v>
      </c>
      <c r="B3294" t="s">
        <v>6010</v>
      </c>
      <c r="E3294" s="1"/>
    </row>
    <row r="3295" spans="1:8">
      <c r="B3295" t="s">
        <v>6011</v>
      </c>
      <c r="E3295" s="1"/>
    </row>
    <row r="3296" spans="1:8">
      <c r="B3296" t="s">
        <v>6012</v>
      </c>
      <c r="E3296" s="1"/>
    </row>
    <row r="3297" spans="1:8">
      <c r="A3297" t="s">
        <v>6013</v>
      </c>
      <c r="B3297" t="s">
        <v>6014</v>
      </c>
      <c r="E3297" s="1"/>
    </row>
    <row r="3298" spans="1:8">
      <c r="A3298" t="s">
        <v>6015</v>
      </c>
      <c r="B3298" t="s">
        <v>6016</v>
      </c>
      <c r="E3298" s="1"/>
    </row>
    <row r="3299" spans="1:8">
      <c r="A3299" t="s">
        <v>6017</v>
      </c>
      <c r="B3299" t="s">
        <v>6018</v>
      </c>
      <c r="E3299" s="1"/>
    </row>
    <row r="3300" spans="1:8">
      <c r="A3300" t="s">
        <v>6019</v>
      </c>
      <c r="B3300" t="s">
        <v>6020</v>
      </c>
      <c r="E3300" s="1"/>
    </row>
    <row r="3301" spans="1:8">
      <c r="A3301" t="s">
        <v>6021</v>
      </c>
      <c r="B3301" t="s">
        <v>6022</v>
      </c>
      <c r="E3301" s="1"/>
    </row>
    <row r="3302" spans="1:8">
      <c r="A3302" t="s">
        <v>6023</v>
      </c>
      <c r="B3302" t="s">
        <v>6024</v>
      </c>
      <c r="E3302" s="1"/>
    </row>
    <row r="3303" spans="1:8">
      <c r="A3303" t="s">
        <v>6025</v>
      </c>
      <c r="B3303" t="s">
        <v>6026</v>
      </c>
      <c r="E3303" s="1"/>
    </row>
    <row r="3304" spans="1:8">
      <c r="A3304" t="s">
        <v>6027</v>
      </c>
      <c r="B3304" t="s">
        <v>6028</v>
      </c>
      <c r="E3304" s="1"/>
    </row>
    <row r="3305" spans="1:8">
      <c r="A3305" t="s">
        <v>6029</v>
      </c>
      <c r="B3305" t="s">
        <v>6030</v>
      </c>
      <c r="E3305" s="1"/>
    </row>
    <row r="3306" spans="1:8">
      <c r="A3306" t="s">
        <v>6031</v>
      </c>
      <c r="B3306" t="s">
        <v>6032</v>
      </c>
      <c r="E3306" s="1"/>
    </row>
    <row r="3307" spans="1:8">
      <c r="A3307" t="s">
        <v>6033</v>
      </c>
      <c r="B3307" t="s">
        <v>6034</v>
      </c>
      <c r="E3307" s="1"/>
    </row>
    <row r="3308" spans="1:8">
      <c r="A3308" t="s">
        <v>6035</v>
      </c>
      <c r="B3308" t="s">
        <v>6036</v>
      </c>
      <c r="E3308" s="1"/>
    </row>
    <row r="3309" spans="1:8">
      <c r="A3309" t="s">
        <v>6037</v>
      </c>
      <c r="B3309" t="s">
        <v>6038</v>
      </c>
      <c r="E3309" s="1"/>
    </row>
    <row r="3310" spans="1:8">
      <c r="A3310" t="s">
        <v>6039</v>
      </c>
      <c r="B3310" t="s">
        <v>6040</v>
      </c>
      <c r="E3310" s="1"/>
      <c r="G3310" s="1"/>
    </row>
    <row r="3311" spans="1:8">
      <c r="A3311" t="s">
        <v>6041</v>
      </c>
      <c r="B3311" t="s">
        <v>6042</v>
      </c>
      <c r="C3311" s="1" t="s">
        <v>3581</v>
      </c>
      <c r="D3311" s="1"/>
      <c r="E3311" s="1" t="str">
        <f>HYPERLINK("https://www.kegg.jp/dbget-bin/www_bget?ec:" &amp; C3311, "https://www.kegg.jp/dbget-bin/www_bget?ec:" &amp; C3311)</f>
        <v>https://www.kegg.jp/dbget-bin/www_bget?ec:3.5.1.25</v>
      </c>
      <c r="F3311" s="1" t="s">
        <v>9891</v>
      </c>
      <c r="G3311" s="10" t="s">
        <v>11117</v>
      </c>
      <c r="H3311" s="13" t="s">
        <v>10878</v>
      </c>
    </row>
    <row r="3312" spans="1:8">
      <c r="A3312" t="s">
        <v>6043</v>
      </c>
      <c r="B3312" t="s">
        <v>6044</v>
      </c>
      <c r="C3312" s="1" t="s">
        <v>3581</v>
      </c>
      <c r="D3312" s="1"/>
      <c r="E3312" s="1" t="str">
        <f>HYPERLINK("https://www.kegg.jp/dbget-bin/www_bget?ec:" &amp; C3312, "https://www.kegg.jp/dbget-bin/www_bget?ec:" &amp; C3312)</f>
        <v>https://www.kegg.jp/dbget-bin/www_bget?ec:3.5.1.25</v>
      </c>
      <c r="F3312" s="1" t="s">
        <v>9891</v>
      </c>
      <c r="G3312" s="10" t="s">
        <v>11117</v>
      </c>
      <c r="H3312" s="13" t="s">
        <v>10878</v>
      </c>
    </row>
    <row r="3313" spans="1:8">
      <c r="A3313" t="s">
        <v>6045</v>
      </c>
      <c r="B3313" t="s">
        <v>6046</v>
      </c>
      <c r="C3313" s="1" t="s">
        <v>4520</v>
      </c>
      <c r="D3313" s="1"/>
      <c r="E3313" s="1" t="str">
        <f>HYPERLINK("https://www.kegg.jp/dbget-bin/www_bget?ec:" &amp; C3313, "https://www.kegg.jp/dbget-bin/www_bget?ec:" &amp; C3313)</f>
        <v>https://www.kegg.jp/dbget-bin/www_bget?ec:3.5.99.6</v>
      </c>
      <c r="F3313" t="s">
        <v>10040</v>
      </c>
      <c r="G3313" s="10" t="s">
        <v>10986</v>
      </c>
      <c r="H3313" s="13" t="s">
        <v>11118</v>
      </c>
    </row>
    <row r="3314" spans="1:8">
      <c r="A3314" t="s">
        <v>6047</v>
      </c>
      <c r="B3314" t="s">
        <v>6048</v>
      </c>
      <c r="E3314" s="1"/>
    </row>
    <row r="3315" spans="1:8">
      <c r="A3315" t="s">
        <v>6049</v>
      </c>
      <c r="B3315" t="s">
        <v>6050</v>
      </c>
      <c r="E3315" s="1"/>
    </row>
    <row r="3316" spans="1:8">
      <c r="B3316" t="s">
        <v>6051</v>
      </c>
      <c r="E3316" s="1"/>
    </row>
    <row r="3317" spans="1:8">
      <c r="A3317" t="s">
        <v>6052</v>
      </c>
      <c r="B3317" t="s">
        <v>6053</v>
      </c>
      <c r="E3317" s="1"/>
    </row>
    <row r="3318" spans="1:8">
      <c r="A3318" t="s">
        <v>6054</v>
      </c>
      <c r="B3318" t="s">
        <v>6055</v>
      </c>
      <c r="E3318" s="1"/>
    </row>
    <row r="3319" spans="1:8">
      <c r="A3319" t="s">
        <v>6056</v>
      </c>
      <c r="B3319" t="s">
        <v>6057</v>
      </c>
      <c r="E3319" s="1"/>
    </row>
    <row r="3320" spans="1:8">
      <c r="A3320" t="s">
        <v>6058</v>
      </c>
      <c r="B3320" t="s">
        <v>6059</v>
      </c>
      <c r="E3320" s="1"/>
    </row>
    <row r="3321" spans="1:8">
      <c r="A3321" t="s">
        <v>6060</v>
      </c>
      <c r="B3321" t="s">
        <v>6061</v>
      </c>
      <c r="E3321" s="1"/>
    </row>
    <row r="3322" spans="1:8">
      <c r="A3322" t="s">
        <v>6062</v>
      </c>
      <c r="B3322" t="s">
        <v>6063</v>
      </c>
      <c r="E3322" s="1"/>
    </row>
    <row r="3323" spans="1:8">
      <c r="A3323" t="s">
        <v>6064</v>
      </c>
      <c r="B3323" t="s">
        <v>6065</v>
      </c>
      <c r="E3323" s="1"/>
    </row>
    <row r="3324" spans="1:8">
      <c r="A3324" t="s">
        <v>6066</v>
      </c>
      <c r="B3324" t="s">
        <v>6067</v>
      </c>
      <c r="E3324" s="1"/>
    </row>
    <row r="3325" spans="1:8">
      <c r="A3325" t="s">
        <v>6068</v>
      </c>
      <c r="B3325" t="s">
        <v>6069</v>
      </c>
      <c r="E3325" s="1"/>
    </row>
    <row r="3326" spans="1:8">
      <c r="A3326" t="s">
        <v>6070</v>
      </c>
      <c r="B3326" t="s">
        <v>6071</v>
      </c>
      <c r="E3326" s="1"/>
    </row>
    <row r="3327" spans="1:8">
      <c r="A3327" t="s">
        <v>6072</v>
      </c>
      <c r="B3327" t="s">
        <v>6073</v>
      </c>
      <c r="E3327" s="1"/>
    </row>
    <row r="3328" spans="1:8">
      <c r="A3328" t="s">
        <v>6074</v>
      </c>
      <c r="B3328" t="s">
        <v>6075</v>
      </c>
      <c r="C3328" s="1" t="s">
        <v>9125</v>
      </c>
      <c r="D3328" s="1"/>
      <c r="E3328" s="1" t="str">
        <f t="shared" ref="E3328:E3333" si="187">HYPERLINK("https://www.kegg.jp/dbget-bin/www_bget?ec:" &amp; C3328, "https://www.kegg.jp/dbget-bin/www_bget?ec:" &amp; C3328)</f>
        <v>https://www.kegg.jp/dbget-bin/www_bget?ec:4.2.3.1</v>
      </c>
      <c r="F3328" t="s">
        <v>10232</v>
      </c>
      <c r="G3328" s="10" t="s">
        <v>11119</v>
      </c>
      <c r="H3328" s="13" t="s">
        <v>11120</v>
      </c>
    </row>
    <row r="3329" spans="1:8">
      <c r="A3329" t="s">
        <v>6074</v>
      </c>
      <c r="B3329" t="s">
        <v>6075</v>
      </c>
      <c r="C3329" s="1" t="s">
        <v>9125</v>
      </c>
      <c r="D3329" s="1"/>
      <c r="E3329" s="1" t="str">
        <f t="shared" si="187"/>
        <v>https://www.kegg.jp/dbget-bin/www_bget?ec:4.2.3.1</v>
      </c>
      <c r="F3329" t="s">
        <v>10232</v>
      </c>
      <c r="G3329" s="10" t="s">
        <v>11121</v>
      </c>
      <c r="H3329" s="13" t="s">
        <v>11122</v>
      </c>
    </row>
    <row r="3330" spans="1:8">
      <c r="A3330" t="s">
        <v>6076</v>
      </c>
      <c r="B3330" t="s">
        <v>6077</v>
      </c>
      <c r="C3330" s="1" t="s">
        <v>2470</v>
      </c>
      <c r="D3330" s="1"/>
      <c r="E3330" s="1" t="str">
        <f t="shared" si="187"/>
        <v>https://www.kegg.jp/dbget-bin/www_bget?ec:5.4.2.12</v>
      </c>
      <c r="F3330" s="1" t="s">
        <v>9714</v>
      </c>
      <c r="G3330" s="10" t="s">
        <v>9716</v>
      </c>
      <c r="H3330" s="13" t="s">
        <v>9356</v>
      </c>
    </row>
    <row r="3331" spans="1:8">
      <c r="A3331" t="s">
        <v>6078</v>
      </c>
      <c r="B3331" t="s">
        <v>6079</v>
      </c>
      <c r="C3331" s="1" t="s">
        <v>9126</v>
      </c>
      <c r="D3331" s="1"/>
      <c r="E3331" s="1" t="str">
        <f t="shared" si="187"/>
        <v>https://www.kegg.jp/dbget-bin/www_bget?ec:1.1.1.3</v>
      </c>
      <c r="F3331" t="s">
        <v>10233</v>
      </c>
      <c r="G3331" s="10" t="s">
        <v>11123</v>
      </c>
      <c r="H3331" s="13" t="s">
        <v>11124</v>
      </c>
    </row>
    <row r="3332" spans="1:8">
      <c r="A3332" t="s">
        <v>6078</v>
      </c>
      <c r="B3332" t="s">
        <v>6079</v>
      </c>
      <c r="C3332" s="1" t="s">
        <v>9126</v>
      </c>
      <c r="D3332" s="1"/>
      <c r="E3332" s="1" t="str">
        <f t="shared" si="187"/>
        <v>https://www.kegg.jp/dbget-bin/www_bget?ec:1.1.1.3</v>
      </c>
      <c r="F3332" t="s">
        <v>10233</v>
      </c>
      <c r="G3332" s="10" t="s">
        <v>11125</v>
      </c>
      <c r="H3332" s="13" t="s">
        <v>11126</v>
      </c>
    </row>
    <row r="3333" spans="1:8">
      <c r="A3333" t="s">
        <v>6078</v>
      </c>
      <c r="B3333" t="s">
        <v>6079</v>
      </c>
      <c r="C3333" s="1" t="s">
        <v>1079</v>
      </c>
      <c r="D3333" s="1"/>
      <c r="E3333" s="1" t="str">
        <f t="shared" si="187"/>
        <v>https://www.kegg.jp/dbget-bin/www_bget?ec:2.7.2.4</v>
      </c>
      <c r="F3333" t="s">
        <v>9460</v>
      </c>
      <c r="G3333" s="10" t="s">
        <v>9461</v>
      </c>
      <c r="H3333" s="13" t="s">
        <v>9462</v>
      </c>
    </row>
    <row r="3334" spans="1:8">
      <c r="A3334" t="s">
        <v>6080</v>
      </c>
      <c r="B3334" t="s">
        <v>6081</v>
      </c>
      <c r="E3334" s="1"/>
    </row>
    <row r="3335" spans="1:8">
      <c r="A3335" t="s">
        <v>6082</v>
      </c>
      <c r="B3335" t="s">
        <v>6083</v>
      </c>
      <c r="E3335" s="1"/>
    </row>
    <row r="3336" spans="1:8">
      <c r="A3336" t="s">
        <v>6084</v>
      </c>
      <c r="B3336" t="s">
        <v>6085</v>
      </c>
      <c r="E3336" s="1"/>
    </row>
    <row r="3337" spans="1:8">
      <c r="A3337" t="s">
        <v>6086</v>
      </c>
      <c r="B3337" t="s">
        <v>6087</v>
      </c>
      <c r="E3337" s="1"/>
    </row>
    <row r="3338" spans="1:8">
      <c r="A3338" t="s">
        <v>6088</v>
      </c>
      <c r="B3338" t="s">
        <v>6089</v>
      </c>
      <c r="E3338" s="1"/>
    </row>
    <row r="3339" spans="1:8">
      <c r="A3339" t="s">
        <v>6090</v>
      </c>
      <c r="B3339" t="s">
        <v>6091</v>
      </c>
      <c r="E3339" s="1"/>
    </row>
    <row r="3340" spans="1:8">
      <c r="A3340" t="s">
        <v>6092</v>
      </c>
      <c r="B3340" t="s">
        <v>6093</v>
      </c>
      <c r="E3340" s="1"/>
    </row>
    <row r="3341" spans="1:8">
      <c r="A3341" t="s">
        <v>6094</v>
      </c>
      <c r="B3341" t="s">
        <v>6095</v>
      </c>
      <c r="E3341" s="1"/>
    </row>
    <row r="3342" spans="1:8">
      <c r="A3342" t="s">
        <v>6096</v>
      </c>
      <c r="B3342" t="s">
        <v>6097</v>
      </c>
      <c r="E3342" s="1"/>
    </row>
    <row r="3343" spans="1:8">
      <c r="A3343" t="s">
        <v>6098</v>
      </c>
      <c r="B3343" t="s">
        <v>6099</v>
      </c>
      <c r="E3343" s="1"/>
    </row>
    <row r="3344" spans="1:8">
      <c r="A3344" t="s">
        <v>6100</v>
      </c>
      <c r="B3344" t="s">
        <v>6101</v>
      </c>
      <c r="E3344" s="1"/>
    </row>
    <row r="3345" spans="1:8">
      <c r="A3345" t="s">
        <v>6102</v>
      </c>
      <c r="B3345" t="s">
        <v>6103</v>
      </c>
      <c r="E3345" s="1"/>
    </row>
    <row r="3346" spans="1:8">
      <c r="A3346" t="s">
        <v>6104</v>
      </c>
      <c r="B3346" t="s">
        <v>6105</v>
      </c>
      <c r="E3346" s="1"/>
    </row>
    <row r="3347" spans="1:8">
      <c r="A3347" t="s">
        <v>6106</v>
      </c>
      <c r="B3347" t="s">
        <v>6107</v>
      </c>
      <c r="E3347" s="1"/>
    </row>
    <row r="3348" spans="1:8">
      <c r="A3348" t="s">
        <v>6108</v>
      </c>
      <c r="B3348" t="s">
        <v>6109</v>
      </c>
      <c r="E3348" s="1"/>
    </row>
    <row r="3349" spans="1:8">
      <c r="A3349" t="s">
        <v>6110</v>
      </c>
      <c r="B3349" t="s">
        <v>6111</v>
      </c>
      <c r="E3349" s="1"/>
    </row>
    <row r="3350" spans="1:8">
      <c r="A3350" t="s">
        <v>6112</v>
      </c>
      <c r="B3350" t="s">
        <v>6113</v>
      </c>
      <c r="E3350" s="1"/>
    </row>
    <row r="3351" spans="1:8">
      <c r="A3351" t="s">
        <v>6114</v>
      </c>
      <c r="B3351" t="s">
        <v>6115</v>
      </c>
      <c r="E3351" s="1"/>
    </row>
    <row r="3352" spans="1:8">
      <c r="A3352" t="s">
        <v>6116</v>
      </c>
      <c r="B3352" t="s">
        <v>6117</v>
      </c>
      <c r="E3352" s="1"/>
    </row>
    <row r="3353" spans="1:8">
      <c r="A3353" t="s">
        <v>6118</v>
      </c>
      <c r="B3353" t="s">
        <v>6119</v>
      </c>
      <c r="E3353" s="1"/>
    </row>
    <row r="3354" spans="1:8">
      <c r="A3354" t="s">
        <v>6120</v>
      </c>
      <c r="B3354" t="s">
        <v>6121</v>
      </c>
      <c r="E3354" s="1"/>
    </row>
    <row r="3355" spans="1:8">
      <c r="A3355" t="s">
        <v>6122</v>
      </c>
      <c r="B3355" t="s">
        <v>6123</v>
      </c>
      <c r="E3355" s="1"/>
    </row>
    <row r="3356" spans="1:8">
      <c r="A3356" t="s">
        <v>6124</v>
      </c>
      <c r="B3356" t="s">
        <v>6125</v>
      </c>
      <c r="E3356" s="1"/>
    </row>
    <row r="3357" spans="1:8">
      <c r="A3357" t="s">
        <v>6126</v>
      </c>
      <c r="B3357" t="s">
        <v>6127</v>
      </c>
      <c r="E3357" s="1"/>
    </row>
    <row r="3358" spans="1:8">
      <c r="A3358" t="s">
        <v>6128</v>
      </c>
      <c r="B3358" t="s">
        <v>6129</v>
      </c>
      <c r="C3358" s="25" t="s">
        <v>9127</v>
      </c>
      <c r="D3358" s="25"/>
      <c r="E3358" s="25" t="str">
        <f>HYPERLINK("https://www.kegg.jp/dbget-bin/www_bget?ec:" &amp; C3358, "https://www.kegg.jp/dbget-bin/www_bget?ec:" &amp; C3358)</f>
        <v>https://www.kegg.jp/dbget-bin/www_bget?ec:2.5.1.55</v>
      </c>
      <c r="F3358" t="s">
        <v>10238</v>
      </c>
      <c r="G3358" s="10" t="s">
        <v>11127</v>
      </c>
      <c r="H3358" s="13" t="s">
        <v>10878</v>
      </c>
    </row>
    <row r="3359" spans="1:8">
      <c r="A3359" t="s">
        <v>6130</v>
      </c>
      <c r="B3359" t="s">
        <v>6131</v>
      </c>
      <c r="C3359" s="1" t="s">
        <v>1290</v>
      </c>
      <c r="D3359" s="1"/>
      <c r="E3359" s="1" t="str">
        <f>HYPERLINK("https://www.kegg.jp/dbget-bin/www_bget?ec:" &amp; C3359, "https://www.kegg.jp/dbget-bin/www_bget?ec:" &amp; C3359)</f>
        <v>https://www.kegg.jp/dbget-bin/www_bget?ec:2.5.1.75</v>
      </c>
      <c r="F3359" t="s">
        <v>9540</v>
      </c>
      <c r="G3359" t="s">
        <v>9538</v>
      </c>
      <c r="H3359" s="10" t="s">
        <v>9539</v>
      </c>
    </row>
    <row r="3360" spans="1:8">
      <c r="A3360" t="s">
        <v>6132</v>
      </c>
      <c r="B3360" t="s">
        <v>6133</v>
      </c>
      <c r="E3360" s="1"/>
    </row>
    <row r="3361" spans="1:5">
      <c r="A3361" t="s">
        <v>6134</v>
      </c>
      <c r="B3361" t="s">
        <v>6135</v>
      </c>
      <c r="E3361" s="1"/>
    </row>
    <row r="3362" spans="1:5">
      <c r="A3362" t="s">
        <v>6136</v>
      </c>
      <c r="B3362" t="s">
        <v>6137</v>
      </c>
      <c r="E3362" s="1"/>
    </row>
    <row r="3363" spans="1:5">
      <c r="A3363" t="s">
        <v>6138</v>
      </c>
      <c r="B3363" t="s">
        <v>6139</v>
      </c>
      <c r="E3363" s="1"/>
    </row>
    <row r="3364" spans="1:5">
      <c r="A3364" t="s">
        <v>6140</v>
      </c>
      <c r="B3364" t="s">
        <v>6141</v>
      </c>
      <c r="E3364" s="1"/>
    </row>
    <row r="3365" spans="1:5">
      <c r="A3365" t="s">
        <v>6142</v>
      </c>
      <c r="B3365" t="s">
        <v>6143</v>
      </c>
      <c r="E3365" s="1"/>
    </row>
    <row r="3366" spans="1:5">
      <c r="A3366" t="s">
        <v>6144</v>
      </c>
      <c r="B3366" t="s">
        <v>6145</v>
      </c>
      <c r="E3366" s="1"/>
    </row>
    <row r="3367" spans="1:5">
      <c r="A3367" t="s">
        <v>6146</v>
      </c>
      <c r="B3367" t="s">
        <v>6147</v>
      </c>
      <c r="E3367" s="1"/>
    </row>
    <row r="3368" spans="1:5">
      <c r="A3368" t="s">
        <v>6148</v>
      </c>
      <c r="B3368" t="s">
        <v>6149</v>
      </c>
      <c r="E3368" s="1"/>
    </row>
    <row r="3369" spans="1:5">
      <c r="A3369" t="s">
        <v>6150</v>
      </c>
      <c r="B3369" t="s">
        <v>6151</v>
      </c>
      <c r="E3369" s="1"/>
    </row>
    <row r="3370" spans="1:5">
      <c r="A3370" t="s">
        <v>6152</v>
      </c>
      <c r="B3370" t="s">
        <v>6153</v>
      </c>
      <c r="E3370" s="1"/>
    </row>
    <row r="3371" spans="1:5">
      <c r="A3371" t="s">
        <v>6154</v>
      </c>
      <c r="B3371" t="s">
        <v>6155</v>
      </c>
      <c r="E3371" s="1"/>
    </row>
    <row r="3372" spans="1:5">
      <c r="A3372" t="s">
        <v>6156</v>
      </c>
      <c r="B3372" t="s">
        <v>6157</v>
      </c>
      <c r="E3372" s="1"/>
    </row>
    <row r="3373" spans="1:5">
      <c r="A3373" t="s">
        <v>6158</v>
      </c>
      <c r="B3373" t="s">
        <v>6159</v>
      </c>
      <c r="E3373" s="1"/>
    </row>
    <row r="3374" spans="1:5">
      <c r="A3374" t="s">
        <v>6160</v>
      </c>
      <c r="B3374" t="s">
        <v>6161</v>
      </c>
      <c r="E3374" s="1"/>
    </row>
    <row r="3375" spans="1:5">
      <c r="A3375" t="s">
        <v>6162</v>
      </c>
      <c r="B3375" t="s">
        <v>6163</v>
      </c>
      <c r="E3375" s="1"/>
    </row>
    <row r="3376" spans="1:5">
      <c r="A3376" t="s">
        <v>6164</v>
      </c>
      <c r="B3376" t="s">
        <v>6165</v>
      </c>
      <c r="E3376" s="1"/>
    </row>
    <row r="3377" spans="1:9">
      <c r="A3377" t="s">
        <v>6166</v>
      </c>
      <c r="B3377" t="s">
        <v>6167</v>
      </c>
      <c r="C3377" s="1" t="s">
        <v>39</v>
      </c>
      <c r="D3377" s="1"/>
      <c r="E3377" s="1" t="str">
        <f>HYPERLINK("https://www.kegg.jp/dbget-bin/www_bget?ec:" &amp; C3377, "https://www.kegg.jp/dbget-bin/www_bget?ec:" &amp; C3377)</f>
        <v>https://www.kegg.jp/dbget-bin/www_bget?ec:5.4.99.9</v>
      </c>
      <c r="F3377" s="1" t="str">
        <f t="shared" ref="F3377:F3378" si="188">HYPERLINK("https://www.kegg.jp/dbget-bin/www_bget?ec:" &amp; D3377, "https://www.kegg.jp/dbget-bin/www_bget?ec:" &amp; D3377)</f>
        <v>https://www.kegg.jp/dbget-bin/www_bget?ec:</v>
      </c>
      <c r="G3377" s="1" t="s">
        <v>9261</v>
      </c>
      <c r="H3377" s="11" t="s">
        <v>9263</v>
      </c>
      <c r="I3377" s="14" t="s">
        <v>9266</v>
      </c>
    </row>
    <row r="3378" spans="1:9">
      <c r="A3378" t="s">
        <v>6166</v>
      </c>
      <c r="B3378" t="s">
        <v>6167</v>
      </c>
      <c r="C3378" s="1" t="s">
        <v>39</v>
      </c>
      <c r="D3378" s="1"/>
      <c r="E3378" s="1" t="str">
        <f>HYPERLINK("https://www.kegg.jp/dbget-bin/www_bget?ec:" &amp; C3378, "https://www.kegg.jp/dbget-bin/www_bget?ec:" &amp; C3378)</f>
        <v>https://www.kegg.jp/dbget-bin/www_bget?ec:5.4.99.9</v>
      </c>
      <c r="F3378" s="1" t="str">
        <f t="shared" si="188"/>
        <v>https://www.kegg.jp/dbget-bin/www_bget?ec:</v>
      </c>
      <c r="G3378" s="1" t="s">
        <v>9261</v>
      </c>
      <c r="H3378" s="11" t="s">
        <v>9267</v>
      </c>
      <c r="I3378" s="14" t="s">
        <v>9268</v>
      </c>
    </row>
    <row r="3379" spans="1:9">
      <c r="A3379" t="s">
        <v>6168</v>
      </c>
      <c r="B3379" t="s">
        <v>6169</v>
      </c>
      <c r="E3379" s="1"/>
    </row>
    <row r="3380" spans="1:9">
      <c r="A3380" t="s">
        <v>6170</v>
      </c>
      <c r="B3380" t="s">
        <v>6171</v>
      </c>
      <c r="E3380" s="1"/>
    </row>
    <row r="3381" spans="1:9">
      <c r="A3381" t="s">
        <v>6172</v>
      </c>
      <c r="B3381" t="s">
        <v>6173</v>
      </c>
      <c r="E3381" s="1"/>
    </row>
    <row r="3382" spans="1:9">
      <c r="A3382" t="s">
        <v>6174</v>
      </c>
      <c r="B3382" t="s">
        <v>6175</v>
      </c>
      <c r="E3382" s="1"/>
    </row>
    <row r="3383" spans="1:9">
      <c r="A3383" t="s">
        <v>6176</v>
      </c>
      <c r="B3383" t="s">
        <v>6177</v>
      </c>
      <c r="E3383" s="1"/>
    </row>
    <row r="3384" spans="1:9">
      <c r="A3384" t="s">
        <v>6178</v>
      </c>
      <c r="B3384" t="s">
        <v>6179</v>
      </c>
      <c r="E3384" s="1"/>
    </row>
    <row r="3385" spans="1:9">
      <c r="A3385" t="s">
        <v>6180</v>
      </c>
      <c r="B3385" t="s">
        <v>6181</v>
      </c>
      <c r="E3385" s="1"/>
    </row>
    <row r="3386" spans="1:9">
      <c r="A3386" t="s">
        <v>6182</v>
      </c>
      <c r="B3386" t="s">
        <v>6183</v>
      </c>
      <c r="E3386" s="1"/>
    </row>
    <row r="3387" spans="1:9">
      <c r="A3387" t="s">
        <v>6184</v>
      </c>
      <c r="B3387" t="s">
        <v>6185</v>
      </c>
      <c r="E3387" s="1"/>
    </row>
    <row r="3388" spans="1:9">
      <c r="A3388" t="s">
        <v>6186</v>
      </c>
      <c r="B3388" t="s">
        <v>6187</v>
      </c>
      <c r="E3388" s="1"/>
    </row>
    <row r="3389" spans="1:9">
      <c r="A3389" t="s">
        <v>6188</v>
      </c>
      <c r="B3389" t="s">
        <v>6189</v>
      </c>
      <c r="E3389" s="1"/>
    </row>
    <row r="3390" spans="1:9">
      <c r="A3390" t="s">
        <v>6190</v>
      </c>
      <c r="B3390" t="s">
        <v>6191</v>
      </c>
      <c r="E3390" s="1"/>
    </row>
    <row r="3391" spans="1:9">
      <c r="A3391" t="s">
        <v>6192</v>
      </c>
      <c r="B3391" t="s">
        <v>6193</v>
      </c>
      <c r="E3391" s="1"/>
    </row>
    <row r="3392" spans="1:9">
      <c r="A3392" t="s">
        <v>6194</v>
      </c>
      <c r="B3392" t="s">
        <v>6195</v>
      </c>
      <c r="E3392" s="1"/>
    </row>
    <row r="3393" spans="1:8">
      <c r="A3393" t="s">
        <v>6196</v>
      </c>
      <c r="B3393" t="s">
        <v>6197</v>
      </c>
      <c r="E3393" s="1"/>
    </row>
    <row r="3394" spans="1:8">
      <c r="A3394" t="s">
        <v>6198</v>
      </c>
      <c r="B3394" t="s">
        <v>6199</v>
      </c>
      <c r="C3394" s="1" t="s">
        <v>9128</v>
      </c>
      <c r="D3394" s="1"/>
      <c r="E3394" s="1" t="str">
        <f>HYPERLINK("https://www.kegg.jp/dbget-bin/www_bget?ec:" &amp; C3394, "https://www.kegg.jp/dbget-bin/www_bget?ec:" &amp; C3394)</f>
        <v>https://www.kegg.jp/dbget-bin/www_bget?ec:3.4.11.4</v>
      </c>
      <c r="F3394" t="s">
        <v>9650</v>
      </c>
    </row>
    <row r="3395" spans="1:8">
      <c r="A3395" t="s">
        <v>6200</v>
      </c>
      <c r="B3395" t="s">
        <v>6201</v>
      </c>
      <c r="C3395" s="1" t="s">
        <v>9129</v>
      </c>
      <c r="D3395" s="1"/>
      <c r="E3395" s="1" t="str">
        <f>HYPERLINK("https://www.kegg.jp/dbget-bin/www_bget?ec:" &amp; C3395, "https://www.kegg.jp/dbget-bin/www_bget?ec:" &amp; C3395)</f>
        <v>https://www.kegg.jp/dbget-bin/www_bget?ec:2.1.2.10</v>
      </c>
      <c r="F3395" t="s">
        <v>10240</v>
      </c>
      <c r="G3395" s="10" t="s">
        <v>11128</v>
      </c>
      <c r="H3395" s="13" t="s">
        <v>11129</v>
      </c>
    </row>
    <row r="3396" spans="1:8">
      <c r="A3396" t="s">
        <v>6200</v>
      </c>
      <c r="B3396" t="s">
        <v>6201</v>
      </c>
      <c r="C3396" s="1" t="s">
        <v>9129</v>
      </c>
      <c r="D3396" s="1"/>
      <c r="E3396" s="1" t="str">
        <f>HYPERLINK("https://www.kegg.jp/dbget-bin/www_bget?ec:" &amp; C3396, "https://www.kegg.jp/dbget-bin/www_bget?ec:" &amp; C3396)</f>
        <v>https://www.kegg.jp/dbget-bin/www_bget?ec:2.1.2.10</v>
      </c>
      <c r="F3396" t="s">
        <v>10240</v>
      </c>
      <c r="G3396" s="10" t="s">
        <v>10243</v>
      </c>
      <c r="H3396" s="13" t="s">
        <v>11130</v>
      </c>
    </row>
    <row r="3397" spans="1:8">
      <c r="A3397" t="s">
        <v>6202</v>
      </c>
      <c r="B3397" t="s">
        <v>6203</v>
      </c>
      <c r="E3397" s="1"/>
    </row>
    <row r="3398" spans="1:8">
      <c r="A3398" t="s">
        <v>6204</v>
      </c>
      <c r="B3398" t="s">
        <v>6205</v>
      </c>
      <c r="E3398" s="1"/>
    </row>
    <row r="3399" spans="1:8">
      <c r="A3399" t="s">
        <v>6206</v>
      </c>
      <c r="B3399" t="s">
        <v>6207</v>
      </c>
      <c r="E3399" s="1"/>
    </row>
    <row r="3400" spans="1:8">
      <c r="A3400" t="s">
        <v>6208</v>
      </c>
      <c r="B3400" t="s">
        <v>6209</v>
      </c>
      <c r="E3400" s="1"/>
    </row>
    <row r="3401" spans="1:8">
      <c r="A3401" t="s">
        <v>6210</v>
      </c>
      <c r="B3401" t="s">
        <v>6211</v>
      </c>
      <c r="E3401" s="1"/>
    </row>
    <row r="3402" spans="1:8">
      <c r="A3402" t="s">
        <v>6212</v>
      </c>
      <c r="B3402" t="s">
        <v>6213</v>
      </c>
      <c r="C3402" s="1" t="s">
        <v>9130</v>
      </c>
      <c r="D3402" s="1"/>
      <c r="E3402" s="1" t="str">
        <f>HYPERLINK("https://www.kegg.jp/dbget-bin/www_bget?ec:" &amp; C3402, "https://www.kegg.jp/dbget-bin/www_bget?ec:" &amp; C3402)</f>
        <v>https://www.kegg.jp/dbget-bin/www_bget?ec:6.3.1.5</v>
      </c>
      <c r="F3402" s="1" t="s">
        <v>10245</v>
      </c>
      <c r="G3402" s="10" t="s">
        <v>11131</v>
      </c>
      <c r="H3402" s="13" t="s">
        <v>11132</v>
      </c>
    </row>
    <row r="3403" spans="1:8">
      <c r="A3403" t="s">
        <v>6214</v>
      </c>
      <c r="B3403" t="s">
        <v>6215</v>
      </c>
      <c r="E3403" s="1"/>
    </row>
    <row r="3404" spans="1:8">
      <c r="A3404" t="s">
        <v>6216</v>
      </c>
      <c r="B3404" t="s">
        <v>6217</v>
      </c>
      <c r="E3404" s="1"/>
    </row>
    <row r="3405" spans="1:8">
      <c r="A3405" t="s">
        <v>6218</v>
      </c>
      <c r="B3405" t="s">
        <v>6219</v>
      </c>
      <c r="E3405" s="1"/>
    </row>
    <row r="3406" spans="1:8">
      <c r="A3406" t="s">
        <v>6220</v>
      </c>
      <c r="B3406" t="s">
        <v>6221</v>
      </c>
      <c r="C3406" s="1" t="s">
        <v>9131</v>
      </c>
      <c r="D3406" s="1"/>
      <c r="E3406" s="1" t="str">
        <f>HYPERLINK("https://www.kegg.jp/dbget-bin/www_bget?ec:" &amp; C3406, "https://www.kegg.jp/dbget-bin/www_bget?ec:" &amp; C3406)</f>
        <v>https://www.kegg.jp/dbget-bin/www_bget?ec:2.6.1.83</v>
      </c>
      <c r="F3406" s="1" t="s">
        <v>10248</v>
      </c>
      <c r="G3406" s="10" t="s">
        <v>11133</v>
      </c>
      <c r="H3406" s="13" t="s">
        <v>11134</v>
      </c>
    </row>
    <row r="3407" spans="1:8">
      <c r="A3407" t="s">
        <v>6222</v>
      </c>
      <c r="B3407" t="s">
        <v>6223</v>
      </c>
      <c r="C3407" s="1" t="s">
        <v>9132</v>
      </c>
      <c r="D3407" s="1"/>
      <c r="E3407" s="1" t="str">
        <f>HYPERLINK("https://www.kegg.jp/dbget-bin/www_bget?ec:" &amp; C3407, "https://www.kegg.jp/dbget-bin/www_bget?ec:" &amp; C3407)</f>
        <v>https://www.kegg.jp/dbget-bin/www_bget?ec:5.1.1.7</v>
      </c>
      <c r="F3407" s="1" t="s">
        <v>10251</v>
      </c>
      <c r="G3407" s="10" t="s">
        <v>10252</v>
      </c>
      <c r="H3407" s="13" t="s">
        <v>10253</v>
      </c>
    </row>
    <row r="3408" spans="1:8">
      <c r="A3408" t="s">
        <v>6224</v>
      </c>
      <c r="B3408" t="s">
        <v>6225</v>
      </c>
      <c r="E3408" s="1"/>
    </row>
    <row r="3409" spans="1:8">
      <c r="A3409" t="s">
        <v>6226</v>
      </c>
      <c r="B3409" t="s">
        <v>6227</v>
      </c>
      <c r="C3409" s="1" t="s">
        <v>9133</v>
      </c>
      <c r="D3409" s="1"/>
      <c r="E3409" s="1" t="str">
        <f>HYPERLINK("https://www.kegg.jp/dbget-bin/www_bget?ec:" &amp; C3409, "https://www.kegg.jp/dbget-bin/www_bget?ec:" &amp; C3409)</f>
        <v>https://www.kegg.jp/dbget-bin/www_bget?ec:6.3.5.4</v>
      </c>
      <c r="F3409" t="s">
        <v>10254</v>
      </c>
      <c r="G3409" s="10" t="s">
        <v>9372</v>
      </c>
      <c r="H3409" s="13" t="s">
        <v>9373</v>
      </c>
    </row>
    <row r="3410" spans="1:8">
      <c r="A3410" t="s">
        <v>6226</v>
      </c>
      <c r="B3410" t="s">
        <v>6227</v>
      </c>
      <c r="C3410" s="1" t="s">
        <v>9133</v>
      </c>
      <c r="D3410" s="1"/>
      <c r="E3410" s="1" t="str">
        <f>HYPERLINK("https://www.kegg.jp/dbget-bin/www_bget?ec:" &amp; C3410, "https://www.kegg.jp/dbget-bin/www_bget?ec:" &amp; C3410)</f>
        <v>https://www.kegg.jp/dbget-bin/www_bget?ec:6.3.5.4</v>
      </c>
      <c r="F3410" t="s">
        <v>10254</v>
      </c>
      <c r="G3410" s="10" t="s">
        <v>11014</v>
      </c>
      <c r="H3410" s="13" t="s">
        <v>11015</v>
      </c>
    </row>
    <row r="3411" spans="1:8">
      <c r="A3411" t="s">
        <v>6226</v>
      </c>
      <c r="B3411" t="s">
        <v>6227</v>
      </c>
      <c r="C3411" s="1" t="s">
        <v>9133</v>
      </c>
      <c r="D3411" s="1"/>
      <c r="E3411" s="1" t="str">
        <f>HYPERLINK("https://www.kegg.jp/dbget-bin/www_bget?ec:" &amp; C3411, "https://www.kegg.jp/dbget-bin/www_bget?ec:" &amp; C3411)</f>
        <v>https://www.kegg.jp/dbget-bin/www_bget?ec:6.3.5.4</v>
      </c>
      <c r="F3411" t="s">
        <v>10254</v>
      </c>
      <c r="G3411" s="10" t="s">
        <v>11135</v>
      </c>
      <c r="H3411" s="13" t="s">
        <v>11136</v>
      </c>
    </row>
    <row r="3412" spans="1:8">
      <c r="A3412" t="s">
        <v>6228</v>
      </c>
      <c r="B3412" t="s">
        <v>6229</v>
      </c>
      <c r="E3412" s="1"/>
    </row>
    <row r="3413" spans="1:8">
      <c r="A3413" t="s">
        <v>6230</v>
      </c>
      <c r="B3413" t="s">
        <v>6231</v>
      </c>
      <c r="C3413" s="1" t="s">
        <v>9085</v>
      </c>
      <c r="D3413" s="1"/>
      <c r="E3413" s="1" t="str">
        <f>HYPERLINK("https://www.kegg.jp/dbget-bin/www_bget?ec:" &amp; C3413, "https://www.kegg.jp/dbget-bin/www_bget?ec:" &amp; C3413)</f>
        <v>https://www.kegg.jp/dbget-bin/www_bget?ec:1.4.1.13</v>
      </c>
      <c r="F3413" t="s">
        <v>10065</v>
      </c>
      <c r="G3413" s="22" t="s">
        <v>11000</v>
      </c>
      <c r="H3413" s="20" t="s">
        <v>11001</v>
      </c>
    </row>
    <row r="3414" spans="1:8">
      <c r="A3414" t="s">
        <v>6230</v>
      </c>
      <c r="B3414" t="s">
        <v>6231</v>
      </c>
      <c r="C3414" s="1" t="s">
        <v>9085</v>
      </c>
      <c r="D3414" s="1"/>
      <c r="E3414" s="1" t="str">
        <f>HYPERLINK("https://www.kegg.jp/dbget-bin/www_bget?ec:" &amp; C3414, "https://www.kegg.jp/dbget-bin/www_bget?ec:" &amp; C3414)</f>
        <v>https://www.kegg.jp/dbget-bin/www_bget?ec:1.4.1.13</v>
      </c>
      <c r="F3414" t="s">
        <v>10065</v>
      </c>
      <c r="G3414" s="22" t="s">
        <v>11002</v>
      </c>
      <c r="H3414" s="20" t="s">
        <v>11003</v>
      </c>
    </row>
    <row r="3415" spans="1:8">
      <c r="A3415" t="s">
        <v>6230</v>
      </c>
      <c r="B3415" t="s">
        <v>6231</v>
      </c>
      <c r="C3415" s="1" t="s">
        <v>9085</v>
      </c>
      <c r="D3415" s="1"/>
      <c r="E3415" s="1" t="str">
        <f>HYPERLINK("https://www.kegg.jp/dbget-bin/www_bget?ec:" &amp; C3415, "https://www.kegg.jp/dbget-bin/www_bget?ec:" &amp; C3415)</f>
        <v>https://www.kegg.jp/dbget-bin/www_bget?ec:1.4.1.13</v>
      </c>
      <c r="F3415" t="s">
        <v>10065</v>
      </c>
      <c r="G3415" s="22" t="s">
        <v>9372</v>
      </c>
      <c r="H3415" s="20" t="s">
        <v>11004</v>
      </c>
    </row>
    <row r="3416" spans="1:8">
      <c r="A3416" t="s">
        <v>6232</v>
      </c>
      <c r="B3416" t="s">
        <v>6233</v>
      </c>
      <c r="E3416" s="1"/>
    </row>
    <row r="3417" spans="1:8">
      <c r="A3417" t="s">
        <v>6234</v>
      </c>
      <c r="B3417" t="s">
        <v>6235</v>
      </c>
      <c r="E3417" s="1"/>
    </row>
    <row r="3418" spans="1:8">
      <c r="A3418" t="s">
        <v>6236</v>
      </c>
      <c r="B3418" t="s">
        <v>6237</v>
      </c>
      <c r="E3418" s="1"/>
    </row>
    <row r="3419" spans="1:8">
      <c r="A3419" t="s">
        <v>6238</v>
      </c>
      <c r="B3419" t="s">
        <v>6239</v>
      </c>
      <c r="E3419" s="1"/>
    </row>
    <row r="3420" spans="1:8">
      <c r="A3420" t="s">
        <v>6240</v>
      </c>
      <c r="B3420" t="s">
        <v>6241</v>
      </c>
      <c r="E3420" s="1"/>
    </row>
    <row r="3421" spans="1:8">
      <c r="A3421" t="s">
        <v>6242</v>
      </c>
      <c r="B3421" t="s">
        <v>6243</v>
      </c>
      <c r="C3421" s="1" t="s">
        <v>9134</v>
      </c>
      <c r="D3421" s="1"/>
      <c r="E3421" s="1" t="str">
        <f>HYPERLINK("https://www.kegg.jp/dbget-bin/www_bget?ec:" &amp; C3421, "https://www.kegg.jp/dbget-bin/www_bget?ec:" &amp; C3421)</f>
        <v>https://www.kegg.jp/dbget-bin/www_bget?ec:3.1.1.29</v>
      </c>
      <c r="F3421" s="1" t="s">
        <v>10258</v>
      </c>
      <c r="G3421" s="10" t="s">
        <v>11137</v>
      </c>
      <c r="H3421" s="13" t="s">
        <v>11138</v>
      </c>
    </row>
    <row r="3422" spans="1:8">
      <c r="A3422" t="s">
        <v>6244</v>
      </c>
      <c r="B3422" t="s">
        <v>6245</v>
      </c>
      <c r="E3422" s="1"/>
    </row>
    <row r="3423" spans="1:8">
      <c r="A3423" t="s">
        <v>6246</v>
      </c>
      <c r="B3423" t="s">
        <v>6247</v>
      </c>
      <c r="E3423" s="1"/>
    </row>
    <row r="3424" spans="1:8">
      <c r="A3424" t="s">
        <v>6248</v>
      </c>
      <c r="B3424" t="s">
        <v>6249</v>
      </c>
      <c r="E3424" s="1"/>
    </row>
    <row r="3425" spans="1:5">
      <c r="A3425" t="s">
        <v>6250</v>
      </c>
      <c r="B3425" t="s">
        <v>6251</v>
      </c>
      <c r="E3425" s="1"/>
    </row>
    <row r="3426" spans="1:5">
      <c r="A3426" t="s">
        <v>6252</v>
      </c>
      <c r="B3426" t="s">
        <v>6253</v>
      </c>
      <c r="E3426" s="1"/>
    </row>
    <row r="3427" spans="1:5">
      <c r="A3427" t="s">
        <v>6254</v>
      </c>
      <c r="B3427" t="s">
        <v>6255</v>
      </c>
      <c r="E3427" s="1"/>
    </row>
    <row r="3428" spans="1:5">
      <c r="A3428" t="s">
        <v>6256</v>
      </c>
      <c r="B3428" t="s">
        <v>6257</v>
      </c>
      <c r="E3428" s="1"/>
    </row>
    <row r="3429" spans="1:5">
      <c r="A3429" t="s">
        <v>6258</v>
      </c>
      <c r="B3429" t="s">
        <v>6259</v>
      </c>
      <c r="E3429" s="1"/>
    </row>
    <row r="3430" spans="1:5">
      <c r="A3430" t="s">
        <v>6260</v>
      </c>
      <c r="B3430" t="s">
        <v>6261</v>
      </c>
      <c r="E3430" s="1"/>
    </row>
    <row r="3431" spans="1:5">
      <c r="A3431" t="s">
        <v>6262</v>
      </c>
      <c r="B3431" t="s">
        <v>6263</v>
      </c>
      <c r="E3431" s="1"/>
    </row>
    <row r="3432" spans="1:5">
      <c r="A3432" t="s">
        <v>6264</v>
      </c>
      <c r="B3432" t="s">
        <v>6265</v>
      </c>
      <c r="E3432" s="1"/>
    </row>
    <row r="3433" spans="1:5">
      <c r="A3433" t="s">
        <v>6266</v>
      </c>
      <c r="B3433" t="s">
        <v>6267</v>
      </c>
      <c r="E3433" s="1"/>
    </row>
    <row r="3434" spans="1:5">
      <c r="A3434" t="s">
        <v>6268</v>
      </c>
      <c r="B3434" t="s">
        <v>6269</v>
      </c>
      <c r="E3434" s="1"/>
    </row>
    <row r="3435" spans="1:5">
      <c r="A3435" t="s">
        <v>6270</v>
      </c>
      <c r="B3435" t="s">
        <v>6271</v>
      </c>
      <c r="E3435" s="1"/>
    </row>
    <row r="3436" spans="1:5">
      <c r="B3436" t="s">
        <v>6272</v>
      </c>
      <c r="E3436" s="1"/>
    </row>
    <row r="3437" spans="1:5">
      <c r="A3437" t="s">
        <v>6273</v>
      </c>
      <c r="B3437" t="s">
        <v>6274</v>
      </c>
      <c r="E3437" s="1"/>
    </row>
    <row r="3438" spans="1:5">
      <c r="A3438" t="s">
        <v>6275</v>
      </c>
      <c r="B3438" t="s">
        <v>6276</v>
      </c>
      <c r="E3438" s="1"/>
    </row>
    <row r="3439" spans="1:5">
      <c r="A3439" t="s">
        <v>6277</v>
      </c>
      <c r="B3439" t="s">
        <v>6278</v>
      </c>
      <c r="E3439" s="1"/>
    </row>
    <row r="3440" spans="1:5">
      <c r="A3440" t="s">
        <v>6279</v>
      </c>
      <c r="B3440" t="s">
        <v>6280</v>
      </c>
      <c r="E3440" s="1"/>
    </row>
    <row r="3441" spans="1:8">
      <c r="A3441" t="s">
        <v>6281</v>
      </c>
      <c r="B3441" t="s">
        <v>6282</v>
      </c>
      <c r="E3441" s="1"/>
    </row>
    <row r="3442" spans="1:8">
      <c r="A3442" t="s">
        <v>6283</v>
      </c>
      <c r="B3442" t="s">
        <v>6284</v>
      </c>
      <c r="E3442" s="1"/>
    </row>
    <row r="3443" spans="1:8">
      <c r="A3443" t="s">
        <v>6285</v>
      </c>
      <c r="B3443" t="s">
        <v>6286</v>
      </c>
      <c r="C3443" s="1" t="s">
        <v>9135</v>
      </c>
      <c r="D3443" s="1"/>
      <c r="E3443" s="1" t="str">
        <f t="shared" ref="E3443:E3491" si="189">HYPERLINK("https://www.kegg.jp/dbget-bin/www_bget?ec:" &amp; C3443, "https://www.kegg.jp/dbget-bin/www_bget?ec:" &amp; C3443)</f>
        <v>https://www.kegg.jp/dbget-bin/www_bget?ec:2.5.1.9</v>
      </c>
      <c r="F3443" s="1" t="s">
        <v>10261</v>
      </c>
      <c r="G3443" s="10" t="s">
        <v>10262</v>
      </c>
      <c r="H3443" s="13" t="s">
        <v>11139</v>
      </c>
    </row>
    <row r="3444" spans="1:8">
      <c r="A3444" t="s">
        <v>6287</v>
      </c>
      <c r="B3444" t="s">
        <v>6288</v>
      </c>
      <c r="E3444" s="1"/>
    </row>
    <row r="3445" spans="1:8">
      <c r="A3445" t="s">
        <v>6289</v>
      </c>
      <c r="B3445" t="s">
        <v>6290</v>
      </c>
      <c r="E3445" s="1"/>
    </row>
    <row r="3446" spans="1:8">
      <c r="B3446" t="s">
        <v>6291</v>
      </c>
      <c r="E3446" s="1"/>
    </row>
    <row r="3447" spans="1:8">
      <c r="A3447" t="s">
        <v>6292</v>
      </c>
      <c r="B3447" t="s">
        <v>6293</v>
      </c>
      <c r="E3447" s="1"/>
    </row>
    <row r="3448" spans="1:8">
      <c r="A3448" t="s">
        <v>6294</v>
      </c>
      <c r="B3448" t="s">
        <v>6295</v>
      </c>
      <c r="E3448" s="1"/>
    </row>
    <row r="3449" spans="1:8">
      <c r="B3449" t="s">
        <v>6296</v>
      </c>
      <c r="E3449" s="1"/>
    </row>
    <row r="3450" spans="1:8">
      <c r="A3450" t="s">
        <v>6297</v>
      </c>
      <c r="B3450" t="s">
        <v>6298</v>
      </c>
      <c r="E3450" s="1"/>
    </row>
    <row r="3451" spans="1:8">
      <c r="A3451" t="s">
        <v>6299</v>
      </c>
      <c r="B3451" t="s">
        <v>6300</v>
      </c>
      <c r="E3451" s="1"/>
    </row>
    <row r="3452" spans="1:8">
      <c r="A3452" t="s">
        <v>6301</v>
      </c>
      <c r="B3452" t="s">
        <v>6302</v>
      </c>
      <c r="E3452" s="1"/>
    </row>
    <row r="3453" spans="1:8">
      <c r="A3453" t="s">
        <v>6303</v>
      </c>
      <c r="B3453" t="s">
        <v>6304</v>
      </c>
      <c r="E3453" s="1"/>
    </row>
    <row r="3454" spans="1:8">
      <c r="B3454" t="s">
        <v>6305</v>
      </c>
      <c r="E3454" s="1"/>
    </row>
    <row r="3455" spans="1:8">
      <c r="B3455" t="s">
        <v>6306</v>
      </c>
      <c r="E3455" s="1"/>
    </row>
    <row r="3456" spans="1:8">
      <c r="B3456" t="s">
        <v>6307</v>
      </c>
      <c r="E3456" s="1"/>
    </row>
    <row r="3457" spans="1:8">
      <c r="B3457" t="s">
        <v>6308</v>
      </c>
      <c r="E3457" s="1"/>
    </row>
    <row r="3458" spans="1:8">
      <c r="B3458" t="s">
        <v>6309</v>
      </c>
      <c r="E3458" s="1"/>
    </row>
    <row r="3459" spans="1:8">
      <c r="B3459" t="s">
        <v>6310</v>
      </c>
      <c r="E3459" s="1"/>
    </row>
    <row r="3460" spans="1:8">
      <c r="A3460" t="s">
        <v>6311</v>
      </c>
      <c r="B3460" t="s">
        <v>6312</v>
      </c>
      <c r="E3460" s="1"/>
    </row>
    <row r="3461" spans="1:8">
      <c r="A3461" t="s">
        <v>6313</v>
      </c>
      <c r="B3461" t="s">
        <v>6314</v>
      </c>
      <c r="E3461" s="1"/>
    </row>
    <row r="3462" spans="1:8">
      <c r="A3462" t="s">
        <v>6315</v>
      </c>
      <c r="B3462" t="s">
        <v>6316</v>
      </c>
      <c r="E3462" s="1"/>
    </row>
    <row r="3463" spans="1:8">
      <c r="A3463" t="s">
        <v>6317</v>
      </c>
      <c r="B3463" t="s">
        <v>6318</v>
      </c>
      <c r="E3463" s="1"/>
    </row>
    <row r="3464" spans="1:8">
      <c r="A3464" t="s">
        <v>6319</v>
      </c>
      <c r="B3464" t="s">
        <v>6320</v>
      </c>
      <c r="E3464" s="1"/>
    </row>
    <row r="3465" spans="1:8">
      <c r="A3465" t="s">
        <v>6321</v>
      </c>
      <c r="B3465" t="s">
        <v>6322</v>
      </c>
      <c r="E3465" s="1"/>
    </row>
    <row r="3466" spans="1:8">
      <c r="A3466" t="s">
        <v>6323</v>
      </c>
      <c r="B3466" t="s">
        <v>6324</v>
      </c>
      <c r="E3466" s="1"/>
    </row>
    <row r="3467" spans="1:8">
      <c r="A3467" t="s">
        <v>6325</v>
      </c>
      <c r="B3467" t="s">
        <v>6326</v>
      </c>
      <c r="E3467" s="1"/>
    </row>
    <row r="3468" spans="1:8">
      <c r="A3468" t="s">
        <v>6327</v>
      </c>
      <c r="B3468" t="s">
        <v>6328</v>
      </c>
      <c r="E3468" s="1"/>
    </row>
    <row r="3469" spans="1:8">
      <c r="A3469" t="s">
        <v>6329</v>
      </c>
      <c r="B3469" t="s">
        <v>6330</v>
      </c>
      <c r="E3469" s="1"/>
    </row>
    <row r="3470" spans="1:8">
      <c r="A3470" t="s">
        <v>6331</v>
      </c>
      <c r="B3470" t="s">
        <v>6332</v>
      </c>
      <c r="E3470" s="1"/>
    </row>
    <row r="3471" spans="1:8">
      <c r="A3471" t="s">
        <v>6333</v>
      </c>
      <c r="B3471" t="s">
        <v>6334</v>
      </c>
      <c r="C3471" s="1" t="s">
        <v>9136</v>
      </c>
      <c r="D3471" s="1"/>
      <c r="E3471" s="1" t="str">
        <f t="shared" ref="E3471" si="190">HYPERLINK("https://www.kegg.jp/dbget-bin/www_bget?ec:" &amp; C3471, "https://www.kegg.jp/dbget-bin/www_bget?ec:" &amp; C3471)</f>
        <v>https://www.kegg.jp/dbget-bin/www_bget?ec:1.5.1.20</v>
      </c>
      <c r="F3471" t="s">
        <v>9566</v>
      </c>
      <c r="G3471" s="10" t="s">
        <v>9567</v>
      </c>
      <c r="H3471" s="13" t="s">
        <v>9578</v>
      </c>
    </row>
    <row r="3472" spans="1:8">
      <c r="A3472" t="s">
        <v>6333</v>
      </c>
      <c r="B3472" t="s">
        <v>6334</v>
      </c>
      <c r="C3472" s="1" t="s">
        <v>9136</v>
      </c>
      <c r="D3472" s="1"/>
      <c r="E3472" s="1" t="str">
        <f t="shared" si="189"/>
        <v>https://www.kegg.jp/dbget-bin/www_bget?ec:1.5.1.20</v>
      </c>
      <c r="F3472" t="s">
        <v>9566</v>
      </c>
      <c r="G3472" s="10" t="s">
        <v>9579</v>
      </c>
      <c r="H3472" s="13" t="s">
        <v>9568</v>
      </c>
    </row>
    <row r="3473" spans="1:8">
      <c r="A3473" t="s">
        <v>6335</v>
      </c>
      <c r="B3473" t="s">
        <v>6336</v>
      </c>
      <c r="C3473" s="1" t="s">
        <v>9137</v>
      </c>
      <c r="D3473" s="1"/>
      <c r="E3473" s="1" t="str">
        <f t="shared" ref="E3473" si="191">HYPERLINK("https://www.kegg.jp/dbget-bin/www_bget?ec:" &amp; C3473, "https://www.kegg.jp/dbget-bin/www_bget?ec:" &amp; C3473)</f>
        <v>https://www.kegg.jp/dbget-bin/www_bget?ec:2.6.1.42</v>
      </c>
      <c r="F3473" s="1" t="s">
        <v>10264</v>
      </c>
      <c r="G3473" s="10" t="s">
        <v>11140</v>
      </c>
      <c r="H3473" s="13" t="s">
        <v>11141</v>
      </c>
    </row>
    <row r="3474" spans="1:8">
      <c r="A3474" t="s">
        <v>6335</v>
      </c>
      <c r="B3474" t="s">
        <v>6336</v>
      </c>
      <c r="C3474" s="1" t="s">
        <v>9137</v>
      </c>
      <c r="D3474" s="1"/>
      <c r="E3474" s="1" t="str">
        <f t="shared" ref="E3474" si="192">HYPERLINK("https://www.kegg.jp/dbget-bin/www_bget?ec:" &amp; C3474, "https://www.kegg.jp/dbget-bin/www_bget?ec:" &amp; C3474)</f>
        <v>https://www.kegg.jp/dbget-bin/www_bget?ec:2.6.1.42</v>
      </c>
      <c r="F3474" s="1" t="s">
        <v>10264</v>
      </c>
      <c r="G3474" s="10" t="s">
        <v>11142</v>
      </c>
      <c r="H3474" s="13" t="s">
        <v>11143</v>
      </c>
    </row>
    <row r="3475" spans="1:8">
      <c r="A3475" t="s">
        <v>6335</v>
      </c>
      <c r="B3475" t="s">
        <v>6336</v>
      </c>
      <c r="C3475" s="1" t="s">
        <v>9137</v>
      </c>
      <c r="D3475" s="1"/>
      <c r="E3475" s="1" t="str">
        <f t="shared" ref="E3475" si="193">HYPERLINK("https://www.kegg.jp/dbget-bin/www_bget?ec:" &amp; C3475, "https://www.kegg.jp/dbget-bin/www_bget?ec:" &amp; C3475)</f>
        <v>https://www.kegg.jp/dbget-bin/www_bget?ec:2.6.1.42</v>
      </c>
      <c r="F3475" s="1" t="s">
        <v>10264</v>
      </c>
      <c r="G3475" s="10" t="s">
        <v>11144</v>
      </c>
      <c r="H3475" s="13" t="s">
        <v>11145</v>
      </c>
    </row>
    <row r="3476" spans="1:8">
      <c r="A3476" t="s">
        <v>6335</v>
      </c>
      <c r="B3476" t="s">
        <v>6336</v>
      </c>
      <c r="C3476" s="1" t="s">
        <v>9137</v>
      </c>
      <c r="D3476" s="1"/>
      <c r="E3476" s="1" t="str">
        <f t="shared" si="189"/>
        <v>https://www.kegg.jp/dbget-bin/www_bget?ec:2.6.1.42</v>
      </c>
      <c r="F3476" s="1" t="s">
        <v>10264</v>
      </c>
      <c r="G3476" s="10" t="s">
        <v>11146</v>
      </c>
      <c r="H3476" s="13" t="s">
        <v>11147</v>
      </c>
    </row>
    <row r="3477" spans="1:8">
      <c r="A3477" t="s">
        <v>6337</v>
      </c>
      <c r="B3477" t="s">
        <v>6338</v>
      </c>
      <c r="E3477" s="1"/>
    </row>
    <row r="3478" spans="1:8">
      <c r="A3478" t="s">
        <v>6339</v>
      </c>
      <c r="B3478" t="s">
        <v>6340</v>
      </c>
      <c r="E3478" s="1"/>
    </row>
    <row r="3479" spans="1:8">
      <c r="A3479" t="s">
        <v>6341</v>
      </c>
      <c r="B3479" t="s">
        <v>6342</v>
      </c>
      <c r="E3479" s="1"/>
    </row>
    <row r="3480" spans="1:8">
      <c r="A3480" t="s">
        <v>6343</v>
      </c>
      <c r="B3480" t="s">
        <v>6344</v>
      </c>
      <c r="E3480" s="1"/>
    </row>
    <row r="3481" spans="1:8">
      <c r="A3481" t="s">
        <v>6345</v>
      </c>
      <c r="B3481" t="s">
        <v>6346</v>
      </c>
      <c r="E3481" s="1"/>
    </row>
    <row r="3482" spans="1:8">
      <c r="A3482" t="s">
        <v>6347</v>
      </c>
      <c r="B3482" t="s">
        <v>6348</v>
      </c>
      <c r="E3482" s="1"/>
    </row>
    <row r="3483" spans="1:8">
      <c r="A3483" t="s">
        <v>6349</v>
      </c>
      <c r="B3483" t="s">
        <v>6350</v>
      </c>
      <c r="E3483" s="1"/>
    </row>
    <row r="3484" spans="1:8">
      <c r="A3484" t="s">
        <v>6351</v>
      </c>
      <c r="B3484" t="s">
        <v>6352</v>
      </c>
      <c r="E3484" s="1"/>
    </row>
    <row r="3485" spans="1:8">
      <c r="A3485" t="s">
        <v>6353</v>
      </c>
      <c r="B3485" t="s">
        <v>6354</v>
      </c>
      <c r="E3485" s="1"/>
    </row>
    <row r="3486" spans="1:8">
      <c r="A3486" t="s">
        <v>6355</v>
      </c>
      <c r="B3486" t="s">
        <v>6356</v>
      </c>
      <c r="E3486" s="1"/>
    </row>
    <row r="3487" spans="1:8">
      <c r="A3487" t="s">
        <v>6357</v>
      </c>
      <c r="B3487" t="s">
        <v>6358</v>
      </c>
      <c r="E3487" s="1"/>
    </row>
    <row r="3488" spans="1:8">
      <c r="A3488" t="s">
        <v>6359</v>
      </c>
      <c r="B3488" t="s">
        <v>6360</v>
      </c>
      <c r="E3488" s="1"/>
    </row>
    <row r="3489" spans="1:8">
      <c r="A3489" t="s">
        <v>6361</v>
      </c>
      <c r="B3489" t="s">
        <v>6362</v>
      </c>
      <c r="E3489" s="1"/>
    </row>
    <row r="3490" spans="1:8">
      <c r="A3490" t="s">
        <v>6363</v>
      </c>
      <c r="B3490" t="s">
        <v>6364</v>
      </c>
      <c r="E3490" s="1"/>
    </row>
    <row r="3491" spans="1:8">
      <c r="A3491" t="s">
        <v>6365</v>
      </c>
      <c r="B3491" t="s">
        <v>6366</v>
      </c>
      <c r="C3491" s="1" t="s">
        <v>9138</v>
      </c>
      <c r="D3491" s="1"/>
      <c r="E3491" s="1" t="str">
        <f t="shared" si="189"/>
        <v>https://www.kegg.jp/dbget-bin/www_bget?ec:2.3.1.39</v>
      </c>
      <c r="F3491" s="1" t="s">
        <v>10273</v>
      </c>
      <c r="G3491" s="10" t="s">
        <v>11148</v>
      </c>
      <c r="H3491" s="13" t="s">
        <v>11149</v>
      </c>
    </row>
    <row r="3492" spans="1:8">
      <c r="A3492" t="s">
        <v>6367</v>
      </c>
      <c r="B3492" t="s">
        <v>6368</v>
      </c>
      <c r="E3492" s="1"/>
    </row>
    <row r="3493" spans="1:8">
      <c r="A3493" t="s">
        <v>6369</v>
      </c>
      <c r="B3493" t="s">
        <v>6370</v>
      </c>
      <c r="E3493" s="1"/>
    </row>
    <row r="3494" spans="1:8">
      <c r="A3494" t="s">
        <v>6371</v>
      </c>
      <c r="B3494" t="s">
        <v>6372</v>
      </c>
      <c r="E3494" s="1"/>
    </row>
    <row r="3495" spans="1:8">
      <c r="A3495" t="s">
        <v>6373</v>
      </c>
      <c r="B3495" t="s">
        <v>6374</v>
      </c>
      <c r="E3495" s="1"/>
    </row>
    <row r="3496" spans="1:8">
      <c r="A3496" t="s">
        <v>6375</v>
      </c>
      <c r="B3496" t="s">
        <v>6376</v>
      </c>
      <c r="E3496" s="1"/>
    </row>
    <row r="3497" spans="1:8">
      <c r="A3497" t="s">
        <v>6377</v>
      </c>
      <c r="B3497" t="s">
        <v>6378</v>
      </c>
      <c r="E3497" s="1"/>
    </row>
    <row r="3498" spans="1:8">
      <c r="A3498" t="s">
        <v>6379</v>
      </c>
      <c r="B3498" t="s">
        <v>6380</v>
      </c>
      <c r="E3498" s="1"/>
    </row>
    <row r="3499" spans="1:8">
      <c r="A3499" t="s">
        <v>6381</v>
      </c>
      <c r="B3499" t="s">
        <v>6382</v>
      </c>
      <c r="E3499" s="1"/>
    </row>
    <row r="3500" spans="1:8">
      <c r="A3500" t="s">
        <v>6383</v>
      </c>
      <c r="B3500" t="s">
        <v>6384</v>
      </c>
      <c r="E3500" s="1"/>
    </row>
    <row r="3501" spans="1:8">
      <c r="A3501" t="s">
        <v>6385</v>
      </c>
      <c r="B3501" t="s">
        <v>6386</v>
      </c>
      <c r="E3501" s="1"/>
    </row>
    <row r="3502" spans="1:8">
      <c r="A3502" t="s">
        <v>6387</v>
      </c>
      <c r="B3502" t="s">
        <v>6388</v>
      </c>
      <c r="E3502" s="1"/>
    </row>
    <row r="3503" spans="1:8">
      <c r="A3503" t="s">
        <v>6389</v>
      </c>
      <c r="B3503" t="s">
        <v>6390</v>
      </c>
      <c r="E3503" s="1"/>
    </row>
    <row r="3504" spans="1:8">
      <c r="A3504" t="s">
        <v>6391</v>
      </c>
      <c r="B3504" t="s">
        <v>6392</v>
      </c>
      <c r="E3504" s="1"/>
    </row>
    <row r="3505" spans="1:8">
      <c r="A3505" t="s">
        <v>6393</v>
      </c>
      <c r="B3505" t="s">
        <v>6394</v>
      </c>
      <c r="E3505" s="1"/>
    </row>
    <row r="3506" spans="1:8">
      <c r="A3506" t="s">
        <v>6395</v>
      </c>
      <c r="B3506" t="s">
        <v>6396</v>
      </c>
      <c r="E3506" s="1"/>
    </row>
    <row r="3507" spans="1:8">
      <c r="A3507" t="s">
        <v>6397</v>
      </c>
      <c r="B3507" t="s">
        <v>6398</v>
      </c>
      <c r="E3507" s="1"/>
    </row>
    <row r="3508" spans="1:8">
      <c r="A3508" t="s">
        <v>6399</v>
      </c>
      <c r="B3508" t="s">
        <v>6400</v>
      </c>
      <c r="E3508" s="1"/>
    </row>
    <row r="3509" spans="1:8">
      <c r="A3509" t="s">
        <v>6401</v>
      </c>
      <c r="B3509" t="s">
        <v>6402</v>
      </c>
      <c r="E3509" s="1"/>
    </row>
    <row r="3510" spans="1:8">
      <c r="A3510" t="s">
        <v>6403</v>
      </c>
      <c r="B3510" t="s">
        <v>6404</v>
      </c>
      <c r="E3510" s="1"/>
    </row>
    <row r="3511" spans="1:8">
      <c r="A3511" t="s">
        <v>6405</v>
      </c>
      <c r="B3511" t="s">
        <v>6406</v>
      </c>
      <c r="E3511" s="1"/>
    </row>
    <row r="3512" spans="1:8">
      <c r="A3512" t="s">
        <v>6407</v>
      </c>
      <c r="B3512" t="s">
        <v>6408</v>
      </c>
      <c r="C3512" s="1" t="s">
        <v>9139</v>
      </c>
      <c r="D3512" s="1"/>
      <c r="E3512" s="1" t="str">
        <f t="shared" ref="E3512:E3537" si="194">HYPERLINK("https://www.kegg.jp/dbget-bin/www_bget?ec:" &amp; C3512, "https://www.kegg.jp/dbget-bin/www_bget?ec:" &amp; C3512)</f>
        <v>https://www.kegg.jp/dbget-bin/www_bget?ec:2.1.2.9</v>
      </c>
      <c r="F3512" s="1" t="s">
        <v>10276</v>
      </c>
      <c r="G3512" s="10" t="s">
        <v>11150</v>
      </c>
      <c r="H3512" s="13" t="s">
        <v>11151</v>
      </c>
    </row>
    <row r="3513" spans="1:8">
      <c r="A3513" t="s">
        <v>6409</v>
      </c>
      <c r="B3513" t="s">
        <v>6410</v>
      </c>
      <c r="E3513" s="1"/>
    </row>
    <row r="3514" spans="1:8">
      <c r="A3514" t="s">
        <v>6411</v>
      </c>
      <c r="B3514" t="s">
        <v>6412</v>
      </c>
      <c r="E3514" s="1"/>
    </row>
    <row r="3515" spans="1:8">
      <c r="A3515" t="s">
        <v>6413</v>
      </c>
      <c r="B3515" t="s">
        <v>6414</v>
      </c>
      <c r="E3515" s="1"/>
    </row>
    <row r="3516" spans="1:8">
      <c r="A3516" t="s">
        <v>6415</v>
      </c>
      <c r="B3516" t="s">
        <v>6416</v>
      </c>
      <c r="E3516" s="1"/>
    </row>
    <row r="3517" spans="1:8">
      <c r="A3517" t="s">
        <v>6417</v>
      </c>
      <c r="B3517" t="s">
        <v>6418</v>
      </c>
      <c r="E3517" s="1"/>
    </row>
    <row r="3518" spans="1:8">
      <c r="A3518" t="s">
        <v>6419</v>
      </c>
      <c r="B3518" t="s">
        <v>6420</v>
      </c>
      <c r="E3518" s="1"/>
    </row>
    <row r="3519" spans="1:8">
      <c r="A3519" t="s">
        <v>6421</v>
      </c>
      <c r="B3519" t="s">
        <v>6422</v>
      </c>
      <c r="E3519" s="1"/>
    </row>
    <row r="3520" spans="1:8">
      <c r="A3520" t="s">
        <v>6423</v>
      </c>
      <c r="B3520" t="s">
        <v>6424</v>
      </c>
      <c r="E3520" s="1"/>
    </row>
    <row r="3521" spans="1:8">
      <c r="A3521" t="s">
        <v>6425</v>
      </c>
      <c r="B3521" t="s">
        <v>6426</v>
      </c>
      <c r="E3521" s="1"/>
    </row>
    <row r="3522" spans="1:8">
      <c r="A3522" t="s">
        <v>6427</v>
      </c>
      <c r="B3522" t="s">
        <v>6428</v>
      </c>
      <c r="E3522" s="1"/>
    </row>
    <row r="3523" spans="1:8">
      <c r="A3523" t="s">
        <v>6429</v>
      </c>
      <c r="B3523" t="s">
        <v>6430</v>
      </c>
      <c r="E3523" s="1"/>
    </row>
    <row r="3524" spans="1:8">
      <c r="A3524" t="s">
        <v>6431</v>
      </c>
      <c r="B3524" t="s">
        <v>6432</v>
      </c>
      <c r="E3524" s="1"/>
    </row>
    <row r="3525" spans="1:8">
      <c r="A3525" t="s">
        <v>6433</v>
      </c>
      <c r="B3525" t="s">
        <v>6434</v>
      </c>
      <c r="E3525" s="1"/>
    </row>
    <row r="3526" spans="1:8">
      <c r="A3526" t="s">
        <v>6435</v>
      </c>
      <c r="B3526" t="s">
        <v>6436</v>
      </c>
      <c r="E3526" s="1"/>
    </row>
    <row r="3527" spans="1:8">
      <c r="A3527" t="s">
        <v>6437</v>
      </c>
      <c r="B3527" t="s">
        <v>6438</v>
      </c>
      <c r="E3527" s="1"/>
    </row>
    <row r="3528" spans="1:8">
      <c r="A3528" t="s">
        <v>6439</v>
      </c>
      <c r="B3528" t="s">
        <v>6440</v>
      </c>
      <c r="E3528" s="1"/>
    </row>
    <row r="3529" spans="1:8">
      <c r="A3529" t="s">
        <v>6441</v>
      </c>
      <c r="B3529" t="s">
        <v>6442</v>
      </c>
      <c r="E3529" s="1"/>
    </row>
    <row r="3530" spans="1:8">
      <c r="A3530" t="s">
        <v>6443</v>
      </c>
      <c r="B3530" t="s">
        <v>6444</v>
      </c>
      <c r="E3530" s="1"/>
    </row>
    <row r="3531" spans="1:8">
      <c r="A3531" t="s">
        <v>6445</v>
      </c>
      <c r="B3531" t="s">
        <v>6446</v>
      </c>
      <c r="E3531" s="1"/>
    </row>
    <row r="3532" spans="1:8">
      <c r="A3532" t="s">
        <v>6447</v>
      </c>
      <c r="B3532" t="s">
        <v>6448</v>
      </c>
      <c r="E3532" s="1"/>
    </row>
    <row r="3533" spans="1:8">
      <c r="A3533" t="s">
        <v>6449</v>
      </c>
      <c r="B3533" t="s">
        <v>6450</v>
      </c>
      <c r="C3533" s="1" t="s">
        <v>9140</v>
      </c>
      <c r="D3533" s="1"/>
      <c r="E3533" s="1" t="str">
        <f t="shared" ref="E3533" si="195">HYPERLINK("https://www.kegg.jp/dbget-bin/www_bget?ec:" &amp; C3533, "https://www.kegg.jp/dbget-bin/www_bget?ec:" &amp; C3533)</f>
        <v>https://www.kegg.jp/dbget-bin/www_bget?ec:2.7.1.35</v>
      </c>
      <c r="F3533" t="s">
        <v>10279</v>
      </c>
      <c r="G3533" s="10" t="s">
        <v>11152</v>
      </c>
      <c r="H3533" s="13" t="s">
        <v>11153</v>
      </c>
    </row>
    <row r="3534" spans="1:8">
      <c r="A3534" t="s">
        <v>6449</v>
      </c>
      <c r="B3534" t="s">
        <v>6450</v>
      </c>
      <c r="C3534" s="1" t="s">
        <v>9140</v>
      </c>
      <c r="D3534" s="1"/>
      <c r="E3534" s="1" t="str">
        <f t="shared" ref="E3534" si="196">HYPERLINK("https://www.kegg.jp/dbget-bin/www_bget?ec:" &amp; C3534, "https://www.kegg.jp/dbget-bin/www_bget?ec:" &amp; C3534)</f>
        <v>https://www.kegg.jp/dbget-bin/www_bget?ec:2.7.1.35</v>
      </c>
      <c r="F3534" t="s">
        <v>10279</v>
      </c>
      <c r="G3534" s="10" t="s">
        <v>11154</v>
      </c>
      <c r="H3534" s="13" t="s">
        <v>11155</v>
      </c>
    </row>
    <row r="3535" spans="1:8">
      <c r="A3535" t="s">
        <v>6449</v>
      </c>
      <c r="B3535" t="s">
        <v>6450</v>
      </c>
      <c r="C3535" s="1" t="s">
        <v>9140</v>
      </c>
      <c r="D3535" s="1"/>
      <c r="E3535" s="1" t="str">
        <f t="shared" si="194"/>
        <v>https://www.kegg.jp/dbget-bin/www_bget?ec:2.7.1.35</v>
      </c>
      <c r="F3535" t="s">
        <v>10279</v>
      </c>
      <c r="G3535" s="10" t="s">
        <v>11156</v>
      </c>
      <c r="H3535" s="13" t="s">
        <v>11157</v>
      </c>
    </row>
    <row r="3536" spans="1:8">
      <c r="A3536" t="s">
        <v>6451</v>
      </c>
      <c r="B3536" t="s">
        <v>6452</v>
      </c>
      <c r="C3536" s="1" t="s">
        <v>9141</v>
      </c>
      <c r="D3536" s="1"/>
      <c r="E3536" s="1" t="str">
        <f t="shared" ref="E3536" si="197">HYPERLINK("https://www.kegg.jp/dbget-bin/www_bget?ec:" &amp; C3536, "https://www.kegg.jp/dbget-bin/www_bget?ec:" &amp; C3536)</f>
        <v>https://www.kegg.jp/dbget-bin/www_bget?ec:1.7.99.1</v>
      </c>
      <c r="F3536" s="1" t="s">
        <v>10288</v>
      </c>
      <c r="G3536" s="10" t="s">
        <v>11158</v>
      </c>
      <c r="H3536" s="13" t="s">
        <v>11159</v>
      </c>
    </row>
    <row r="3537" spans="1:8">
      <c r="A3537" t="s">
        <v>6451</v>
      </c>
      <c r="B3537" t="s">
        <v>6452</v>
      </c>
      <c r="C3537" s="1" t="s">
        <v>9141</v>
      </c>
      <c r="D3537" s="1"/>
      <c r="E3537" s="1" t="str">
        <f t="shared" si="194"/>
        <v>https://www.kegg.jp/dbget-bin/www_bget?ec:1.7.99.1</v>
      </c>
      <c r="F3537" s="1" t="s">
        <v>10288</v>
      </c>
      <c r="G3537" s="10" t="s">
        <v>11160</v>
      </c>
      <c r="H3537" s="13" t="s">
        <v>11161</v>
      </c>
    </row>
    <row r="3538" spans="1:8">
      <c r="A3538" t="s">
        <v>6453</v>
      </c>
      <c r="B3538" t="s">
        <v>6454</v>
      </c>
      <c r="E3538" s="1"/>
    </row>
    <row r="3539" spans="1:8">
      <c r="A3539" t="s">
        <v>6455</v>
      </c>
      <c r="B3539" t="s">
        <v>6456</v>
      </c>
      <c r="E3539" s="1"/>
    </row>
    <row r="3540" spans="1:8">
      <c r="A3540" t="s">
        <v>6457</v>
      </c>
      <c r="B3540" t="s">
        <v>6458</v>
      </c>
      <c r="E3540" s="1"/>
    </row>
    <row r="3541" spans="1:8">
      <c r="A3541" t="s">
        <v>6459</v>
      </c>
      <c r="B3541" t="s">
        <v>6460</v>
      </c>
      <c r="E3541" s="1"/>
    </row>
    <row r="3542" spans="1:8">
      <c r="A3542" t="s">
        <v>6461</v>
      </c>
      <c r="B3542" t="s">
        <v>6462</v>
      </c>
      <c r="E3542" s="1"/>
    </row>
    <row r="3543" spans="1:8">
      <c r="A3543" t="s">
        <v>6463</v>
      </c>
      <c r="B3543" t="s">
        <v>6464</v>
      </c>
      <c r="E3543" s="1"/>
    </row>
    <row r="3544" spans="1:8">
      <c r="A3544" t="s">
        <v>6465</v>
      </c>
      <c r="B3544" t="s">
        <v>6466</v>
      </c>
      <c r="E3544" s="1"/>
    </row>
    <row r="3545" spans="1:8">
      <c r="A3545" t="s">
        <v>6467</v>
      </c>
      <c r="B3545" t="s">
        <v>6468</v>
      </c>
      <c r="E3545" s="1"/>
    </row>
    <row r="3546" spans="1:8">
      <c r="A3546" t="s">
        <v>6469</v>
      </c>
      <c r="B3546" t="s">
        <v>6470</v>
      </c>
      <c r="E3546" s="1"/>
    </row>
    <row r="3547" spans="1:8">
      <c r="A3547" t="s">
        <v>6471</v>
      </c>
      <c r="B3547" t="s">
        <v>6472</v>
      </c>
      <c r="E3547" s="1"/>
    </row>
    <row r="3548" spans="1:8">
      <c r="B3548" t="s">
        <v>6473</v>
      </c>
      <c r="E3548" s="1"/>
    </row>
    <row r="3549" spans="1:8">
      <c r="A3549" t="s">
        <v>6474</v>
      </c>
      <c r="B3549" t="s">
        <v>6475</v>
      </c>
      <c r="E3549" s="1"/>
    </row>
    <row r="3550" spans="1:8">
      <c r="A3550" t="s">
        <v>6476</v>
      </c>
      <c r="B3550" t="s">
        <v>6477</v>
      </c>
      <c r="E3550" s="1"/>
    </row>
    <row r="3551" spans="1:8">
      <c r="A3551" t="s">
        <v>6478</v>
      </c>
      <c r="B3551" t="s">
        <v>6479</v>
      </c>
      <c r="E3551" s="1"/>
    </row>
    <row r="3552" spans="1:8">
      <c r="A3552" t="s">
        <v>6480</v>
      </c>
      <c r="B3552" t="s">
        <v>6481</v>
      </c>
      <c r="E3552" s="1"/>
    </row>
    <row r="3553" spans="1:5">
      <c r="A3553" t="s">
        <v>6482</v>
      </c>
      <c r="B3553" t="s">
        <v>6483</v>
      </c>
      <c r="E3553" s="1"/>
    </row>
    <row r="3554" spans="1:5">
      <c r="A3554" t="s">
        <v>6484</v>
      </c>
      <c r="B3554" t="s">
        <v>6485</v>
      </c>
      <c r="E3554" s="1"/>
    </row>
    <row r="3555" spans="1:5">
      <c r="A3555" t="s">
        <v>6486</v>
      </c>
      <c r="B3555" t="s">
        <v>6487</v>
      </c>
      <c r="E3555" s="1"/>
    </row>
    <row r="3556" spans="1:5">
      <c r="A3556" t="s">
        <v>6488</v>
      </c>
      <c r="B3556" t="s">
        <v>6489</v>
      </c>
      <c r="E3556" s="1"/>
    </row>
    <row r="3557" spans="1:5">
      <c r="A3557" t="s">
        <v>6490</v>
      </c>
      <c r="B3557" t="s">
        <v>6491</v>
      </c>
      <c r="E3557" s="1"/>
    </row>
    <row r="3558" spans="1:5">
      <c r="A3558" t="s">
        <v>6492</v>
      </c>
      <c r="B3558" t="s">
        <v>6493</v>
      </c>
      <c r="E3558" s="1"/>
    </row>
    <row r="3559" spans="1:5">
      <c r="A3559" t="s">
        <v>6494</v>
      </c>
      <c r="B3559" t="s">
        <v>6495</v>
      </c>
      <c r="E3559" s="1"/>
    </row>
    <row r="3560" spans="1:5">
      <c r="A3560" t="s">
        <v>6496</v>
      </c>
      <c r="B3560" t="s">
        <v>6497</v>
      </c>
      <c r="E3560" s="1"/>
    </row>
    <row r="3561" spans="1:5">
      <c r="A3561" t="s">
        <v>6498</v>
      </c>
      <c r="B3561" t="s">
        <v>6499</v>
      </c>
      <c r="E3561" s="1"/>
    </row>
    <row r="3562" spans="1:5">
      <c r="A3562" t="s">
        <v>6500</v>
      </c>
      <c r="B3562" t="s">
        <v>6501</v>
      </c>
      <c r="E3562" s="1"/>
    </row>
    <row r="3563" spans="1:5">
      <c r="A3563" t="s">
        <v>6502</v>
      </c>
      <c r="B3563" t="s">
        <v>6503</v>
      </c>
      <c r="E3563" s="1"/>
    </row>
    <row r="3564" spans="1:5">
      <c r="A3564" t="s">
        <v>6504</v>
      </c>
      <c r="B3564" t="s">
        <v>6505</v>
      </c>
      <c r="E3564" s="1"/>
    </row>
    <row r="3565" spans="1:5">
      <c r="A3565" t="s">
        <v>6506</v>
      </c>
      <c r="B3565" t="s">
        <v>6507</v>
      </c>
      <c r="E3565" s="1"/>
    </row>
    <row r="3566" spans="1:5">
      <c r="A3566" t="s">
        <v>6508</v>
      </c>
      <c r="B3566" t="s">
        <v>6509</v>
      </c>
      <c r="E3566" s="1"/>
    </row>
    <row r="3567" spans="1:5">
      <c r="A3567" t="s">
        <v>6510</v>
      </c>
      <c r="B3567" t="s">
        <v>6511</v>
      </c>
      <c r="E3567" s="1"/>
    </row>
    <row r="3568" spans="1:5">
      <c r="A3568" t="s">
        <v>6512</v>
      </c>
      <c r="B3568" t="s">
        <v>6513</v>
      </c>
      <c r="E3568" s="1"/>
    </row>
    <row r="3569" spans="1:8">
      <c r="A3569" t="s">
        <v>6514</v>
      </c>
      <c r="B3569" t="s">
        <v>6515</v>
      </c>
      <c r="E3569" s="1"/>
    </row>
    <row r="3570" spans="1:8">
      <c r="A3570" t="s">
        <v>6516</v>
      </c>
      <c r="B3570" t="s">
        <v>6517</v>
      </c>
      <c r="E3570" s="1"/>
    </row>
    <row r="3571" spans="1:8">
      <c r="A3571" t="s">
        <v>6518</v>
      </c>
      <c r="B3571" t="s">
        <v>6519</v>
      </c>
      <c r="E3571" s="1"/>
    </row>
    <row r="3572" spans="1:8">
      <c r="A3572" t="s">
        <v>6520</v>
      </c>
      <c r="B3572" t="s">
        <v>6521</v>
      </c>
      <c r="E3572" s="1"/>
    </row>
    <row r="3573" spans="1:8">
      <c r="A3573" t="s">
        <v>6522</v>
      </c>
      <c r="B3573" t="s">
        <v>6523</v>
      </c>
      <c r="E3573" s="1"/>
    </row>
    <row r="3574" spans="1:8">
      <c r="A3574" t="s">
        <v>6524</v>
      </c>
      <c r="B3574" t="s">
        <v>6525</v>
      </c>
      <c r="E3574" s="1"/>
    </row>
    <row r="3575" spans="1:8">
      <c r="A3575" t="s">
        <v>6526</v>
      </c>
      <c r="B3575" t="s">
        <v>6527</v>
      </c>
      <c r="E3575" s="1"/>
    </row>
    <row r="3576" spans="1:8">
      <c r="A3576" t="s">
        <v>6528</v>
      </c>
      <c r="B3576" t="s">
        <v>6529</v>
      </c>
      <c r="E3576" s="1"/>
    </row>
    <row r="3577" spans="1:8">
      <c r="A3577" t="s">
        <v>6530</v>
      </c>
      <c r="B3577" t="s">
        <v>6531</v>
      </c>
      <c r="E3577" s="1"/>
    </row>
    <row r="3578" spans="1:8">
      <c r="A3578" t="s">
        <v>6532</v>
      </c>
      <c r="B3578" t="s">
        <v>6533</v>
      </c>
      <c r="E3578" s="1"/>
    </row>
    <row r="3579" spans="1:8">
      <c r="A3579" t="s">
        <v>6534</v>
      </c>
      <c r="B3579" t="s">
        <v>6535</v>
      </c>
      <c r="E3579" s="1"/>
    </row>
    <row r="3580" spans="1:8">
      <c r="A3580" t="s">
        <v>6536</v>
      </c>
      <c r="B3580" t="s">
        <v>6537</v>
      </c>
      <c r="E3580" s="1"/>
    </row>
    <row r="3581" spans="1:8">
      <c r="A3581" t="s">
        <v>6538</v>
      </c>
      <c r="B3581" t="s">
        <v>6539</v>
      </c>
      <c r="C3581" s="1" t="s">
        <v>3252</v>
      </c>
      <c r="D3581" s="1"/>
      <c r="E3581" s="1" t="str">
        <f t="shared" ref="E3581" si="198">HYPERLINK("https://www.kegg.jp/dbget-bin/www_bget?ec:" &amp; C3581, "https://www.kegg.jp/dbget-bin/www_bget?ec:" &amp; C3581)</f>
        <v>https://www.kegg.jp/dbget-bin/www_bget?ec:2.1.1.37</v>
      </c>
      <c r="F3581" s="1" t="s">
        <v>9822</v>
      </c>
      <c r="G3581" s="10" t="s">
        <v>11162</v>
      </c>
      <c r="H3581" s="13" t="s">
        <v>10820</v>
      </c>
    </row>
    <row r="3582" spans="1:8">
      <c r="A3582" t="s">
        <v>6538</v>
      </c>
      <c r="B3582" t="s">
        <v>6539</v>
      </c>
      <c r="C3582" s="1" t="s">
        <v>3252</v>
      </c>
      <c r="D3582" s="1"/>
      <c r="E3582" s="1" t="str">
        <f t="shared" ref="E3582:E3615" si="199">HYPERLINK("https://www.kegg.jp/dbget-bin/www_bget?ec:" &amp; C3582, "https://www.kegg.jp/dbget-bin/www_bget?ec:" &amp; C3582)</f>
        <v>https://www.kegg.jp/dbget-bin/www_bget?ec:2.1.1.37</v>
      </c>
      <c r="F3582" s="1" t="s">
        <v>9822</v>
      </c>
      <c r="G3582" s="10" t="s">
        <v>11163</v>
      </c>
      <c r="H3582" s="13" t="s">
        <v>10822</v>
      </c>
    </row>
    <row r="3583" spans="1:8">
      <c r="A3583" t="s">
        <v>6540</v>
      </c>
      <c r="B3583" t="s">
        <v>6541</v>
      </c>
      <c r="E3583" s="1"/>
    </row>
    <row r="3584" spans="1:8">
      <c r="A3584" t="s">
        <v>6542</v>
      </c>
      <c r="B3584" t="s">
        <v>6543</v>
      </c>
      <c r="E3584" s="1"/>
    </row>
    <row r="3585" spans="1:8">
      <c r="A3585" t="s">
        <v>6544</v>
      </c>
      <c r="B3585" t="s">
        <v>6545</v>
      </c>
      <c r="E3585" s="1"/>
    </row>
    <row r="3586" spans="1:8">
      <c r="A3586" t="s">
        <v>6546</v>
      </c>
      <c r="B3586" t="s">
        <v>6547</v>
      </c>
      <c r="E3586" s="1"/>
    </row>
    <row r="3587" spans="1:8">
      <c r="A3587" t="s">
        <v>6548</v>
      </c>
      <c r="B3587" t="s">
        <v>6549</v>
      </c>
      <c r="E3587" s="1"/>
    </row>
    <row r="3588" spans="1:8">
      <c r="A3588" t="s">
        <v>6550</v>
      </c>
      <c r="B3588" t="s">
        <v>6551</v>
      </c>
      <c r="E3588" s="1"/>
    </row>
    <row r="3589" spans="1:8">
      <c r="B3589" t="s">
        <v>6552</v>
      </c>
      <c r="E3589" s="1"/>
    </row>
    <row r="3590" spans="1:8">
      <c r="A3590" t="s">
        <v>6553</v>
      </c>
      <c r="B3590" t="s">
        <v>6554</v>
      </c>
      <c r="E3590" s="1"/>
    </row>
    <row r="3591" spans="1:8">
      <c r="A3591" t="s">
        <v>6555</v>
      </c>
      <c r="B3591" t="s">
        <v>6556</v>
      </c>
      <c r="E3591" s="1"/>
    </row>
    <row r="3592" spans="1:8">
      <c r="B3592" t="s">
        <v>6557</v>
      </c>
      <c r="E3592" s="1"/>
    </row>
    <row r="3593" spans="1:8">
      <c r="A3593" t="s">
        <v>6558</v>
      </c>
      <c r="B3593" t="s">
        <v>6559</v>
      </c>
      <c r="E3593" s="1"/>
    </row>
    <row r="3594" spans="1:8">
      <c r="A3594" t="s">
        <v>6560</v>
      </c>
      <c r="B3594" t="s">
        <v>6561</v>
      </c>
      <c r="E3594" s="1"/>
    </row>
    <row r="3595" spans="1:8">
      <c r="A3595" t="s">
        <v>6562</v>
      </c>
      <c r="B3595" t="s">
        <v>6563</v>
      </c>
      <c r="E3595" s="1"/>
    </row>
    <row r="3596" spans="1:8">
      <c r="A3596" t="s">
        <v>6564</v>
      </c>
      <c r="B3596" t="s">
        <v>6565</v>
      </c>
      <c r="E3596" s="1"/>
    </row>
    <row r="3597" spans="1:8">
      <c r="A3597" t="s">
        <v>6566</v>
      </c>
      <c r="B3597" t="s">
        <v>6567</v>
      </c>
      <c r="E3597" s="1"/>
    </row>
    <row r="3598" spans="1:8">
      <c r="A3598" t="s">
        <v>6568</v>
      </c>
      <c r="B3598" t="s">
        <v>6569</v>
      </c>
      <c r="E3598" s="1"/>
    </row>
    <row r="3599" spans="1:8">
      <c r="A3599" t="s">
        <v>6570</v>
      </c>
      <c r="B3599" t="s">
        <v>6571</v>
      </c>
      <c r="E3599" s="1"/>
    </row>
    <row r="3600" spans="1:8">
      <c r="A3600" t="s">
        <v>6572</v>
      </c>
      <c r="B3600" t="s">
        <v>6573</v>
      </c>
      <c r="C3600" s="1" t="s">
        <v>9142</v>
      </c>
      <c r="D3600" s="1"/>
      <c r="E3600" s="1" t="str">
        <f t="shared" ref="E3600" si="200">HYPERLINK("https://www.kegg.jp/dbget-bin/www_bget?ec:" &amp; C3600, "https://www.kegg.jp/dbget-bin/www_bget?ec:" &amp; C3600)</f>
        <v>https://www.kegg.jp/dbget-bin/www_bget?ec:3.5.1.1</v>
      </c>
      <c r="F3600" s="1" t="s">
        <v>10293</v>
      </c>
      <c r="G3600" s="10" t="s">
        <v>11164</v>
      </c>
      <c r="H3600" s="13" t="s">
        <v>11165</v>
      </c>
    </row>
    <row r="3601" spans="1:8">
      <c r="A3601" t="s">
        <v>6572</v>
      </c>
      <c r="B3601" t="s">
        <v>6573</v>
      </c>
      <c r="C3601" s="1" t="s">
        <v>9142</v>
      </c>
      <c r="D3601" s="1"/>
      <c r="E3601" s="1" t="str">
        <f t="shared" si="199"/>
        <v>https://www.kegg.jp/dbget-bin/www_bget?ec:3.5.1.1</v>
      </c>
      <c r="F3601" s="1" t="s">
        <v>10293</v>
      </c>
      <c r="G3601" s="10" t="s">
        <v>11166</v>
      </c>
      <c r="H3601" s="13" t="s">
        <v>11167</v>
      </c>
    </row>
    <row r="3602" spans="1:8">
      <c r="A3602" t="s">
        <v>6574</v>
      </c>
      <c r="B3602" t="s">
        <v>6575</v>
      </c>
      <c r="E3602" s="1"/>
    </row>
    <row r="3603" spans="1:8">
      <c r="B3603" t="s">
        <v>6576</v>
      </c>
      <c r="E3603" s="1"/>
    </row>
    <row r="3604" spans="1:8">
      <c r="B3604" t="s">
        <v>6577</v>
      </c>
      <c r="E3604" s="1"/>
    </row>
    <row r="3605" spans="1:8">
      <c r="B3605" t="s">
        <v>6578</v>
      </c>
      <c r="E3605" s="1"/>
    </row>
    <row r="3606" spans="1:8">
      <c r="A3606" t="s">
        <v>6579</v>
      </c>
      <c r="B3606" t="s">
        <v>6580</v>
      </c>
      <c r="E3606" s="1"/>
    </row>
    <row r="3607" spans="1:8">
      <c r="A3607" t="s">
        <v>6581</v>
      </c>
      <c r="B3607" t="s">
        <v>6582</v>
      </c>
      <c r="E3607" s="1"/>
    </row>
    <row r="3608" spans="1:8">
      <c r="A3608" t="s">
        <v>6583</v>
      </c>
      <c r="B3608" t="s">
        <v>6584</v>
      </c>
      <c r="E3608" s="1"/>
    </row>
    <row r="3609" spans="1:8">
      <c r="A3609" t="s">
        <v>6585</v>
      </c>
      <c r="B3609" t="s">
        <v>6586</v>
      </c>
      <c r="E3609" s="1"/>
    </row>
    <row r="3610" spans="1:8">
      <c r="A3610" t="s">
        <v>6587</v>
      </c>
      <c r="B3610" t="s">
        <v>6588</v>
      </c>
      <c r="E3610" s="1"/>
    </row>
    <row r="3611" spans="1:8">
      <c r="A3611" t="s">
        <v>6589</v>
      </c>
      <c r="B3611" t="s">
        <v>6590</v>
      </c>
      <c r="C3611" s="1" t="s">
        <v>9143</v>
      </c>
      <c r="D3611" s="1"/>
      <c r="E3611" s="1" t="str">
        <f t="shared" si="199"/>
        <v>https://www.kegg.jp/dbget-bin/www_bget?ec:5.1.3.1</v>
      </c>
      <c r="F3611" s="1" t="s">
        <v>10298</v>
      </c>
      <c r="G3611" s="10" t="s">
        <v>9543</v>
      </c>
      <c r="H3611" s="13" t="s">
        <v>10299</v>
      </c>
    </row>
    <row r="3612" spans="1:8">
      <c r="A3612" t="s">
        <v>6591</v>
      </c>
      <c r="B3612" t="s">
        <v>6592</v>
      </c>
      <c r="E3612" s="1"/>
    </row>
    <row r="3613" spans="1:8">
      <c r="A3613" t="s">
        <v>6593</v>
      </c>
      <c r="B3613" t="s">
        <v>6594</v>
      </c>
      <c r="E3613" s="1"/>
    </row>
    <row r="3614" spans="1:8">
      <c r="A3614" t="s">
        <v>6595</v>
      </c>
      <c r="B3614" t="s">
        <v>6596</v>
      </c>
      <c r="E3614" s="1"/>
    </row>
    <row r="3615" spans="1:8">
      <c r="A3615" t="s">
        <v>6597</v>
      </c>
      <c r="B3615" t="s">
        <v>6598</v>
      </c>
      <c r="C3615" s="1" t="s">
        <v>9144</v>
      </c>
      <c r="D3615" s="1"/>
      <c r="E3615" s="1" t="str">
        <f t="shared" si="199"/>
        <v>https://www.kegg.jp/dbget-bin/www_bget?ec:5.4.2.10</v>
      </c>
      <c r="F3615" s="1" t="s">
        <v>10300</v>
      </c>
      <c r="G3615" s="10" t="s">
        <v>10301</v>
      </c>
      <c r="H3615" s="13" t="s">
        <v>10302</v>
      </c>
    </row>
    <row r="3616" spans="1:8">
      <c r="A3616" t="s">
        <v>6599</v>
      </c>
      <c r="B3616" t="s">
        <v>6600</v>
      </c>
      <c r="E3616" s="1"/>
    </row>
    <row r="3617" spans="1:5">
      <c r="B3617" t="s">
        <v>6601</v>
      </c>
      <c r="E3617" s="1"/>
    </row>
    <row r="3618" spans="1:5">
      <c r="A3618" t="s">
        <v>6602</v>
      </c>
      <c r="B3618" t="s">
        <v>6603</v>
      </c>
      <c r="E3618" s="1"/>
    </row>
    <row r="3619" spans="1:5">
      <c r="A3619" t="s">
        <v>6604</v>
      </c>
      <c r="B3619" t="s">
        <v>6605</v>
      </c>
      <c r="E3619" s="1"/>
    </row>
    <row r="3620" spans="1:5">
      <c r="A3620" t="s">
        <v>6606</v>
      </c>
      <c r="B3620" t="s">
        <v>6607</v>
      </c>
      <c r="E3620" s="1"/>
    </row>
    <row r="3621" spans="1:5">
      <c r="A3621" t="s">
        <v>6608</v>
      </c>
      <c r="B3621" t="s">
        <v>6609</v>
      </c>
      <c r="E3621" s="1"/>
    </row>
    <row r="3622" spans="1:5">
      <c r="A3622" t="s">
        <v>6610</v>
      </c>
      <c r="B3622" t="s">
        <v>6611</v>
      </c>
      <c r="E3622" s="1"/>
    </row>
    <row r="3623" spans="1:5">
      <c r="A3623" t="s">
        <v>6612</v>
      </c>
      <c r="B3623" t="s">
        <v>6613</v>
      </c>
      <c r="E3623" s="1"/>
    </row>
    <row r="3624" spans="1:5">
      <c r="A3624" t="s">
        <v>6614</v>
      </c>
      <c r="B3624" t="s">
        <v>6615</v>
      </c>
      <c r="E3624" s="1"/>
    </row>
    <row r="3625" spans="1:5">
      <c r="A3625" t="s">
        <v>6616</v>
      </c>
      <c r="B3625" t="s">
        <v>6617</v>
      </c>
      <c r="E3625" s="1"/>
    </row>
    <row r="3626" spans="1:5">
      <c r="A3626" t="s">
        <v>6618</v>
      </c>
      <c r="B3626" t="s">
        <v>6619</v>
      </c>
      <c r="E3626" s="1"/>
    </row>
    <row r="3627" spans="1:5">
      <c r="A3627" t="s">
        <v>6620</v>
      </c>
      <c r="B3627" t="s">
        <v>6621</v>
      </c>
      <c r="E3627" s="1"/>
    </row>
    <row r="3628" spans="1:5">
      <c r="A3628" t="s">
        <v>6622</v>
      </c>
      <c r="B3628" t="s">
        <v>6623</v>
      </c>
      <c r="E3628" s="1"/>
    </row>
    <row r="3629" spans="1:5">
      <c r="A3629" t="s">
        <v>6624</v>
      </c>
      <c r="B3629" t="s">
        <v>6625</v>
      </c>
      <c r="E3629" s="1"/>
    </row>
    <row r="3630" spans="1:5">
      <c r="A3630" t="s">
        <v>6626</v>
      </c>
      <c r="B3630" t="s">
        <v>6627</v>
      </c>
      <c r="E3630" s="1"/>
    </row>
    <row r="3631" spans="1:5">
      <c r="A3631" t="s">
        <v>6628</v>
      </c>
      <c r="B3631" t="s">
        <v>6629</v>
      </c>
      <c r="E3631" s="1"/>
    </row>
    <row r="3632" spans="1:5">
      <c r="A3632" t="s">
        <v>6630</v>
      </c>
      <c r="B3632" t="s">
        <v>6631</v>
      </c>
      <c r="E3632" s="1"/>
    </row>
    <row r="3633" spans="1:8">
      <c r="A3633" t="s">
        <v>6632</v>
      </c>
      <c r="B3633" t="s">
        <v>6633</v>
      </c>
      <c r="E3633" s="1"/>
    </row>
    <row r="3634" spans="1:8">
      <c r="B3634" t="s">
        <v>6634</v>
      </c>
      <c r="E3634" s="1"/>
    </row>
    <row r="3635" spans="1:8">
      <c r="A3635" t="s">
        <v>6635</v>
      </c>
      <c r="B3635" t="s">
        <v>6636</v>
      </c>
      <c r="E3635" s="1"/>
    </row>
    <row r="3636" spans="1:8">
      <c r="A3636" t="s">
        <v>6637</v>
      </c>
      <c r="B3636" t="s">
        <v>6638</v>
      </c>
      <c r="E3636" s="1"/>
    </row>
    <row r="3637" spans="1:8">
      <c r="A3637" t="s">
        <v>6639</v>
      </c>
      <c r="B3637" t="s">
        <v>6640</v>
      </c>
      <c r="E3637" s="1"/>
    </row>
    <row r="3638" spans="1:8">
      <c r="A3638" t="s">
        <v>6641</v>
      </c>
      <c r="B3638" t="s">
        <v>6642</v>
      </c>
      <c r="E3638" s="1"/>
      <c r="F3638" t="s">
        <v>10288</v>
      </c>
    </row>
    <row r="3639" spans="1:8">
      <c r="A3639" t="s">
        <v>6643</v>
      </c>
      <c r="B3639" t="s">
        <v>6644</v>
      </c>
      <c r="C3639" s="1" t="s">
        <v>1305</v>
      </c>
      <c r="D3639" s="1"/>
      <c r="E3639" s="1" t="str">
        <f t="shared" ref="E3639" si="201">HYPERLINK("https://www.kegg.jp/dbget-bin/www_bget?ec:" &amp; C3639, "https://www.kegg.jp/dbget-bin/www_bget?ec:" &amp; C3639)</f>
        <v>https://www.kegg.jp/dbget-bin/www_bget?ec:5.3.1.6</v>
      </c>
      <c r="F3639" s="19" t="s">
        <v>9541</v>
      </c>
      <c r="G3639" s="22" t="s">
        <v>9542</v>
      </c>
      <c r="H3639" s="20" t="s">
        <v>9543</v>
      </c>
    </row>
    <row r="3640" spans="1:8">
      <c r="A3640" t="s">
        <v>6643</v>
      </c>
      <c r="B3640" t="s">
        <v>6644</v>
      </c>
      <c r="C3640" s="1" t="s">
        <v>1305</v>
      </c>
      <c r="D3640" s="1"/>
      <c r="E3640" s="1" t="str">
        <f t="shared" ref="E3640:E3661" si="202">HYPERLINK("https://www.kegg.jp/dbget-bin/www_bget?ec:" &amp; C3640, "https://www.kegg.jp/dbget-bin/www_bget?ec:" &amp; C3640)</f>
        <v>https://www.kegg.jp/dbget-bin/www_bget?ec:5.3.1.6</v>
      </c>
      <c r="F3640" s="19" t="s">
        <v>9541</v>
      </c>
      <c r="G3640" s="22" t="s">
        <v>9544</v>
      </c>
      <c r="H3640" s="20" t="s">
        <v>9545</v>
      </c>
    </row>
    <row r="3641" spans="1:8">
      <c r="A3641" t="s">
        <v>6645</v>
      </c>
      <c r="B3641" t="s">
        <v>6646</v>
      </c>
      <c r="E3641" s="1"/>
      <c r="F3641" s="19"/>
      <c r="G3641" s="22"/>
      <c r="H3641" s="20"/>
    </row>
    <row r="3642" spans="1:8">
      <c r="A3642" t="s">
        <v>6647</v>
      </c>
      <c r="B3642" t="s">
        <v>6648</v>
      </c>
      <c r="E3642" s="1"/>
    </row>
    <row r="3643" spans="1:8">
      <c r="A3643" t="s">
        <v>6649</v>
      </c>
      <c r="B3643" t="s">
        <v>6650</v>
      </c>
      <c r="C3643" s="1" t="s">
        <v>9145</v>
      </c>
      <c r="D3643" s="1"/>
      <c r="E3643" s="1" t="str">
        <f t="shared" si="202"/>
        <v>https://www.kegg.jp/dbget-bin/www_bget?ec:2.7.1.6</v>
      </c>
      <c r="F3643" s="1" t="s">
        <v>10303</v>
      </c>
      <c r="G3643" s="10" t="s">
        <v>11168</v>
      </c>
      <c r="H3643" s="13" t="s">
        <v>11169</v>
      </c>
    </row>
    <row r="3644" spans="1:8">
      <c r="A3644" t="s">
        <v>6651</v>
      </c>
      <c r="B3644" t="s">
        <v>6652</v>
      </c>
      <c r="E3644" s="1"/>
    </row>
    <row r="3645" spans="1:8">
      <c r="A3645" t="s">
        <v>6653</v>
      </c>
      <c r="B3645" t="s">
        <v>6654</v>
      </c>
      <c r="E3645" s="1"/>
    </row>
    <row r="3646" spans="1:8">
      <c r="A3646" t="s">
        <v>6655</v>
      </c>
      <c r="B3646" t="s">
        <v>6656</v>
      </c>
      <c r="E3646" s="1"/>
    </row>
    <row r="3647" spans="1:8">
      <c r="A3647" t="s">
        <v>6657</v>
      </c>
      <c r="B3647" t="s">
        <v>6658</v>
      </c>
      <c r="E3647" s="1"/>
    </row>
    <row r="3648" spans="1:8">
      <c r="A3648" t="s">
        <v>6659</v>
      </c>
      <c r="B3648" t="s">
        <v>6660</v>
      </c>
      <c r="E3648" s="1"/>
    </row>
    <row r="3649" spans="1:8">
      <c r="A3649" t="s">
        <v>6661</v>
      </c>
      <c r="B3649" t="s">
        <v>6662</v>
      </c>
      <c r="E3649" s="1"/>
    </row>
    <row r="3650" spans="1:8">
      <c r="A3650" t="s">
        <v>6663</v>
      </c>
      <c r="B3650" t="s">
        <v>6664</v>
      </c>
      <c r="E3650" s="1"/>
    </row>
    <row r="3651" spans="1:8">
      <c r="A3651" t="s">
        <v>6665</v>
      </c>
      <c r="B3651" t="s">
        <v>6666</v>
      </c>
      <c r="E3651" s="1"/>
    </row>
    <row r="3652" spans="1:8">
      <c r="A3652" t="s">
        <v>6667</v>
      </c>
      <c r="B3652" t="s">
        <v>6668</v>
      </c>
      <c r="E3652" s="1"/>
    </row>
    <row r="3653" spans="1:8">
      <c r="A3653" t="s">
        <v>6669</v>
      </c>
      <c r="B3653" t="s">
        <v>6670</v>
      </c>
      <c r="C3653" s="1" t="s">
        <v>9146</v>
      </c>
      <c r="D3653" s="1"/>
      <c r="E3653" s="1" t="str">
        <f t="shared" ref="E3653" si="203">HYPERLINK("https://www.kegg.jp/dbget-bin/www_bget?ec:" &amp; C3653, "https://www.kegg.jp/dbget-bin/www_bget?ec:" &amp; C3653)</f>
        <v>https://www.kegg.jp/dbget-bin/www_bget?ec:2.7.1.15</v>
      </c>
      <c r="F3653" s="1" t="s">
        <v>10306</v>
      </c>
      <c r="G3653" s="10" t="s">
        <v>11170</v>
      </c>
      <c r="H3653" s="13" t="s">
        <v>11171</v>
      </c>
    </row>
    <row r="3654" spans="1:8">
      <c r="A3654" t="s">
        <v>6669</v>
      </c>
      <c r="B3654" t="s">
        <v>6670</v>
      </c>
      <c r="C3654" s="1" t="s">
        <v>9146</v>
      </c>
      <c r="D3654" s="1"/>
      <c r="E3654" s="1" t="str">
        <f t="shared" si="202"/>
        <v>https://www.kegg.jp/dbget-bin/www_bget?ec:2.7.1.15</v>
      </c>
      <c r="F3654" s="1" t="s">
        <v>10306</v>
      </c>
      <c r="G3654" s="10" t="s">
        <v>11172</v>
      </c>
      <c r="H3654" s="13" t="s">
        <v>11173</v>
      </c>
    </row>
    <row r="3655" spans="1:8">
      <c r="A3655" t="s">
        <v>6671</v>
      </c>
      <c r="B3655" t="s">
        <v>6672</v>
      </c>
      <c r="E3655" s="1"/>
    </row>
    <row r="3656" spans="1:8">
      <c r="A3656" t="s">
        <v>6673</v>
      </c>
      <c r="B3656" t="s">
        <v>6674</v>
      </c>
      <c r="E3656" s="1"/>
    </row>
    <row r="3657" spans="1:8">
      <c r="A3657" t="s">
        <v>6675</v>
      </c>
      <c r="B3657" t="s">
        <v>6676</v>
      </c>
      <c r="E3657" s="1"/>
    </row>
    <row r="3658" spans="1:8">
      <c r="A3658" t="s">
        <v>6677</v>
      </c>
      <c r="B3658" t="s">
        <v>6678</v>
      </c>
      <c r="E3658" s="1"/>
    </row>
    <row r="3659" spans="1:8">
      <c r="A3659" t="s">
        <v>6679</v>
      </c>
      <c r="B3659" t="s">
        <v>6680</v>
      </c>
      <c r="E3659" s="1"/>
    </row>
    <row r="3660" spans="1:8">
      <c r="A3660" t="s">
        <v>6681</v>
      </c>
      <c r="B3660" t="s">
        <v>6682</v>
      </c>
      <c r="E3660" s="1"/>
    </row>
    <row r="3661" spans="1:8">
      <c r="A3661" t="s">
        <v>6683</v>
      </c>
      <c r="B3661" t="s">
        <v>6684</v>
      </c>
      <c r="C3661" s="1" t="s">
        <v>9147</v>
      </c>
      <c r="D3661" s="1"/>
      <c r="E3661" s="1" t="str">
        <f t="shared" si="202"/>
        <v>https://www.kegg.jp/dbget-bin/www_bget?ec:4.2.1.2</v>
      </c>
      <c r="F3661" s="1" t="s">
        <v>10311</v>
      </c>
      <c r="G3661" s="10" t="s">
        <v>10312</v>
      </c>
      <c r="H3661" s="13" t="s">
        <v>11174</v>
      </c>
    </row>
    <row r="3662" spans="1:8">
      <c r="A3662" t="s">
        <v>6685</v>
      </c>
      <c r="B3662" t="s">
        <v>6686</v>
      </c>
      <c r="E3662" s="1"/>
    </row>
    <row r="3663" spans="1:8">
      <c r="A3663" t="s">
        <v>6687</v>
      </c>
      <c r="B3663" t="s">
        <v>6688</v>
      </c>
      <c r="E3663" s="1"/>
    </row>
    <row r="3664" spans="1:8">
      <c r="A3664" t="s">
        <v>6689</v>
      </c>
      <c r="B3664" t="s">
        <v>6690</v>
      </c>
      <c r="E3664" s="1"/>
    </row>
    <row r="3665" spans="1:5">
      <c r="A3665" t="s">
        <v>6691</v>
      </c>
      <c r="B3665" t="s">
        <v>6692</v>
      </c>
      <c r="E3665" s="1"/>
    </row>
    <row r="3666" spans="1:5">
      <c r="A3666" t="s">
        <v>6693</v>
      </c>
      <c r="B3666" t="s">
        <v>6694</v>
      </c>
      <c r="E3666" s="1"/>
    </row>
    <row r="3667" spans="1:5">
      <c r="A3667" t="s">
        <v>6695</v>
      </c>
      <c r="B3667" t="s">
        <v>6696</v>
      </c>
      <c r="E3667" s="1"/>
    </row>
    <row r="3668" spans="1:5">
      <c r="A3668" t="s">
        <v>6697</v>
      </c>
      <c r="B3668" t="s">
        <v>6698</v>
      </c>
      <c r="E3668" s="1"/>
    </row>
    <row r="3669" spans="1:5">
      <c r="A3669" t="s">
        <v>6699</v>
      </c>
      <c r="B3669" t="s">
        <v>6700</v>
      </c>
      <c r="E3669" s="1"/>
    </row>
    <row r="3670" spans="1:5">
      <c r="A3670" t="s">
        <v>6701</v>
      </c>
      <c r="B3670" t="s">
        <v>6702</v>
      </c>
      <c r="E3670" s="1"/>
    </row>
    <row r="3671" spans="1:5">
      <c r="A3671" t="s">
        <v>6703</v>
      </c>
      <c r="B3671" t="s">
        <v>6704</v>
      </c>
      <c r="E3671" s="1"/>
    </row>
    <row r="3672" spans="1:5">
      <c r="A3672" t="s">
        <v>6705</v>
      </c>
      <c r="B3672" t="s">
        <v>6706</v>
      </c>
      <c r="E3672" s="1"/>
    </row>
    <row r="3673" spans="1:5">
      <c r="A3673" t="s">
        <v>6707</v>
      </c>
      <c r="B3673" t="s">
        <v>6708</v>
      </c>
      <c r="E3673" s="1"/>
    </row>
    <row r="3674" spans="1:5">
      <c r="A3674" t="s">
        <v>6709</v>
      </c>
      <c r="B3674" t="s">
        <v>6710</v>
      </c>
      <c r="E3674" s="1"/>
    </row>
    <row r="3675" spans="1:5">
      <c r="A3675" t="s">
        <v>6711</v>
      </c>
      <c r="B3675" t="s">
        <v>6712</v>
      </c>
      <c r="E3675" s="1"/>
    </row>
    <row r="3676" spans="1:5">
      <c r="A3676" t="s">
        <v>6713</v>
      </c>
      <c r="B3676" t="s">
        <v>6714</v>
      </c>
      <c r="E3676" s="1"/>
    </row>
    <row r="3677" spans="1:5">
      <c r="A3677" t="s">
        <v>6715</v>
      </c>
      <c r="B3677" t="s">
        <v>6716</v>
      </c>
      <c r="E3677" s="1"/>
    </row>
    <row r="3678" spans="1:5">
      <c r="A3678" t="s">
        <v>6717</v>
      </c>
      <c r="B3678" t="s">
        <v>6718</v>
      </c>
      <c r="E3678" s="1"/>
    </row>
    <row r="3679" spans="1:5">
      <c r="A3679" t="s">
        <v>6719</v>
      </c>
      <c r="B3679" t="s">
        <v>6720</v>
      </c>
      <c r="E3679" s="1"/>
    </row>
    <row r="3680" spans="1:5">
      <c r="A3680" t="s">
        <v>6721</v>
      </c>
      <c r="B3680" t="s">
        <v>6722</v>
      </c>
      <c r="E3680" s="1"/>
    </row>
    <row r="3681" spans="1:5">
      <c r="A3681" t="s">
        <v>6723</v>
      </c>
      <c r="B3681" t="s">
        <v>6724</v>
      </c>
      <c r="E3681" s="1"/>
    </row>
    <row r="3682" spans="1:5">
      <c r="A3682" t="s">
        <v>6725</v>
      </c>
      <c r="B3682" t="s">
        <v>6726</v>
      </c>
      <c r="E3682" s="1"/>
    </row>
    <row r="3683" spans="1:5">
      <c r="A3683" t="s">
        <v>6727</v>
      </c>
      <c r="B3683" t="s">
        <v>6728</v>
      </c>
      <c r="E3683" s="1"/>
    </row>
    <row r="3684" spans="1:5">
      <c r="A3684" t="s">
        <v>6729</v>
      </c>
      <c r="B3684" t="s">
        <v>6730</v>
      </c>
      <c r="E3684" s="1"/>
    </row>
    <row r="3685" spans="1:5">
      <c r="A3685" t="s">
        <v>6731</v>
      </c>
      <c r="B3685" t="s">
        <v>6732</v>
      </c>
      <c r="E3685" s="1"/>
    </row>
    <row r="3686" spans="1:5">
      <c r="A3686" t="s">
        <v>6733</v>
      </c>
      <c r="B3686" t="s">
        <v>6734</v>
      </c>
      <c r="E3686" s="1"/>
    </row>
    <row r="3687" spans="1:5">
      <c r="A3687" t="s">
        <v>6735</v>
      </c>
      <c r="B3687" t="s">
        <v>6736</v>
      </c>
      <c r="E3687" s="1"/>
    </row>
    <row r="3688" spans="1:5">
      <c r="A3688" t="s">
        <v>6737</v>
      </c>
      <c r="B3688" t="s">
        <v>6738</v>
      </c>
      <c r="E3688" s="1"/>
    </row>
    <row r="3689" spans="1:5">
      <c r="A3689" t="s">
        <v>6739</v>
      </c>
      <c r="B3689" t="s">
        <v>6740</v>
      </c>
      <c r="E3689" s="1"/>
    </row>
    <row r="3690" spans="1:5">
      <c r="A3690" t="s">
        <v>6741</v>
      </c>
      <c r="B3690" t="s">
        <v>6742</v>
      </c>
      <c r="E3690" s="1"/>
    </row>
    <row r="3691" spans="1:5">
      <c r="A3691" t="s">
        <v>6743</v>
      </c>
      <c r="B3691" t="s">
        <v>6744</v>
      </c>
      <c r="E3691" s="1"/>
    </row>
    <row r="3692" spans="1:5">
      <c r="A3692" t="s">
        <v>6745</v>
      </c>
      <c r="B3692" t="s">
        <v>6746</v>
      </c>
      <c r="E3692" s="1"/>
    </row>
    <row r="3693" spans="1:5">
      <c r="A3693" t="s">
        <v>6747</v>
      </c>
      <c r="B3693" t="s">
        <v>6748</v>
      </c>
      <c r="E3693" s="1"/>
    </row>
    <row r="3694" spans="1:5">
      <c r="A3694" t="s">
        <v>6749</v>
      </c>
      <c r="B3694" t="s">
        <v>6750</v>
      </c>
      <c r="E3694" s="1"/>
    </row>
    <row r="3695" spans="1:5">
      <c r="A3695" t="s">
        <v>6751</v>
      </c>
      <c r="B3695" t="s">
        <v>6752</v>
      </c>
      <c r="E3695" s="1"/>
    </row>
    <row r="3696" spans="1:5">
      <c r="A3696" t="s">
        <v>6753</v>
      </c>
      <c r="B3696" t="s">
        <v>6754</v>
      </c>
      <c r="E3696" s="1"/>
    </row>
    <row r="3697" spans="1:5">
      <c r="A3697" t="s">
        <v>6755</v>
      </c>
      <c r="B3697" t="s">
        <v>6756</v>
      </c>
      <c r="E3697" s="1"/>
    </row>
    <row r="3698" spans="1:5">
      <c r="A3698" t="s">
        <v>6757</v>
      </c>
      <c r="B3698" t="s">
        <v>6758</v>
      </c>
      <c r="E3698" s="1"/>
    </row>
    <row r="3699" spans="1:5">
      <c r="A3699" t="s">
        <v>6759</v>
      </c>
      <c r="B3699" t="s">
        <v>6760</v>
      </c>
      <c r="E3699" s="1"/>
    </row>
    <row r="3700" spans="1:5">
      <c r="A3700" t="s">
        <v>6761</v>
      </c>
      <c r="B3700" t="s">
        <v>6762</v>
      </c>
      <c r="E3700" s="1"/>
    </row>
    <row r="3701" spans="1:5">
      <c r="A3701" t="s">
        <v>6763</v>
      </c>
      <c r="B3701" t="s">
        <v>6764</v>
      </c>
      <c r="E3701" s="1"/>
    </row>
    <row r="3702" spans="1:5">
      <c r="A3702" t="s">
        <v>6765</v>
      </c>
      <c r="B3702" t="s">
        <v>6766</v>
      </c>
      <c r="E3702" s="1"/>
    </row>
    <row r="3703" spans="1:5">
      <c r="A3703" t="s">
        <v>6767</v>
      </c>
      <c r="B3703" t="s">
        <v>6768</v>
      </c>
      <c r="E3703" s="1"/>
    </row>
    <row r="3704" spans="1:5">
      <c r="A3704" t="s">
        <v>6769</v>
      </c>
      <c r="B3704" t="s">
        <v>6770</v>
      </c>
      <c r="E3704" s="1"/>
    </row>
    <row r="3705" spans="1:5">
      <c r="A3705" t="s">
        <v>6771</v>
      </c>
      <c r="B3705" t="s">
        <v>6772</v>
      </c>
      <c r="E3705" s="1"/>
    </row>
    <row r="3706" spans="1:5">
      <c r="A3706" t="s">
        <v>6773</v>
      </c>
      <c r="B3706" t="s">
        <v>6774</v>
      </c>
      <c r="E3706" s="1"/>
    </row>
    <row r="3707" spans="1:5">
      <c r="A3707" t="s">
        <v>6775</v>
      </c>
      <c r="B3707" t="s">
        <v>6776</v>
      </c>
      <c r="E3707" s="1"/>
    </row>
    <row r="3708" spans="1:5">
      <c r="A3708" t="s">
        <v>6777</v>
      </c>
      <c r="B3708" t="s">
        <v>6778</v>
      </c>
      <c r="E3708" s="1"/>
    </row>
    <row r="3709" spans="1:5">
      <c r="A3709" t="s">
        <v>6779</v>
      </c>
      <c r="B3709" t="s">
        <v>6780</v>
      </c>
      <c r="E3709" s="1"/>
    </row>
    <row r="3710" spans="1:5">
      <c r="A3710" t="s">
        <v>6781</v>
      </c>
      <c r="B3710" t="s">
        <v>6782</v>
      </c>
      <c r="E3710" s="1"/>
    </row>
    <row r="3711" spans="1:5">
      <c r="B3711" t="s">
        <v>6783</v>
      </c>
      <c r="E3711" s="1"/>
    </row>
    <row r="3712" spans="1:5">
      <c r="A3712" t="s">
        <v>6784</v>
      </c>
      <c r="B3712" t="s">
        <v>6785</v>
      </c>
      <c r="E3712" s="1"/>
    </row>
    <row r="3713" spans="1:5">
      <c r="A3713" t="s">
        <v>6786</v>
      </c>
      <c r="B3713" t="s">
        <v>6787</v>
      </c>
      <c r="E3713" s="1"/>
    </row>
    <row r="3714" spans="1:5">
      <c r="A3714" t="s">
        <v>6788</v>
      </c>
      <c r="B3714" t="s">
        <v>6789</v>
      </c>
      <c r="E3714" s="1"/>
    </row>
    <row r="3715" spans="1:5">
      <c r="A3715" t="s">
        <v>6790</v>
      </c>
      <c r="B3715" t="s">
        <v>6791</v>
      </c>
      <c r="E3715" s="1"/>
    </row>
    <row r="3716" spans="1:5">
      <c r="A3716" t="s">
        <v>6792</v>
      </c>
      <c r="B3716" t="s">
        <v>6793</v>
      </c>
      <c r="E3716" s="1"/>
    </row>
    <row r="3717" spans="1:5">
      <c r="A3717" t="s">
        <v>6794</v>
      </c>
      <c r="B3717" t="s">
        <v>6795</v>
      </c>
      <c r="E3717" s="1"/>
    </row>
    <row r="3718" spans="1:5">
      <c r="A3718" t="s">
        <v>6796</v>
      </c>
      <c r="B3718" t="s">
        <v>6797</v>
      </c>
      <c r="E3718" s="1"/>
    </row>
    <row r="3719" spans="1:5">
      <c r="A3719" t="s">
        <v>6798</v>
      </c>
      <c r="B3719" t="s">
        <v>6799</v>
      </c>
      <c r="E3719" s="1"/>
    </row>
    <row r="3720" spans="1:5">
      <c r="A3720" t="s">
        <v>6800</v>
      </c>
      <c r="B3720" t="s">
        <v>6801</v>
      </c>
      <c r="E3720" s="1"/>
    </row>
    <row r="3721" spans="1:5">
      <c r="B3721" t="s">
        <v>6802</v>
      </c>
      <c r="E3721" s="1"/>
    </row>
    <row r="3722" spans="1:5">
      <c r="A3722" t="s">
        <v>6803</v>
      </c>
      <c r="B3722" t="s">
        <v>6804</v>
      </c>
      <c r="E3722" s="1"/>
    </row>
    <row r="3723" spans="1:5">
      <c r="A3723" t="s">
        <v>6805</v>
      </c>
      <c r="B3723" t="s">
        <v>6806</v>
      </c>
      <c r="E3723" s="1"/>
    </row>
    <row r="3724" spans="1:5">
      <c r="A3724" t="s">
        <v>6807</v>
      </c>
      <c r="B3724" t="s">
        <v>6808</v>
      </c>
      <c r="E3724" s="1"/>
    </row>
    <row r="3725" spans="1:5">
      <c r="A3725" t="s">
        <v>6809</v>
      </c>
      <c r="B3725" t="s">
        <v>6810</v>
      </c>
      <c r="E3725" s="1"/>
    </row>
    <row r="3726" spans="1:5">
      <c r="A3726" t="s">
        <v>6811</v>
      </c>
      <c r="B3726" t="s">
        <v>6812</v>
      </c>
      <c r="E3726" s="1"/>
    </row>
    <row r="3727" spans="1:5">
      <c r="A3727" t="s">
        <v>6813</v>
      </c>
      <c r="B3727" t="s">
        <v>6814</v>
      </c>
      <c r="E3727" s="1"/>
    </row>
    <row r="3728" spans="1:5">
      <c r="A3728" t="s">
        <v>6815</v>
      </c>
      <c r="B3728" t="s">
        <v>6816</v>
      </c>
      <c r="E3728" s="1"/>
    </row>
    <row r="3729" spans="1:5">
      <c r="A3729" t="s">
        <v>6817</v>
      </c>
      <c r="B3729" t="s">
        <v>6818</v>
      </c>
      <c r="E3729" s="1"/>
    </row>
    <row r="3730" spans="1:5">
      <c r="A3730" t="s">
        <v>6819</v>
      </c>
      <c r="B3730" t="s">
        <v>6820</v>
      </c>
      <c r="E3730" s="1"/>
    </row>
    <row r="3731" spans="1:5">
      <c r="A3731" t="s">
        <v>6821</v>
      </c>
      <c r="B3731" t="s">
        <v>6822</v>
      </c>
      <c r="E3731" s="1"/>
    </row>
    <row r="3732" spans="1:5">
      <c r="A3732" t="s">
        <v>6823</v>
      </c>
      <c r="B3732" t="s">
        <v>6824</v>
      </c>
      <c r="E3732" s="1"/>
    </row>
    <row r="3733" spans="1:5">
      <c r="A3733" t="s">
        <v>6825</v>
      </c>
      <c r="B3733" t="s">
        <v>6826</v>
      </c>
      <c r="E3733" s="1"/>
    </row>
    <row r="3734" spans="1:5">
      <c r="A3734" t="s">
        <v>6827</v>
      </c>
      <c r="B3734" t="s">
        <v>6828</v>
      </c>
      <c r="E3734" s="1"/>
    </row>
    <row r="3735" spans="1:5">
      <c r="A3735" t="s">
        <v>6829</v>
      </c>
      <c r="B3735" t="s">
        <v>6830</v>
      </c>
      <c r="E3735" s="1"/>
    </row>
    <row r="3736" spans="1:5">
      <c r="A3736" t="s">
        <v>6831</v>
      </c>
      <c r="B3736" t="s">
        <v>6832</v>
      </c>
      <c r="E3736" s="1"/>
    </row>
    <row r="3737" spans="1:5">
      <c r="A3737" t="s">
        <v>6833</v>
      </c>
      <c r="B3737" t="s">
        <v>6834</v>
      </c>
      <c r="E3737" s="1"/>
    </row>
    <row r="3738" spans="1:5">
      <c r="A3738" t="s">
        <v>6835</v>
      </c>
      <c r="B3738" t="s">
        <v>6836</v>
      </c>
      <c r="E3738" s="1"/>
    </row>
    <row r="3739" spans="1:5">
      <c r="A3739" t="s">
        <v>6837</v>
      </c>
      <c r="B3739" t="s">
        <v>6838</v>
      </c>
      <c r="E3739" s="1"/>
    </row>
    <row r="3740" spans="1:5">
      <c r="A3740" t="s">
        <v>6839</v>
      </c>
      <c r="B3740" t="s">
        <v>6840</v>
      </c>
      <c r="E3740" s="1"/>
    </row>
    <row r="3741" spans="1:5">
      <c r="A3741" t="s">
        <v>6841</v>
      </c>
      <c r="B3741" t="s">
        <v>6842</v>
      </c>
      <c r="E3741" s="1"/>
    </row>
    <row r="3742" spans="1:5">
      <c r="A3742" t="s">
        <v>6843</v>
      </c>
      <c r="B3742" t="s">
        <v>6844</v>
      </c>
      <c r="E3742" s="1"/>
    </row>
    <row r="3743" spans="1:5">
      <c r="A3743" t="s">
        <v>6845</v>
      </c>
      <c r="B3743" t="s">
        <v>6846</v>
      </c>
      <c r="E3743" s="1"/>
    </row>
    <row r="3744" spans="1:5">
      <c r="A3744" t="s">
        <v>6847</v>
      </c>
      <c r="B3744" t="s">
        <v>6848</v>
      </c>
      <c r="E3744" s="1"/>
    </row>
    <row r="3745" spans="1:5">
      <c r="A3745" t="s">
        <v>6849</v>
      </c>
      <c r="B3745" t="s">
        <v>6850</v>
      </c>
      <c r="E3745" s="1"/>
    </row>
    <row r="3746" spans="1:5">
      <c r="A3746" t="s">
        <v>6851</v>
      </c>
      <c r="B3746" t="s">
        <v>6852</v>
      </c>
      <c r="E3746" s="1"/>
    </row>
    <row r="3747" spans="1:5">
      <c r="A3747" t="s">
        <v>6853</v>
      </c>
      <c r="B3747" t="s">
        <v>6854</v>
      </c>
      <c r="E3747" s="1"/>
    </row>
    <row r="3748" spans="1:5">
      <c r="A3748" t="s">
        <v>6855</v>
      </c>
      <c r="B3748" t="s">
        <v>6856</v>
      </c>
      <c r="E3748" s="1"/>
    </row>
    <row r="3749" spans="1:5">
      <c r="A3749" t="s">
        <v>6857</v>
      </c>
      <c r="B3749" t="s">
        <v>6858</v>
      </c>
      <c r="E3749" s="1"/>
    </row>
    <row r="3750" spans="1:5">
      <c r="B3750" t="s">
        <v>6859</v>
      </c>
      <c r="E3750" s="1"/>
    </row>
    <row r="3751" spans="1:5">
      <c r="A3751" t="s">
        <v>6860</v>
      </c>
      <c r="B3751" t="s">
        <v>6861</v>
      </c>
      <c r="E3751" s="1"/>
    </row>
    <row r="3752" spans="1:5">
      <c r="A3752" t="s">
        <v>6862</v>
      </c>
      <c r="B3752" t="s">
        <v>6863</v>
      </c>
      <c r="E3752" s="1"/>
    </row>
    <row r="3753" spans="1:5">
      <c r="A3753" t="s">
        <v>6864</v>
      </c>
      <c r="B3753" t="s">
        <v>6865</v>
      </c>
      <c r="E3753" s="1"/>
    </row>
    <row r="3754" spans="1:5">
      <c r="A3754" t="s">
        <v>6866</v>
      </c>
      <c r="B3754" t="s">
        <v>6867</v>
      </c>
      <c r="E3754" s="1"/>
    </row>
    <row r="3755" spans="1:5">
      <c r="A3755" t="s">
        <v>6868</v>
      </c>
      <c r="B3755" t="s">
        <v>6869</v>
      </c>
      <c r="E3755" s="1"/>
    </row>
    <row r="3756" spans="1:5">
      <c r="A3756" t="s">
        <v>6870</v>
      </c>
      <c r="B3756" t="s">
        <v>6871</v>
      </c>
      <c r="E3756" s="1"/>
    </row>
    <row r="3757" spans="1:5">
      <c r="A3757" t="s">
        <v>6872</v>
      </c>
      <c r="B3757" t="s">
        <v>6873</v>
      </c>
      <c r="E3757" s="1"/>
    </row>
    <row r="3758" spans="1:5">
      <c r="A3758" t="s">
        <v>6874</v>
      </c>
      <c r="B3758" t="s">
        <v>6875</v>
      </c>
      <c r="E3758" s="1"/>
    </row>
    <row r="3759" spans="1:5">
      <c r="A3759" t="s">
        <v>6876</v>
      </c>
      <c r="B3759" t="s">
        <v>6877</v>
      </c>
      <c r="E3759" s="1"/>
    </row>
    <row r="3760" spans="1:5">
      <c r="A3760" t="s">
        <v>6878</v>
      </c>
      <c r="B3760" t="s">
        <v>6879</v>
      </c>
      <c r="E3760" s="1"/>
    </row>
    <row r="3761" spans="1:8">
      <c r="A3761" t="s">
        <v>6880</v>
      </c>
      <c r="B3761" t="s">
        <v>6881</v>
      </c>
      <c r="C3761" s="1" t="s">
        <v>9148</v>
      </c>
      <c r="D3761" s="1"/>
      <c r="E3761" s="1" t="str">
        <f t="shared" ref="E3761:E3824" si="204">HYPERLINK("https://www.kegg.jp/dbget-bin/www_bget?ec:" &amp; C3761, "https://www.kegg.jp/dbget-bin/www_bget?ec:" &amp; C3761)</f>
        <v>https://www.kegg.jp/dbget-bin/www_bget?ec:2.7.1.24</v>
      </c>
      <c r="F3761" s="1" t="s">
        <v>10314</v>
      </c>
      <c r="G3761" s="10" t="s">
        <v>11175</v>
      </c>
      <c r="H3761" s="13" t="s">
        <v>11176</v>
      </c>
    </row>
    <row r="3762" spans="1:8">
      <c r="A3762" t="s">
        <v>6882</v>
      </c>
      <c r="B3762" t="s">
        <v>6883</v>
      </c>
      <c r="E3762" s="1"/>
    </row>
    <row r="3763" spans="1:8">
      <c r="A3763" t="s">
        <v>6884</v>
      </c>
      <c r="B3763" t="s">
        <v>6885</v>
      </c>
      <c r="E3763" s="1"/>
    </row>
    <row r="3764" spans="1:8">
      <c r="A3764" t="s">
        <v>6886</v>
      </c>
      <c r="B3764" t="s">
        <v>6887</v>
      </c>
      <c r="E3764" s="1"/>
    </row>
    <row r="3765" spans="1:8">
      <c r="A3765" t="s">
        <v>6888</v>
      </c>
      <c r="B3765" t="s">
        <v>6889</v>
      </c>
      <c r="E3765" s="1"/>
    </row>
    <row r="3766" spans="1:8">
      <c r="A3766" t="s">
        <v>6890</v>
      </c>
      <c r="B3766" t="s">
        <v>6891</v>
      </c>
      <c r="E3766" s="1"/>
    </row>
    <row r="3767" spans="1:8">
      <c r="A3767" t="s">
        <v>6892</v>
      </c>
      <c r="B3767" t="s">
        <v>6893</v>
      </c>
      <c r="E3767" s="1"/>
    </row>
    <row r="3768" spans="1:8">
      <c r="A3768" t="s">
        <v>6894</v>
      </c>
      <c r="B3768" t="s">
        <v>6895</v>
      </c>
      <c r="E3768" s="1"/>
    </row>
    <row r="3769" spans="1:8">
      <c r="A3769" t="s">
        <v>6896</v>
      </c>
      <c r="B3769" t="s">
        <v>6897</v>
      </c>
      <c r="E3769" s="1"/>
    </row>
    <row r="3770" spans="1:8">
      <c r="A3770" t="s">
        <v>6898</v>
      </c>
      <c r="B3770" t="s">
        <v>6899</v>
      </c>
      <c r="E3770" s="1"/>
    </row>
    <row r="3771" spans="1:8">
      <c r="B3771" t="s">
        <v>6900</v>
      </c>
      <c r="E3771" s="1"/>
    </row>
    <row r="3772" spans="1:8">
      <c r="B3772" t="s">
        <v>6901</v>
      </c>
      <c r="E3772" s="1"/>
    </row>
    <row r="3773" spans="1:8">
      <c r="A3773" t="s">
        <v>6902</v>
      </c>
      <c r="B3773" t="s">
        <v>6903</v>
      </c>
      <c r="E3773" s="1"/>
    </row>
    <row r="3774" spans="1:8">
      <c r="A3774" t="s">
        <v>6904</v>
      </c>
      <c r="B3774" t="s">
        <v>6905</v>
      </c>
      <c r="E3774" s="1"/>
    </row>
    <row r="3775" spans="1:8">
      <c r="A3775" t="s">
        <v>6906</v>
      </c>
      <c r="B3775" t="s">
        <v>6907</v>
      </c>
      <c r="E3775" s="1"/>
    </row>
    <row r="3776" spans="1:8">
      <c r="A3776" t="s">
        <v>6908</v>
      </c>
      <c r="B3776" t="s">
        <v>6909</v>
      </c>
      <c r="E3776" s="1"/>
    </row>
    <row r="3777" spans="1:5">
      <c r="A3777" t="s">
        <v>6910</v>
      </c>
      <c r="B3777" t="s">
        <v>6911</v>
      </c>
      <c r="E3777" s="1"/>
    </row>
    <row r="3778" spans="1:5">
      <c r="A3778" t="s">
        <v>6912</v>
      </c>
      <c r="B3778" t="s">
        <v>6913</v>
      </c>
      <c r="E3778" s="1"/>
    </row>
    <row r="3779" spans="1:5">
      <c r="A3779" t="s">
        <v>6914</v>
      </c>
      <c r="B3779" t="s">
        <v>6915</v>
      </c>
      <c r="E3779" s="1"/>
    </row>
    <row r="3780" spans="1:5">
      <c r="A3780" t="s">
        <v>6916</v>
      </c>
      <c r="B3780" t="s">
        <v>6917</v>
      </c>
      <c r="E3780" s="1"/>
    </row>
    <row r="3781" spans="1:5">
      <c r="A3781" t="s">
        <v>6918</v>
      </c>
      <c r="B3781" t="s">
        <v>6919</v>
      </c>
      <c r="E3781" s="1"/>
    </row>
    <row r="3782" spans="1:5">
      <c r="A3782" t="s">
        <v>6920</v>
      </c>
      <c r="B3782" t="s">
        <v>6921</v>
      </c>
      <c r="E3782" s="1"/>
    </row>
    <row r="3783" spans="1:5">
      <c r="A3783" t="s">
        <v>6922</v>
      </c>
      <c r="B3783" t="s">
        <v>6923</v>
      </c>
      <c r="E3783" s="1"/>
    </row>
    <row r="3784" spans="1:5">
      <c r="A3784" t="s">
        <v>6924</v>
      </c>
      <c r="B3784" t="s">
        <v>6925</v>
      </c>
      <c r="E3784" s="1"/>
    </row>
    <row r="3785" spans="1:5">
      <c r="A3785" t="s">
        <v>6926</v>
      </c>
      <c r="B3785" t="s">
        <v>6927</v>
      </c>
      <c r="E3785" s="1"/>
    </row>
    <row r="3786" spans="1:5">
      <c r="A3786" t="s">
        <v>6928</v>
      </c>
      <c r="B3786" t="s">
        <v>6929</v>
      </c>
      <c r="E3786" s="1"/>
    </row>
    <row r="3787" spans="1:5">
      <c r="A3787" t="s">
        <v>6930</v>
      </c>
      <c r="B3787" t="s">
        <v>6931</v>
      </c>
      <c r="E3787" s="1"/>
    </row>
    <row r="3788" spans="1:5">
      <c r="A3788" t="s">
        <v>6932</v>
      </c>
      <c r="B3788" t="s">
        <v>6933</v>
      </c>
      <c r="E3788" s="1"/>
    </row>
    <row r="3789" spans="1:5">
      <c r="A3789" t="s">
        <v>6934</v>
      </c>
      <c r="B3789" t="s">
        <v>6935</v>
      </c>
      <c r="E3789" s="1"/>
    </row>
    <row r="3790" spans="1:5">
      <c r="A3790" t="s">
        <v>6936</v>
      </c>
      <c r="B3790" t="s">
        <v>6937</v>
      </c>
      <c r="E3790" s="1"/>
    </row>
    <row r="3791" spans="1:5">
      <c r="A3791" t="s">
        <v>6938</v>
      </c>
      <c r="B3791" t="s">
        <v>6939</v>
      </c>
      <c r="E3791" s="1"/>
    </row>
    <row r="3792" spans="1:5">
      <c r="A3792" t="s">
        <v>6940</v>
      </c>
      <c r="B3792" t="s">
        <v>6941</v>
      </c>
      <c r="E3792" s="1"/>
    </row>
    <row r="3793" spans="1:8">
      <c r="A3793" t="s">
        <v>6942</v>
      </c>
      <c r="B3793" t="s">
        <v>6943</v>
      </c>
      <c r="E3793" s="1"/>
    </row>
    <row r="3794" spans="1:8">
      <c r="A3794" t="s">
        <v>6944</v>
      </c>
      <c r="B3794" t="s">
        <v>6945</v>
      </c>
      <c r="E3794" s="1"/>
    </row>
    <row r="3795" spans="1:8">
      <c r="A3795" t="s">
        <v>6946</v>
      </c>
      <c r="B3795" t="s">
        <v>6947</v>
      </c>
      <c r="E3795" s="1"/>
    </row>
    <row r="3796" spans="1:8">
      <c r="A3796" t="s">
        <v>6948</v>
      </c>
      <c r="B3796" t="s">
        <v>6949</v>
      </c>
      <c r="C3796" s="1" t="s">
        <v>9149</v>
      </c>
      <c r="D3796" s="1"/>
      <c r="E3796" s="1" t="str">
        <f t="shared" si="204"/>
        <v>https://www.kegg.jp/dbget-bin/www_bget?ec:4.2.1.46</v>
      </c>
      <c r="F3796" s="1" t="s">
        <v>10317</v>
      </c>
      <c r="G3796" s="10" t="s">
        <v>10318</v>
      </c>
      <c r="H3796" s="13" t="s">
        <v>11177</v>
      </c>
    </row>
    <row r="3797" spans="1:8">
      <c r="A3797" t="s">
        <v>6950</v>
      </c>
      <c r="B3797" t="s">
        <v>6951</v>
      </c>
      <c r="C3797" s="1" t="s">
        <v>9150</v>
      </c>
      <c r="D3797" s="1"/>
      <c r="E3797" s="1" t="str">
        <f t="shared" si="204"/>
        <v>https://www.kegg.jp/dbget-bin/www_bget?ec:5.1.3.13</v>
      </c>
      <c r="F3797" s="1" t="s">
        <v>10320</v>
      </c>
      <c r="G3797" s="10" t="s">
        <v>10321</v>
      </c>
      <c r="H3797" s="13" t="s">
        <v>10322</v>
      </c>
    </row>
    <row r="3798" spans="1:8">
      <c r="B3798" t="s">
        <v>6952</v>
      </c>
      <c r="E3798" s="1"/>
    </row>
    <row r="3799" spans="1:8">
      <c r="B3799" t="s">
        <v>6953</v>
      </c>
      <c r="E3799" s="1"/>
    </row>
    <row r="3800" spans="1:8">
      <c r="A3800" t="s">
        <v>6954</v>
      </c>
      <c r="B3800" t="s">
        <v>6955</v>
      </c>
      <c r="E3800" s="1"/>
    </row>
    <row r="3801" spans="1:8">
      <c r="A3801" t="s">
        <v>6956</v>
      </c>
      <c r="B3801" t="s">
        <v>6957</v>
      </c>
      <c r="E3801" s="1"/>
    </row>
    <row r="3802" spans="1:8">
      <c r="A3802" t="s">
        <v>6958</v>
      </c>
      <c r="B3802" t="s">
        <v>6959</v>
      </c>
      <c r="E3802" s="1"/>
    </row>
    <row r="3803" spans="1:8">
      <c r="A3803" t="s">
        <v>6960</v>
      </c>
      <c r="B3803" t="s">
        <v>6961</v>
      </c>
      <c r="E3803" s="1"/>
    </row>
    <row r="3804" spans="1:8">
      <c r="A3804" t="s">
        <v>6962</v>
      </c>
      <c r="B3804" t="s">
        <v>6963</v>
      </c>
      <c r="E3804" s="1"/>
    </row>
    <row r="3805" spans="1:8">
      <c r="A3805" t="s">
        <v>6964</v>
      </c>
      <c r="B3805" t="s">
        <v>6965</v>
      </c>
      <c r="E3805" s="1"/>
    </row>
    <row r="3806" spans="1:8">
      <c r="A3806" t="s">
        <v>6966</v>
      </c>
      <c r="B3806" t="s">
        <v>6967</v>
      </c>
      <c r="E3806" s="1"/>
    </row>
    <row r="3807" spans="1:8">
      <c r="A3807" t="s">
        <v>6968</v>
      </c>
      <c r="B3807" t="s">
        <v>6969</v>
      </c>
      <c r="E3807" s="1"/>
    </row>
    <row r="3808" spans="1:8">
      <c r="A3808" t="s">
        <v>6970</v>
      </c>
      <c r="B3808" t="s">
        <v>6971</v>
      </c>
      <c r="E3808" s="1"/>
    </row>
    <row r="3809" spans="1:8">
      <c r="A3809" t="s">
        <v>6972</v>
      </c>
      <c r="B3809" t="s">
        <v>6973</v>
      </c>
      <c r="E3809" s="1"/>
    </row>
    <row r="3810" spans="1:8">
      <c r="A3810" t="s">
        <v>6974</v>
      </c>
      <c r="B3810" t="s">
        <v>6975</v>
      </c>
      <c r="E3810" s="1"/>
    </row>
    <row r="3811" spans="1:8">
      <c r="A3811" t="s">
        <v>6976</v>
      </c>
      <c r="B3811" t="s">
        <v>6977</v>
      </c>
      <c r="E3811" s="1"/>
    </row>
    <row r="3812" spans="1:8">
      <c r="A3812" t="s">
        <v>6978</v>
      </c>
      <c r="B3812" t="s">
        <v>6979</v>
      </c>
      <c r="E3812" s="1"/>
    </row>
    <row r="3813" spans="1:8">
      <c r="A3813" t="s">
        <v>6980</v>
      </c>
      <c r="B3813" t="s">
        <v>6981</v>
      </c>
      <c r="E3813" s="1"/>
    </row>
    <row r="3814" spans="1:8">
      <c r="A3814" t="s">
        <v>6982</v>
      </c>
      <c r="B3814" t="s">
        <v>6983</v>
      </c>
      <c r="E3814" s="1"/>
    </row>
    <row r="3815" spans="1:8">
      <c r="A3815" t="s">
        <v>6984</v>
      </c>
      <c r="B3815" t="s">
        <v>6985</v>
      </c>
      <c r="C3815" s="1" t="s">
        <v>9151</v>
      </c>
      <c r="D3815" s="1"/>
      <c r="E3815" s="1" t="str">
        <f t="shared" ref="E3815" si="205">HYPERLINK("https://www.kegg.jp/dbget-bin/www_bget?ec:" &amp; C3815, "https://www.kegg.jp/dbget-bin/www_bget?ec:" &amp; C3815)</f>
        <v>https://www.kegg.jp/dbget-bin/www_bget?ec:6.3.5.2</v>
      </c>
      <c r="F3815" s="1" t="s">
        <v>10323</v>
      </c>
      <c r="G3815" s="10" t="s">
        <v>11178</v>
      </c>
      <c r="H3815" s="13" t="s">
        <v>11004</v>
      </c>
    </row>
    <row r="3816" spans="1:8">
      <c r="A3816" t="s">
        <v>6984</v>
      </c>
      <c r="B3816" t="s">
        <v>6985</v>
      </c>
      <c r="C3816" s="1" t="s">
        <v>9151</v>
      </c>
      <c r="D3816" s="1"/>
      <c r="E3816" s="1" t="str">
        <f t="shared" ref="E3816" si="206">HYPERLINK("https://www.kegg.jp/dbget-bin/www_bget?ec:" &amp; C3816, "https://www.kegg.jp/dbget-bin/www_bget?ec:" &amp; C3816)</f>
        <v>https://www.kegg.jp/dbget-bin/www_bget?ec:6.3.5.2</v>
      </c>
      <c r="F3816" t="s">
        <v>10323</v>
      </c>
      <c r="G3816" s="10" t="s">
        <v>11179</v>
      </c>
      <c r="H3816" s="13" t="s">
        <v>11180</v>
      </c>
    </row>
    <row r="3817" spans="1:8">
      <c r="A3817" t="s">
        <v>6984</v>
      </c>
      <c r="B3817" t="s">
        <v>6985</v>
      </c>
      <c r="C3817" s="1" t="s">
        <v>9151</v>
      </c>
      <c r="D3817" s="1"/>
      <c r="E3817" s="1" t="str">
        <f t="shared" ref="E3817" si="207">HYPERLINK("https://www.kegg.jp/dbget-bin/www_bget?ec:" &amp; C3817, "https://www.kegg.jp/dbget-bin/www_bget?ec:" &amp; C3817)</f>
        <v>https://www.kegg.jp/dbget-bin/www_bget?ec:6.3.5.2</v>
      </c>
      <c r="F3817" s="1" t="s">
        <v>10323</v>
      </c>
      <c r="G3817" s="10" t="s">
        <v>11181</v>
      </c>
      <c r="H3817" s="13" t="s">
        <v>11182</v>
      </c>
    </row>
    <row r="3818" spans="1:8">
      <c r="A3818" t="s">
        <v>6984</v>
      </c>
      <c r="B3818" t="s">
        <v>6985</v>
      </c>
      <c r="C3818" s="1" t="s">
        <v>9151</v>
      </c>
      <c r="D3818" s="1"/>
      <c r="E3818" s="1" t="str">
        <f t="shared" si="204"/>
        <v>https://www.kegg.jp/dbget-bin/www_bget?ec:6.3.5.2</v>
      </c>
      <c r="F3818" s="1" t="s">
        <v>10323</v>
      </c>
      <c r="G3818" s="10" t="s">
        <v>11183</v>
      </c>
      <c r="H3818" s="13" t="s">
        <v>11184</v>
      </c>
    </row>
    <row r="3819" spans="1:8">
      <c r="A3819" t="s">
        <v>6986</v>
      </c>
      <c r="B3819" t="s">
        <v>6987</v>
      </c>
      <c r="C3819" s="1" t="s">
        <v>9151</v>
      </c>
      <c r="D3819" s="1"/>
      <c r="E3819" s="1" t="str">
        <f t="shared" si="204"/>
        <v>https://www.kegg.jp/dbget-bin/www_bget?ec:6.3.5.2</v>
      </c>
      <c r="F3819" s="1" t="s">
        <v>10323</v>
      </c>
      <c r="G3819" s="10" t="s">
        <v>11178</v>
      </c>
      <c r="H3819" s="13" t="s">
        <v>11004</v>
      </c>
    </row>
    <row r="3820" spans="1:8">
      <c r="A3820" t="s">
        <v>6986</v>
      </c>
      <c r="B3820" t="s">
        <v>6987</v>
      </c>
      <c r="C3820" s="1" t="s">
        <v>9151</v>
      </c>
      <c r="D3820" s="1"/>
      <c r="E3820" s="1" t="str">
        <f t="shared" ref="E3820" si="208">HYPERLINK("https://www.kegg.jp/dbget-bin/www_bget?ec:" &amp; C3820, "https://www.kegg.jp/dbget-bin/www_bget?ec:" &amp; C3820)</f>
        <v>https://www.kegg.jp/dbget-bin/www_bget?ec:6.3.5.2</v>
      </c>
      <c r="F3820" s="1" t="s">
        <v>10323</v>
      </c>
      <c r="G3820" s="10" t="s">
        <v>11179</v>
      </c>
      <c r="H3820" s="13" t="s">
        <v>11180</v>
      </c>
    </row>
    <row r="3821" spans="1:8">
      <c r="A3821" t="s">
        <v>6986</v>
      </c>
      <c r="B3821" t="s">
        <v>6987</v>
      </c>
      <c r="C3821" s="1" t="s">
        <v>9151</v>
      </c>
      <c r="D3821" s="1"/>
      <c r="E3821" s="1" t="str">
        <f t="shared" ref="E3821" si="209">HYPERLINK("https://www.kegg.jp/dbget-bin/www_bget?ec:" &amp; C3821, "https://www.kegg.jp/dbget-bin/www_bget?ec:" &amp; C3821)</f>
        <v>https://www.kegg.jp/dbget-bin/www_bget?ec:6.3.5.2</v>
      </c>
      <c r="F3821" s="1" t="s">
        <v>10323</v>
      </c>
      <c r="G3821" s="10" t="s">
        <v>11181</v>
      </c>
      <c r="H3821" s="13" t="s">
        <v>11182</v>
      </c>
    </row>
    <row r="3822" spans="1:8">
      <c r="A3822" t="s">
        <v>6986</v>
      </c>
      <c r="B3822" t="s">
        <v>6987</v>
      </c>
      <c r="C3822" s="1" t="s">
        <v>9151</v>
      </c>
      <c r="D3822" s="1"/>
      <c r="E3822" s="1" t="str">
        <f t="shared" si="204"/>
        <v>https://www.kegg.jp/dbget-bin/www_bget?ec:6.3.5.2</v>
      </c>
      <c r="F3822" s="1" t="s">
        <v>10323</v>
      </c>
      <c r="G3822" s="10" t="s">
        <v>11183</v>
      </c>
      <c r="H3822" s="13" t="s">
        <v>11184</v>
      </c>
    </row>
    <row r="3823" spans="1:8">
      <c r="A3823" t="s">
        <v>6988</v>
      </c>
      <c r="B3823" t="s">
        <v>6989</v>
      </c>
      <c r="E3823" s="1"/>
    </row>
    <row r="3824" spans="1:8">
      <c r="A3824" t="s">
        <v>6990</v>
      </c>
      <c r="B3824" t="s">
        <v>6991</v>
      </c>
      <c r="C3824" s="1" t="s">
        <v>9152</v>
      </c>
      <c r="D3824" s="1"/>
      <c r="E3824" s="1" t="str">
        <f t="shared" si="204"/>
        <v>https://www.kegg.jp/dbget-bin/www_bget?ec:2.1.1.193</v>
      </c>
      <c r="F3824" t="s">
        <v>9650</v>
      </c>
    </row>
    <row r="3825" spans="1:8">
      <c r="A3825" t="s">
        <v>6992</v>
      </c>
      <c r="B3825" t="s">
        <v>6993</v>
      </c>
      <c r="E3825" s="1"/>
    </row>
    <row r="3826" spans="1:8">
      <c r="A3826" t="s">
        <v>6994</v>
      </c>
      <c r="B3826" t="s">
        <v>6995</v>
      </c>
      <c r="E3826" s="1"/>
    </row>
    <row r="3827" spans="1:8">
      <c r="A3827" t="s">
        <v>6996</v>
      </c>
      <c r="B3827" t="s">
        <v>6997</v>
      </c>
      <c r="E3827" s="1"/>
    </row>
    <row r="3828" spans="1:8">
      <c r="A3828" t="s">
        <v>6998</v>
      </c>
      <c r="B3828" t="s">
        <v>6999</v>
      </c>
      <c r="E3828" s="1"/>
    </row>
    <row r="3829" spans="1:8">
      <c r="A3829" t="s">
        <v>7000</v>
      </c>
      <c r="B3829" t="s">
        <v>7001</v>
      </c>
      <c r="E3829" s="1"/>
    </row>
    <row r="3830" spans="1:8">
      <c r="A3830" t="s">
        <v>7002</v>
      </c>
      <c r="B3830" t="s">
        <v>7003</v>
      </c>
      <c r="E3830" s="1"/>
    </row>
    <row r="3831" spans="1:8">
      <c r="A3831" t="s">
        <v>7004</v>
      </c>
      <c r="B3831" t="s">
        <v>7005</v>
      </c>
      <c r="E3831" s="1"/>
    </row>
    <row r="3832" spans="1:8">
      <c r="A3832" t="s">
        <v>7006</v>
      </c>
      <c r="B3832" t="s">
        <v>7007</v>
      </c>
      <c r="E3832" s="1"/>
    </row>
    <row r="3833" spans="1:8">
      <c r="A3833" t="s">
        <v>7008</v>
      </c>
      <c r="B3833" t="s">
        <v>7009</v>
      </c>
      <c r="E3833" s="1"/>
    </row>
    <row r="3834" spans="1:8">
      <c r="A3834" t="s">
        <v>7010</v>
      </c>
      <c r="B3834" t="s">
        <v>7011</v>
      </c>
      <c r="C3834" s="1" t="s">
        <v>9153</v>
      </c>
      <c r="D3834" s="1"/>
      <c r="E3834" s="1" t="str">
        <f t="shared" ref="E3834:E3901" si="210">HYPERLINK("https://www.kegg.jp/dbget-bin/www_bget?ec:" &amp; C3834, "https://www.kegg.jp/dbget-bin/www_bget?ec:" &amp; C3834)</f>
        <v>https://www.kegg.jp/dbget-bin/www_bget?ec:2.7.1.30</v>
      </c>
      <c r="F3834" s="1" t="s">
        <v>10331</v>
      </c>
      <c r="G3834" s="1" t="s">
        <v>11185</v>
      </c>
      <c r="H3834" s="13" t="s">
        <v>11186</v>
      </c>
    </row>
    <row r="3835" spans="1:8">
      <c r="A3835" t="s">
        <v>7012</v>
      </c>
      <c r="B3835" t="s">
        <v>7013</v>
      </c>
      <c r="E3835" s="1"/>
    </row>
    <row r="3836" spans="1:8">
      <c r="A3836" t="s">
        <v>7014</v>
      </c>
      <c r="B3836" t="s">
        <v>7015</v>
      </c>
      <c r="E3836" s="1"/>
    </row>
    <row r="3837" spans="1:8">
      <c r="A3837" t="s">
        <v>7016</v>
      </c>
      <c r="B3837" t="s">
        <v>7017</v>
      </c>
      <c r="E3837" s="1"/>
    </row>
    <row r="3838" spans="1:8">
      <c r="A3838" t="s">
        <v>7018</v>
      </c>
      <c r="B3838" t="s">
        <v>7019</v>
      </c>
      <c r="E3838" s="1"/>
    </row>
    <row r="3839" spans="1:8">
      <c r="A3839" t="s">
        <v>7020</v>
      </c>
      <c r="B3839" t="s">
        <v>7021</v>
      </c>
      <c r="E3839" s="1"/>
    </row>
    <row r="3840" spans="1:8">
      <c r="A3840" t="s">
        <v>7022</v>
      </c>
      <c r="B3840" t="s">
        <v>7023</v>
      </c>
      <c r="E3840" s="1"/>
    </row>
    <row r="3841" spans="1:5">
      <c r="A3841" t="s">
        <v>7024</v>
      </c>
      <c r="B3841" t="s">
        <v>7025</v>
      </c>
      <c r="E3841" s="1"/>
    </row>
    <row r="3842" spans="1:5">
      <c r="A3842" t="s">
        <v>7026</v>
      </c>
      <c r="B3842" t="s">
        <v>7027</v>
      </c>
      <c r="E3842" s="1"/>
    </row>
    <row r="3843" spans="1:5">
      <c r="A3843" t="s">
        <v>7028</v>
      </c>
      <c r="B3843" t="s">
        <v>7029</v>
      </c>
      <c r="E3843" s="1"/>
    </row>
    <row r="3844" spans="1:5">
      <c r="A3844" t="s">
        <v>7030</v>
      </c>
      <c r="B3844" t="s">
        <v>7031</v>
      </c>
      <c r="E3844" s="1"/>
    </row>
    <row r="3845" spans="1:5">
      <c r="A3845" t="s">
        <v>7032</v>
      </c>
      <c r="B3845" t="s">
        <v>7033</v>
      </c>
      <c r="E3845" s="1"/>
    </row>
    <row r="3846" spans="1:5">
      <c r="A3846" t="s">
        <v>7034</v>
      </c>
      <c r="B3846" t="s">
        <v>7035</v>
      </c>
      <c r="E3846" s="1"/>
    </row>
    <row r="3847" spans="1:5">
      <c r="A3847" t="s">
        <v>7036</v>
      </c>
      <c r="B3847" t="s">
        <v>7037</v>
      </c>
      <c r="E3847" s="1"/>
    </row>
    <row r="3848" spans="1:5">
      <c r="B3848" t="s">
        <v>7038</v>
      </c>
      <c r="E3848" s="1"/>
    </row>
    <row r="3849" spans="1:5">
      <c r="A3849" t="s">
        <v>7039</v>
      </c>
      <c r="B3849" t="s">
        <v>7040</v>
      </c>
      <c r="E3849" s="1"/>
    </row>
    <row r="3850" spans="1:5">
      <c r="A3850" t="s">
        <v>7041</v>
      </c>
      <c r="B3850" t="s">
        <v>7042</v>
      </c>
      <c r="E3850" s="1"/>
    </row>
    <row r="3851" spans="1:5">
      <c r="A3851" t="s">
        <v>7043</v>
      </c>
      <c r="B3851" t="s">
        <v>7044</v>
      </c>
      <c r="E3851" s="1"/>
    </row>
    <row r="3852" spans="1:5">
      <c r="A3852" t="s">
        <v>7045</v>
      </c>
      <c r="B3852" t="s">
        <v>7046</v>
      </c>
      <c r="E3852" s="1"/>
    </row>
    <row r="3853" spans="1:5">
      <c r="A3853" t="s">
        <v>7047</v>
      </c>
      <c r="B3853" t="s">
        <v>7048</v>
      </c>
      <c r="E3853" s="1"/>
    </row>
    <row r="3854" spans="1:5">
      <c r="A3854" t="s">
        <v>7049</v>
      </c>
      <c r="B3854" t="s">
        <v>7050</v>
      </c>
      <c r="E3854" s="1"/>
    </row>
    <row r="3855" spans="1:5">
      <c r="A3855" t="s">
        <v>7051</v>
      </c>
      <c r="B3855" t="s">
        <v>7052</v>
      </c>
      <c r="E3855" s="1"/>
    </row>
    <row r="3856" spans="1:5">
      <c r="A3856" t="s">
        <v>7053</v>
      </c>
      <c r="B3856" t="s">
        <v>7054</v>
      </c>
      <c r="E3856" s="1"/>
    </row>
    <row r="3857" spans="1:8">
      <c r="B3857" t="s">
        <v>7055</v>
      </c>
      <c r="E3857" s="1"/>
    </row>
    <row r="3858" spans="1:8">
      <c r="B3858" t="s">
        <v>7056</v>
      </c>
      <c r="E3858" s="1"/>
    </row>
    <row r="3859" spans="1:8">
      <c r="B3859" t="s">
        <v>7057</v>
      </c>
      <c r="E3859" s="1"/>
    </row>
    <row r="3860" spans="1:8">
      <c r="B3860" t="s">
        <v>7058</v>
      </c>
      <c r="E3860" s="1"/>
    </row>
    <row r="3861" spans="1:8">
      <c r="B3861" t="s">
        <v>7059</v>
      </c>
      <c r="E3861" s="1"/>
    </row>
    <row r="3862" spans="1:8">
      <c r="B3862" t="s">
        <v>7060</v>
      </c>
      <c r="E3862" s="1"/>
    </row>
    <row r="3863" spans="1:8">
      <c r="A3863" t="s">
        <v>7061</v>
      </c>
      <c r="B3863" t="s">
        <v>7062</v>
      </c>
      <c r="E3863" s="1"/>
    </row>
    <row r="3864" spans="1:8">
      <c r="A3864" t="s">
        <v>7063</v>
      </c>
      <c r="B3864" t="s">
        <v>7064</v>
      </c>
      <c r="C3864" s="1" t="s">
        <v>3417</v>
      </c>
      <c r="D3864" s="1"/>
      <c r="E3864" s="1" t="str">
        <f t="shared" ref="E3864" si="211">HYPERLINK("https://www.kegg.jp/dbget-bin/www_bget?ec:" &amp; C3864, "https://www.kegg.jp/dbget-bin/www_bget?ec:" &amp; C3864)</f>
        <v>https://www.kegg.jp/dbget-bin/www_bget?ec:3.2.1.21</v>
      </c>
      <c r="F3864" t="s">
        <v>9847</v>
      </c>
      <c r="G3864" s="22" t="s">
        <v>10838</v>
      </c>
      <c r="H3864" s="20" t="s">
        <v>9849</v>
      </c>
    </row>
    <row r="3865" spans="1:8">
      <c r="A3865" t="s">
        <v>7063</v>
      </c>
      <c r="B3865" t="s">
        <v>7064</v>
      </c>
      <c r="C3865" s="1" t="s">
        <v>3417</v>
      </c>
      <c r="D3865" s="1"/>
      <c r="E3865" s="1" t="str">
        <f t="shared" ref="E3865" si="212">HYPERLINK("https://www.kegg.jp/dbget-bin/www_bget?ec:" &amp; C3865, "https://www.kegg.jp/dbget-bin/www_bget?ec:" &amp; C3865)</f>
        <v>https://www.kegg.jp/dbget-bin/www_bget?ec:3.2.1.21</v>
      </c>
      <c r="F3865" t="s">
        <v>9847</v>
      </c>
      <c r="G3865" s="22" t="s">
        <v>10839</v>
      </c>
      <c r="H3865" s="20" t="s">
        <v>9851</v>
      </c>
    </row>
    <row r="3866" spans="1:8">
      <c r="A3866" t="s">
        <v>7063</v>
      </c>
      <c r="B3866" t="s">
        <v>7064</v>
      </c>
      <c r="C3866" s="1" t="s">
        <v>3417</v>
      </c>
      <c r="D3866" s="1"/>
      <c r="E3866" s="1" t="str">
        <f t="shared" ref="E3866" si="213">HYPERLINK("https://www.kegg.jp/dbget-bin/www_bget?ec:" &amp; C3866, "https://www.kegg.jp/dbget-bin/www_bget?ec:" &amp; C3866)</f>
        <v>https://www.kegg.jp/dbget-bin/www_bget?ec:3.2.1.21</v>
      </c>
      <c r="F3866" t="s">
        <v>9847</v>
      </c>
      <c r="G3866" s="22" t="s">
        <v>10840</v>
      </c>
      <c r="H3866" s="20" t="s">
        <v>10841</v>
      </c>
    </row>
    <row r="3867" spans="1:8">
      <c r="A3867" t="s">
        <v>7063</v>
      </c>
      <c r="B3867" t="s">
        <v>7064</v>
      </c>
      <c r="C3867" s="1" t="s">
        <v>3417</v>
      </c>
      <c r="D3867" s="1"/>
      <c r="E3867" s="1" t="str">
        <f t="shared" ref="E3867" si="214">HYPERLINK("https://www.kegg.jp/dbget-bin/www_bget?ec:" &amp; C3867, "https://www.kegg.jp/dbget-bin/www_bget?ec:" &amp; C3867)</f>
        <v>https://www.kegg.jp/dbget-bin/www_bget?ec:3.2.1.21</v>
      </c>
      <c r="F3867" t="s">
        <v>9847</v>
      </c>
      <c r="G3867" s="22" t="s">
        <v>10842</v>
      </c>
      <c r="H3867" s="20" t="s">
        <v>10843</v>
      </c>
    </row>
    <row r="3868" spans="1:8">
      <c r="A3868" t="s">
        <v>7063</v>
      </c>
      <c r="B3868" t="s">
        <v>7064</v>
      </c>
      <c r="C3868" s="1" t="s">
        <v>3417</v>
      </c>
      <c r="D3868" s="1"/>
      <c r="E3868" s="1" t="str">
        <f t="shared" ref="E3868" si="215">HYPERLINK("https://www.kegg.jp/dbget-bin/www_bget?ec:" &amp; C3868, "https://www.kegg.jp/dbget-bin/www_bget?ec:" &amp; C3868)</f>
        <v>https://www.kegg.jp/dbget-bin/www_bget?ec:3.2.1.21</v>
      </c>
      <c r="F3868" t="s">
        <v>9847</v>
      </c>
      <c r="G3868" s="22" t="s">
        <v>10844</v>
      </c>
      <c r="H3868" s="20" t="s">
        <v>10845</v>
      </c>
    </row>
    <row r="3869" spans="1:8">
      <c r="A3869" t="s">
        <v>7063</v>
      </c>
      <c r="B3869" t="s">
        <v>7064</v>
      </c>
      <c r="C3869" s="1" t="s">
        <v>3417</v>
      </c>
      <c r="D3869" s="1"/>
      <c r="E3869" s="1" t="str">
        <f t="shared" ref="E3869" si="216">HYPERLINK("https://www.kegg.jp/dbget-bin/www_bget?ec:" &amp; C3869, "https://www.kegg.jp/dbget-bin/www_bget?ec:" &amp; C3869)</f>
        <v>https://www.kegg.jp/dbget-bin/www_bget?ec:3.2.1.21</v>
      </c>
      <c r="F3869" t="s">
        <v>9847</v>
      </c>
      <c r="G3869" s="22" t="s">
        <v>10846</v>
      </c>
      <c r="H3869" s="20" t="s">
        <v>10847</v>
      </c>
    </row>
    <row r="3870" spans="1:8">
      <c r="A3870" t="s">
        <v>7063</v>
      </c>
      <c r="B3870" t="s">
        <v>7064</v>
      </c>
      <c r="C3870" s="1" t="s">
        <v>3417</v>
      </c>
      <c r="D3870" s="1"/>
      <c r="E3870" s="1" t="str">
        <f t="shared" ref="E3870" si="217">HYPERLINK("https://www.kegg.jp/dbget-bin/www_bget?ec:" &amp; C3870, "https://www.kegg.jp/dbget-bin/www_bget?ec:" &amp; C3870)</f>
        <v>https://www.kegg.jp/dbget-bin/www_bget?ec:3.2.1.21</v>
      </c>
      <c r="F3870" t="s">
        <v>9847</v>
      </c>
      <c r="G3870" s="22" t="s">
        <v>10848</v>
      </c>
      <c r="H3870" s="20" t="s">
        <v>10849</v>
      </c>
    </row>
    <row r="3871" spans="1:8">
      <c r="A3871" t="s">
        <v>7063</v>
      </c>
      <c r="B3871" t="s">
        <v>7064</v>
      </c>
      <c r="C3871" s="1" t="s">
        <v>3417</v>
      </c>
      <c r="D3871" s="1"/>
      <c r="E3871" s="1" t="str">
        <f t="shared" ref="E3871" si="218">HYPERLINK("https://www.kegg.jp/dbget-bin/www_bget?ec:" &amp; C3871, "https://www.kegg.jp/dbget-bin/www_bget?ec:" &amp; C3871)</f>
        <v>https://www.kegg.jp/dbget-bin/www_bget?ec:3.2.1.21</v>
      </c>
      <c r="F3871" t="s">
        <v>9847</v>
      </c>
      <c r="G3871" s="22" t="s">
        <v>10850</v>
      </c>
      <c r="H3871" s="20" t="s">
        <v>10851</v>
      </c>
    </row>
    <row r="3872" spans="1:8">
      <c r="A3872" t="s">
        <v>7063</v>
      </c>
      <c r="B3872" t="s">
        <v>7064</v>
      </c>
      <c r="C3872" s="1" t="s">
        <v>3417</v>
      </c>
      <c r="D3872" s="1"/>
      <c r="E3872" s="1" t="str">
        <f t="shared" ref="E3872" si="219">HYPERLINK("https://www.kegg.jp/dbget-bin/www_bget?ec:" &amp; C3872, "https://www.kegg.jp/dbget-bin/www_bget?ec:" &amp; C3872)</f>
        <v>https://www.kegg.jp/dbget-bin/www_bget?ec:3.2.1.21</v>
      </c>
      <c r="F3872" t="s">
        <v>9847</v>
      </c>
      <c r="G3872" s="22" t="s">
        <v>10852</v>
      </c>
      <c r="H3872" s="20" t="s">
        <v>10853</v>
      </c>
    </row>
    <row r="3873" spans="1:8">
      <c r="A3873" t="s">
        <v>7063</v>
      </c>
      <c r="B3873" t="s">
        <v>7064</v>
      </c>
      <c r="C3873" s="1" t="s">
        <v>3417</v>
      </c>
      <c r="D3873" s="1"/>
      <c r="E3873" s="1" t="str">
        <f t="shared" ref="E3873" si="220">HYPERLINK("https://www.kegg.jp/dbget-bin/www_bget?ec:" &amp; C3873, "https://www.kegg.jp/dbget-bin/www_bget?ec:" &amp; C3873)</f>
        <v>https://www.kegg.jp/dbget-bin/www_bget?ec:3.2.1.21</v>
      </c>
      <c r="F3873" t="s">
        <v>9847</v>
      </c>
      <c r="G3873" s="22" t="s">
        <v>10854</v>
      </c>
      <c r="H3873" s="20" t="s">
        <v>9863</v>
      </c>
    </row>
    <row r="3874" spans="1:8">
      <c r="A3874" t="s">
        <v>7063</v>
      </c>
      <c r="B3874" t="s">
        <v>7064</v>
      </c>
      <c r="C3874" s="1" t="s">
        <v>3417</v>
      </c>
      <c r="D3874" s="1"/>
      <c r="E3874" s="1" t="str">
        <f t="shared" ref="E3874" si="221">HYPERLINK("https://www.kegg.jp/dbget-bin/www_bget?ec:" &amp; C3874, "https://www.kegg.jp/dbget-bin/www_bget?ec:" &amp; C3874)</f>
        <v>https://www.kegg.jp/dbget-bin/www_bget?ec:3.2.1.21</v>
      </c>
      <c r="F3874" t="s">
        <v>9847</v>
      </c>
      <c r="G3874" s="22" t="s">
        <v>10854</v>
      </c>
      <c r="H3874" s="1" t="s">
        <v>9864</v>
      </c>
    </row>
    <row r="3875" spans="1:8">
      <c r="A3875" t="s">
        <v>7063</v>
      </c>
      <c r="B3875" t="s">
        <v>7064</v>
      </c>
      <c r="C3875" s="1" t="s">
        <v>3417</v>
      </c>
      <c r="D3875" s="1"/>
      <c r="E3875" s="1" t="str">
        <f t="shared" ref="E3875" si="222">HYPERLINK("https://www.kegg.jp/dbget-bin/www_bget?ec:" &amp; C3875, "https://www.kegg.jp/dbget-bin/www_bget?ec:" &amp; C3875)</f>
        <v>https://www.kegg.jp/dbget-bin/www_bget?ec:3.2.1.21</v>
      </c>
      <c r="F3875" t="s">
        <v>9847</v>
      </c>
      <c r="G3875" s="22" t="s">
        <v>10855</v>
      </c>
      <c r="H3875" s="20" t="s">
        <v>10856</v>
      </c>
    </row>
    <row r="3876" spans="1:8">
      <c r="A3876" t="s">
        <v>7063</v>
      </c>
      <c r="B3876" t="s">
        <v>7064</v>
      </c>
      <c r="C3876" s="1" t="s">
        <v>3417</v>
      </c>
      <c r="D3876" s="1"/>
      <c r="E3876" s="1" t="str">
        <f t="shared" ref="E3876" si="223">HYPERLINK("https://www.kegg.jp/dbget-bin/www_bget?ec:" &amp; C3876, "https://www.kegg.jp/dbget-bin/www_bget?ec:" &amp; C3876)</f>
        <v>https://www.kegg.jp/dbget-bin/www_bget?ec:3.2.1.21</v>
      </c>
      <c r="F3876" t="s">
        <v>9847</v>
      </c>
      <c r="G3876" s="22" t="s">
        <v>10857</v>
      </c>
      <c r="H3876" s="20" t="s">
        <v>10858</v>
      </c>
    </row>
    <row r="3877" spans="1:8">
      <c r="A3877" t="s">
        <v>7063</v>
      </c>
      <c r="B3877" t="s">
        <v>7064</v>
      </c>
      <c r="C3877" s="1" t="s">
        <v>3417</v>
      </c>
      <c r="D3877" s="1"/>
      <c r="E3877" s="1" t="str">
        <f t="shared" ref="E3877" si="224">HYPERLINK("https://www.kegg.jp/dbget-bin/www_bget?ec:" &amp; C3877, "https://www.kegg.jp/dbget-bin/www_bget?ec:" &amp; C3877)</f>
        <v>https://www.kegg.jp/dbget-bin/www_bget?ec:3.2.1.21</v>
      </c>
      <c r="F3877" t="s">
        <v>9847</v>
      </c>
      <c r="G3877" s="22" t="s">
        <v>10859</v>
      </c>
      <c r="H3877" s="20" t="s">
        <v>10860</v>
      </c>
    </row>
    <row r="3878" spans="1:8">
      <c r="A3878" t="s">
        <v>7063</v>
      </c>
      <c r="B3878" t="s">
        <v>7064</v>
      </c>
      <c r="C3878" s="1" t="s">
        <v>3417</v>
      </c>
      <c r="D3878" s="1"/>
      <c r="E3878" s="1" t="str">
        <f t="shared" ref="E3878" si="225">HYPERLINK("https://www.kegg.jp/dbget-bin/www_bget?ec:" &amp; C3878, "https://www.kegg.jp/dbget-bin/www_bget?ec:" &amp; C3878)</f>
        <v>https://www.kegg.jp/dbget-bin/www_bget?ec:3.2.1.21</v>
      </c>
      <c r="F3878" t="s">
        <v>9847</v>
      </c>
      <c r="G3878" s="22" t="s">
        <v>10861</v>
      </c>
      <c r="H3878" s="20" t="s">
        <v>10862</v>
      </c>
    </row>
    <row r="3879" spans="1:8">
      <c r="A3879" t="s">
        <v>7063</v>
      </c>
      <c r="B3879" t="s">
        <v>7064</v>
      </c>
      <c r="C3879" s="1" t="s">
        <v>3417</v>
      </c>
      <c r="D3879" s="1"/>
      <c r="E3879" s="1" t="str">
        <f t="shared" ref="E3879" si="226">HYPERLINK("https://www.kegg.jp/dbget-bin/www_bget?ec:" &amp; C3879, "https://www.kegg.jp/dbget-bin/www_bget?ec:" &amp; C3879)</f>
        <v>https://www.kegg.jp/dbget-bin/www_bget?ec:3.2.1.21</v>
      </c>
      <c r="F3879" t="s">
        <v>9847</v>
      </c>
      <c r="G3879" s="22" t="s">
        <v>10863</v>
      </c>
      <c r="H3879" s="20" t="s">
        <v>10864</v>
      </c>
    </row>
    <row r="3880" spans="1:8">
      <c r="A3880" t="s">
        <v>7063</v>
      </c>
      <c r="B3880" t="s">
        <v>7064</v>
      </c>
      <c r="C3880" s="1" t="s">
        <v>3417</v>
      </c>
      <c r="D3880" s="1"/>
      <c r="E3880" s="1" t="str">
        <f t="shared" ref="E3880" si="227">HYPERLINK("https://www.kegg.jp/dbget-bin/www_bget?ec:" &amp; C3880, "https://www.kegg.jp/dbget-bin/www_bget?ec:" &amp; C3880)</f>
        <v>https://www.kegg.jp/dbget-bin/www_bget?ec:3.2.1.21</v>
      </c>
      <c r="F3880" t="s">
        <v>9847</v>
      </c>
      <c r="G3880" s="22" t="s">
        <v>10865</v>
      </c>
      <c r="H3880" s="20" t="s">
        <v>10866</v>
      </c>
    </row>
    <row r="3881" spans="1:8">
      <c r="A3881" t="s">
        <v>7063</v>
      </c>
      <c r="B3881" t="s">
        <v>7064</v>
      </c>
      <c r="C3881" s="1" t="s">
        <v>3417</v>
      </c>
      <c r="D3881" s="1"/>
      <c r="E3881" s="1" t="str">
        <f t="shared" si="210"/>
        <v>https://www.kegg.jp/dbget-bin/www_bget?ec:3.2.1.21</v>
      </c>
      <c r="F3881" t="s">
        <v>9847</v>
      </c>
      <c r="G3881" s="22" t="s">
        <v>10867</v>
      </c>
      <c r="H3881" s="20" t="s">
        <v>10868</v>
      </c>
    </row>
    <row r="3882" spans="1:8">
      <c r="A3882" t="s">
        <v>7065</v>
      </c>
      <c r="B3882" t="s">
        <v>7066</v>
      </c>
      <c r="E3882" s="1"/>
    </row>
    <row r="3883" spans="1:8">
      <c r="A3883" t="s">
        <v>7067</v>
      </c>
      <c r="B3883" t="s">
        <v>7068</v>
      </c>
      <c r="E3883" s="1"/>
    </row>
    <row r="3884" spans="1:8">
      <c r="A3884" t="s">
        <v>7069</v>
      </c>
      <c r="B3884" t="s">
        <v>7070</v>
      </c>
      <c r="E3884" s="1"/>
    </row>
    <row r="3885" spans="1:8">
      <c r="A3885" t="s">
        <v>7071</v>
      </c>
      <c r="B3885" t="s">
        <v>7072</v>
      </c>
      <c r="E3885" s="1"/>
    </row>
    <row r="3886" spans="1:8">
      <c r="A3886" t="s">
        <v>7073</v>
      </c>
      <c r="B3886" t="s">
        <v>7074</v>
      </c>
      <c r="E3886" s="1"/>
    </row>
    <row r="3887" spans="1:8">
      <c r="A3887" t="s">
        <v>7075</v>
      </c>
      <c r="B3887" t="s">
        <v>7076</v>
      </c>
      <c r="E3887" s="1"/>
    </row>
    <row r="3888" spans="1:8">
      <c r="A3888" t="s">
        <v>7077</v>
      </c>
      <c r="B3888" t="s">
        <v>7078</v>
      </c>
      <c r="E3888" s="1"/>
    </row>
    <row r="3889" spans="1:8">
      <c r="A3889" t="s">
        <v>7079</v>
      </c>
      <c r="B3889" t="s">
        <v>7080</v>
      </c>
      <c r="E3889" s="1"/>
    </row>
    <row r="3890" spans="1:8">
      <c r="A3890" t="s">
        <v>7081</v>
      </c>
      <c r="B3890" t="s">
        <v>7082</v>
      </c>
      <c r="E3890" s="1"/>
    </row>
    <row r="3891" spans="1:8">
      <c r="A3891" t="s">
        <v>7083</v>
      </c>
      <c r="B3891" t="s">
        <v>7084</v>
      </c>
      <c r="E3891" s="1"/>
    </row>
    <row r="3892" spans="1:8">
      <c r="A3892" t="s">
        <v>7085</v>
      </c>
      <c r="B3892" t="s">
        <v>7086</v>
      </c>
      <c r="E3892" s="1"/>
    </row>
    <row r="3893" spans="1:8">
      <c r="A3893" t="s">
        <v>7087</v>
      </c>
      <c r="B3893" t="s">
        <v>7088</v>
      </c>
      <c r="E3893" s="1"/>
    </row>
    <row r="3894" spans="1:8">
      <c r="A3894" t="s">
        <v>7089</v>
      </c>
      <c r="B3894" t="s">
        <v>7090</v>
      </c>
      <c r="E3894" s="1"/>
    </row>
    <row r="3895" spans="1:8">
      <c r="B3895" t="s">
        <v>7091</v>
      </c>
      <c r="E3895" s="1"/>
    </row>
    <row r="3896" spans="1:8">
      <c r="A3896" t="s">
        <v>7092</v>
      </c>
      <c r="B3896" t="s">
        <v>7093</v>
      </c>
      <c r="E3896" s="1"/>
    </row>
    <row r="3897" spans="1:8">
      <c r="A3897" t="s">
        <v>7094</v>
      </c>
      <c r="B3897" t="s">
        <v>7095</v>
      </c>
      <c r="E3897" s="1"/>
    </row>
    <row r="3898" spans="1:8">
      <c r="A3898" t="s">
        <v>7096</v>
      </c>
      <c r="B3898" t="s">
        <v>7097</v>
      </c>
      <c r="E3898" s="1"/>
    </row>
    <row r="3899" spans="1:8">
      <c r="A3899" t="s">
        <v>7098</v>
      </c>
      <c r="B3899" t="s">
        <v>7099</v>
      </c>
      <c r="E3899" s="1"/>
    </row>
    <row r="3900" spans="1:8">
      <c r="A3900" t="s">
        <v>7100</v>
      </c>
      <c r="B3900" t="s">
        <v>7101</v>
      </c>
      <c r="E3900" s="1"/>
    </row>
    <row r="3901" spans="1:8">
      <c r="A3901" t="s">
        <v>7102</v>
      </c>
      <c r="B3901" t="s">
        <v>7103</v>
      </c>
      <c r="C3901" s="1" t="s">
        <v>9154</v>
      </c>
      <c r="D3901" s="1"/>
      <c r="E3901" s="1" t="str">
        <f t="shared" si="210"/>
        <v>https://www.kegg.jp/dbget-bin/www_bget?ec:4.2.1.8</v>
      </c>
      <c r="F3901" s="1" t="s">
        <v>10334</v>
      </c>
      <c r="G3901" s="1" t="s">
        <v>10335</v>
      </c>
      <c r="H3901" s="13" t="s">
        <v>11187</v>
      </c>
    </row>
    <row r="3902" spans="1:8">
      <c r="A3902" t="s">
        <v>7104</v>
      </c>
      <c r="B3902" t="s">
        <v>7105</v>
      </c>
      <c r="E3902" s="1"/>
    </row>
    <row r="3903" spans="1:8">
      <c r="A3903" t="s">
        <v>7106</v>
      </c>
      <c r="B3903" t="s">
        <v>7107</v>
      </c>
      <c r="E3903" s="1"/>
    </row>
    <row r="3904" spans="1:8">
      <c r="A3904" t="s">
        <v>7108</v>
      </c>
      <c r="B3904" t="s">
        <v>7109</v>
      </c>
      <c r="E3904" s="1"/>
    </row>
    <row r="3905" spans="1:8">
      <c r="A3905" t="s">
        <v>7110</v>
      </c>
      <c r="B3905" t="s">
        <v>7111</v>
      </c>
      <c r="E3905" s="1"/>
    </row>
    <row r="3906" spans="1:8">
      <c r="A3906" t="s">
        <v>7112</v>
      </c>
      <c r="B3906" t="s">
        <v>7113</v>
      </c>
      <c r="E3906" s="1"/>
    </row>
    <row r="3907" spans="1:8">
      <c r="A3907" t="s">
        <v>7114</v>
      </c>
      <c r="B3907" t="s">
        <v>7115</v>
      </c>
      <c r="E3907" s="1"/>
    </row>
    <row r="3908" spans="1:8">
      <c r="A3908" t="s">
        <v>7116</v>
      </c>
      <c r="B3908" t="s">
        <v>7117</v>
      </c>
      <c r="C3908" s="1" t="s">
        <v>1284</v>
      </c>
      <c r="D3908" s="1"/>
      <c r="E3908" s="1" t="str">
        <f t="shared" ref="E3908" si="228">HYPERLINK("https://www.kegg.jp/dbget-bin/www_bget?ec:" &amp; C3908, "https://www.kegg.jp/dbget-bin/www_bget?ec:" &amp; C3908)</f>
        <v>https://www.kegg.jp/dbget-bin/www_bget?ec:2.3.1.129</v>
      </c>
      <c r="F3908" t="s">
        <v>9533</v>
      </c>
      <c r="G3908" s="10" t="s">
        <v>11188</v>
      </c>
      <c r="H3908" s="13" t="s">
        <v>11189</v>
      </c>
    </row>
    <row r="3909" spans="1:8">
      <c r="A3909" t="s">
        <v>7116</v>
      </c>
      <c r="B3909" t="s">
        <v>7117</v>
      </c>
      <c r="C3909" s="1" t="s">
        <v>1284</v>
      </c>
      <c r="D3909" s="1"/>
      <c r="E3909" s="1" t="str">
        <f t="shared" ref="E3909:E3965" si="229">HYPERLINK("https://www.kegg.jp/dbget-bin/www_bget?ec:" &amp; C3909, "https://www.kegg.jp/dbget-bin/www_bget?ec:" &amp; C3909)</f>
        <v>https://www.kegg.jp/dbget-bin/www_bget?ec:2.3.1.129</v>
      </c>
      <c r="F3909" s="1" t="s">
        <v>9533</v>
      </c>
      <c r="G3909" s="10" t="s">
        <v>11190</v>
      </c>
      <c r="H3909" s="13" t="s">
        <v>9535</v>
      </c>
    </row>
    <row r="3910" spans="1:8">
      <c r="A3910" t="s">
        <v>7118</v>
      </c>
      <c r="B3910" t="s">
        <v>7119</v>
      </c>
      <c r="E3910" s="1"/>
    </row>
    <row r="3911" spans="1:8">
      <c r="A3911" t="s">
        <v>7120</v>
      </c>
      <c r="B3911" t="s">
        <v>7121</v>
      </c>
      <c r="C3911" s="1" t="s">
        <v>9155</v>
      </c>
      <c r="D3911" s="1"/>
      <c r="E3911" s="1" t="str">
        <f t="shared" ref="E3911" si="230">HYPERLINK("https://www.kegg.jp/dbget-bin/www_bget?ec:" &amp; C3911, "https://www.kegg.jp/dbget-bin/www_bget?ec:" &amp; C3911)</f>
        <v>https://www.kegg.jp/dbget-bin/www_bget?ec:1.1.1.37</v>
      </c>
      <c r="F3911" s="1" t="s">
        <v>10341</v>
      </c>
      <c r="G3911" s="10" t="s">
        <v>11191</v>
      </c>
      <c r="H3911" s="13" t="s">
        <v>11192</v>
      </c>
    </row>
    <row r="3912" spans="1:8">
      <c r="A3912" t="s">
        <v>7120</v>
      </c>
      <c r="B3912" t="s">
        <v>7121</v>
      </c>
      <c r="C3912" s="1" t="s">
        <v>9155</v>
      </c>
      <c r="D3912" s="1"/>
      <c r="E3912" s="1" t="str">
        <f t="shared" si="229"/>
        <v>https://www.kegg.jp/dbget-bin/www_bget?ec:1.1.1.37</v>
      </c>
      <c r="F3912" s="1" t="s">
        <v>10341</v>
      </c>
      <c r="G3912" s="10" t="s">
        <v>11193</v>
      </c>
      <c r="H3912" s="13" t="s">
        <v>11194</v>
      </c>
    </row>
    <row r="3913" spans="1:8">
      <c r="A3913" t="s">
        <v>7122</v>
      </c>
      <c r="B3913" t="s">
        <v>7123</v>
      </c>
      <c r="E3913" s="1"/>
    </row>
    <row r="3914" spans="1:8">
      <c r="A3914" t="s">
        <v>7124</v>
      </c>
      <c r="B3914" t="s">
        <v>7125</v>
      </c>
      <c r="E3914" s="1"/>
    </row>
    <row r="3915" spans="1:8">
      <c r="A3915" t="s">
        <v>7126</v>
      </c>
      <c r="B3915" t="s">
        <v>7127</v>
      </c>
      <c r="E3915" s="1"/>
    </row>
    <row r="3916" spans="1:8">
      <c r="A3916" t="s">
        <v>7128</v>
      </c>
      <c r="B3916" t="s">
        <v>7129</v>
      </c>
      <c r="E3916" s="1"/>
    </row>
    <row r="3917" spans="1:8">
      <c r="A3917" t="s">
        <v>7130</v>
      </c>
      <c r="B3917" t="s">
        <v>7131</v>
      </c>
      <c r="E3917" s="1"/>
    </row>
    <row r="3918" spans="1:8">
      <c r="A3918" t="s">
        <v>7132</v>
      </c>
      <c r="B3918" t="s">
        <v>7133</v>
      </c>
      <c r="E3918" s="1"/>
    </row>
    <row r="3919" spans="1:8">
      <c r="A3919" t="s">
        <v>7134</v>
      </c>
      <c r="B3919" t="s">
        <v>7135</v>
      </c>
      <c r="E3919" s="1"/>
    </row>
    <row r="3920" spans="1:8">
      <c r="A3920" t="s">
        <v>7136</v>
      </c>
      <c r="B3920" t="s">
        <v>7137</v>
      </c>
      <c r="E3920" s="1"/>
    </row>
    <row r="3921" spans="1:8">
      <c r="A3921" t="s">
        <v>7138</v>
      </c>
      <c r="B3921" t="s">
        <v>7139</v>
      </c>
      <c r="E3921" s="1"/>
    </row>
    <row r="3922" spans="1:8">
      <c r="A3922" t="s">
        <v>7140</v>
      </c>
      <c r="B3922" t="s">
        <v>7141</v>
      </c>
      <c r="E3922" s="1"/>
    </row>
    <row r="3923" spans="1:8">
      <c r="A3923" t="s">
        <v>7142</v>
      </c>
      <c r="B3923" t="s">
        <v>7143</v>
      </c>
      <c r="E3923" s="1"/>
    </row>
    <row r="3924" spans="1:8">
      <c r="A3924" t="s">
        <v>7144</v>
      </c>
      <c r="B3924" t="s">
        <v>7145</v>
      </c>
      <c r="C3924" s="1" t="s">
        <v>9156</v>
      </c>
      <c r="D3924" s="1"/>
      <c r="E3924" s="1" t="str">
        <f t="shared" ref="E3924" si="231">HYPERLINK("https://www.kegg.jp/dbget-bin/www_bget?ec:" &amp; C3924, "https://www.kegg.jp/dbget-bin/www_bget?ec:" &amp; C3924)</f>
        <v>https://www.kegg.jp/dbget-bin/www_bget?ec:1.8.1.9</v>
      </c>
      <c r="F3924" s="1" t="s">
        <v>10346</v>
      </c>
      <c r="G3924" s="10" t="s">
        <v>11195</v>
      </c>
      <c r="H3924" s="13" t="s">
        <v>11196</v>
      </c>
    </row>
    <row r="3925" spans="1:8">
      <c r="A3925" t="s">
        <v>7144</v>
      </c>
      <c r="B3925" t="s">
        <v>7145</v>
      </c>
      <c r="C3925" s="1" t="s">
        <v>9156</v>
      </c>
      <c r="D3925" s="1"/>
      <c r="E3925" s="1" t="str">
        <f t="shared" ref="E3925" si="232">HYPERLINK("https://www.kegg.jp/dbget-bin/www_bget?ec:" &amp; C3925, "https://www.kegg.jp/dbget-bin/www_bget?ec:" &amp; C3925)</f>
        <v>https://www.kegg.jp/dbget-bin/www_bget?ec:1.8.1.9</v>
      </c>
      <c r="F3925" s="1" t="s">
        <v>10346</v>
      </c>
      <c r="G3925" s="10" t="s">
        <v>11197</v>
      </c>
      <c r="H3925" s="13" t="s">
        <v>11198</v>
      </c>
    </row>
    <row r="3926" spans="1:8">
      <c r="A3926" t="s">
        <v>7144</v>
      </c>
      <c r="B3926" t="s">
        <v>7145</v>
      </c>
      <c r="C3926" s="1" t="s">
        <v>9156</v>
      </c>
      <c r="D3926" s="1"/>
      <c r="E3926" s="1" t="str">
        <f t="shared" ref="E3926" si="233">HYPERLINK("https://www.kegg.jp/dbget-bin/www_bget?ec:" &amp; C3926, "https://www.kegg.jp/dbget-bin/www_bget?ec:" &amp; C3926)</f>
        <v>https://www.kegg.jp/dbget-bin/www_bget?ec:1.8.1.9</v>
      </c>
      <c r="F3926" s="1" t="s">
        <v>10346</v>
      </c>
      <c r="G3926" s="10" t="s">
        <v>11199</v>
      </c>
      <c r="H3926" s="13" t="s">
        <v>11200</v>
      </c>
    </row>
    <row r="3927" spans="1:8">
      <c r="A3927" t="s">
        <v>7144</v>
      </c>
      <c r="B3927" t="s">
        <v>7145</v>
      </c>
      <c r="C3927" s="1" t="s">
        <v>9156</v>
      </c>
      <c r="D3927" s="1"/>
      <c r="E3927" s="1" t="str">
        <f t="shared" si="229"/>
        <v>https://www.kegg.jp/dbget-bin/www_bget?ec:1.8.1.9</v>
      </c>
      <c r="F3927" s="1" t="s">
        <v>10346</v>
      </c>
      <c r="G3927" s="10" t="s">
        <v>11201</v>
      </c>
      <c r="H3927" s="13" t="s">
        <v>11202</v>
      </c>
    </row>
    <row r="3928" spans="1:8">
      <c r="A3928" t="s">
        <v>7146</v>
      </c>
      <c r="B3928" t="s">
        <v>7147</v>
      </c>
      <c r="E3928" s="1"/>
    </row>
    <row r="3929" spans="1:8">
      <c r="A3929" t="s">
        <v>7148</v>
      </c>
      <c r="B3929" t="s">
        <v>7149</v>
      </c>
      <c r="E3929" s="1"/>
    </row>
    <row r="3930" spans="1:8">
      <c r="A3930" t="s">
        <v>7150</v>
      </c>
      <c r="B3930" t="s">
        <v>7151</v>
      </c>
      <c r="E3930" s="1"/>
    </row>
    <row r="3931" spans="1:8">
      <c r="A3931" t="s">
        <v>7152</v>
      </c>
      <c r="B3931" t="s">
        <v>7153</v>
      </c>
      <c r="E3931" s="1"/>
    </row>
    <row r="3932" spans="1:8">
      <c r="A3932" t="s">
        <v>7154</v>
      </c>
      <c r="B3932" t="s">
        <v>7155</v>
      </c>
      <c r="E3932" s="1"/>
    </row>
    <row r="3933" spans="1:8">
      <c r="A3933" t="s">
        <v>7156</v>
      </c>
      <c r="B3933" t="s">
        <v>7157</v>
      </c>
      <c r="E3933" s="1"/>
    </row>
    <row r="3934" spans="1:8">
      <c r="A3934" t="s">
        <v>7158</v>
      </c>
      <c r="B3934" t="s">
        <v>7159</v>
      </c>
      <c r="E3934" s="1"/>
    </row>
    <row r="3935" spans="1:8">
      <c r="A3935" t="s">
        <v>7160</v>
      </c>
      <c r="B3935" t="s">
        <v>7161</v>
      </c>
      <c r="E3935" s="1"/>
    </row>
    <row r="3936" spans="1:8">
      <c r="A3936" t="s">
        <v>7162</v>
      </c>
      <c r="B3936" t="s">
        <v>7163</v>
      </c>
      <c r="E3936" s="1"/>
    </row>
    <row r="3937" spans="1:8">
      <c r="A3937" t="s">
        <v>7164</v>
      </c>
      <c r="B3937" t="s">
        <v>7165</v>
      </c>
      <c r="E3937" s="1"/>
    </row>
    <row r="3938" spans="1:8">
      <c r="A3938" t="s">
        <v>7166</v>
      </c>
      <c r="B3938" t="s">
        <v>7167</v>
      </c>
      <c r="E3938" s="1"/>
    </row>
    <row r="3939" spans="1:8">
      <c r="A3939" t="s">
        <v>7168</v>
      </c>
      <c r="B3939" t="s">
        <v>7169</v>
      </c>
      <c r="E3939" s="1"/>
    </row>
    <row r="3940" spans="1:8">
      <c r="A3940" t="s">
        <v>7170</v>
      </c>
      <c r="B3940" t="s">
        <v>7171</v>
      </c>
      <c r="E3940" s="1"/>
    </row>
    <row r="3941" spans="1:8">
      <c r="A3941" t="s">
        <v>7172</v>
      </c>
      <c r="B3941" t="s">
        <v>7173</v>
      </c>
      <c r="C3941" s="1" t="s">
        <v>9157</v>
      </c>
      <c r="D3941" s="1"/>
      <c r="E3941" s="1" t="str">
        <f t="shared" ref="E3941" si="234">HYPERLINK("https://www.kegg.jp/dbget-bin/www_bget?ec:" &amp; C3941, "https://www.kegg.jp/dbget-bin/www_bget?ec:" &amp; C3941)</f>
        <v>https://www.kegg.jp/dbget-bin/www_bget?ec:2.1.1.13</v>
      </c>
      <c r="F3941" t="s">
        <v>10353</v>
      </c>
      <c r="G3941" s="10" t="s">
        <v>11203</v>
      </c>
      <c r="H3941" s="13" t="s">
        <v>11204</v>
      </c>
    </row>
    <row r="3942" spans="1:8">
      <c r="A3942" t="s">
        <v>7172</v>
      </c>
      <c r="B3942" t="s">
        <v>7173</v>
      </c>
      <c r="C3942" s="1" t="s">
        <v>9157</v>
      </c>
      <c r="D3942" s="1"/>
      <c r="E3942" s="1" t="str">
        <f t="shared" si="229"/>
        <v>https://www.kegg.jp/dbget-bin/www_bget?ec:2.1.1.13</v>
      </c>
      <c r="F3942" t="s">
        <v>10353</v>
      </c>
      <c r="G3942" s="10" t="s">
        <v>11205</v>
      </c>
      <c r="H3942" s="13" t="s">
        <v>11206</v>
      </c>
    </row>
    <row r="3943" spans="1:8">
      <c r="A3943" t="s">
        <v>7174</v>
      </c>
      <c r="B3943" t="s">
        <v>7175</v>
      </c>
      <c r="E3943" s="1"/>
    </row>
    <row r="3944" spans="1:8">
      <c r="A3944" t="s">
        <v>7176</v>
      </c>
      <c r="B3944" t="s">
        <v>7177</v>
      </c>
      <c r="E3944" s="1"/>
    </row>
    <row r="3945" spans="1:8">
      <c r="A3945" t="s">
        <v>7178</v>
      </c>
      <c r="B3945" t="s">
        <v>7179</v>
      </c>
      <c r="E3945" s="1"/>
    </row>
    <row r="3946" spans="1:8">
      <c r="B3946" t="s">
        <v>7180</v>
      </c>
      <c r="E3946" s="1"/>
    </row>
    <row r="3947" spans="1:8">
      <c r="A3947" t="s">
        <v>7181</v>
      </c>
      <c r="B3947" t="s">
        <v>7182</v>
      </c>
      <c r="E3947" s="1"/>
    </row>
    <row r="3948" spans="1:8">
      <c r="B3948" t="s">
        <v>7183</v>
      </c>
      <c r="E3948" s="1"/>
    </row>
    <row r="3949" spans="1:8">
      <c r="A3949" t="s">
        <v>7184</v>
      </c>
      <c r="B3949" t="s">
        <v>7185</v>
      </c>
      <c r="E3949" s="1"/>
    </row>
    <row r="3950" spans="1:8">
      <c r="A3950" t="s">
        <v>7186</v>
      </c>
      <c r="B3950" t="s">
        <v>7187</v>
      </c>
      <c r="E3950" s="1"/>
    </row>
    <row r="3951" spans="1:8">
      <c r="A3951" t="s">
        <v>7188</v>
      </c>
      <c r="B3951" t="s">
        <v>7189</v>
      </c>
      <c r="E3951" s="1"/>
    </row>
    <row r="3952" spans="1:8">
      <c r="A3952" t="s">
        <v>7190</v>
      </c>
      <c r="B3952" t="s">
        <v>7191</v>
      </c>
      <c r="E3952" s="1"/>
    </row>
    <row r="3953" spans="1:8">
      <c r="A3953" t="s">
        <v>7192</v>
      </c>
      <c r="B3953" t="s">
        <v>7193</v>
      </c>
      <c r="E3953" s="1"/>
    </row>
    <row r="3954" spans="1:8">
      <c r="A3954" t="s">
        <v>7194</v>
      </c>
      <c r="B3954" t="s">
        <v>7195</v>
      </c>
      <c r="C3954" s="1" t="s">
        <v>70</v>
      </c>
      <c r="D3954" s="1"/>
      <c r="E3954" s="1" t="s">
        <v>9286</v>
      </c>
      <c r="F3954" s="19" t="s">
        <v>9269</v>
      </c>
      <c r="G3954" s="12" t="s">
        <v>9270</v>
      </c>
      <c r="H3954" s="20" t="s">
        <v>9287</v>
      </c>
    </row>
    <row r="3955" spans="1:8">
      <c r="A3955" t="s">
        <v>7196</v>
      </c>
      <c r="B3955" t="s">
        <v>7197</v>
      </c>
      <c r="E3955" s="1"/>
    </row>
    <row r="3956" spans="1:8">
      <c r="A3956" t="s">
        <v>7198</v>
      </c>
      <c r="B3956" t="s">
        <v>7199</v>
      </c>
      <c r="E3956" s="1"/>
    </row>
    <row r="3957" spans="1:8">
      <c r="A3957" t="s">
        <v>7200</v>
      </c>
      <c r="B3957" t="s">
        <v>7201</v>
      </c>
      <c r="E3957" s="1"/>
    </row>
    <row r="3958" spans="1:8">
      <c r="A3958" t="s">
        <v>7202</v>
      </c>
      <c r="B3958" t="s">
        <v>7203</v>
      </c>
      <c r="E3958" s="1"/>
    </row>
    <row r="3959" spans="1:8">
      <c r="A3959" t="s">
        <v>7204</v>
      </c>
      <c r="B3959" t="s">
        <v>7205</v>
      </c>
      <c r="E3959" s="1"/>
    </row>
    <row r="3960" spans="1:8">
      <c r="A3960" t="s">
        <v>7206</v>
      </c>
      <c r="B3960" t="s">
        <v>7207</v>
      </c>
      <c r="E3960" s="1"/>
    </row>
    <row r="3961" spans="1:8">
      <c r="A3961" t="s">
        <v>7208</v>
      </c>
      <c r="B3961" t="s">
        <v>7209</v>
      </c>
      <c r="E3961" s="1"/>
    </row>
    <row r="3962" spans="1:8">
      <c r="A3962" t="s">
        <v>7210</v>
      </c>
      <c r="B3962" t="s">
        <v>7211</v>
      </c>
      <c r="E3962" s="1"/>
    </row>
    <row r="3963" spans="1:8">
      <c r="A3963" t="s">
        <v>7212</v>
      </c>
      <c r="B3963" t="s">
        <v>7213</v>
      </c>
      <c r="E3963" s="1"/>
    </row>
    <row r="3964" spans="1:8">
      <c r="A3964" t="s">
        <v>7214</v>
      </c>
      <c r="B3964" t="s">
        <v>7215</v>
      </c>
      <c r="E3964" s="1"/>
    </row>
    <row r="3965" spans="1:8">
      <c r="A3965" t="s">
        <v>7216</v>
      </c>
      <c r="B3965" t="s">
        <v>7217</v>
      </c>
      <c r="C3965" s="1" t="s">
        <v>9158</v>
      </c>
      <c r="D3965" s="1"/>
      <c r="E3965" s="1" t="str">
        <f t="shared" si="229"/>
        <v>https://www.kegg.jp/dbget-bin/www_bget?ec:6.1.1.5</v>
      </c>
      <c r="F3965" s="1" t="s">
        <v>10356</v>
      </c>
      <c r="G3965" s="10" t="s">
        <v>11207</v>
      </c>
      <c r="H3965" s="13" t="s">
        <v>11208</v>
      </c>
    </row>
    <row r="3966" spans="1:8">
      <c r="A3966" t="s">
        <v>7218</v>
      </c>
      <c r="B3966" t="s">
        <v>7219</v>
      </c>
      <c r="E3966" s="1"/>
    </row>
    <row r="3967" spans="1:8">
      <c r="A3967" t="s">
        <v>7220</v>
      </c>
      <c r="B3967" t="s">
        <v>7221</v>
      </c>
      <c r="E3967" s="1"/>
    </row>
    <row r="3968" spans="1:8">
      <c r="A3968" t="s">
        <v>7222</v>
      </c>
      <c r="B3968" t="s">
        <v>7223</v>
      </c>
      <c r="E3968" s="1"/>
    </row>
    <row r="3969" spans="1:6">
      <c r="A3969" t="s">
        <v>7224</v>
      </c>
      <c r="B3969" t="s">
        <v>7225</v>
      </c>
      <c r="E3969" s="1"/>
    </row>
    <row r="3970" spans="1:6">
      <c r="A3970" t="s">
        <v>7226</v>
      </c>
      <c r="B3970" t="s">
        <v>7227</v>
      </c>
      <c r="E3970" s="1"/>
    </row>
    <row r="3971" spans="1:6">
      <c r="A3971" t="s">
        <v>7228</v>
      </c>
      <c r="B3971" t="s">
        <v>7229</v>
      </c>
      <c r="E3971" s="1"/>
    </row>
    <row r="3972" spans="1:6">
      <c r="B3972" t="s">
        <v>7230</v>
      </c>
      <c r="E3972" s="1"/>
    </row>
    <row r="3973" spans="1:6">
      <c r="A3973" t="s">
        <v>7231</v>
      </c>
      <c r="B3973" t="s">
        <v>7232</v>
      </c>
      <c r="E3973" s="1"/>
    </row>
    <row r="3974" spans="1:6">
      <c r="A3974" t="s">
        <v>7233</v>
      </c>
      <c r="B3974" t="s">
        <v>7234</v>
      </c>
      <c r="E3974" s="1"/>
    </row>
    <row r="3975" spans="1:6">
      <c r="A3975" t="s">
        <v>7235</v>
      </c>
      <c r="B3975" t="s">
        <v>7236</v>
      </c>
      <c r="E3975" s="1"/>
    </row>
    <row r="3976" spans="1:6">
      <c r="A3976" t="s">
        <v>7237</v>
      </c>
      <c r="B3976" t="s">
        <v>7238</v>
      </c>
      <c r="C3976" s="1" t="s">
        <v>9159</v>
      </c>
      <c r="D3976" s="1"/>
      <c r="E3976" s="1" t="str">
        <f t="shared" ref="E3976:E4046" si="235">HYPERLINK("https://www.kegg.jp/dbget-bin/www_bget?ec:" &amp; C3976, "https://www.kegg.jp/dbget-bin/www_bget?ec:" &amp; C3976)</f>
        <v>https://www.kegg.jp/dbget-bin/www_bget?ec:1.11.1.</v>
      </c>
      <c r="F3976" t="s">
        <v>9650</v>
      </c>
    </row>
    <row r="3977" spans="1:6">
      <c r="A3977" t="s">
        <v>7239</v>
      </c>
      <c r="B3977" t="s">
        <v>7240</v>
      </c>
      <c r="E3977" s="1"/>
    </row>
    <row r="3978" spans="1:6">
      <c r="A3978" t="s">
        <v>7241</v>
      </c>
      <c r="B3978" t="s">
        <v>7242</v>
      </c>
      <c r="E3978" s="1"/>
    </row>
    <row r="3979" spans="1:6">
      <c r="A3979" t="s">
        <v>7243</v>
      </c>
      <c r="B3979" t="s">
        <v>7244</v>
      </c>
      <c r="E3979" s="1"/>
    </row>
    <row r="3980" spans="1:6">
      <c r="A3980" t="s">
        <v>7245</v>
      </c>
      <c r="B3980" t="s">
        <v>7246</v>
      </c>
      <c r="E3980" s="1"/>
    </row>
    <row r="3981" spans="1:6">
      <c r="A3981" t="s">
        <v>7247</v>
      </c>
      <c r="B3981" t="s">
        <v>7248</v>
      </c>
      <c r="E3981" s="1"/>
    </row>
    <row r="3982" spans="1:6">
      <c r="A3982" t="s">
        <v>7249</v>
      </c>
      <c r="B3982" t="s">
        <v>7250</v>
      </c>
      <c r="E3982" s="1"/>
    </row>
    <row r="3983" spans="1:6">
      <c r="A3983" t="s">
        <v>7251</v>
      </c>
      <c r="B3983" t="s">
        <v>7252</v>
      </c>
      <c r="E3983" s="1"/>
    </row>
    <row r="3984" spans="1:6">
      <c r="A3984" t="s">
        <v>7253</v>
      </c>
      <c r="B3984" t="s">
        <v>7254</v>
      </c>
      <c r="E3984" s="1"/>
    </row>
    <row r="3985" spans="1:8">
      <c r="A3985" t="s">
        <v>7255</v>
      </c>
      <c r="B3985" t="s">
        <v>7256</v>
      </c>
      <c r="E3985" s="1"/>
    </row>
    <row r="3986" spans="1:8">
      <c r="A3986" t="s">
        <v>7257</v>
      </c>
      <c r="B3986" t="s">
        <v>7258</v>
      </c>
      <c r="E3986" s="1"/>
    </row>
    <row r="3987" spans="1:8">
      <c r="A3987" t="s">
        <v>7259</v>
      </c>
      <c r="B3987" t="s">
        <v>7260</v>
      </c>
      <c r="C3987" s="1" t="s">
        <v>9160</v>
      </c>
      <c r="D3987" s="1"/>
      <c r="E3987" s="1" t="str">
        <f t="shared" si="235"/>
        <v>https://www.kegg.jp/dbget-bin/www_bget?ec:1.4.4.2</v>
      </c>
      <c r="F3987" s="1" t="s">
        <v>10359</v>
      </c>
      <c r="G3987" s="10" t="s">
        <v>11209</v>
      </c>
      <c r="H3987" s="13" t="s">
        <v>11210</v>
      </c>
    </row>
    <row r="3988" spans="1:8">
      <c r="A3988" t="s">
        <v>7261</v>
      </c>
      <c r="B3988" t="s">
        <v>7262</v>
      </c>
      <c r="E3988" s="1"/>
    </row>
    <row r="3989" spans="1:8">
      <c r="A3989" t="s">
        <v>7263</v>
      </c>
      <c r="B3989" t="s">
        <v>7264</v>
      </c>
      <c r="E3989" s="1"/>
    </row>
    <row r="3990" spans="1:8">
      <c r="A3990" t="s">
        <v>7265</v>
      </c>
      <c r="B3990" t="s">
        <v>7266</v>
      </c>
      <c r="E3990" s="1"/>
    </row>
    <row r="3991" spans="1:8">
      <c r="A3991" t="s">
        <v>7267</v>
      </c>
      <c r="B3991" t="s">
        <v>7268</v>
      </c>
      <c r="E3991" s="1"/>
    </row>
    <row r="3992" spans="1:8">
      <c r="B3992" t="s">
        <v>7269</v>
      </c>
      <c r="E3992" s="1"/>
    </row>
    <row r="3993" spans="1:8">
      <c r="A3993" t="s">
        <v>7270</v>
      </c>
      <c r="B3993" t="s">
        <v>7271</v>
      </c>
      <c r="E3993" s="1"/>
    </row>
    <row r="3994" spans="1:8">
      <c r="A3994" t="s">
        <v>7272</v>
      </c>
      <c r="B3994" t="s">
        <v>7273</v>
      </c>
      <c r="E3994" s="1"/>
    </row>
    <row r="3995" spans="1:8">
      <c r="A3995" t="s">
        <v>7274</v>
      </c>
      <c r="B3995" t="s">
        <v>7275</v>
      </c>
      <c r="E3995" s="1"/>
    </row>
    <row r="3996" spans="1:8">
      <c r="A3996" t="s">
        <v>7276</v>
      </c>
      <c r="B3996" t="s">
        <v>7277</v>
      </c>
      <c r="C3996" s="1" t="s">
        <v>9161</v>
      </c>
      <c r="D3996" s="1"/>
      <c r="E3996" s="1" t="str">
        <f t="shared" si="235"/>
        <v>https://www.kegg.jp/dbget-bin/www_bget?ec:2.5.1.7</v>
      </c>
      <c r="F3996" t="s">
        <v>10362</v>
      </c>
      <c r="G3996" s="10" t="s">
        <v>11211</v>
      </c>
      <c r="H3996" s="13" t="s">
        <v>11212</v>
      </c>
    </row>
    <row r="3997" spans="1:8">
      <c r="A3997" t="s">
        <v>7278</v>
      </c>
      <c r="B3997" t="s">
        <v>7279</v>
      </c>
      <c r="E3997" s="1"/>
    </row>
    <row r="3998" spans="1:8">
      <c r="A3998" t="s">
        <v>7280</v>
      </c>
      <c r="B3998" t="s">
        <v>7281</v>
      </c>
      <c r="E3998" s="1"/>
    </row>
    <row r="3999" spans="1:8">
      <c r="A3999" t="s">
        <v>7282</v>
      </c>
      <c r="B3999" t="s">
        <v>7283</v>
      </c>
      <c r="C3999" s="1" t="s">
        <v>9162</v>
      </c>
      <c r="D3999" s="1"/>
      <c r="E3999" s="1" t="str">
        <f t="shared" si="235"/>
        <v>https://www.kegg.jp/dbget-bin/www_bget?ec:1.1.1.267</v>
      </c>
      <c r="F3999" s="1" t="s">
        <v>10365</v>
      </c>
      <c r="G3999" s="10" t="s">
        <v>11213</v>
      </c>
      <c r="H3999" s="13" t="s">
        <v>11214</v>
      </c>
    </row>
    <row r="4000" spans="1:8">
      <c r="A4000" t="s">
        <v>7284</v>
      </c>
      <c r="B4000" t="s">
        <v>7285</v>
      </c>
      <c r="E4000" s="1"/>
    </row>
    <row r="4001" spans="1:8">
      <c r="A4001" t="s">
        <v>7286</v>
      </c>
      <c r="B4001" t="s">
        <v>7287</v>
      </c>
      <c r="E4001" s="1"/>
    </row>
    <row r="4002" spans="1:8">
      <c r="A4002" t="s">
        <v>7288</v>
      </c>
      <c r="B4002" t="s">
        <v>7289</v>
      </c>
      <c r="C4002" s="1" t="s">
        <v>9163</v>
      </c>
      <c r="D4002" s="1"/>
      <c r="E4002" s="1" t="str">
        <f t="shared" ref="E4002" si="236">HYPERLINK("https://www.kegg.jp/dbget-bin/www_bget?ec:" &amp; C4002, "https://www.kegg.jp/dbget-bin/www_bget?ec:" &amp; C4002)</f>
        <v>https://www.kegg.jp/dbget-bin/www_bget?ec:1.4.1.1</v>
      </c>
      <c r="F4002" t="s">
        <v>10368</v>
      </c>
      <c r="G4002" s="10" t="s">
        <v>11215</v>
      </c>
      <c r="H4002" s="13" t="s">
        <v>11216</v>
      </c>
    </row>
    <row r="4003" spans="1:8">
      <c r="A4003" t="s">
        <v>7288</v>
      </c>
      <c r="B4003" t="s">
        <v>7289</v>
      </c>
      <c r="C4003" s="1" t="s">
        <v>9163</v>
      </c>
      <c r="D4003" s="1"/>
      <c r="E4003" s="1" t="str">
        <f t="shared" ref="E4003" si="237">HYPERLINK("https://www.kegg.jp/dbget-bin/www_bget?ec:" &amp; C4003, "https://www.kegg.jp/dbget-bin/www_bget?ec:" &amp; C4003)</f>
        <v>https://www.kegg.jp/dbget-bin/www_bget?ec:1.4.1.1</v>
      </c>
      <c r="F4003" t="s">
        <v>10368</v>
      </c>
      <c r="G4003" s="10" t="s">
        <v>11063</v>
      </c>
      <c r="H4003" s="13" t="s">
        <v>11217</v>
      </c>
    </row>
    <row r="4004" spans="1:8">
      <c r="A4004" t="s">
        <v>7288</v>
      </c>
      <c r="B4004" t="s">
        <v>7289</v>
      </c>
      <c r="C4004" s="1" t="s">
        <v>9163</v>
      </c>
      <c r="D4004" s="1"/>
      <c r="E4004" s="1" t="str">
        <f t="shared" ref="E4004" si="238">HYPERLINK("https://www.kegg.jp/dbget-bin/www_bget?ec:" &amp; C4004, "https://www.kegg.jp/dbget-bin/www_bget?ec:" &amp; C4004)</f>
        <v>https://www.kegg.jp/dbget-bin/www_bget?ec:1.4.1.1</v>
      </c>
      <c r="F4004" t="s">
        <v>10368</v>
      </c>
      <c r="G4004" s="10" t="s">
        <v>11065</v>
      </c>
      <c r="H4004" s="13" t="s">
        <v>11218</v>
      </c>
    </row>
    <row r="4005" spans="1:8">
      <c r="A4005" t="s">
        <v>7288</v>
      </c>
      <c r="B4005" t="s">
        <v>7289</v>
      </c>
      <c r="C4005" s="1" t="s">
        <v>9163</v>
      </c>
      <c r="D4005" s="1"/>
      <c r="E4005" s="1" t="str">
        <f t="shared" si="235"/>
        <v>https://www.kegg.jp/dbget-bin/www_bget?ec:1.4.1.1</v>
      </c>
      <c r="F4005" t="s">
        <v>10368</v>
      </c>
      <c r="G4005" s="10" t="s">
        <v>11219</v>
      </c>
      <c r="H4005" s="13" t="s">
        <v>11220</v>
      </c>
    </row>
    <row r="4006" spans="1:8">
      <c r="A4006" t="s">
        <v>7290</v>
      </c>
      <c r="B4006" t="s">
        <v>7291</v>
      </c>
      <c r="E4006" s="1"/>
    </row>
    <row r="4007" spans="1:8">
      <c r="A4007" t="s">
        <v>7292</v>
      </c>
      <c r="B4007" t="s">
        <v>7293</v>
      </c>
      <c r="E4007" s="1"/>
    </row>
    <row r="4008" spans="1:8">
      <c r="A4008" t="s">
        <v>7294</v>
      </c>
      <c r="B4008" t="s">
        <v>7295</v>
      </c>
      <c r="E4008" s="1"/>
    </row>
    <row r="4009" spans="1:8">
      <c r="B4009" t="s">
        <v>7296</v>
      </c>
      <c r="E4009" s="1"/>
    </row>
    <row r="4010" spans="1:8">
      <c r="A4010" t="s">
        <v>7297</v>
      </c>
      <c r="B4010" t="s">
        <v>7298</v>
      </c>
      <c r="C4010" s="1" t="s">
        <v>9164</v>
      </c>
      <c r="D4010" s="1"/>
      <c r="E4010" s="1" t="str">
        <f t="shared" si="235"/>
        <v>https://www.kegg.jp/dbget-bin/www_bget?ec:2.7.2.8</v>
      </c>
      <c r="F4010" s="1" t="s">
        <v>10375</v>
      </c>
      <c r="G4010" s="10" t="s">
        <v>11221</v>
      </c>
      <c r="H4010" s="13" t="s">
        <v>11222</v>
      </c>
    </row>
    <row r="4011" spans="1:8">
      <c r="A4011" t="s">
        <v>7299</v>
      </c>
      <c r="B4011" t="s">
        <v>7300</v>
      </c>
      <c r="E4011" s="1"/>
    </row>
    <row r="4012" spans="1:8">
      <c r="A4012" t="s">
        <v>7301</v>
      </c>
      <c r="B4012" t="s">
        <v>7302</v>
      </c>
      <c r="E4012" s="1"/>
    </row>
    <row r="4013" spans="1:8">
      <c r="A4013" t="s">
        <v>7303</v>
      </c>
      <c r="B4013" t="s">
        <v>7304</v>
      </c>
      <c r="E4013" s="1"/>
    </row>
    <row r="4014" spans="1:8">
      <c r="A4014" t="s">
        <v>7305</v>
      </c>
      <c r="B4014" t="s">
        <v>7306</v>
      </c>
      <c r="E4014" s="1"/>
    </row>
    <row r="4015" spans="1:8">
      <c r="A4015" t="s">
        <v>7307</v>
      </c>
      <c r="B4015" t="s">
        <v>7308</v>
      </c>
      <c r="E4015" s="1"/>
    </row>
    <row r="4016" spans="1:8">
      <c r="A4016" t="s">
        <v>7309</v>
      </c>
      <c r="B4016" t="s">
        <v>7310</v>
      </c>
      <c r="E4016" s="1"/>
    </row>
    <row r="4017" spans="1:8">
      <c r="A4017" t="s">
        <v>7311</v>
      </c>
      <c r="B4017" t="s">
        <v>7312</v>
      </c>
      <c r="E4017" s="1"/>
    </row>
    <row r="4018" spans="1:8">
      <c r="A4018" t="s">
        <v>7313</v>
      </c>
      <c r="B4018" t="s">
        <v>7314</v>
      </c>
      <c r="E4018" s="1"/>
    </row>
    <row r="4019" spans="1:8">
      <c r="A4019" t="s">
        <v>7315</v>
      </c>
      <c r="B4019" t="s">
        <v>7316</v>
      </c>
      <c r="E4019" s="1"/>
    </row>
    <row r="4020" spans="1:8">
      <c r="A4020" t="s">
        <v>7317</v>
      </c>
      <c r="B4020" t="s">
        <v>7318</v>
      </c>
      <c r="E4020" s="1"/>
    </row>
    <row r="4021" spans="1:8">
      <c r="A4021" t="s">
        <v>7319</v>
      </c>
      <c r="B4021" t="s">
        <v>7320</v>
      </c>
      <c r="E4021" s="1"/>
    </row>
    <row r="4022" spans="1:8">
      <c r="A4022" t="s">
        <v>7321</v>
      </c>
      <c r="B4022" t="s">
        <v>7322</v>
      </c>
      <c r="E4022" s="1"/>
    </row>
    <row r="4023" spans="1:8">
      <c r="B4023" t="s">
        <v>7323</v>
      </c>
      <c r="E4023" s="1"/>
    </row>
    <row r="4024" spans="1:8">
      <c r="A4024" t="s">
        <v>7324</v>
      </c>
      <c r="B4024" t="s">
        <v>7325</v>
      </c>
      <c r="E4024" s="1"/>
    </row>
    <row r="4025" spans="1:8">
      <c r="A4025" t="s">
        <v>7326</v>
      </c>
      <c r="B4025" t="s">
        <v>7327</v>
      </c>
      <c r="E4025" s="1"/>
    </row>
    <row r="4026" spans="1:8">
      <c r="A4026" t="s">
        <v>7328</v>
      </c>
      <c r="B4026" t="s">
        <v>7329</v>
      </c>
      <c r="E4026" s="1"/>
    </row>
    <row r="4027" spans="1:8">
      <c r="A4027" t="s">
        <v>7330</v>
      </c>
      <c r="B4027" t="s">
        <v>7331</v>
      </c>
      <c r="C4027" s="1" t="s">
        <v>9165</v>
      </c>
      <c r="D4027" s="1"/>
      <c r="E4027" s="1" t="str">
        <f t="shared" ref="E4027" si="239">HYPERLINK("https://www.kegg.jp/dbget-bin/www_bget?ec:" &amp; C4027, "https://www.kegg.jp/dbget-bin/www_bget?ec:" &amp; C4027)</f>
        <v>https://www.kegg.jp/dbget-bin/www_bget?ec:2.6.1.52</v>
      </c>
      <c r="F4027" s="1" t="s">
        <v>10378</v>
      </c>
      <c r="G4027" s="1" t="s">
        <v>11223</v>
      </c>
      <c r="H4027" s="13" t="s">
        <v>11224</v>
      </c>
    </row>
    <row r="4028" spans="1:8">
      <c r="A4028" t="s">
        <v>7330</v>
      </c>
      <c r="B4028" t="s">
        <v>7331</v>
      </c>
      <c r="C4028" s="1" t="s">
        <v>9165</v>
      </c>
      <c r="D4028" s="1"/>
      <c r="E4028" s="1" t="str">
        <f t="shared" si="235"/>
        <v>https://www.kegg.jp/dbget-bin/www_bget?ec:2.6.1.52</v>
      </c>
      <c r="F4028" t="s">
        <v>10378</v>
      </c>
      <c r="G4028" s="10" t="s">
        <v>11225</v>
      </c>
      <c r="H4028" s="13" t="s">
        <v>11226</v>
      </c>
    </row>
    <row r="4029" spans="1:8">
      <c r="A4029" t="s">
        <v>7332</v>
      </c>
      <c r="B4029" t="s">
        <v>7333</v>
      </c>
      <c r="E4029" s="1"/>
    </row>
    <row r="4030" spans="1:8">
      <c r="A4030" t="s">
        <v>7334</v>
      </c>
      <c r="B4030" t="s">
        <v>7335</v>
      </c>
      <c r="E4030" s="1"/>
    </row>
    <row r="4031" spans="1:8">
      <c r="A4031" t="s">
        <v>7336</v>
      </c>
      <c r="B4031" t="s">
        <v>7337</v>
      </c>
      <c r="E4031" s="1"/>
    </row>
    <row r="4032" spans="1:8">
      <c r="B4032" t="s">
        <v>7338</v>
      </c>
      <c r="E4032" s="1"/>
    </row>
    <row r="4033" spans="1:8">
      <c r="A4033" t="s">
        <v>7339</v>
      </c>
      <c r="B4033" t="s">
        <v>7340</v>
      </c>
      <c r="C4033" s="1" t="s">
        <v>9166</v>
      </c>
      <c r="D4033" s="1"/>
      <c r="E4033" s="1" t="str">
        <f t="shared" ref="E4033" si="240">HYPERLINK("https://www.kegg.jp/dbget-bin/www_bget?ec:" &amp; C4033, "https://www.kegg.jp/dbget-bin/www_bget?ec:" &amp; C4033)</f>
        <v>https://www.kegg.jp/dbget-bin/www_bget?ec:5.1.3.2</v>
      </c>
      <c r="F4033" s="1" t="s">
        <v>10383</v>
      </c>
      <c r="G4033" s="10" t="s">
        <v>10384</v>
      </c>
      <c r="H4033" s="13" t="s">
        <v>10385</v>
      </c>
    </row>
    <row r="4034" spans="1:8">
      <c r="A4034" t="s">
        <v>7339</v>
      </c>
      <c r="B4034" t="s">
        <v>7340</v>
      </c>
      <c r="C4034" s="1" t="s">
        <v>9166</v>
      </c>
      <c r="D4034" s="1"/>
      <c r="E4034" s="1" t="str">
        <f t="shared" ref="E4034" si="241">HYPERLINK("https://www.kegg.jp/dbget-bin/www_bget?ec:" &amp; C4034, "https://www.kegg.jp/dbget-bin/www_bget?ec:" &amp; C4034)</f>
        <v>https://www.kegg.jp/dbget-bin/www_bget?ec:5.1.3.2</v>
      </c>
      <c r="F4034" s="1" t="s">
        <v>10383</v>
      </c>
      <c r="G4034" s="10" t="s">
        <v>10386</v>
      </c>
      <c r="H4034" s="13" t="s">
        <v>10387</v>
      </c>
    </row>
    <row r="4035" spans="1:8">
      <c r="A4035" t="s">
        <v>7339</v>
      </c>
      <c r="B4035" t="s">
        <v>7340</v>
      </c>
      <c r="C4035" s="1" t="s">
        <v>9166</v>
      </c>
      <c r="D4035" s="1"/>
      <c r="E4035" s="1" t="str">
        <f t="shared" si="235"/>
        <v>https://www.kegg.jp/dbget-bin/www_bget?ec:5.1.3.2</v>
      </c>
      <c r="F4035" s="1" t="s">
        <v>10383</v>
      </c>
      <c r="G4035" s="10" t="s">
        <v>10318</v>
      </c>
      <c r="H4035" s="13" t="s">
        <v>10388</v>
      </c>
    </row>
    <row r="4036" spans="1:8">
      <c r="A4036" t="s">
        <v>7341</v>
      </c>
      <c r="B4036" t="s">
        <v>7342</v>
      </c>
      <c r="E4036" s="1"/>
    </row>
    <row r="4037" spans="1:8">
      <c r="A4037" t="s">
        <v>7343</v>
      </c>
      <c r="B4037" t="s">
        <v>7344</v>
      </c>
      <c r="E4037" s="1"/>
    </row>
    <row r="4038" spans="1:8">
      <c r="A4038" t="s">
        <v>7345</v>
      </c>
      <c r="B4038" t="s">
        <v>7346</v>
      </c>
      <c r="E4038" s="1"/>
    </row>
    <row r="4039" spans="1:8">
      <c r="A4039" t="s">
        <v>7347</v>
      </c>
      <c r="B4039" t="s">
        <v>7348</v>
      </c>
      <c r="E4039" s="1"/>
    </row>
    <row r="4040" spans="1:8">
      <c r="A4040" t="s">
        <v>7349</v>
      </c>
      <c r="B4040" t="s">
        <v>7350</v>
      </c>
      <c r="E4040" s="1"/>
    </row>
    <row r="4041" spans="1:8">
      <c r="A4041" t="s">
        <v>7351</v>
      </c>
      <c r="B4041" t="s">
        <v>7352</v>
      </c>
      <c r="E4041" s="1"/>
    </row>
    <row r="4042" spans="1:8">
      <c r="A4042" t="s">
        <v>7353</v>
      </c>
      <c r="B4042" t="s">
        <v>7354</v>
      </c>
      <c r="E4042" s="1"/>
    </row>
    <row r="4043" spans="1:8">
      <c r="A4043" t="s">
        <v>7355</v>
      </c>
      <c r="B4043" t="s">
        <v>7356</v>
      </c>
      <c r="E4043" s="1"/>
    </row>
    <row r="4044" spans="1:8">
      <c r="A4044" t="s">
        <v>7357</v>
      </c>
      <c r="B4044" t="s">
        <v>7358</v>
      </c>
      <c r="C4044" s="1" t="s">
        <v>9167</v>
      </c>
      <c r="D4044" s="1"/>
      <c r="E4044" s="1" t="str">
        <f t="shared" ref="E4044" si="242">HYPERLINK("https://www.kegg.jp/dbget-bin/www_bget?ec:" &amp; C4044, "https://www.kegg.jp/dbget-bin/www_bget?ec:" &amp; C4044)</f>
        <v>https://www.kegg.jp/dbget-bin/www_bget?ec:6.3.4.2</v>
      </c>
      <c r="F4044" t="s">
        <v>10389</v>
      </c>
      <c r="G4044" s="10" t="s">
        <v>11178</v>
      </c>
      <c r="H4044" s="13" t="s">
        <v>11178</v>
      </c>
    </row>
    <row r="4045" spans="1:8">
      <c r="A4045" t="s">
        <v>7357</v>
      </c>
      <c r="B4045" t="s">
        <v>7358</v>
      </c>
      <c r="C4045" s="1" t="s">
        <v>9167</v>
      </c>
      <c r="D4045" s="1"/>
      <c r="E4045" s="1" t="str">
        <f t="shared" ref="E4045" si="243">HYPERLINK("https://www.kegg.jp/dbget-bin/www_bget?ec:" &amp; C4045, "https://www.kegg.jp/dbget-bin/www_bget?ec:" &amp; C4045)</f>
        <v>https://www.kegg.jp/dbget-bin/www_bget?ec:6.3.4.2</v>
      </c>
      <c r="F4045" t="s">
        <v>10389</v>
      </c>
      <c r="G4045" s="10" t="s">
        <v>11227</v>
      </c>
      <c r="H4045" s="13" t="s">
        <v>11228</v>
      </c>
    </row>
    <row r="4046" spans="1:8">
      <c r="A4046" t="s">
        <v>7357</v>
      </c>
      <c r="B4046" t="s">
        <v>7358</v>
      </c>
      <c r="C4046" s="1" t="s">
        <v>9167</v>
      </c>
      <c r="D4046" s="1"/>
      <c r="E4046" s="1" t="str">
        <f t="shared" si="235"/>
        <v>https://www.kegg.jp/dbget-bin/www_bget?ec:6.3.4.2</v>
      </c>
      <c r="F4046" s="1" t="s">
        <v>10389</v>
      </c>
      <c r="G4046" s="10" t="s">
        <v>11229</v>
      </c>
      <c r="H4046" s="13" t="s">
        <v>11230</v>
      </c>
    </row>
    <row r="4047" spans="1:8">
      <c r="A4047" t="s">
        <v>7359</v>
      </c>
      <c r="B4047" t="s">
        <v>7360</v>
      </c>
      <c r="E4047" s="1"/>
    </row>
    <row r="4048" spans="1:8">
      <c r="A4048" t="s">
        <v>7361</v>
      </c>
      <c r="B4048" t="s">
        <v>7362</v>
      </c>
      <c r="E4048" s="1"/>
    </row>
    <row r="4049" spans="1:8">
      <c r="A4049" t="s">
        <v>7363</v>
      </c>
      <c r="B4049" t="s">
        <v>7364</v>
      </c>
      <c r="C4049" s="1" t="s">
        <v>9168</v>
      </c>
      <c r="D4049" s="1"/>
      <c r="E4049" s="1" t="str">
        <f t="shared" ref="E4049:E4128" si="244">HYPERLINK("https://www.kegg.jp/dbget-bin/www_bget?ec:" &amp; C4049, "https://www.kegg.jp/dbget-bin/www_bget?ec:" &amp; C4049)</f>
        <v>https://www.kegg.jp/dbget-bin/www_bget?ec:2.7.7.38</v>
      </c>
      <c r="F4049" s="19" t="s">
        <v>9923</v>
      </c>
      <c r="G4049" s="22" t="s">
        <v>10915</v>
      </c>
      <c r="H4049" s="20" t="s">
        <v>10916</v>
      </c>
    </row>
    <row r="4050" spans="1:8">
      <c r="A4050" t="s">
        <v>7365</v>
      </c>
      <c r="B4050" t="s">
        <v>7366</v>
      </c>
      <c r="E4050" s="1"/>
    </row>
    <row r="4051" spans="1:8">
      <c r="A4051" t="s">
        <v>7367</v>
      </c>
      <c r="B4051" t="s">
        <v>7368</v>
      </c>
      <c r="E4051" s="1"/>
    </row>
    <row r="4052" spans="1:8">
      <c r="A4052" t="s">
        <v>7369</v>
      </c>
      <c r="B4052" t="s">
        <v>7370</v>
      </c>
      <c r="E4052" s="1"/>
    </row>
    <row r="4053" spans="1:8">
      <c r="A4053" t="s">
        <v>7371</v>
      </c>
      <c r="B4053" t="s">
        <v>7372</v>
      </c>
      <c r="E4053" s="1"/>
    </row>
    <row r="4054" spans="1:8">
      <c r="A4054" t="s">
        <v>7373</v>
      </c>
      <c r="B4054" t="s">
        <v>7374</v>
      </c>
      <c r="E4054" s="1"/>
    </row>
    <row r="4055" spans="1:8">
      <c r="A4055" t="s">
        <v>7375</v>
      </c>
      <c r="B4055" t="s">
        <v>7376</v>
      </c>
      <c r="E4055" s="1"/>
    </row>
    <row r="4056" spans="1:8">
      <c r="A4056" t="s">
        <v>7377</v>
      </c>
      <c r="B4056" t="s">
        <v>7378</v>
      </c>
      <c r="C4056" s="1" t="s">
        <v>9169</v>
      </c>
      <c r="D4056" s="1"/>
      <c r="E4056" s="1" t="str">
        <f t="shared" si="244"/>
        <v>https://www.kegg.jp/dbget-bin/www_bget?ec:2.4.1.129</v>
      </c>
      <c r="F4056" t="s">
        <v>9650</v>
      </c>
    </row>
    <row r="4057" spans="1:8">
      <c r="A4057" t="s">
        <v>7379</v>
      </c>
      <c r="B4057" t="s">
        <v>7380</v>
      </c>
      <c r="E4057" s="1"/>
    </row>
    <row r="4058" spans="1:8">
      <c r="A4058" t="s">
        <v>7381</v>
      </c>
      <c r="B4058" t="s">
        <v>7382</v>
      </c>
      <c r="E4058" s="1"/>
    </row>
    <row r="4059" spans="1:8">
      <c r="A4059" t="s">
        <v>7383</v>
      </c>
      <c r="B4059" t="s">
        <v>7384</v>
      </c>
      <c r="E4059" s="1"/>
    </row>
    <row r="4060" spans="1:8">
      <c r="A4060" t="s">
        <v>7385</v>
      </c>
      <c r="B4060" t="s">
        <v>7386</v>
      </c>
      <c r="C4060" s="1" t="s">
        <v>9170</v>
      </c>
      <c r="D4060" s="1"/>
      <c r="E4060" s="1" t="str">
        <f t="shared" si="244"/>
        <v>https://www.kegg.jp/dbget-bin/www_bget?ec:2.3.1.234</v>
      </c>
      <c r="F4060" s="1" t="s">
        <v>10394</v>
      </c>
      <c r="G4060" s="10" t="s">
        <v>11231</v>
      </c>
      <c r="H4060" s="13" t="s">
        <v>11232</v>
      </c>
    </row>
    <row r="4061" spans="1:8">
      <c r="A4061" t="s">
        <v>7387</v>
      </c>
      <c r="B4061" t="s">
        <v>7388</v>
      </c>
      <c r="E4061" s="1"/>
    </row>
    <row r="4062" spans="1:8">
      <c r="A4062" t="s">
        <v>7389</v>
      </c>
      <c r="B4062" t="s">
        <v>7390</v>
      </c>
      <c r="E4062" s="1"/>
    </row>
    <row r="4063" spans="1:8">
      <c r="A4063" t="s">
        <v>7391</v>
      </c>
      <c r="B4063" t="s">
        <v>7392</v>
      </c>
      <c r="E4063" s="1"/>
    </row>
    <row r="4064" spans="1:8">
      <c r="A4064" t="s">
        <v>7393</v>
      </c>
      <c r="B4064" t="s">
        <v>7394</v>
      </c>
      <c r="E4064" s="1"/>
    </row>
    <row r="4065" spans="1:8">
      <c r="A4065" t="s">
        <v>7395</v>
      </c>
      <c r="B4065" t="s">
        <v>7396</v>
      </c>
      <c r="E4065" s="1"/>
    </row>
    <row r="4066" spans="1:8">
      <c r="A4066" t="s">
        <v>7397</v>
      </c>
      <c r="B4066" t="s">
        <v>7398</v>
      </c>
      <c r="E4066" s="1"/>
    </row>
    <row r="4067" spans="1:8">
      <c r="A4067" t="s">
        <v>7399</v>
      </c>
      <c r="B4067" t="s">
        <v>7400</v>
      </c>
      <c r="C4067" s="1" t="s">
        <v>9171</v>
      </c>
      <c r="D4067" s="1"/>
      <c r="E4067" s="1" t="str">
        <f t="shared" ref="E4067" si="245">HYPERLINK("https://www.kegg.jp/dbget-bin/www_bget?ec:" &amp; C4067, "https://www.kegg.jp/dbget-bin/www_bget?ec:" &amp; C4067)</f>
        <v>https://www.kegg.jp/dbget-bin/www_bget?ec:6.1.1.11</v>
      </c>
      <c r="F4067" s="1" t="s">
        <v>10397</v>
      </c>
      <c r="G4067" s="10" t="s">
        <v>11233</v>
      </c>
      <c r="H4067" s="13" t="s">
        <v>11234</v>
      </c>
    </row>
    <row r="4068" spans="1:8">
      <c r="A4068" t="s">
        <v>7399</v>
      </c>
      <c r="B4068" t="s">
        <v>7400</v>
      </c>
      <c r="C4068" s="1" t="s">
        <v>9171</v>
      </c>
      <c r="D4068" s="1"/>
      <c r="E4068" s="1" t="str">
        <f t="shared" si="244"/>
        <v>https://www.kegg.jp/dbget-bin/www_bget?ec:6.1.1.11</v>
      </c>
      <c r="F4068" t="s">
        <v>10397</v>
      </c>
      <c r="G4068" s="10" t="s">
        <v>11235</v>
      </c>
      <c r="H4068" s="13" t="s">
        <v>11236</v>
      </c>
    </row>
    <row r="4069" spans="1:8">
      <c r="A4069" t="s">
        <v>7401</v>
      </c>
      <c r="B4069" t="s">
        <v>7402</v>
      </c>
      <c r="E4069" s="1"/>
    </row>
    <row r="4070" spans="1:8">
      <c r="A4070" t="s">
        <v>7403</v>
      </c>
      <c r="B4070" t="s">
        <v>7404</v>
      </c>
      <c r="E4070" s="1"/>
    </row>
    <row r="4071" spans="1:8">
      <c r="A4071" t="s">
        <v>7405</v>
      </c>
      <c r="B4071" t="s">
        <v>7406</v>
      </c>
      <c r="E4071" s="1"/>
    </row>
    <row r="4072" spans="1:8">
      <c r="A4072" t="s">
        <v>7407</v>
      </c>
      <c r="B4072" t="s">
        <v>7408</v>
      </c>
      <c r="E4072" s="1"/>
    </row>
    <row r="4073" spans="1:8">
      <c r="A4073" t="s">
        <v>7409</v>
      </c>
      <c r="B4073" t="s">
        <v>7410</v>
      </c>
      <c r="E4073" s="1"/>
    </row>
    <row r="4074" spans="1:8">
      <c r="A4074" t="s">
        <v>7411</v>
      </c>
      <c r="B4074" t="s">
        <v>7412</v>
      </c>
      <c r="E4074" s="1"/>
    </row>
    <row r="4075" spans="1:8">
      <c r="B4075" t="s">
        <v>7413</v>
      </c>
      <c r="E4075" s="1"/>
    </row>
    <row r="4076" spans="1:8">
      <c r="A4076" t="s">
        <v>7414</v>
      </c>
      <c r="B4076" t="s">
        <v>7415</v>
      </c>
      <c r="E4076" s="1"/>
    </row>
    <row r="4077" spans="1:8">
      <c r="A4077" t="s">
        <v>7416</v>
      </c>
      <c r="B4077" t="s">
        <v>7417</v>
      </c>
      <c r="E4077" s="1"/>
    </row>
    <row r="4078" spans="1:8">
      <c r="A4078" t="s">
        <v>7418</v>
      </c>
      <c r="B4078" t="s">
        <v>7419</v>
      </c>
      <c r="E4078" s="1"/>
    </row>
    <row r="4079" spans="1:8">
      <c r="A4079" t="s">
        <v>7420</v>
      </c>
      <c r="B4079" t="s">
        <v>7421</v>
      </c>
      <c r="E4079" s="1"/>
    </row>
    <row r="4080" spans="1:8">
      <c r="A4080" t="s">
        <v>7422</v>
      </c>
      <c r="B4080" t="s">
        <v>7423</v>
      </c>
      <c r="E4080" s="1"/>
    </row>
    <row r="4081" spans="1:5">
      <c r="A4081" t="s">
        <v>7424</v>
      </c>
      <c r="B4081" t="s">
        <v>7425</v>
      </c>
      <c r="E4081" s="1"/>
    </row>
    <row r="4082" spans="1:5">
      <c r="A4082" t="s">
        <v>7426</v>
      </c>
      <c r="B4082" t="s">
        <v>7427</v>
      </c>
      <c r="E4082" s="1"/>
    </row>
    <row r="4083" spans="1:5">
      <c r="A4083" t="s">
        <v>7428</v>
      </c>
      <c r="B4083" t="s">
        <v>7429</v>
      </c>
      <c r="E4083" s="1"/>
    </row>
    <row r="4084" spans="1:5">
      <c r="A4084" t="s">
        <v>7430</v>
      </c>
      <c r="B4084" t="s">
        <v>7431</v>
      </c>
      <c r="E4084" s="1"/>
    </row>
    <row r="4085" spans="1:5">
      <c r="A4085" t="s">
        <v>7432</v>
      </c>
      <c r="B4085" t="s">
        <v>7433</v>
      </c>
      <c r="E4085" s="1"/>
    </row>
    <row r="4086" spans="1:5">
      <c r="A4086" t="s">
        <v>7434</v>
      </c>
      <c r="B4086" t="s">
        <v>7435</v>
      </c>
      <c r="E4086" s="1"/>
    </row>
    <row r="4087" spans="1:5">
      <c r="A4087" t="s">
        <v>7436</v>
      </c>
      <c r="B4087" t="s">
        <v>7437</v>
      </c>
      <c r="E4087" s="1"/>
    </row>
    <row r="4088" spans="1:5">
      <c r="A4088" t="s">
        <v>7438</v>
      </c>
      <c r="B4088" t="s">
        <v>7439</v>
      </c>
      <c r="E4088" s="1"/>
    </row>
    <row r="4089" spans="1:5">
      <c r="A4089" t="s">
        <v>7440</v>
      </c>
      <c r="B4089" t="s">
        <v>7441</v>
      </c>
      <c r="E4089" s="1"/>
    </row>
    <row r="4090" spans="1:5">
      <c r="A4090" t="s">
        <v>7442</v>
      </c>
      <c r="B4090" t="s">
        <v>7443</v>
      </c>
      <c r="E4090" s="1"/>
    </row>
    <row r="4091" spans="1:5">
      <c r="A4091" t="s">
        <v>7444</v>
      </c>
      <c r="B4091" t="s">
        <v>7445</v>
      </c>
      <c r="E4091" s="1"/>
    </row>
    <row r="4092" spans="1:5">
      <c r="A4092" t="s">
        <v>7446</v>
      </c>
      <c r="B4092" t="s">
        <v>7447</v>
      </c>
      <c r="E4092" s="1"/>
    </row>
    <row r="4093" spans="1:5">
      <c r="A4093" t="s">
        <v>7448</v>
      </c>
      <c r="B4093" t="s">
        <v>7449</v>
      </c>
      <c r="E4093" s="1"/>
    </row>
    <row r="4094" spans="1:5">
      <c r="A4094" t="s">
        <v>7450</v>
      </c>
      <c r="B4094" t="s">
        <v>7451</v>
      </c>
      <c r="E4094" s="1"/>
    </row>
    <row r="4095" spans="1:5">
      <c r="A4095" t="s">
        <v>7452</v>
      </c>
      <c r="B4095" t="s">
        <v>7453</v>
      </c>
      <c r="E4095" s="1"/>
    </row>
    <row r="4096" spans="1:5">
      <c r="A4096" t="s">
        <v>7454</v>
      </c>
      <c r="B4096" t="s">
        <v>7455</v>
      </c>
      <c r="E4096" s="1"/>
    </row>
    <row r="4097" spans="1:8">
      <c r="A4097" t="s">
        <v>7456</v>
      </c>
      <c r="B4097" t="s">
        <v>7457</v>
      </c>
      <c r="E4097" s="1"/>
    </row>
    <row r="4098" spans="1:8">
      <c r="A4098" t="s">
        <v>7458</v>
      </c>
      <c r="B4098" t="s">
        <v>7459</v>
      </c>
      <c r="E4098" s="1"/>
    </row>
    <row r="4099" spans="1:8">
      <c r="A4099" t="s">
        <v>7460</v>
      </c>
      <c r="B4099" t="s">
        <v>7461</v>
      </c>
      <c r="C4099" s="1" t="s">
        <v>9172</v>
      </c>
      <c r="D4099" s="1"/>
      <c r="E4099" s="1" t="str">
        <f t="shared" si="244"/>
        <v>https://www.kegg.jp/dbget-bin/www_bget?ec:1.1.1.336</v>
      </c>
      <c r="F4099" s="1" t="s">
        <v>10402</v>
      </c>
      <c r="G4099" s="10" t="s">
        <v>11237</v>
      </c>
      <c r="H4099" s="13" t="s">
        <v>11238</v>
      </c>
    </row>
    <row r="4100" spans="1:8">
      <c r="A4100" t="s">
        <v>7462</v>
      </c>
      <c r="B4100" t="s">
        <v>7463</v>
      </c>
      <c r="C4100" s="1" t="s">
        <v>570</v>
      </c>
      <c r="D4100" s="1"/>
      <c r="E4100" s="1" t="str">
        <f t="shared" si="244"/>
        <v>https://www.kegg.jp/dbget-bin/www_bget?ec:5.1.3.14</v>
      </c>
      <c r="F4100" s="1" t="s">
        <v>9385</v>
      </c>
      <c r="G4100" s="10" t="s">
        <v>9386</v>
      </c>
      <c r="H4100" s="1" t="s">
        <v>9387</v>
      </c>
    </row>
    <row r="4101" spans="1:8">
      <c r="A4101" t="s">
        <v>7462</v>
      </c>
      <c r="B4101" t="s">
        <v>7463</v>
      </c>
      <c r="C4101" s="1" t="s">
        <v>570</v>
      </c>
      <c r="D4101" s="1"/>
      <c r="E4101" s="1" t="str">
        <f t="shared" ref="E4101" si="246">HYPERLINK("https://www.kegg.jp/dbget-bin/www_bget?ec:" &amp; C4101, "https://www.kegg.jp/dbget-bin/www_bget?ec:" &amp; C4101)</f>
        <v>https://www.kegg.jp/dbget-bin/www_bget?ec:5.1.3.14</v>
      </c>
      <c r="F4101" s="1" t="s">
        <v>9385</v>
      </c>
      <c r="G4101" s="10" t="s">
        <v>9388</v>
      </c>
      <c r="H4101" s="13" t="s">
        <v>9390</v>
      </c>
    </row>
    <row r="4102" spans="1:8">
      <c r="A4102" t="s">
        <v>7462</v>
      </c>
      <c r="B4102" t="s">
        <v>7463</v>
      </c>
      <c r="C4102" s="1" t="s">
        <v>570</v>
      </c>
      <c r="D4102" s="1"/>
      <c r="E4102" s="1" t="str">
        <f t="shared" si="244"/>
        <v>https://www.kegg.jp/dbget-bin/www_bget?ec:5.1.3.14</v>
      </c>
      <c r="F4102" s="1" t="s">
        <v>9385</v>
      </c>
      <c r="G4102" s="10" t="s">
        <v>9389</v>
      </c>
      <c r="H4102" s="13" t="s">
        <v>9391</v>
      </c>
    </row>
    <row r="4103" spans="1:8">
      <c r="A4103" t="s">
        <v>7464</v>
      </c>
      <c r="B4103" t="s">
        <v>7465</v>
      </c>
      <c r="E4103" s="1"/>
    </row>
    <row r="4104" spans="1:8">
      <c r="A4104" t="s">
        <v>7466</v>
      </c>
      <c r="B4104" t="s">
        <v>7467</v>
      </c>
      <c r="C4104" s="1" t="s">
        <v>9173</v>
      </c>
      <c r="D4104" s="1"/>
      <c r="E4104" s="1" t="str">
        <f t="shared" ref="E4104:E4114" si="247">HYPERLINK("https://www.kegg.jp/dbget-bin/www_bget?ec:" &amp; C4104, "https://www.kegg.jp/dbget-bin/www_bget?ec:" &amp; C4104)</f>
        <v>https://www.kegg.jp/dbget-bin/www_bget?ec:2.7.4.6</v>
      </c>
      <c r="F4104" s="1" t="s">
        <v>10403</v>
      </c>
      <c r="G4104" s="10" t="s">
        <v>11239</v>
      </c>
      <c r="H4104" s="13" t="s">
        <v>11240</v>
      </c>
    </row>
    <row r="4105" spans="1:8">
      <c r="A4105" t="s">
        <v>7466</v>
      </c>
      <c r="B4105" t="s">
        <v>7467</v>
      </c>
      <c r="C4105" s="1" t="s">
        <v>9173</v>
      </c>
      <c r="D4105" s="1"/>
      <c r="E4105" s="1" t="str">
        <f t="shared" si="247"/>
        <v>https://www.kegg.jp/dbget-bin/www_bget?ec:2.7.4.6</v>
      </c>
      <c r="F4105" t="s">
        <v>10403</v>
      </c>
      <c r="G4105" s="10" t="s">
        <v>11241</v>
      </c>
      <c r="H4105" s="13" t="s">
        <v>11242</v>
      </c>
    </row>
    <row r="4106" spans="1:8">
      <c r="A4106" t="s">
        <v>7466</v>
      </c>
      <c r="B4106" t="s">
        <v>7467</v>
      </c>
      <c r="C4106" s="1" t="s">
        <v>9173</v>
      </c>
      <c r="D4106" s="1"/>
      <c r="E4106" s="1" t="str">
        <f t="shared" si="247"/>
        <v>https://www.kegg.jp/dbget-bin/www_bget?ec:2.7.4.6</v>
      </c>
      <c r="F4106" t="s">
        <v>10403</v>
      </c>
      <c r="G4106" s="10" t="s">
        <v>11243</v>
      </c>
      <c r="H4106" s="13" t="s">
        <v>11244</v>
      </c>
    </row>
    <row r="4107" spans="1:8">
      <c r="A4107" t="s">
        <v>7466</v>
      </c>
      <c r="B4107" t="s">
        <v>7467</v>
      </c>
      <c r="C4107" s="1" t="s">
        <v>9173</v>
      </c>
      <c r="D4107" s="1"/>
      <c r="E4107" s="1" t="str">
        <f t="shared" si="247"/>
        <v>https://www.kegg.jp/dbget-bin/www_bget?ec:2.7.4.6</v>
      </c>
      <c r="F4107" t="s">
        <v>10403</v>
      </c>
      <c r="G4107" s="10" t="s">
        <v>11245</v>
      </c>
      <c r="H4107" s="13" t="s">
        <v>11246</v>
      </c>
    </row>
    <row r="4108" spans="1:8">
      <c r="A4108" t="s">
        <v>7466</v>
      </c>
      <c r="B4108" t="s">
        <v>7467</v>
      </c>
      <c r="C4108" s="1" t="s">
        <v>9173</v>
      </c>
      <c r="D4108" s="1"/>
      <c r="E4108" s="1" t="str">
        <f t="shared" si="247"/>
        <v>https://www.kegg.jp/dbget-bin/www_bget?ec:2.7.4.6</v>
      </c>
      <c r="F4108" t="s">
        <v>10403</v>
      </c>
      <c r="G4108" s="10" t="s">
        <v>11247</v>
      </c>
      <c r="H4108" s="13" t="s">
        <v>11248</v>
      </c>
    </row>
    <row r="4109" spans="1:8">
      <c r="A4109" t="s">
        <v>7466</v>
      </c>
      <c r="B4109" t="s">
        <v>7467</v>
      </c>
      <c r="C4109" s="1" t="s">
        <v>9173</v>
      </c>
      <c r="D4109" s="1"/>
      <c r="E4109" s="1" t="str">
        <f t="shared" si="247"/>
        <v>https://www.kegg.jp/dbget-bin/www_bget?ec:2.7.4.6</v>
      </c>
      <c r="F4109" t="s">
        <v>10403</v>
      </c>
      <c r="G4109" s="10" t="s">
        <v>11249</v>
      </c>
      <c r="H4109" s="13" t="s">
        <v>11250</v>
      </c>
    </row>
    <row r="4110" spans="1:8">
      <c r="A4110" t="s">
        <v>7466</v>
      </c>
      <c r="B4110" t="s">
        <v>7467</v>
      </c>
      <c r="C4110" s="1" t="s">
        <v>9173</v>
      </c>
      <c r="D4110" s="1"/>
      <c r="E4110" s="1" t="str">
        <f t="shared" si="247"/>
        <v>https://www.kegg.jp/dbget-bin/www_bget?ec:2.7.4.6</v>
      </c>
      <c r="F4110" t="s">
        <v>10403</v>
      </c>
      <c r="G4110" s="10" t="s">
        <v>11251</v>
      </c>
      <c r="H4110" s="13" t="s">
        <v>11252</v>
      </c>
    </row>
    <row r="4111" spans="1:8">
      <c r="A4111" t="s">
        <v>7466</v>
      </c>
      <c r="B4111" t="s">
        <v>7467</v>
      </c>
      <c r="C4111" s="1" t="s">
        <v>9173</v>
      </c>
      <c r="D4111" s="1"/>
      <c r="E4111" s="1" t="str">
        <f t="shared" si="247"/>
        <v>https://www.kegg.jp/dbget-bin/www_bget?ec:2.7.4.6</v>
      </c>
      <c r="F4111" t="s">
        <v>10403</v>
      </c>
      <c r="G4111" s="10" t="s">
        <v>11253</v>
      </c>
      <c r="H4111" s="13" t="s">
        <v>11254</v>
      </c>
    </row>
    <row r="4112" spans="1:8">
      <c r="A4112" t="s">
        <v>7466</v>
      </c>
      <c r="B4112" t="s">
        <v>7467</v>
      </c>
      <c r="C4112" s="1" t="s">
        <v>9173</v>
      </c>
      <c r="D4112" s="1"/>
      <c r="E4112" s="1" t="str">
        <f t="shared" si="247"/>
        <v>https://www.kegg.jp/dbget-bin/www_bget?ec:2.7.4.6</v>
      </c>
      <c r="F4112" t="s">
        <v>10403</v>
      </c>
      <c r="G4112" s="10" t="s">
        <v>11255</v>
      </c>
      <c r="H4112" s="13" t="s">
        <v>11256</v>
      </c>
    </row>
    <row r="4113" spans="1:8">
      <c r="A4113" t="s">
        <v>7466</v>
      </c>
      <c r="B4113" t="s">
        <v>7467</v>
      </c>
      <c r="C4113" s="1" t="s">
        <v>9173</v>
      </c>
      <c r="D4113" s="1"/>
      <c r="E4113" s="1" t="str">
        <f t="shared" si="247"/>
        <v>https://www.kegg.jp/dbget-bin/www_bget?ec:2.7.4.6</v>
      </c>
      <c r="F4113" s="1" t="s">
        <v>10403</v>
      </c>
      <c r="G4113" s="10" t="s">
        <v>11257</v>
      </c>
      <c r="H4113" s="13" t="s">
        <v>11258</v>
      </c>
    </row>
    <row r="4114" spans="1:8">
      <c r="A4114" t="s">
        <v>7466</v>
      </c>
      <c r="B4114" t="s">
        <v>7467</v>
      </c>
      <c r="C4114" s="1" t="s">
        <v>9173</v>
      </c>
      <c r="D4114" s="1"/>
      <c r="E4114" s="1" t="str">
        <f t="shared" si="247"/>
        <v>https://www.kegg.jp/dbget-bin/www_bget?ec:2.7.4.6</v>
      </c>
      <c r="F4114" s="1" t="s">
        <v>10403</v>
      </c>
      <c r="G4114" s="10" t="s">
        <v>11259</v>
      </c>
      <c r="H4114" s="13" t="s">
        <v>11260</v>
      </c>
    </row>
    <row r="4115" spans="1:8">
      <c r="A4115" t="s">
        <v>7466</v>
      </c>
      <c r="B4115" t="s">
        <v>7467</v>
      </c>
      <c r="C4115" s="1" t="s">
        <v>9173</v>
      </c>
      <c r="D4115" s="1"/>
      <c r="E4115" s="1" t="str">
        <f t="shared" ref="E4115" si="248">HYPERLINK("https://www.kegg.jp/dbget-bin/www_bget?ec:" &amp; C4115, "https://www.kegg.jp/dbget-bin/www_bget?ec:" &amp; C4115)</f>
        <v>https://www.kegg.jp/dbget-bin/www_bget?ec:2.7.4.6</v>
      </c>
      <c r="F4115" s="1" t="s">
        <v>10403</v>
      </c>
      <c r="G4115" s="10" t="s">
        <v>11261</v>
      </c>
      <c r="H4115" s="13" t="s">
        <v>11262</v>
      </c>
    </row>
    <row r="4116" spans="1:8">
      <c r="A4116" t="s">
        <v>7466</v>
      </c>
      <c r="B4116" t="s">
        <v>7467</v>
      </c>
      <c r="C4116" s="1" t="s">
        <v>9173</v>
      </c>
      <c r="D4116" s="1"/>
      <c r="E4116" s="1" t="str">
        <f t="shared" ref="E4116:E4117" si="249">HYPERLINK("https://www.kegg.jp/dbget-bin/www_bget?ec:" &amp; C4116, "https://www.kegg.jp/dbget-bin/www_bget?ec:" &amp; C4116)</f>
        <v>https://www.kegg.jp/dbget-bin/www_bget?ec:2.7.4.6</v>
      </c>
      <c r="F4116" t="s">
        <v>10403</v>
      </c>
      <c r="G4116" s="10" t="s">
        <v>11263</v>
      </c>
      <c r="H4116" s="13" t="s">
        <v>11264</v>
      </c>
    </row>
    <row r="4117" spans="1:8">
      <c r="A4117" t="s">
        <v>7466</v>
      </c>
      <c r="B4117" t="s">
        <v>7467</v>
      </c>
      <c r="C4117" s="1" t="s">
        <v>9173</v>
      </c>
      <c r="D4117" s="1"/>
      <c r="E4117" s="1" t="str">
        <f t="shared" si="249"/>
        <v>https://www.kegg.jp/dbget-bin/www_bget?ec:2.7.4.6</v>
      </c>
      <c r="F4117" t="s">
        <v>10403</v>
      </c>
      <c r="G4117" s="10" t="s">
        <v>11265</v>
      </c>
      <c r="H4117" s="13" t="s">
        <v>11266</v>
      </c>
    </row>
    <row r="4118" spans="1:8">
      <c r="A4118" t="s">
        <v>7466</v>
      </c>
      <c r="B4118" t="s">
        <v>7467</v>
      </c>
      <c r="C4118" s="1" t="s">
        <v>9173</v>
      </c>
      <c r="D4118" s="1"/>
      <c r="E4118" s="1" t="str">
        <f t="shared" ref="E4118" si="250">HYPERLINK("https://www.kegg.jp/dbget-bin/www_bget?ec:" &amp; C4118, "https://www.kegg.jp/dbget-bin/www_bget?ec:" &amp; C4118)</f>
        <v>https://www.kegg.jp/dbget-bin/www_bget?ec:2.7.4.6</v>
      </c>
      <c r="F4118" t="s">
        <v>10403</v>
      </c>
      <c r="G4118" s="10" t="s">
        <v>11267</v>
      </c>
      <c r="H4118" s="13" t="s">
        <v>11268</v>
      </c>
    </row>
    <row r="4119" spans="1:8">
      <c r="A4119" t="s">
        <v>7466</v>
      </c>
      <c r="B4119" t="s">
        <v>7467</v>
      </c>
      <c r="C4119" s="1" t="s">
        <v>9173</v>
      </c>
      <c r="D4119" s="1"/>
      <c r="E4119" s="1" t="str">
        <f t="shared" si="244"/>
        <v>https://www.kegg.jp/dbget-bin/www_bget?ec:2.7.4.6</v>
      </c>
      <c r="F4119" t="s">
        <v>10403</v>
      </c>
      <c r="G4119" s="10" t="s">
        <v>11269</v>
      </c>
      <c r="H4119" s="13" t="s">
        <v>11270</v>
      </c>
    </row>
    <row r="4120" spans="1:8">
      <c r="A4120" t="s">
        <v>7468</v>
      </c>
      <c r="B4120" t="s">
        <v>7469</v>
      </c>
      <c r="E4120" s="1"/>
    </row>
    <row r="4121" spans="1:8">
      <c r="A4121" t="s">
        <v>7470</v>
      </c>
      <c r="B4121" t="s">
        <v>7471</v>
      </c>
      <c r="E4121" s="1"/>
    </row>
    <row r="4122" spans="1:8">
      <c r="A4122" t="s">
        <v>7472</v>
      </c>
      <c r="B4122" t="s">
        <v>7473</v>
      </c>
      <c r="E4122" s="1"/>
    </row>
    <row r="4123" spans="1:8">
      <c r="A4123" t="s">
        <v>7474</v>
      </c>
      <c r="B4123" t="s">
        <v>7475</v>
      </c>
      <c r="C4123" s="1" t="s">
        <v>298</v>
      </c>
      <c r="D4123" s="1"/>
      <c r="E4123" s="1" t="str">
        <f t="shared" ref="E4123" si="251">HYPERLINK("https://www.kegg.jp/dbget-bin/www_bget?ec:" &amp; C4123, "https://www.kegg.jp/dbget-bin/www_bget?ec:" &amp; C4123)</f>
        <v>https://www.kegg.jp/dbget-bin/www_bget?ec:2.7.7.7</v>
      </c>
      <c r="F4123" s="19" t="s">
        <v>9321</v>
      </c>
      <c r="G4123" s="22" t="s">
        <v>9580</v>
      </c>
      <c r="H4123" s="20" t="s">
        <v>9322</v>
      </c>
    </row>
    <row r="4124" spans="1:8">
      <c r="A4124" t="s">
        <v>7474</v>
      </c>
      <c r="B4124" t="s">
        <v>7475</v>
      </c>
      <c r="C4124" s="1" t="s">
        <v>298</v>
      </c>
      <c r="D4124" s="1"/>
      <c r="E4124" s="1" t="str">
        <f t="shared" ref="E4124" si="252">HYPERLINK("https://www.kegg.jp/dbget-bin/www_bget?ec:" &amp; C4124, "https://www.kegg.jp/dbget-bin/www_bget?ec:" &amp; C4124)</f>
        <v>https://www.kegg.jp/dbget-bin/www_bget?ec:2.7.7.7</v>
      </c>
      <c r="F4124" s="19" t="s">
        <v>9321</v>
      </c>
      <c r="G4124" s="22" t="s">
        <v>9514</v>
      </c>
      <c r="H4124" s="20" t="s">
        <v>9515</v>
      </c>
    </row>
    <row r="4125" spans="1:8">
      <c r="A4125" t="s">
        <v>7474</v>
      </c>
      <c r="B4125" t="s">
        <v>7475</v>
      </c>
      <c r="C4125" s="1" t="s">
        <v>298</v>
      </c>
      <c r="D4125" s="1"/>
      <c r="E4125" s="1" t="str">
        <f t="shared" ref="E4125" si="253">HYPERLINK("https://www.kegg.jp/dbget-bin/www_bget?ec:" &amp; C4125, "https://www.kegg.jp/dbget-bin/www_bget?ec:" &amp; C4125)</f>
        <v>https://www.kegg.jp/dbget-bin/www_bget?ec:2.7.7.7</v>
      </c>
      <c r="F4125" s="19" t="s">
        <v>9321</v>
      </c>
      <c r="G4125" s="22" t="s">
        <v>9516</v>
      </c>
      <c r="H4125" s="20" t="s">
        <v>9515</v>
      </c>
    </row>
    <row r="4126" spans="1:8">
      <c r="A4126" t="s">
        <v>7474</v>
      </c>
      <c r="B4126" t="s">
        <v>7475</v>
      </c>
      <c r="C4126" s="1" t="s">
        <v>298</v>
      </c>
      <c r="D4126" s="1"/>
      <c r="E4126" s="1" t="str">
        <f t="shared" ref="E4126" si="254">HYPERLINK("https://www.kegg.jp/dbget-bin/www_bget?ec:" &amp; C4126, "https://www.kegg.jp/dbget-bin/www_bget?ec:" &amp; C4126)</f>
        <v>https://www.kegg.jp/dbget-bin/www_bget?ec:2.7.7.7</v>
      </c>
      <c r="F4126" s="19" t="s">
        <v>9321</v>
      </c>
      <c r="G4126" s="22" t="s">
        <v>9517</v>
      </c>
      <c r="H4126" s="20" t="s">
        <v>9515</v>
      </c>
    </row>
    <row r="4127" spans="1:8">
      <c r="A4127" t="s">
        <v>7474</v>
      </c>
      <c r="B4127" t="s">
        <v>7475</v>
      </c>
      <c r="C4127" s="1" t="s">
        <v>298</v>
      </c>
      <c r="D4127" s="1"/>
      <c r="E4127" s="1" t="str">
        <f t="shared" ref="E4127" si="255">HYPERLINK("https://www.kegg.jp/dbget-bin/www_bget?ec:" &amp; C4127, "https://www.kegg.jp/dbget-bin/www_bget?ec:" &amp; C4127)</f>
        <v>https://www.kegg.jp/dbget-bin/www_bget?ec:2.7.7.7</v>
      </c>
      <c r="F4127" s="19" t="s">
        <v>9321</v>
      </c>
      <c r="G4127" s="22" t="s">
        <v>9571</v>
      </c>
      <c r="H4127" s="20" t="s">
        <v>10657</v>
      </c>
    </row>
    <row r="4128" spans="1:8">
      <c r="A4128" t="s">
        <v>7474</v>
      </c>
      <c r="B4128" t="s">
        <v>7475</v>
      </c>
      <c r="C4128" s="1" t="s">
        <v>298</v>
      </c>
      <c r="D4128" s="1"/>
      <c r="E4128" s="1" t="str">
        <f t="shared" si="244"/>
        <v>https://www.kegg.jp/dbget-bin/www_bget?ec:2.7.7.7</v>
      </c>
      <c r="F4128" s="19" t="s">
        <v>9321</v>
      </c>
      <c r="G4128" s="22" t="s">
        <v>9995</v>
      </c>
      <c r="H4128" s="20" t="s">
        <v>9996</v>
      </c>
    </row>
    <row r="4129" spans="1:5">
      <c r="A4129" t="s">
        <v>7476</v>
      </c>
      <c r="B4129" t="s">
        <v>7477</v>
      </c>
      <c r="E4129" s="1"/>
    </row>
    <row r="4130" spans="1:5">
      <c r="A4130" t="s">
        <v>7478</v>
      </c>
      <c r="B4130" t="s">
        <v>7479</v>
      </c>
      <c r="E4130" s="1"/>
    </row>
    <row r="4131" spans="1:5">
      <c r="A4131" t="s">
        <v>7480</v>
      </c>
      <c r="B4131" t="s">
        <v>7481</v>
      </c>
      <c r="E4131" s="1"/>
    </row>
    <row r="4132" spans="1:5">
      <c r="A4132" t="s">
        <v>7482</v>
      </c>
      <c r="B4132" t="s">
        <v>7483</v>
      </c>
      <c r="E4132" s="1"/>
    </row>
    <row r="4133" spans="1:5">
      <c r="A4133" t="s">
        <v>7484</v>
      </c>
      <c r="B4133" t="s">
        <v>7485</v>
      </c>
      <c r="E4133" s="1"/>
    </row>
    <row r="4134" spans="1:5">
      <c r="A4134" t="s">
        <v>7486</v>
      </c>
      <c r="B4134" t="s">
        <v>7487</v>
      </c>
      <c r="E4134" s="1"/>
    </row>
    <row r="4135" spans="1:5">
      <c r="A4135" t="s">
        <v>7488</v>
      </c>
      <c r="B4135" t="s">
        <v>7489</v>
      </c>
      <c r="E4135" s="1"/>
    </row>
    <row r="4136" spans="1:5">
      <c r="A4136" t="s">
        <v>7490</v>
      </c>
      <c r="B4136" t="s">
        <v>7491</v>
      </c>
      <c r="E4136" s="1"/>
    </row>
    <row r="4137" spans="1:5">
      <c r="A4137" t="s">
        <v>7492</v>
      </c>
      <c r="B4137" t="s">
        <v>7493</v>
      </c>
      <c r="E4137" s="1"/>
    </row>
    <row r="4138" spans="1:5">
      <c r="A4138" t="s">
        <v>7494</v>
      </c>
      <c r="B4138" t="s">
        <v>7495</v>
      </c>
      <c r="E4138" s="1"/>
    </row>
    <row r="4139" spans="1:5">
      <c r="A4139" t="s">
        <v>7496</v>
      </c>
      <c r="B4139" t="s">
        <v>7497</v>
      </c>
      <c r="E4139" s="1"/>
    </row>
    <row r="4140" spans="1:5">
      <c r="A4140" t="s">
        <v>7498</v>
      </c>
      <c r="B4140" t="s">
        <v>7499</v>
      </c>
      <c r="E4140" s="1"/>
    </row>
    <row r="4141" spans="1:5">
      <c r="A4141" t="s">
        <v>7500</v>
      </c>
      <c r="B4141" t="s">
        <v>7501</v>
      </c>
      <c r="E4141" s="1"/>
    </row>
    <row r="4142" spans="1:5">
      <c r="A4142" t="s">
        <v>7502</v>
      </c>
      <c r="B4142" t="s">
        <v>7503</v>
      </c>
      <c r="E4142" s="1"/>
    </row>
    <row r="4143" spans="1:5">
      <c r="A4143" t="s">
        <v>7504</v>
      </c>
      <c r="B4143" t="s">
        <v>7505</v>
      </c>
      <c r="E4143" s="1"/>
    </row>
    <row r="4144" spans="1:5">
      <c r="A4144" t="s">
        <v>7506</v>
      </c>
      <c r="B4144" t="s">
        <v>7507</v>
      </c>
      <c r="E4144" s="1"/>
    </row>
    <row r="4145" spans="1:8">
      <c r="A4145" t="s">
        <v>7508</v>
      </c>
      <c r="B4145" t="s">
        <v>7509</v>
      </c>
      <c r="E4145" s="1"/>
    </row>
    <row r="4146" spans="1:8">
      <c r="A4146" t="s">
        <v>7510</v>
      </c>
      <c r="B4146" t="s">
        <v>7511</v>
      </c>
      <c r="E4146" s="1"/>
    </row>
    <row r="4147" spans="1:8">
      <c r="A4147" t="s">
        <v>7512</v>
      </c>
      <c r="B4147" t="s">
        <v>7513</v>
      </c>
      <c r="E4147" s="1"/>
    </row>
    <row r="4148" spans="1:8">
      <c r="A4148" t="s">
        <v>7514</v>
      </c>
      <c r="B4148" t="s">
        <v>7515</v>
      </c>
      <c r="E4148" s="1"/>
    </row>
    <row r="4149" spans="1:8">
      <c r="A4149" t="s">
        <v>7516</v>
      </c>
      <c r="B4149" t="s">
        <v>7517</v>
      </c>
      <c r="C4149" s="1" t="s">
        <v>9174</v>
      </c>
      <c r="D4149" s="1"/>
      <c r="E4149" s="1" t="str">
        <f t="shared" ref="E4149:E4186" si="256">HYPERLINK("https://www.kegg.jp/dbget-bin/www_bget?ec:" &amp; C4149, "https://www.kegg.jp/dbget-bin/www_bget?ec:" &amp; C4149)</f>
        <v>https://www.kegg.jp/dbget-bin/www_bget?ec:2.5.1.74</v>
      </c>
      <c r="F4149" s="1" t="s">
        <v>10436</v>
      </c>
      <c r="G4149" s="10" t="s">
        <v>11271</v>
      </c>
      <c r="H4149" s="13" t="s">
        <v>11272</v>
      </c>
    </row>
    <row r="4150" spans="1:8">
      <c r="A4150" t="s">
        <v>7518</v>
      </c>
      <c r="B4150" t="s">
        <v>7519</v>
      </c>
      <c r="E4150" s="1"/>
    </row>
    <row r="4151" spans="1:8">
      <c r="A4151" t="s">
        <v>7520</v>
      </c>
      <c r="B4151" t="s">
        <v>7521</v>
      </c>
      <c r="E4151" s="1"/>
    </row>
    <row r="4152" spans="1:8">
      <c r="A4152" t="s">
        <v>7522</v>
      </c>
      <c r="B4152" t="s">
        <v>7523</v>
      </c>
      <c r="E4152" s="1"/>
    </row>
    <row r="4153" spans="1:8">
      <c r="A4153" t="s">
        <v>7524</v>
      </c>
      <c r="B4153" t="s">
        <v>7525</v>
      </c>
      <c r="E4153" s="1"/>
    </row>
    <row r="4154" spans="1:8">
      <c r="A4154" t="s">
        <v>7526</v>
      </c>
      <c r="B4154" t="s">
        <v>7527</v>
      </c>
      <c r="E4154" s="1"/>
    </row>
    <row r="4155" spans="1:8">
      <c r="A4155" t="s">
        <v>7528</v>
      </c>
      <c r="B4155" t="s">
        <v>7529</v>
      </c>
      <c r="E4155" s="1"/>
    </row>
    <row r="4156" spans="1:8">
      <c r="A4156" t="s">
        <v>7530</v>
      </c>
      <c r="B4156" t="s">
        <v>7531</v>
      </c>
      <c r="C4156" s="1" t="s">
        <v>9175</v>
      </c>
      <c r="D4156" s="1"/>
      <c r="E4156" s="1" t="str">
        <f t="shared" si="256"/>
        <v>https://www.kegg.jp/dbget-bin/www_bget?ec:2.6.99.2</v>
      </c>
      <c r="F4156" s="1" t="s">
        <v>10439</v>
      </c>
      <c r="G4156" s="10" t="s">
        <v>11273</v>
      </c>
      <c r="H4156" s="13" t="s">
        <v>11274</v>
      </c>
    </row>
    <row r="4157" spans="1:8">
      <c r="A4157" t="s">
        <v>7532</v>
      </c>
      <c r="B4157" t="s">
        <v>7533</v>
      </c>
      <c r="E4157" s="1"/>
    </row>
    <row r="4158" spans="1:8">
      <c r="A4158" t="s">
        <v>7534</v>
      </c>
      <c r="B4158" t="s">
        <v>7535</v>
      </c>
      <c r="C4158" s="1" t="s">
        <v>9176</v>
      </c>
      <c r="D4158" s="1"/>
      <c r="E4158" s="1" t="str">
        <f t="shared" si="256"/>
        <v>https://www.kegg.jp/dbget-bin/www_bget?ec:2.7.1.23</v>
      </c>
      <c r="F4158" s="1" t="s">
        <v>10441</v>
      </c>
      <c r="G4158" s="10" t="s">
        <v>11275</v>
      </c>
      <c r="H4158" s="13" t="s">
        <v>11276</v>
      </c>
    </row>
    <row r="4159" spans="1:8">
      <c r="A4159" t="s">
        <v>7536</v>
      </c>
      <c r="B4159" t="s">
        <v>7537</v>
      </c>
      <c r="E4159" s="1"/>
    </row>
    <row r="4160" spans="1:8">
      <c r="A4160" t="s">
        <v>7538</v>
      </c>
      <c r="B4160" t="s">
        <v>7539</v>
      </c>
      <c r="E4160" s="1"/>
    </row>
    <row r="4161" spans="1:5">
      <c r="A4161" t="s">
        <v>7540</v>
      </c>
      <c r="B4161" t="s">
        <v>7541</v>
      </c>
      <c r="E4161" s="1"/>
    </row>
    <row r="4162" spans="1:5">
      <c r="A4162" t="s">
        <v>7542</v>
      </c>
      <c r="B4162" t="s">
        <v>7543</v>
      </c>
      <c r="E4162" s="1"/>
    </row>
    <row r="4163" spans="1:5">
      <c r="A4163" t="s">
        <v>7544</v>
      </c>
      <c r="B4163" t="s">
        <v>7545</v>
      </c>
      <c r="E4163" s="1"/>
    </row>
    <row r="4164" spans="1:5">
      <c r="A4164" t="s">
        <v>7546</v>
      </c>
      <c r="B4164" t="s">
        <v>7547</v>
      </c>
      <c r="E4164" s="1"/>
    </row>
    <row r="4165" spans="1:5">
      <c r="A4165" t="s">
        <v>7548</v>
      </c>
      <c r="B4165" t="s">
        <v>7549</v>
      </c>
      <c r="E4165" s="1"/>
    </row>
    <row r="4166" spans="1:5">
      <c r="A4166" t="s">
        <v>7550</v>
      </c>
      <c r="B4166" t="s">
        <v>7551</v>
      </c>
      <c r="E4166" s="1"/>
    </row>
    <row r="4167" spans="1:5">
      <c r="A4167" t="s">
        <v>7552</v>
      </c>
      <c r="B4167" t="s">
        <v>7553</v>
      </c>
      <c r="E4167" s="1"/>
    </row>
    <row r="4168" spans="1:5">
      <c r="A4168" t="s">
        <v>7554</v>
      </c>
      <c r="B4168" t="s">
        <v>7555</v>
      </c>
      <c r="E4168" s="1"/>
    </row>
    <row r="4169" spans="1:5">
      <c r="A4169" t="s">
        <v>7556</v>
      </c>
      <c r="B4169" t="s">
        <v>7557</v>
      </c>
      <c r="E4169" s="1"/>
    </row>
    <row r="4170" spans="1:5">
      <c r="A4170" t="s">
        <v>7558</v>
      </c>
      <c r="B4170" t="s">
        <v>7559</v>
      </c>
      <c r="E4170" s="1"/>
    </row>
    <row r="4171" spans="1:5">
      <c r="A4171" t="s">
        <v>7560</v>
      </c>
      <c r="B4171" t="s">
        <v>7561</v>
      </c>
      <c r="E4171" s="1"/>
    </row>
    <row r="4172" spans="1:5">
      <c r="A4172" t="s">
        <v>7562</v>
      </c>
      <c r="B4172" t="s">
        <v>7563</v>
      </c>
      <c r="E4172" s="1"/>
    </row>
    <row r="4173" spans="1:5">
      <c r="A4173" t="s">
        <v>7564</v>
      </c>
      <c r="B4173" t="s">
        <v>7565</v>
      </c>
      <c r="E4173" s="1"/>
    </row>
    <row r="4174" spans="1:5">
      <c r="A4174" t="s">
        <v>7566</v>
      </c>
      <c r="B4174" t="s">
        <v>7567</v>
      </c>
      <c r="E4174" s="1"/>
    </row>
    <row r="4175" spans="1:5">
      <c r="A4175" t="s">
        <v>7568</v>
      </c>
      <c r="B4175" t="s">
        <v>7569</v>
      </c>
      <c r="E4175" s="1"/>
    </row>
    <row r="4176" spans="1:5">
      <c r="A4176" t="s">
        <v>7570</v>
      </c>
      <c r="B4176" t="s">
        <v>7571</v>
      </c>
      <c r="E4176" s="1"/>
    </row>
    <row r="4177" spans="1:8">
      <c r="A4177" t="s">
        <v>7572</v>
      </c>
      <c r="B4177" t="s">
        <v>7573</v>
      </c>
      <c r="E4177" s="1"/>
    </row>
    <row r="4178" spans="1:8">
      <c r="A4178" t="s">
        <v>7574</v>
      </c>
      <c r="B4178" t="s">
        <v>7575</v>
      </c>
      <c r="E4178" s="1"/>
    </row>
    <row r="4179" spans="1:8">
      <c r="A4179" t="s">
        <v>7576</v>
      </c>
      <c r="B4179" t="s">
        <v>7577</v>
      </c>
      <c r="E4179" s="1"/>
    </row>
    <row r="4180" spans="1:8">
      <c r="A4180" t="s">
        <v>7578</v>
      </c>
      <c r="B4180" t="s">
        <v>7579</v>
      </c>
      <c r="E4180" s="1"/>
    </row>
    <row r="4181" spans="1:8">
      <c r="A4181" t="s">
        <v>7580</v>
      </c>
      <c r="B4181" t="s">
        <v>7581</v>
      </c>
      <c r="E4181" s="1"/>
    </row>
    <row r="4182" spans="1:8">
      <c r="A4182" t="s">
        <v>7582</v>
      </c>
      <c r="B4182" t="s">
        <v>7583</v>
      </c>
      <c r="E4182" s="1"/>
    </row>
    <row r="4183" spans="1:8">
      <c r="A4183" t="s">
        <v>7584</v>
      </c>
      <c r="B4183" t="s">
        <v>7585</v>
      </c>
      <c r="E4183" s="1"/>
    </row>
    <row r="4184" spans="1:8">
      <c r="A4184" t="s">
        <v>7586</v>
      </c>
      <c r="B4184" t="s">
        <v>7587</v>
      </c>
      <c r="E4184" s="1"/>
    </row>
    <row r="4185" spans="1:8">
      <c r="A4185" t="s">
        <v>7588</v>
      </c>
      <c r="B4185" t="s">
        <v>7589</v>
      </c>
      <c r="C4185" s="1" t="s">
        <v>9177</v>
      </c>
      <c r="D4185" s="1"/>
      <c r="E4185" s="1" t="str">
        <f t="shared" ref="E4185" si="257">HYPERLINK("https://www.kegg.jp/dbget-bin/www_bget?ec:" &amp; C4185, "https://www.kegg.jp/dbget-bin/www_bget?ec:" &amp; C4185)</f>
        <v>https://www.kegg.jp/dbget-bin/www_bget?ec:2.7.1.90</v>
      </c>
      <c r="F4185" s="1" t="s">
        <v>10444</v>
      </c>
      <c r="G4185" s="10" t="s">
        <v>11277</v>
      </c>
      <c r="H4185" s="13" t="s">
        <v>11278</v>
      </c>
    </row>
    <row r="4186" spans="1:8">
      <c r="A4186" t="s">
        <v>7588</v>
      </c>
      <c r="B4186" t="s">
        <v>7589</v>
      </c>
      <c r="C4186" s="1" t="s">
        <v>9177</v>
      </c>
      <c r="D4186" s="1"/>
      <c r="E4186" s="1" t="str">
        <f t="shared" si="256"/>
        <v>https://www.kegg.jp/dbget-bin/www_bget?ec:2.7.1.90</v>
      </c>
      <c r="F4186" s="1" t="s">
        <v>10444</v>
      </c>
      <c r="G4186" s="10" t="s">
        <v>11279</v>
      </c>
      <c r="H4186" s="13" t="s">
        <v>11280</v>
      </c>
    </row>
    <row r="4187" spans="1:8">
      <c r="A4187" t="s">
        <v>7590</v>
      </c>
      <c r="B4187" t="s">
        <v>7591</v>
      </c>
      <c r="E4187" s="1"/>
    </row>
    <row r="4188" spans="1:8">
      <c r="A4188" t="s">
        <v>7592</v>
      </c>
      <c r="B4188" t="s">
        <v>7593</v>
      </c>
      <c r="E4188" s="1"/>
    </row>
    <row r="4189" spans="1:8">
      <c r="A4189" t="s">
        <v>7594</v>
      </c>
      <c r="B4189" t="s">
        <v>7595</v>
      </c>
      <c r="E4189" s="1"/>
    </row>
    <row r="4190" spans="1:8">
      <c r="A4190" t="s">
        <v>7596</v>
      </c>
      <c r="B4190" t="s">
        <v>7597</v>
      </c>
      <c r="E4190" s="1"/>
    </row>
    <row r="4191" spans="1:8">
      <c r="A4191" t="s">
        <v>7598</v>
      </c>
      <c r="B4191" t="s">
        <v>7599</v>
      </c>
      <c r="E4191" s="1"/>
    </row>
    <row r="4192" spans="1:8">
      <c r="A4192" t="s">
        <v>7600</v>
      </c>
      <c r="B4192" t="s">
        <v>7601</v>
      </c>
      <c r="E4192" s="1"/>
    </row>
    <row r="4193" spans="1:5">
      <c r="A4193" t="s">
        <v>7602</v>
      </c>
      <c r="B4193" t="s">
        <v>7603</v>
      </c>
      <c r="E4193" s="1"/>
    </row>
    <row r="4194" spans="1:5">
      <c r="A4194" t="s">
        <v>7604</v>
      </c>
      <c r="B4194" t="s">
        <v>7605</v>
      </c>
      <c r="E4194" s="1"/>
    </row>
    <row r="4195" spans="1:5">
      <c r="A4195" t="s">
        <v>7606</v>
      </c>
      <c r="B4195" t="s">
        <v>7607</v>
      </c>
      <c r="E4195" s="1"/>
    </row>
    <row r="4196" spans="1:5">
      <c r="A4196" t="s">
        <v>7608</v>
      </c>
      <c r="B4196" t="s">
        <v>7609</v>
      </c>
      <c r="E4196" s="1"/>
    </row>
    <row r="4197" spans="1:5">
      <c r="A4197" t="s">
        <v>7610</v>
      </c>
      <c r="B4197" t="s">
        <v>7611</v>
      </c>
      <c r="E4197" s="1"/>
    </row>
    <row r="4198" spans="1:5">
      <c r="A4198" t="s">
        <v>7612</v>
      </c>
      <c r="B4198" t="s">
        <v>7613</v>
      </c>
      <c r="E4198" s="1"/>
    </row>
    <row r="4199" spans="1:5">
      <c r="A4199" t="s">
        <v>7614</v>
      </c>
      <c r="B4199" t="s">
        <v>7615</v>
      </c>
      <c r="E4199" s="1"/>
    </row>
    <row r="4200" spans="1:5">
      <c r="A4200" t="s">
        <v>7616</v>
      </c>
      <c r="B4200" t="s">
        <v>7617</v>
      </c>
      <c r="E4200" s="1"/>
    </row>
    <row r="4201" spans="1:5">
      <c r="A4201" t="s">
        <v>7618</v>
      </c>
      <c r="B4201" t="s">
        <v>7619</v>
      </c>
      <c r="E4201" s="1"/>
    </row>
    <row r="4202" spans="1:5">
      <c r="A4202" t="s">
        <v>7620</v>
      </c>
      <c r="B4202" t="s">
        <v>7621</v>
      </c>
      <c r="E4202" s="1"/>
    </row>
    <row r="4203" spans="1:5">
      <c r="A4203" t="s">
        <v>7622</v>
      </c>
      <c r="B4203" t="s">
        <v>7623</v>
      </c>
      <c r="E4203" s="1"/>
    </row>
    <row r="4204" spans="1:5">
      <c r="A4204" t="s">
        <v>7624</v>
      </c>
      <c r="B4204" t="s">
        <v>7625</v>
      </c>
      <c r="E4204" s="1"/>
    </row>
    <row r="4205" spans="1:5">
      <c r="A4205" t="s">
        <v>7626</v>
      </c>
      <c r="B4205" t="s">
        <v>7627</v>
      </c>
      <c r="E4205" s="1"/>
    </row>
    <row r="4206" spans="1:5">
      <c r="A4206" t="s">
        <v>7628</v>
      </c>
      <c r="B4206" t="s">
        <v>7629</v>
      </c>
      <c r="E4206" s="1"/>
    </row>
    <row r="4207" spans="1:5">
      <c r="A4207" t="s">
        <v>7630</v>
      </c>
      <c r="B4207" t="s">
        <v>7631</v>
      </c>
      <c r="E4207" s="1"/>
    </row>
    <row r="4208" spans="1:5">
      <c r="A4208" t="s">
        <v>7632</v>
      </c>
      <c r="B4208" t="s">
        <v>7633</v>
      </c>
      <c r="E4208" s="1"/>
    </row>
    <row r="4209" spans="1:11">
      <c r="A4209" t="s">
        <v>7634</v>
      </c>
      <c r="B4209" t="s">
        <v>7635</v>
      </c>
      <c r="E4209" s="1"/>
    </row>
    <row r="4210" spans="1:11">
      <c r="A4210" t="s">
        <v>7636</v>
      </c>
      <c r="B4210" t="s">
        <v>7637</v>
      </c>
      <c r="E4210" s="1"/>
    </row>
    <row r="4211" spans="1:11">
      <c r="A4211" t="s">
        <v>7638</v>
      </c>
      <c r="B4211" t="s">
        <v>7639</v>
      </c>
      <c r="E4211" s="1"/>
    </row>
    <row r="4212" spans="1:11">
      <c r="A4212" t="s">
        <v>7640</v>
      </c>
      <c r="B4212" t="s">
        <v>7641</v>
      </c>
      <c r="E4212" s="1"/>
    </row>
    <row r="4213" spans="1:11">
      <c r="A4213" t="s">
        <v>7642</v>
      </c>
      <c r="B4213" t="s">
        <v>7643</v>
      </c>
      <c r="C4213" s="1" t="s">
        <v>9178</v>
      </c>
      <c r="D4213" s="1"/>
      <c r="E4213" s="1" t="str">
        <f t="shared" ref="E4213" si="258">HYPERLINK("https://www.kegg.jp/dbget-bin/www_bget?ec:" &amp; C4213, "https://www.kegg.jp/dbget-bin/www_bget?ec:" &amp; C4213)</f>
        <v>https://www.kegg.jp/dbget-bin/www_bget?ec:2.4.2.22</v>
      </c>
      <c r="F4213" s="1" t="s">
        <v>10449</v>
      </c>
      <c r="G4213" s="10" t="s">
        <v>9410</v>
      </c>
      <c r="H4213" s="13" t="s">
        <v>11281</v>
      </c>
    </row>
    <row r="4214" spans="1:11">
      <c r="A4214" t="s">
        <v>7642</v>
      </c>
      <c r="B4214" t="s">
        <v>7643</v>
      </c>
      <c r="C4214" s="1" t="s">
        <v>9178</v>
      </c>
      <c r="D4214" s="1"/>
      <c r="E4214" s="1" t="str">
        <f t="shared" ref="E4214:E4262" si="259">HYPERLINK("https://www.kegg.jp/dbget-bin/www_bget?ec:" &amp; C4214, "https://www.kegg.jp/dbget-bin/www_bget?ec:" &amp; C4214)</f>
        <v>https://www.kegg.jp/dbget-bin/www_bget?ec:2.4.2.22</v>
      </c>
      <c r="F4214" s="1" t="s">
        <v>10449</v>
      </c>
      <c r="G4214" s="10" t="s">
        <v>11282</v>
      </c>
      <c r="H4214" s="13" t="s">
        <v>9409</v>
      </c>
    </row>
    <row r="4215" spans="1:11">
      <c r="A4215" t="s">
        <v>7644</v>
      </c>
      <c r="B4215" t="s">
        <v>7645</v>
      </c>
      <c r="E4215" s="1"/>
    </row>
    <row r="4216" spans="1:11">
      <c r="A4216" t="s">
        <v>7646</v>
      </c>
      <c r="B4216" t="s">
        <v>7647</v>
      </c>
      <c r="E4216" s="1"/>
    </row>
    <row r="4217" spans="1:11">
      <c r="B4217" t="s">
        <v>7648</v>
      </c>
      <c r="E4217" s="1"/>
    </row>
    <row r="4218" spans="1:11">
      <c r="A4218" t="s">
        <v>7649</v>
      </c>
      <c r="B4218" t="s">
        <v>7650</v>
      </c>
      <c r="E4218" s="1"/>
    </row>
    <row r="4219" spans="1:11">
      <c r="A4219" t="s">
        <v>7651</v>
      </c>
      <c r="B4219" t="s">
        <v>7652</v>
      </c>
      <c r="E4219" s="1"/>
    </row>
    <row r="4220" spans="1:11">
      <c r="A4220" s="19" t="s">
        <v>7653</v>
      </c>
      <c r="B4220" s="19" t="s">
        <v>7654</v>
      </c>
      <c r="C4220" s="1" t="s">
        <v>9179</v>
      </c>
      <c r="D4220" s="26"/>
      <c r="E4220" s="1" t="s">
        <v>10454</v>
      </c>
      <c r="F4220" s="19" t="s">
        <v>10455</v>
      </c>
      <c r="G4220" s="22" t="s">
        <v>11283</v>
      </c>
      <c r="H4220" s="20" t="s">
        <v>11284</v>
      </c>
      <c r="I4220" s="19"/>
      <c r="J4220" s="19"/>
      <c r="K4220" s="19"/>
    </row>
    <row r="4221" spans="1:11">
      <c r="A4221" s="19" t="s">
        <v>7653</v>
      </c>
      <c r="B4221" s="19" t="s">
        <v>7654</v>
      </c>
      <c r="C4221" s="1" t="s">
        <v>9179</v>
      </c>
      <c r="D4221" s="26"/>
      <c r="E4221" s="1" t="s">
        <v>10454</v>
      </c>
      <c r="F4221" s="19" t="s">
        <v>10455</v>
      </c>
      <c r="G4221" s="22" t="s">
        <v>11285</v>
      </c>
      <c r="H4221" s="20" t="s">
        <v>11286</v>
      </c>
      <c r="I4221" s="19"/>
      <c r="J4221" s="19"/>
      <c r="K4221" s="19"/>
    </row>
    <row r="4222" spans="1:11">
      <c r="A4222" s="19" t="s">
        <v>7653</v>
      </c>
      <c r="B4222" s="19" t="s">
        <v>7654</v>
      </c>
      <c r="C4222" s="1" t="s">
        <v>9179</v>
      </c>
      <c r="D4222" s="26"/>
      <c r="E4222" s="1" t="s">
        <v>10454</v>
      </c>
      <c r="F4222" s="19" t="s">
        <v>10455</v>
      </c>
      <c r="G4222" s="22" t="s">
        <v>11287</v>
      </c>
      <c r="H4222" s="20" t="s">
        <v>11288</v>
      </c>
      <c r="I4222" s="19"/>
      <c r="J4222" s="19"/>
      <c r="K4222" s="19"/>
    </row>
    <row r="4223" spans="1:11">
      <c r="A4223" s="19" t="s">
        <v>7653</v>
      </c>
      <c r="B4223" s="19" t="s">
        <v>7654</v>
      </c>
      <c r="C4223" s="1" t="s">
        <v>9179</v>
      </c>
      <c r="D4223" s="26"/>
      <c r="E4223" s="1" t="s">
        <v>10454</v>
      </c>
      <c r="F4223" s="19" t="s">
        <v>10455</v>
      </c>
      <c r="G4223" s="22" t="s">
        <v>11289</v>
      </c>
      <c r="H4223" s="20" t="s">
        <v>11290</v>
      </c>
      <c r="I4223" s="19"/>
      <c r="J4223" s="19"/>
      <c r="K4223" s="19"/>
    </row>
    <row r="4224" spans="1:11">
      <c r="A4224" s="19" t="s">
        <v>7653</v>
      </c>
      <c r="B4224" s="19" t="s">
        <v>7654</v>
      </c>
      <c r="C4224" s="1" t="s">
        <v>9179</v>
      </c>
      <c r="D4224" s="26"/>
      <c r="E4224" s="1" t="s">
        <v>10454</v>
      </c>
      <c r="F4224" s="19" t="s">
        <v>10455</v>
      </c>
      <c r="G4224" s="22" t="s">
        <v>11291</v>
      </c>
      <c r="H4224" s="20" t="s">
        <v>11292</v>
      </c>
      <c r="I4224" s="19"/>
      <c r="J4224" s="19"/>
      <c r="K4224" s="19"/>
    </row>
    <row r="4225" spans="1:11">
      <c r="A4225" s="19" t="s">
        <v>7653</v>
      </c>
      <c r="B4225" s="19" t="s">
        <v>7654</v>
      </c>
      <c r="C4225" s="1" t="s">
        <v>9179</v>
      </c>
      <c r="D4225" s="26"/>
      <c r="E4225" s="1" t="s">
        <v>10454</v>
      </c>
      <c r="F4225" s="19" t="s">
        <v>10455</v>
      </c>
      <c r="G4225" s="22" t="s">
        <v>11293</v>
      </c>
      <c r="H4225" s="20" t="s">
        <v>11294</v>
      </c>
      <c r="I4225" s="19"/>
      <c r="J4225" s="19"/>
      <c r="K4225" s="19"/>
    </row>
    <row r="4226" spans="1:11">
      <c r="A4226" s="19" t="s">
        <v>7653</v>
      </c>
      <c r="B4226" s="19" t="s">
        <v>7654</v>
      </c>
      <c r="C4226" s="1" t="s">
        <v>9179</v>
      </c>
      <c r="D4226" s="26"/>
      <c r="E4226" s="1" t="s">
        <v>10454</v>
      </c>
      <c r="F4226" s="19" t="s">
        <v>10455</v>
      </c>
      <c r="G4226" s="22" t="s">
        <v>11295</v>
      </c>
      <c r="H4226" s="20" t="s">
        <v>11296</v>
      </c>
      <c r="I4226" s="19"/>
      <c r="J4226" s="19"/>
      <c r="K4226" s="19"/>
    </row>
    <row r="4227" spans="1:11">
      <c r="A4227" t="s">
        <v>7653</v>
      </c>
      <c r="B4227" t="s">
        <v>7654</v>
      </c>
      <c r="C4227" s="1" t="s">
        <v>9179</v>
      </c>
      <c r="D4227" s="1"/>
      <c r="E4227" s="1" t="str">
        <f t="shared" ref="E4227" si="260">HYPERLINK("https://www.kegg.jp/dbget-bin/www_bget?ec:" &amp; C4227, "https://www.kegg.jp/dbget-bin/www_bget?ec:" &amp; C4227)</f>
        <v>https://www.kegg.jp/dbget-bin/www_bget?ec:1.1.1.100</v>
      </c>
      <c r="F4227" t="s">
        <v>10455</v>
      </c>
      <c r="G4227" s="10" t="s">
        <v>11297</v>
      </c>
      <c r="H4227" s="13" t="s">
        <v>11298</v>
      </c>
    </row>
    <row r="4228" spans="1:11">
      <c r="A4228" t="s">
        <v>7653</v>
      </c>
      <c r="B4228" t="s">
        <v>7654</v>
      </c>
      <c r="C4228" s="1" t="s">
        <v>9179</v>
      </c>
      <c r="D4228" s="1"/>
      <c r="E4228" s="1" t="str">
        <f t="shared" ref="E4228" si="261">HYPERLINK("https://www.kegg.jp/dbget-bin/www_bget?ec:" &amp; C4228, "https://www.kegg.jp/dbget-bin/www_bget?ec:" &amp; C4228)</f>
        <v>https://www.kegg.jp/dbget-bin/www_bget?ec:1.1.1.100</v>
      </c>
      <c r="F4228" s="19" t="s">
        <v>10455</v>
      </c>
      <c r="G4228" s="10" t="s">
        <v>11299</v>
      </c>
      <c r="H4228" s="13" t="s">
        <v>11300</v>
      </c>
    </row>
    <row r="4229" spans="1:11">
      <c r="A4229" t="s">
        <v>7653</v>
      </c>
      <c r="B4229" t="s">
        <v>7654</v>
      </c>
      <c r="C4229" s="1" t="s">
        <v>9179</v>
      </c>
      <c r="D4229" s="1"/>
      <c r="E4229" s="1" t="str">
        <f t="shared" ref="E4229" si="262">HYPERLINK("https://www.kegg.jp/dbget-bin/www_bget?ec:" &amp; C4229, "https://www.kegg.jp/dbget-bin/www_bget?ec:" &amp; C4229)</f>
        <v>https://www.kegg.jp/dbget-bin/www_bget?ec:1.1.1.100</v>
      </c>
      <c r="F4229" t="s">
        <v>10455</v>
      </c>
      <c r="G4229" s="10" t="s">
        <v>11301</v>
      </c>
      <c r="H4229" s="13" t="s">
        <v>11302</v>
      </c>
    </row>
    <row r="4230" spans="1:11">
      <c r="A4230" t="s">
        <v>7653</v>
      </c>
      <c r="B4230" t="s">
        <v>7654</v>
      </c>
      <c r="C4230" s="1" t="s">
        <v>9179</v>
      </c>
      <c r="D4230" s="1"/>
      <c r="E4230" s="1" t="str">
        <f t="shared" ref="E4230" si="263">HYPERLINK("https://www.kegg.jp/dbget-bin/www_bget?ec:" &amp; C4230, "https://www.kegg.jp/dbget-bin/www_bget?ec:" &amp; C4230)</f>
        <v>https://www.kegg.jp/dbget-bin/www_bget?ec:1.1.1.100</v>
      </c>
      <c r="F4230" s="19" t="s">
        <v>10455</v>
      </c>
      <c r="G4230" s="10" t="s">
        <v>11303</v>
      </c>
      <c r="H4230" s="13" t="s">
        <v>11304</v>
      </c>
    </row>
    <row r="4231" spans="1:11">
      <c r="A4231" t="s">
        <v>7655</v>
      </c>
      <c r="B4231" t="s">
        <v>7656</v>
      </c>
      <c r="E4231" s="1"/>
    </row>
    <row r="4232" spans="1:11">
      <c r="A4232" t="s">
        <v>7657</v>
      </c>
      <c r="B4232" t="s">
        <v>7658</v>
      </c>
      <c r="E4232" s="1"/>
    </row>
    <row r="4233" spans="1:11">
      <c r="A4233" t="s">
        <v>7659</v>
      </c>
      <c r="B4233" t="s">
        <v>7660</v>
      </c>
      <c r="E4233" s="1"/>
    </row>
    <row r="4234" spans="1:11">
      <c r="A4234" t="s">
        <v>7661</v>
      </c>
      <c r="B4234" t="s">
        <v>7662</v>
      </c>
      <c r="E4234" s="1"/>
    </row>
    <row r="4235" spans="1:11">
      <c r="A4235" t="s">
        <v>7663</v>
      </c>
      <c r="B4235" t="s">
        <v>7664</v>
      </c>
      <c r="C4235" s="1" t="s">
        <v>9180</v>
      </c>
      <c r="D4235" s="1"/>
      <c r="E4235" s="1" t="str">
        <f t="shared" si="259"/>
        <v>https://www.kegg.jp/dbget-bin/www_bget?ec:2.3.1.46</v>
      </c>
      <c r="F4235" s="1" t="s">
        <v>10478</v>
      </c>
      <c r="G4235" s="10" t="s">
        <v>11305</v>
      </c>
      <c r="H4235" s="13" t="s">
        <v>11306</v>
      </c>
    </row>
    <row r="4236" spans="1:11">
      <c r="A4236" t="s">
        <v>7665</v>
      </c>
      <c r="B4236" t="s">
        <v>7666</v>
      </c>
      <c r="E4236" s="1"/>
    </row>
    <row r="4237" spans="1:11">
      <c r="A4237" t="s">
        <v>7667</v>
      </c>
      <c r="B4237" t="s">
        <v>7668</v>
      </c>
      <c r="E4237" s="1"/>
    </row>
    <row r="4238" spans="1:11">
      <c r="A4238" t="s">
        <v>7669</v>
      </c>
      <c r="B4238" t="s">
        <v>7670</v>
      </c>
      <c r="E4238" s="1"/>
    </row>
    <row r="4239" spans="1:11">
      <c r="A4239" t="s">
        <v>7671</v>
      </c>
      <c r="B4239" t="s">
        <v>7672</v>
      </c>
      <c r="E4239" s="1"/>
    </row>
    <row r="4240" spans="1:11">
      <c r="A4240" t="s">
        <v>7673</v>
      </c>
      <c r="B4240" t="s">
        <v>7674</v>
      </c>
      <c r="E4240" s="1"/>
    </row>
    <row r="4241" spans="1:8">
      <c r="A4241" t="s">
        <v>7675</v>
      </c>
      <c r="B4241" t="s">
        <v>7676</v>
      </c>
      <c r="E4241" s="1"/>
    </row>
    <row r="4242" spans="1:8">
      <c r="A4242" t="s">
        <v>7677</v>
      </c>
      <c r="B4242" t="s">
        <v>7678</v>
      </c>
      <c r="E4242" s="1"/>
    </row>
    <row r="4243" spans="1:8">
      <c r="A4243" t="s">
        <v>7679</v>
      </c>
      <c r="B4243" t="s">
        <v>7680</v>
      </c>
      <c r="E4243" s="1"/>
    </row>
    <row r="4244" spans="1:8">
      <c r="A4244" t="s">
        <v>7681</v>
      </c>
      <c r="B4244" t="s">
        <v>7682</v>
      </c>
      <c r="E4244" s="1"/>
    </row>
    <row r="4245" spans="1:8">
      <c r="A4245" t="s">
        <v>7683</v>
      </c>
      <c r="B4245" t="s">
        <v>7684</v>
      </c>
      <c r="C4245" s="1" t="s">
        <v>4368</v>
      </c>
      <c r="D4245" s="1"/>
      <c r="E4245" s="1" t="str">
        <f t="shared" ref="E4245" si="264">HYPERLINK("https://www.kegg.jp/dbget-bin/www_bget?ec:" &amp; C4245, "https://www.kegg.jp/dbget-bin/www_bget?ec:" &amp; C4245)</f>
        <v>https://www.kegg.jp/dbget-bin/www_bget?ec:4.1.2.13</v>
      </c>
      <c r="F4245" t="s">
        <v>10026</v>
      </c>
      <c r="G4245" s="10" t="s">
        <v>10481</v>
      </c>
      <c r="H4245" s="13" t="s">
        <v>10979</v>
      </c>
    </row>
    <row r="4246" spans="1:8">
      <c r="A4246" t="s">
        <v>7683</v>
      </c>
      <c r="B4246" t="s">
        <v>7684</v>
      </c>
      <c r="C4246" s="1" t="s">
        <v>4368</v>
      </c>
      <c r="D4246" s="1"/>
      <c r="E4246" s="1" t="str">
        <f t="shared" ref="E4246" si="265">HYPERLINK("https://www.kegg.jp/dbget-bin/www_bget?ec:" &amp; C4246, "https://www.kegg.jp/dbget-bin/www_bget?ec:" &amp; C4246)</f>
        <v>https://www.kegg.jp/dbget-bin/www_bget?ec:4.1.2.13</v>
      </c>
      <c r="F4246" s="31" t="s">
        <v>10026</v>
      </c>
      <c r="G4246" s="10" t="s">
        <v>10482</v>
      </c>
      <c r="H4246" s="13" t="s">
        <v>10979</v>
      </c>
    </row>
    <row r="4247" spans="1:8">
      <c r="A4247" t="s">
        <v>7683</v>
      </c>
      <c r="B4247" t="s">
        <v>7684</v>
      </c>
      <c r="C4247" s="1" t="s">
        <v>4368</v>
      </c>
      <c r="D4247" s="1"/>
      <c r="E4247" s="1" t="str">
        <f t="shared" ref="E4247" si="266">HYPERLINK("https://www.kegg.jp/dbget-bin/www_bget?ec:" &amp; C4247, "https://www.kegg.jp/dbget-bin/www_bget?ec:" &amp; C4247)</f>
        <v>https://www.kegg.jp/dbget-bin/www_bget?ec:4.1.2.13</v>
      </c>
      <c r="F4247" t="s">
        <v>10026</v>
      </c>
      <c r="G4247" s="10" t="s">
        <v>10483</v>
      </c>
      <c r="H4247" s="13" t="s">
        <v>10980</v>
      </c>
    </row>
    <row r="4248" spans="1:8">
      <c r="A4248" t="s">
        <v>7683</v>
      </c>
      <c r="B4248" t="s">
        <v>7684</v>
      </c>
      <c r="C4248" s="1" t="s">
        <v>4368</v>
      </c>
      <c r="D4248" s="1"/>
      <c r="E4248" s="1" t="str">
        <f t="shared" si="259"/>
        <v>https://www.kegg.jp/dbget-bin/www_bget?ec:4.1.2.13</v>
      </c>
      <c r="F4248" t="s">
        <v>10026</v>
      </c>
      <c r="G4248" s="10" t="s">
        <v>10484</v>
      </c>
      <c r="H4248" s="13" t="s">
        <v>11307</v>
      </c>
    </row>
    <row r="4249" spans="1:8">
      <c r="A4249" t="s">
        <v>7685</v>
      </c>
      <c r="B4249" t="s">
        <v>7686</v>
      </c>
      <c r="E4249" s="1"/>
    </row>
    <row r="4250" spans="1:8">
      <c r="B4250" t="s">
        <v>7687</v>
      </c>
      <c r="E4250" s="1"/>
    </row>
    <row r="4251" spans="1:8">
      <c r="A4251" t="s">
        <v>7688</v>
      </c>
      <c r="B4251" t="s">
        <v>7689</v>
      </c>
      <c r="E4251" s="1"/>
    </row>
    <row r="4252" spans="1:8">
      <c r="A4252" t="s">
        <v>7690</v>
      </c>
      <c r="B4252" t="s">
        <v>7691</v>
      </c>
      <c r="E4252" s="1"/>
    </row>
    <row r="4253" spans="1:8">
      <c r="A4253" t="s">
        <v>7692</v>
      </c>
      <c r="B4253" t="s">
        <v>7693</v>
      </c>
      <c r="C4253" s="1" t="s">
        <v>9181</v>
      </c>
      <c r="D4253" s="1"/>
      <c r="E4253" s="1" t="str">
        <f t="shared" si="259"/>
        <v>https://www.kegg.jp/dbget-bin/www_bget?ec:3.6.5.n1</v>
      </c>
      <c r="F4253" t="s">
        <v>9650</v>
      </c>
    </row>
    <row r="4254" spans="1:8">
      <c r="A4254" t="s">
        <v>7694</v>
      </c>
      <c r="B4254" t="s">
        <v>7695</v>
      </c>
      <c r="E4254" s="1"/>
    </row>
    <row r="4255" spans="1:8">
      <c r="A4255" t="s">
        <v>7696</v>
      </c>
      <c r="B4255" t="s">
        <v>7697</v>
      </c>
      <c r="E4255" s="1"/>
    </row>
    <row r="4256" spans="1:8">
      <c r="A4256" t="s">
        <v>7698</v>
      </c>
      <c r="B4256" t="s">
        <v>7699</v>
      </c>
      <c r="E4256" s="1"/>
    </row>
    <row r="4257" spans="1:8">
      <c r="A4257" t="s">
        <v>7700</v>
      </c>
      <c r="B4257" t="s">
        <v>7701</v>
      </c>
      <c r="E4257" s="1"/>
    </row>
    <row r="4258" spans="1:8">
      <c r="A4258" t="s">
        <v>7702</v>
      </c>
      <c r="B4258" t="s">
        <v>7703</v>
      </c>
      <c r="E4258" s="1"/>
    </row>
    <row r="4259" spans="1:8">
      <c r="A4259" t="s">
        <v>7704</v>
      </c>
      <c r="B4259" t="s">
        <v>7705</v>
      </c>
      <c r="E4259" s="1"/>
    </row>
    <row r="4260" spans="1:8">
      <c r="A4260" t="s">
        <v>7706</v>
      </c>
      <c r="B4260" t="s">
        <v>7707</v>
      </c>
      <c r="C4260" s="1" t="s">
        <v>570</v>
      </c>
      <c r="D4260" s="1"/>
      <c r="E4260" s="1" t="str">
        <f t="shared" ref="E4260:E4261" si="267">HYPERLINK("https://www.kegg.jp/dbget-bin/www_bget?ec:" &amp; C4260, "https://www.kegg.jp/dbget-bin/www_bget?ec:" &amp; C4260)</f>
        <v>https://www.kegg.jp/dbget-bin/www_bget?ec:5.1.3.14</v>
      </c>
      <c r="F4260" s="1" t="s">
        <v>9385</v>
      </c>
      <c r="G4260" s="22" t="s">
        <v>9386</v>
      </c>
      <c r="H4260" s="1" t="s">
        <v>9387</v>
      </c>
    </row>
    <row r="4261" spans="1:8">
      <c r="A4261" t="s">
        <v>7706</v>
      </c>
      <c r="B4261" t="s">
        <v>7707</v>
      </c>
      <c r="C4261" s="1" t="s">
        <v>570</v>
      </c>
      <c r="D4261" s="1"/>
      <c r="E4261" s="1" t="str">
        <f t="shared" si="267"/>
        <v>https://www.kegg.jp/dbget-bin/www_bget?ec:5.1.3.14</v>
      </c>
      <c r="F4261" s="1" t="s">
        <v>9385</v>
      </c>
      <c r="G4261" s="22" t="s">
        <v>9388</v>
      </c>
      <c r="H4261" s="20" t="s">
        <v>9390</v>
      </c>
    </row>
    <row r="4262" spans="1:8">
      <c r="A4262" t="s">
        <v>7706</v>
      </c>
      <c r="B4262" t="s">
        <v>7707</v>
      </c>
      <c r="C4262" s="1" t="s">
        <v>570</v>
      </c>
      <c r="D4262" s="1"/>
      <c r="E4262" s="1" t="str">
        <f t="shared" si="259"/>
        <v>https://www.kegg.jp/dbget-bin/www_bget?ec:5.1.3.14</v>
      </c>
      <c r="F4262" s="1" t="s">
        <v>9385</v>
      </c>
      <c r="G4262" s="22" t="s">
        <v>9389</v>
      </c>
      <c r="H4262" s="20" t="s">
        <v>9391</v>
      </c>
    </row>
    <row r="4263" spans="1:8">
      <c r="A4263" t="s">
        <v>7708</v>
      </c>
      <c r="B4263" t="s">
        <v>7709</v>
      </c>
      <c r="E4263" s="1"/>
    </row>
    <row r="4264" spans="1:8">
      <c r="A4264" t="s">
        <v>7710</v>
      </c>
      <c r="B4264" t="s">
        <v>7711</v>
      </c>
      <c r="E4264" s="1"/>
    </row>
    <row r="4265" spans="1:8">
      <c r="A4265" t="s">
        <v>7712</v>
      </c>
      <c r="B4265" t="s">
        <v>7713</v>
      </c>
      <c r="E4265" s="1"/>
    </row>
    <row r="4266" spans="1:8">
      <c r="A4266" t="s">
        <v>7714</v>
      </c>
      <c r="B4266" t="s">
        <v>7715</v>
      </c>
      <c r="E4266" s="1"/>
    </row>
    <row r="4267" spans="1:8">
      <c r="A4267" t="s">
        <v>7716</v>
      </c>
      <c r="B4267" t="s">
        <v>7717</v>
      </c>
      <c r="E4267" s="1"/>
    </row>
    <row r="4268" spans="1:8">
      <c r="A4268" t="s">
        <v>7718</v>
      </c>
      <c r="B4268" t="s">
        <v>7719</v>
      </c>
      <c r="E4268" s="1"/>
    </row>
    <row r="4269" spans="1:8">
      <c r="A4269" t="s">
        <v>7720</v>
      </c>
      <c r="B4269" t="s">
        <v>7721</v>
      </c>
      <c r="E4269" s="1"/>
    </row>
    <row r="4270" spans="1:8">
      <c r="A4270" t="s">
        <v>7722</v>
      </c>
      <c r="B4270" t="s">
        <v>7723</v>
      </c>
      <c r="E4270" s="1"/>
    </row>
    <row r="4271" spans="1:8">
      <c r="A4271" t="s">
        <v>7724</v>
      </c>
      <c r="B4271" t="s">
        <v>7725</v>
      </c>
      <c r="E4271" s="1"/>
    </row>
    <row r="4272" spans="1:8">
      <c r="A4272" t="s">
        <v>7726</v>
      </c>
      <c r="B4272" t="s">
        <v>7727</v>
      </c>
      <c r="E4272" s="1"/>
    </row>
    <row r="4273" spans="1:8">
      <c r="A4273" t="s">
        <v>7728</v>
      </c>
      <c r="B4273" t="s">
        <v>7729</v>
      </c>
      <c r="E4273" s="1"/>
    </row>
    <row r="4274" spans="1:8">
      <c r="A4274" t="s">
        <v>7730</v>
      </c>
      <c r="B4274" t="s">
        <v>7731</v>
      </c>
      <c r="E4274" s="1"/>
    </row>
    <row r="4275" spans="1:8">
      <c r="A4275" t="s">
        <v>7732</v>
      </c>
      <c r="B4275" t="s">
        <v>7733</v>
      </c>
      <c r="E4275" s="1"/>
    </row>
    <row r="4276" spans="1:8">
      <c r="A4276" t="s">
        <v>7734</v>
      </c>
      <c r="B4276" t="s">
        <v>7735</v>
      </c>
      <c r="E4276" s="1"/>
    </row>
    <row r="4277" spans="1:8">
      <c r="A4277" t="s">
        <v>7736</v>
      </c>
      <c r="B4277" t="s">
        <v>7737</v>
      </c>
      <c r="E4277" s="1"/>
    </row>
    <row r="4278" spans="1:8">
      <c r="A4278" t="s">
        <v>7738</v>
      </c>
      <c r="B4278" t="s">
        <v>7739</v>
      </c>
      <c r="E4278" s="1"/>
    </row>
    <row r="4279" spans="1:8">
      <c r="A4279" t="s">
        <v>7740</v>
      </c>
      <c r="B4279" t="s">
        <v>7741</v>
      </c>
      <c r="E4279" s="1"/>
    </row>
    <row r="4280" spans="1:8">
      <c r="A4280" t="s">
        <v>7742</v>
      </c>
      <c r="B4280" t="s">
        <v>7743</v>
      </c>
      <c r="C4280" s="1" t="s">
        <v>4081</v>
      </c>
      <c r="D4280" s="1"/>
      <c r="E4280" s="1" t="str">
        <f>HYPERLINK("https://www.kegg.jp/dbget-bin/www_bget?ec:" &amp; C4280, "https://www.kegg.jp/dbget-bin/www_bget?ec:" &amp; C4280)</f>
        <v>https://www.kegg.jp/dbget-bin/www_bget?ec:1.11.1.24</v>
      </c>
      <c r="F4280" s="19" t="s">
        <v>9951</v>
      </c>
      <c r="G4280" s="22" t="s">
        <v>10935</v>
      </c>
      <c r="H4280" s="20" t="s">
        <v>10936</v>
      </c>
    </row>
    <row r="4281" spans="1:8">
      <c r="A4281" t="s">
        <v>7744</v>
      </c>
      <c r="B4281" t="s">
        <v>7745</v>
      </c>
      <c r="E4281" s="1"/>
    </row>
    <row r="4282" spans="1:8">
      <c r="A4282" t="s">
        <v>7746</v>
      </c>
      <c r="B4282" t="s">
        <v>7747</v>
      </c>
      <c r="E4282" s="1"/>
    </row>
    <row r="4283" spans="1:8">
      <c r="A4283" t="s">
        <v>7748</v>
      </c>
      <c r="B4283" t="s">
        <v>7749</v>
      </c>
      <c r="E4283" s="1"/>
    </row>
    <row r="4284" spans="1:8">
      <c r="A4284" t="s">
        <v>7750</v>
      </c>
      <c r="B4284" t="s">
        <v>7751</v>
      </c>
      <c r="E4284" s="1"/>
    </row>
    <row r="4285" spans="1:8">
      <c r="A4285" t="s">
        <v>7752</v>
      </c>
      <c r="B4285" t="s">
        <v>7753</v>
      </c>
      <c r="E4285" s="1"/>
    </row>
    <row r="4286" spans="1:8">
      <c r="A4286" t="s">
        <v>7754</v>
      </c>
      <c r="B4286" t="s">
        <v>7755</v>
      </c>
      <c r="E4286" s="1"/>
    </row>
    <row r="4287" spans="1:8">
      <c r="A4287" t="s">
        <v>7756</v>
      </c>
      <c r="B4287" t="s">
        <v>7757</v>
      </c>
      <c r="E4287" s="1"/>
    </row>
    <row r="4288" spans="1:8">
      <c r="A4288" t="s">
        <v>7758</v>
      </c>
      <c r="B4288" t="s">
        <v>7759</v>
      </c>
      <c r="E4288" s="1"/>
    </row>
    <row r="4289" spans="1:5">
      <c r="A4289" t="s">
        <v>7760</v>
      </c>
      <c r="B4289" t="s">
        <v>7761</v>
      </c>
      <c r="E4289" s="1"/>
    </row>
    <row r="4290" spans="1:5">
      <c r="A4290" t="s">
        <v>7762</v>
      </c>
      <c r="B4290" t="s">
        <v>7763</v>
      </c>
      <c r="E4290" s="1"/>
    </row>
    <row r="4291" spans="1:5">
      <c r="A4291" t="s">
        <v>7764</v>
      </c>
      <c r="B4291" t="s">
        <v>7765</v>
      </c>
      <c r="E4291" s="1"/>
    </row>
    <row r="4292" spans="1:5">
      <c r="A4292" t="s">
        <v>7766</v>
      </c>
      <c r="B4292" t="s">
        <v>7767</v>
      </c>
      <c r="E4292" s="1"/>
    </row>
    <row r="4293" spans="1:5">
      <c r="A4293" t="s">
        <v>7768</v>
      </c>
      <c r="B4293" t="s">
        <v>7769</v>
      </c>
      <c r="E4293" s="1"/>
    </row>
    <row r="4294" spans="1:5">
      <c r="A4294" t="s">
        <v>7770</v>
      </c>
      <c r="B4294" t="s">
        <v>7771</v>
      </c>
      <c r="E4294" s="1"/>
    </row>
    <row r="4295" spans="1:5">
      <c r="A4295" t="s">
        <v>7772</v>
      </c>
      <c r="B4295" t="s">
        <v>7773</v>
      </c>
      <c r="E4295" s="1"/>
    </row>
    <row r="4296" spans="1:5">
      <c r="A4296" t="s">
        <v>7774</v>
      </c>
      <c r="B4296" t="s">
        <v>7775</v>
      </c>
      <c r="E4296" s="1"/>
    </row>
    <row r="4297" spans="1:5">
      <c r="A4297" t="s">
        <v>7776</v>
      </c>
      <c r="B4297" t="s">
        <v>7777</v>
      </c>
      <c r="E4297" s="1"/>
    </row>
    <row r="4298" spans="1:5">
      <c r="A4298" t="s">
        <v>7778</v>
      </c>
      <c r="B4298" t="s">
        <v>7779</v>
      </c>
      <c r="E4298" s="1"/>
    </row>
    <row r="4299" spans="1:5">
      <c r="A4299" t="s">
        <v>7780</v>
      </c>
      <c r="B4299" t="s">
        <v>7781</v>
      </c>
      <c r="E4299" s="1"/>
    </row>
    <row r="4300" spans="1:5">
      <c r="A4300" t="s">
        <v>7782</v>
      </c>
      <c r="B4300" t="s">
        <v>7783</v>
      </c>
      <c r="E4300" s="1"/>
    </row>
    <row r="4301" spans="1:5">
      <c r="B4301" t="s">
        <v>7784</v>
      </c>
      <c r="E4301" s="1"/>
    </row>
    <row r="4302" spans="1:5">
      <c r="A4302" t="s">
        <v>7785</v>
      </c>
      <c r="B4302" t="s">
        <v>7786</v>
      </c>
      <c r="E4302" s="1"/>
    </row>
    <row r="4303" spans="1:5">
      <c r="A4303" t="s">
        <v>7787</v>
      </c>
      <c r="B4303" t="s">
        <v>7788</v>
      </c>
      <c r="E4303" s="1"/>
    </row>
    <row r="4304" spans="1:5">
      <c r="A4304" t="s">
        <v>7789</v>
      </c>
      <c r="B4304" t="s">
        <v>7790</v>
      </c>
      <c r="E4304" s="1"/>
    </row>
    <row r="4305" spans="1:5">
      <c r="A4305" t="s">
        <v>7791</v>
      </c>
      <c r="B4305" t="s">
        <v>7792</v>
      </c>
      <c r="E4305" s="1"/>
    </row>
    <row r="4306" spans="1:5">
      <c r="A4306" t="s">
        <v>7793</v>
      </c>
      <c r="B4306" t="s">
        <v>7794</v>
      </c>
      <c r="E4306" s="1"/>
    </row>
    <row r="4307" spans="1:5">
      <c r="A4307" t="s">
        <v>7795</v>
      </c>
      <c r="B4307" t="s">
        <v>7796</v>
      </c>
      <c r="E4307" s="1"/>
    </row>
    <row r="4308" spans="1:5">
      <c r="A4308" t="s">
        <v>7797</v>
      </c>
      <c r="B4308" t="s">
        <v>7798</v>
      </c>
      <c r="E4308" s="1"/>
    </row>
    <row r="4309" spans="1:5">
      <c r="A4309" t="s">
        <v>7799</v>
      </c>
      <c r="B4309" t="s">
        <v>7800</v>
      </c>
      <c r="E4309" s="1"/>
    </row>
    <row r="4310" spans="1:5">
      <c r="B4310" t="s">
        <v>7801</v>
      </c>
      <c r="E4310" s="1"/>
    </row>
    <row r="4311" spans="1:5">
      <c r="A4311" t="s">
        <v>7802</v>
      </c>
      <c r="B4311" t="s">
        <v>7803</v>
      </c>
      <c r="E4311" s="1"/>
    </row>
    <row r="4312" spans="1:5">
      <c r="A4312" t="s">
        <v>7804</v>
      </c>
      <c r="B4312" t="s">
        <v>7805</v>
      </c>
      <c r="E4312" s="1"/>
    </row>
    <row r="4313" spans="1:5">
      <c r="A4313" t="s">
        <v>7806</v>
      </c>
      <c r="B4313" t="s">
        <v>7807</v>
      </c>
      <c r="E4313" s="1"/>
    </row>
    <row r="4314" spans="1:5">
      <c r="A4314" t="s">
        <v>7808</v>
      </c>
      <c r="B4314" t="s">
        <v>7809</v>
      </c>
      <c r="E4314" s="1"/>
    </row>
    <row r="4315" spans="1:5">
      <c r="A4315" t="s">
        <v>7810</v>
      </c>
      <c r="B4315" t="s">
        <v>7811</v>
      </c>
      <c r="E4315" s="1"/>
    </row>
    <row r="4316" spans="1:5">
      <c r="A4316" t="s">
        <v>7812</v>
      </c>
      <c r="B4316" t="s">
        <v>7813</v>
      </c>
      <c r="E4316" s="1"/>
    </row>
    <row r="4317" spans="1:5">
      <c r="A4317" t="s">
        <v>7814</v>
      </c>
      <c r="B4317" t="s">
        <v>7815</v>
      </c>
      <c r="E4317" s="1"/>
    </row>
    <row r="4318" spans="1:5">
      <c r="A4318" t="s">
        <v>7816</v>
      </c>
      <c r="B4318" t="s">
        <v>7817</v>
      </c>
      <c r="E4318" s="1"/>
    </row>
    <row r="4319" spans="1:5">
      <c r="A4319" t="s">
        <v>7818</v>
      </c>
      <c r="B4319" t="s">
        <v>7819</v>
      </c>
      <c r="E4319" s="1"/>
    </row>
    <row r="4320" spans="1:5">
      <c r="A4320" t="s">
        <v>7820</v>
      </c>
      <c r="B4320" t="s">
        <v>7821</v>
      </c>
      <c r="E4320" s="1"/>
    </row>
    <row r="4321" spans="1:8">
      <c r="A4321" t="s">
        <v>7822</v>
      </c>
      <c r="B4321" t="s">
        <v>7823</v>
      </c>
      <c r="E4321" s="1"/>
    </row>
    <row r="4322" spans="1:8">
      <c r="A4322" t="s">
        <v>7824</v>
      </c>
      <c r="B4322" t="s">
        <v>7825</v>
      </c>
      <c r="E4322" s="1"/>
    </row>
    <row r="4323" spans="1:8">
      <c r="A4323" t="s">
        <v>7826</v>
      </c>
      <c r="B4323" t="s">
        <v>7827</v>
      </c>
      <c r="E4323" s="1"/>
    </row>
    <row r="4324" spans="1:8">
      <c r="A4324" t="s">
        <v>7828</v>
      </c>
      <c r="B4324" t="s">
        <v>7829</v>
      </c>
      <c r="E4324" s="1"/>
    </row>
    <row r="4325" spans="1:8">
      <c r="A4325" t="s">
        <v>7830</v>
      </c>
      <c r="B4325" t="s">
        <v>7831</v>
      </c>
      <c r="E4325" s="1"/>
    </row>
    <row r="4326" spans="1:8">
      <c r="A4326" t="s">
        <v>7832</v>
      </c>
      <c r="B4326" t="s">
        <v>7833</v>
      </c>
      <c r="E4326" s="1"/>
    </row>
    <row r="4327" spans="1:8">
      <c r="B4327" t="s">
        <v>7834</v>
      </c>
      <c r="E4327" s="1"/>
    </row>
    <row r="4328" spans="1:8">
      <c r="A4328" t="s">
        <v>7835</v>
      </c>
      <c r="B4328" t="s">
        <v>7836</v>
      </c>
      <c r="C4328" s="1" t="s">
        <v>9182</v>
      </c>
      <c r="D4328" s="1"/>
      <c r="E4328" s="1" t="str">
        <f t="shared" ref="E4328:E4331" si="268">HYPERLINK("https://www.kegg.jp/dbget-bin/www_bget?ec:" &amp; C4328, "https://www.kegg.jp/dbget-bin/www_bget?ec:" &amp; C4328)</f>
        <v>https://www.kegg.jp/dbget-bin/www_bget?ec:6.1.1.12</v>
      </c>
      <c r="F4328" s="1" t="s">
        <v>10486</v>
      </c>
      <c r="G4328" s="10" t="s">
        <v>11308</v>
      </c>
      <c r="H4328" s="13" t="s">
        <v>11309</v>
      </c>
    </row>
    <row r="4329" spans="1:8">
      <c r="A4329" t="s">
        <v>7837</v>
      </c>
      <c r="B4329" t="s">
        <v>7838</v>
      </c>
      <c r="E4329" s="1"/>
    </row>
    <row r="4330" spans="1:8">
      <c r="A4330" t="s">
        <v>7839</v>
      </c>
      <c r="B4330" t="s">
        <v>7840</v>
      </c>
      <c r="E4330" s="1"/>
    </row>
    <row r="4331" spans="1:8">
      <c r="A4331" t="s">
        <v>7841</v>
      </c>
      <c r="B4331" t="s">
        <v>7842</v>
      </c>
      <c r="C4331" s="1" t="s">
        <v>9183</v>
      </c>
      <c r="D4331" s="1"/>
      <c r="E4331" s="1" t="str">
        <f t="shared" si="268"/>
        <v>https://www.kegg.jp/dbget-bin/www_bget?ec:6.3.4.19</v>
      </c>
      <c r="F4331" s="1" t="s">
        <v>10489</v>
      </c>
      <c r="G4331" s="10" t="s">
        <v>11310</v>
      </c>
      <c r="H4331" s="13" t="s">
        <v>11311</v>
      </c>
    </row>
    <row r="4332" spans="1:8">
      <c r="A4332" t="s">
        <v>7843</v>
      </c>
      <c r="B4332" t="s">
        <v>7844</v>
      </c>
      <c r="E4332" s="1"/>
    </row>
    <row r="4333" spans="1:8">
      <c r="A4333" t="s">
        <v>7845</v>
      </c>
      <c r="B4333" t="s">
        <v>7846</v>
      </c>
      <c r="E4333" s="1"/>
    </row>
    <row r="4334" spans="1:8">
      <c r="A4334" t="s">
        <v>7847</v>
      </c>
      <c r="B4334" t="s">
        <v>7848</v>
      </c>
      <c r="E4334" s="1"/>
    </row>
    <row r="4335" spans="1:8">
      <c r="A4335" t="s">
        <v>7849</v>
      </c>
      <c r="B4335" t="s">
        <v>7850</v>
      </c>
      <c r="E4335" s="1"/>
    </row>
    <row r="4336" spans="1:8">
      <c r="A4336" t="s">
        <v>7851</v>
      </c>
      <c r="B4336" t="s">
        <v>7852</v>
      </c>
      <c r="E4336" s="1"/>
    </row>
    <row r="4337" spans="1:5">
      <c r="A4337" t="s">
        <v>7853</v>
      </c>
      <c r="B4337" t="s">
        <v>7854</v>
      </c>
      <c r="E4337" s="1"/>
    </row>
    <row r="4338" spans="1:5">
      <c r="A4338" t="s">
        <v>7855</v>
      </c>
      <c r="B4338" t="s">
        <v>7856</v>
      </c>
      <c r="E4338" s="1"/>
    </row>
    <row r="4339" spans="1:5">
      <c r="A4339" t="s">
        <v>7857</v>
      </c>
      <c r="B4339" t="s">
        <v>7858</v>
      </c>
      <c r="E4339" s="1"/>
    </row>
    <row r="4340" spans="1:5">
      <c r="A4340" t="s">
        <v>7859</v>
      </c>
      <c r="B4340" t="s">
        <v>7860</v>
      </c>
      <c r="E4340" s="1"/>
    </row>
    <row r="4341" spans="1:5">
      <c r="A4341" t="s">
        <v>7861</v>
      </c>
      <c r="B4341" t="s">
        <v>7862</v>
      </c>
      <c r="E4341" s="1"/>
    </row>
    <row r="4342" spans="1:5">
      <c r="A4342" t="s">
        <v>7863</v>
      </c>
      <c r="B4342" t="s">
        <v>7864</v>
      </c>
      <c r="E4342" s="1"/>
    </row>
    <row r="4343" spans="1:5">
      <c r="A4343" t="s">
        <v>7865</v>
      </c>
      <c r="B4343" t="s">
        <v>7866</v>
      </c>
      <c r="E4343" s="1"/>
    </row>
    <row r="4344" spans="1:5">
      <c r="A4344" t="s">
        <v>7867</v>
      </c>
      <c r="B4344" t="s">
        <v>7868</v>
      </c>
      <c r="E4344" s="1"/>
    </row>
    <row r="4345" spans="1:5">
      <c r="A4345" t="s">
        <v>7869</v>
      </c>
      <c r="B4345" t="s">
        <v>7870</v>
      </c>
      <c r="E4345" s="1"/>
    </row>
    <row r="4346" spans="1:5">
      <c r="A4346" t="s">
        <v>7871</v>
      </c>
      <c r="B4346" t="s">
        <v>7872</v>
      </c>
      <c r="E4346" s="1"/>
    </row>
    <row r="4347" spans="1:5">
      <c r="A4347" t="s">
        <v>7873</v>
      </c>
      <c r="B4347" t="s">
        <v>7874</v>
      </c>
      <c r="E4347" s="1"/>
    </row>
    <row r="4348" spans="1:5">
      <c r="A4348" t="s">
        <v>7875</v>
      </c>
      <c r="B4348" t="s">
        <v>7876</v>
      </c>
      <c r="E4348" s="1"/>
    </row>
    <row r="4349" spans="1:5">
      <c r="A4349" t="s">
        <v>7877</v>
      </c>
      <c r="B4349" t="s">
        <v>7878</v>
      </c>
      <c r="E4349" s="1"/>
    </row>
    <row r="4350" spans="1:5">
      <c r="A4350" t="s">
        <v>7879</v>
      </c>
      <c r="B4350" t="s">
        <v>7880</v>
      </c>
      <c r="E4350" s="1"/>
    </row>
    <row r="4351" spans="1:5">
      <c r="A4351" t="s">
        <v>7881</v>
      </c>
      <c r="B4351" t="s">
        <v>7882</v>
      </c>
      <c r="E4351" s="1"/>
    </row>
    <row r="4352" spans="1:5">
      <c r="A4352" t="s">
        <v>7883</v>
      </c>
      <c r="B4352" t="s">
        <v>7884</v>
      </c>
      <c r="E4352" s="1"/>
    </row>
    <row r="4353" spans="1:5">
      <c r="A4353" t="s">
        <v>7885</v>
      </c>
      <c r="B4353" t="s">
        <v>7886</v>
      </c>
      <c r="E4353" s="1"/>
    </row>
    <row r="4354" spans="1:5">
      <c r="A4354" t="s">
        <v>7887</v>
      </c>
      <c r="B4354" t="s">
        <v>7888</v>
      </c>
      <c r="E4354" s="1"/>
    </row>
    <row r="4355" spans="1:5">
      <c r="A4355" t="s">
        <v>7889</v>
      </c>
      <c r="B4355" t="s">
        <v>7890</v>
      </c>
      <c r="E4355" s="1"/>
    </row>
    <row r="4356" spans="1:5">
      <c r="A4356" t="s">
        <v>7891</v>
      </c>
      <c r="B4356" t="s">
        <v>7892</v>
      </c>
      <c r="E4356" s="1"/>
    </row>
    <row r="4357" spans="1:5">
      <c r="A4357" t="s">
        <v>7893</v>
      </c>
      <c r="B4357" t="s">
        <v>7894</v>
      </c>
      <c r="E4357" s="1"/>
    </row>
    <row r="4358" spans="1:5">
      <c r="A4358" t="s">
        <v>7895</v>
      </c>
      <c r="B4358" t="s">
        <v>7896</v>
      </c>
      <c r="E4358" s="1"/>
    </row>
    <row r="4359" spans="1:5">
      <c r="A4359" t="s">
        <v>7897</v>
      </c>
      <c r="B4359" t="s">
        <v>7898</v>
      </c>
      <c r="E4359" s="1"/>
    </row>
    <row r="4360" spans="1:5">
      <c r="A4360" t="s">
        <v>7899</v>
      </c>
      <c r="B4360" t="s">
        <v>7900</v>
      </c>
      <c r="E4360" s="1"/>
    </row>
    <row r="4361" spans="1:5">
      <c r="A4361" t="s">
        <v>7901</v>
      </c>
      <c r="B4361" t="s">
        <v>7902</v>
      </c>
      <c r="E4361" s="1"/>
    </row>
    <row r="4362" spans="1:5">
      <c r="A4362" t="s">
        <v>7903</v>
      </c>
      <c r="B4362" t="s">
        <v>7904</v>
      </c>
      <c r="E4362" s="1"/>
    </row>
    <row r="4363" spans="1:5">
      <c r="A4363" t="s">
        <v>7905</v>
      </c>
      <c r="B4363" t="s">
        <v>7906</v>
      </c>
      <c r="E4363" s="1"/>
    </row>
    <row r="4364" spans="1:5">
      <c r="A4364" t="s">
        <v>7907</v>
      </c>
      <c r="B4364" t="s">
        <v>7908</v>
      </c>
      <c r="E4364" s="1"/>
    </row>
    <row r="4365" spans="1:5">
      <c r="A4365" t="s">
        <v>7909</v>
      </c>
      <c r="B4365" t="s">
        <v>7910</v>
      </c>
      <c r="E4365" s="1"/>
    </row>
    <row r="4366" spans="1:5">
      <c r="A4366" t="s">
        <v>7911</v>
      </c>
      <c r="B4366" t="s">
        <v>7912</v>
      </c>
      <c r="E4366" s="1"/>
    </row>
    <row r="4367" spans="1:5">
      <c r="A4367" t="s">
        <v>7913</v>
      </c>
      <c r="B4367" t="s">
        <v>7914</v>
      </c>
      <c r="E4367" s="1"/>
    </row>
    <row r="4368" spans="1:5">
      <c r="A4368" t="s">
        <v>7915</v>
      </c>
      <c r="B4368" t="s">
        <v>7916</v>
      </c>
      <c r="E4368" s="1"/>
    </row>
    <row r="4369" spans="1:5">
      <c r="A4369" t="s">
        <v>7917</v>
      </c>
      <c r="B4369" t="s">
        <v>7918</v>
      </c>
      <c r="E4369" s="1"/>
    </row>
    <row r="4370" spans="1:5">
      <c r="A4370" t="s">
        <v>7919</v>
      </c>
      <c r="B4370" t="s">
        <v>7920</v>
      </c>
      <c r="E4370" s="1"/>
    </row>
    <row r="4371" spans="1:5">
      <c r="A4371" t="s">
        <v>7921</v>
      </c>
      <c r="B4371" t="s">
        <v>7922</v>
      </c>
      <c r="E4371" s="1"/>
    </row>
    <row r="4372" spans="1:5">
      <c r="A4372" t="s">
        <v>7923</v>
      </c>
      <c r="B4372" t="s">
        <v>7924</v>
      </c>
      <c r="E4372" s="1"/>
    </row>
    <row r="4373" spans="1:5">
      <c r="A4373" t="s">
        <v>7925</v>
      </c>
      <c r="B4373" t="s">
        <v>7926</v>
      </c>
      <c r="E4373" s="1"/>
    </row>
    <row r="4374" spans="1:5">
      <c r="A4374" t="s">
        <v>7927</v>
      </c>
      <c r="B4374" t="s">
        <v>7928</v>
      </c>
      <c r="E4374" s="1"/>
    </row>
    <row r="4375" spans="1:5">
      <c r="A4375" t="s">
        <v>7929</v>
      </c>
      <c r="B4375" t="s">
        <v>7930</v>
      </c>
      <c r="E4375" s="1"/>
    </row>
    <row r="4376" spans="1:5">
      <c r="A4376" t="s">
        <v>7931</v>
      </c>
      <c r="B4376" t="s">
        <v>7932</v>
      </c>
      <c r="E4376" s="1"/>
    </row>
    <row r="4377" spans="1:5">
      <c r="A4377" t="s">
        <v>7933</v>
      </c>
      <c r="B4377" t="s">
        <v>7934</v>
      </c>
      <c r="E4377" s="1"/>
    </row>
    <row r="4378" spans="1:5">
      <c r="B4378" t="s">
        <v>7935</v>
      </c>
      <c r="E4378" s="1"/>
    </row>
    <row r="4379" spans="1:5">
      <c r="A4379" t="s">
        <v>7936</v>
      </c>
      <c r="B4379" t="s">
        <v>7937</v>
      </c>
      <c r="E4379" s="1"/>
    </row>
    <row r="4380" spans="1:5">
      <c r="A4380" t="s">
        <v>7938</v>
      </c>
      <c r="B4380" t="s">
        <v>7939</v>
      </c>
      <c r="E4380" s="1"/>
    </row>
    <row r="4381" spans="1:5">
      <c r="A4381" t="s">
        <v>7940</v>
      </c>
      <c r="B4381" t="s">
        <v>7941</v>
      </c>
      <c r="E4381" s="1"/>
    </row>
    <row r="4382" spans="1:5">
      <c r="A4382" t="s">
        <v>7942</v>
      </c>
      <c r="B4382" t="s">
        <v>7943</v>
      </c>
      <c r="E4382" s="1"/>
    </row>
    <row r="4383" spans="1:5">
      <c r="A4383" t="s">
        <v>7944</v>
      </c>
      <c r="B4383" t="s">
        <v>7945</v>
      </c>
      <c r="E4383" s="1"/>
    </row>
    <row r="4384" spans="1:5">
      <c r="A4384" t="s">
        <v>7946</v>
      </c>
      <c r="B4384" t="s">
        <v>7947</v>
      </c>
      <c r="E4384" s="1"/>
    </row>
    <row r="4385" spans="1:8">
      <c r="A4385" t="s">
        <v>7948</v>
      </c>
      <c r="B4385" t="s">
        <v>7949</v>
      </c>
      <c r="E4385" s="1"/>
    </row>
    <row r="4386" spans="1:8">
      <c r="A4386" t="s">
        <v>7950</v>
      </c>
      <c r="B4386" t="s">
        <v>7951</v>
      </c>
      <c r="E4386" s="1"/>
    </row>
    <row r="4387" spans="1:8">
      <c r="A4387" t="s">
        <v>7952</v>
      </c>
      <c r="B4387" t="s">
        <v>7953</v>
      </c>
      <c r="E4387" s="1"/>
    </row>
    <row r="4388" spans="1:8">
      <c r="A4388" t="s">
        <v>7954</v>
      </c>
      <c r="B4388" t="s">
        <v>7955</v>
      </c>
      <c r="E4388" s="1"/>
    </row>
    <row r="4389" spans="1:8">
      <c r="A4389" t="s">
        <v>7956</v>
      </c>
      <c r="B4389" t="s">
        <v>7957</v>
      </c>
      <c r="E4389" s="1"/>
    </row>
    <row r="4390" spans="1:8">
      <c r="A4390" t="s">
        <v>7958</v>
      </c>
      <c r="B4390" t="s">
        <v>7959</v>
      </c>
      <c r="E4390" s="1"/>
    </row>
    <row r="4391" spans="1:8">
      <c r="A4391" t="s">
        <v>7960</v>
      </c>
      <c r="B4391" t="s">
        <v>7961</v>
      </c>
      <c r="E4391" s="1"/>
    </row>
    <row r="4392" spans="1:8">
      <c r="A4392" t="s">
        <v>7962</v>
      </c>
      <c r="B4392" t="s">
        <v>7963</v>
      </c>
      <c r="E4392" s="1"/>
    </row>
    <row r="4393" spans="1:8">
      <c r="A4393" t="s">
        <v>7964</v>
      </c>
      <c r="B4393" t="s">
        <v>7965</v>
      </c>
      <c r="E4393" s="1"/>
    </row>
    <row r="4394" spans="1:8">
      <c r="A4394" t="s">
        <v>7966</v>
      </c>
      <c r="B4394" t="s">
        <v>7967</v>
      </c>
      <c r="E4394" s="1"/>
    </row>
    <row r="4395" spans="1:8">
      <c r="A4395" t="s">
        <v>7968</v>
      </c>
      <c r="B4395" t="s">
        <v>7969</v>
      </c>
      <c r="C4395" s="1" t="s">
        <v>9184</v>
      </c>
      <c r="D4395" s="1"/>
      <c r="E4395" s="1" t="str">
        <f t="shared" ref="E4395" si="269">HYPERLINK("https://www.kegg.jp/dbget-bin/www_bget?ec:" &amp; C4395, "https://www.kegg.jp/dbget-bin/www_bget?ec:" &amp; C4395)</f>
        <v>https://www.kegg.jp/dbget-bin/www_bget?ec:4.3.1.17</v>
      </c>
      <c r="F4395" s="1" t="s">
        <v>10492</v>
      </c>
      <c r="G4395" s="10" t="s">
        <v>9444</v>
      </c>
      <c r="H4395" s="13" t="s">
        <v>11312</v>
      </c>
    </row>
    <row r="4396" spans="1:8">
      <c r="A4396" t="s">
        <v>7968</v>
      </c>
      <c r="B4396" t="s">
        <v>7969</v>
      </c>
      <c r="C4396" s="1" t="s">
        <v>9184</v>
      </c>
      <c r="D4396" s="1"/>
      <c r="E4396" s="1" t="str">
        <f t="shared" ref="E4396" si="270">HYPERLINK("https://www.kegg.jp/dbget-bin/www_bget?ec:" &amp; C4396, "https://www.kegg.jp/dbget-bin/www_bget?ec:" &amp; C4396)</f>
        <v>https://www.kegg.jp/dbget-bin/www_bget?ec:4.3.1.17</v>
      </c>
      <c r="F4396" s="1" t="s">
        <v>10492</v>
      </c>
      <c r="G4396" s="10" t="s">
        <v>9444</v>
      </c>
      <c r="H4396" s="13" t="s">
        <v>11313</v>
      </c>
    </row>
    <row r="4397" spans="1:8">
      <c r="A4397" t="s">
        <v>7968</v>
      </c>
      <c r="B4397" t="s">
        <v>7969</v>
      </c>
      <c r="C4397" s="1" t="s">
        <v>9184</v>
      </c>
      <c r="D4397" s="1"/>
      <c r="E4397" s="1" t="str">
        <f t="shared" ref="E4397" si="271">HYPERLINK("https://www.kegg.jp/dbget-bin/www_bget?ec:" &amp; C4397, "https://www.kegg.jp/dbget-bin/www_bget?ec:" &amp; C4397)</f>
        <v>https://www.kegg.jp/dbget-bin/www_bget?ec:4.3.1.17</v>
      </c>
      <c r="F4397" s="1" t="s">
        <v>10492</v>
      </c>
      <c r="G4397" s="10" t="s">
        <v>11314</v>
      </c>
      <c r="H4397" s="13" t="s">
        <v>11312</v>
      </c>
    </row>
    <row r="4398" spans="1:8">
      <c r="A4398" t="s">
        <v>7968</v>
      </c>
      <c r="B4398" t="s">
        <v>7969</v>
      </c>
      <c r="C4398" s="1" t="s">
        <v>9184</v>
      </c>
      <c r="D4398" s="1"/>
      <c r="E4398" s="1" t="str">
        <f t="shared" ref="E4398" si="272">HYPERLINK("https://www.kegg.jp/dbget-bin/www_bget?ec:" &amp; C4398, "https://www.kegg.jp/dbget-bin/www_bget?ec:" &amp; C4398)</f>
        <v>https://www.kegg.jp/dbget-bin/www_bget?ec:4.3.1.17</v>
      </c>
      <c r="F4398" s="1" t="s">
        <v>10492</v>
      </c>
      <c r="G4398" s="10" t="s">
        <v>10496</v>
      </c>
      <c r="H4398" s="13" t="s">
        <v>10497</v>
      </c>
    </row>
    <row r="4399" spans="1:8">
      <c r="A4399" t="s">
        <v>7968</v>
      </c>
      <c r="B4399" t="s">
        <v>7969</v>
      </c>
      <c r="C4399" s="1" t="s">
        <v>9184</v>
      </c>
      <c r="D4399" s="1"/>
      <c r="E4399" s="1" t="str">
        <f t="shared" ref="E4399" si="273">HYPERLINK("https://www.kegg.jp/dbget-bin/www_bget?ec:" &amp; C4399, "https://www.kegg.jp/dbget-bin/www_bget?ec:" &amp; C4399)</f>
        <v>https://www.kegg.jp/dbget-bin/www_bget?ec:4.3.1.17</v>
      </c>
      <c r="F4399" s="1" t="s">
        <v>10492</v>
      </c>
      <c r="G4399" s="10" t="s">
        <v>10060</v>
      </c>
      <c r="H4399" s="13" t="s">
        <v>9447</v>
      </c>
    </row>
    <row r="4400" spans="1:8">
      <c r="A4400" t="s">
        <v>7970</v>
      </c>
      <c r="B4400" t="s">
        <v>7971</v>
      </c>
      <c r="E4400" s="1"/>
    </row>
    <row r="4401" spans="1:5">
      <c r="A4401" t="s">
        <v>7972</v>
      </c>
      <c r="B4401" t="s">
        <v>7973</v>
      </c>
      <c r="E4401" s="1"/>
    </row>
    <row r="4402" spans="1:5">
      <c r="A4402" t="s">
        <v>7974</v>
      </c>
      <c r="B4402" t="s">
        <v>7975</v>
      </c>
      <c r="E4402" s="1"/>
    </row>
    <row r="4403" spans="1:5">
      <c r="A4403" t="s">
        <v>7976</v>
      </c>
      <c r="B4403" t="s">
        <v>7977</v>
      </c>
      <c r="E4403" s="1"/>
    </row>
    <row r="4404" spans="1:5">
      <c r="A4404" t="s">
        <v>7978</v>
      </c>
      <c r="B4404" t="s">
        <v>7979</v>
      </c>
      <c r="E4404" s="1"/>
    </row>
    <row r="4405" spans="1:5">
      <c r="A4405" t="s">
        <v>7980</v>
      </c>
      <c r="B4405" t="s">
        <v>7981</v>
      </c>
      <c r="E4405" s="1"/>
    </row>
    <row r="4406" spans="1:5">
      <c r="A4406" t="s">
        <v>7982</v>
      </c>
      <c r="B4406" t="s">
        <v>7983</v>
      </c>
      <c r="E4406" s="1"/>
    </row>
    <row r="4407" spans="1:5">
      <c r="A4407" t="s">
        <v>7984</v>
      </c>
      <c r="B4407" t="s">
        <v>7985</v>
      </c>
      <c r="E4407" s="1"/>
    </row>
    <row r="4408" spans="1:5">
      <c r="A4408" t="s">
        <v>7986</v>
      </c>
      <c r="B4408" t="s">
        <v>7987</v>
      </c>
      <c r="E4408" s="1"/>
    </row>
    <row r="4409" spans="1:5">
      <c r="A4409" t="s">
        <v>7988</v>
      </c>
      <c r="B4409" t="s">
        <v>7989</v>
      </c>
      <c r="E4409" s="1"/>
    </row>
    <row r="4410" spans="1:5">
      <c r="A4410" t="s">
        <v>7990</v>
      </c>
      <c r="B4410" t="s">
        <v>7991</v>
      </c>
      <c r="E4410" s="1"/>
    </row>
    <row r="4411" spans="1:5">
      <c r="A4411" t="s">
        <v>7992</v>
      </c>
      <c r="B4411" t="s">
        <v>7993</v>
      </c>
      <c r="E4411" s="1"/>
    </row>
    <row r="4412" spans="1:5">
      <c r="A4412" t="s">
        <v>7994</v>
      </c>
      <c r="B4412" t="s">
        <v>7995</v>
      </c>
      <c r="E4412" s="1"/>
    </row>
    <row r="4413" spans="1:5">
      <c r="A4413" t="s">
        <v>7996</v>
      </c>
      <c r="B4413" t="s">
        <v>7997</v>
      </c>
      <c r="E4413" s="1"/>
    </row>
    <row r="4414" spans="1:5">
      <c r="A4414" t="s">
        <v>7998</v>
      </c>
      <c r="B4414" t="s">
        <v>7999</v>
      </c>
      <c r="E4414" s="1"/>
    </row>
    <row r="4415" spans="1:5">
      <c r="A4415" t="s">
        <v>8000</v>
      </c>
      <c r="B4415" t="s">
        <v>8001</v>
      </c>
      <c r="E4415" s="1"/>
    </row>
    <row r="4416" spans="1:5">
      <c r="A4416" t="s">
        <v>8002</v>
      </c>
      <c r="B4416" t="s">
        <v>8003</v>
      </c>
      <c r="E4416" s="1"/>
    </row>
    <row r="4417" spans="1:8">
      <c r="A4417" t="s">
        <v>8004</v>
      </c>
      <c r="B4417" t="s">
        <v>8005</v>
      </c>
      <c r="C4417" s="1" t="s">
        <v>9185</v>
      </c>
      <c r="D4417" s="1"/>
      <c r="E4417" s="1" t="str">
        <f t="shared" ref="E4417:E4442" si="274">HYPERLINK("https://www.kegg.jp/dbget-bin/www_bget?ec:" &amp; C4417, "https://www.kegg.jp/dbget-bin/www_bget?ec:" &amp; C4417)</f>
        <v>https://www.kegg.jp/dbget-bin/www_bget?ec:5.3.1.14</v>
      </c>
      <c r="F4417" s="1" t="s">
        <v>10499</v>
      </c>
      <c r="G4417" s="10" t="s">
        <v>10500</v>
      </c>
      <c r="H4417" s="13" t="s">
        <v>10501</v>
      </c>
    </row>
    <row r="4418" spans="1:8">
      <c r="A4418" t="s">
        <v>8006</v>
      </c>
      <c r="B4418" t="s">
        <v>8007</v>
      </c>
      <c r="E4418" s="1"/>
    </row>
    <row r="4419" spans="1:8">
      <c r="A4419" t="s">
        <v>8008</v>
      </c>
      <c r="B4419" t="s">
        <v>8009</v>
      </c>
      <c r="C4419" s="1" t="s">
        <v>9186</v>
      </c>
      <c r="D4419" s="1"/>
      <c r="E4419" s="1" t="str">
        <f t="shared" ref="E4419" si="275">HYPERLINK("https://www.kegg.jp/dbget-bin/www_bget?ec:" &amp; C4419, "https://www.kegg.jp/dbget-bin/www_bget?ec:" &amp; C4419)</f>
        <v>https://www.kegg.jp/dbget-bin/www_bget?ec:4.1.2.19</v>
      </c>
      <c r="F4419" s="1" t="s">
        <v>10502</v>
      </c>
      <c r="G4419" s="10" t="s">
        <v>10503</v>
      </c>
      <c r="H4419" s="13" t="s">
        <v>11315</v>
      </c>
    </row>
    <row r="4420" spans="1:8">
      <c r="A4420" t="s">
        <v>8008</v>
      </c>
      <c r="B4420" t="s">
        <v>8009</v>
      </c>
      <c r="C4420" s="1" t="s">
        <v>9186</v>
      </c>
      <c r="D4420" s="1"/>
      <c r="E4420" s="1" t="str">
        <f t="shared" si="274"/>
        <v>https://www.kegg.jp/dbget-bin/www_bget?ec:4.1.2.19</v>
      </c>
      <c r="F4420" s="1" t="s">
        <v>10502</v>
      </c>
      <c r="G4420" s="10" t="s">
        <v>10505</v>
      </c>
      <c r="H4420" s="13" t="s">
        <v>11316</v>
      </c>
    </row>
    <row r="4421" spans="1:8">
      <c r="A4421" t="s">
        <v>8010</v>
      </c>
      <c r="B4421" t="s">
        <v>8011</v>
      </c>
      <c r="E4421" s="1"/>
    </row>
    <row r="4422" spans="1:8">
      <c r="A4422" t="s">
        <v>8012</v>
      </c>
      <c r="B4422" t="s">
        <v>8013</v>
      </c>
      <c r="E4422" s="1"/>
    </row>
    <row r="4423" spans="1:8">
      <c r="A4423" t="s">
        <v>8014</v>
      </c>
      <c r="B4423" t="s">
        <v>8015</v>
      </c>
      <c r="E4423" s="1"/>
    </row>
    <row r="4424" spans="1:8">
      <c r="A4424" t="s">
        <v>8016</v>
      </c>
      <c r="B4424" t="s">
        <v>8017</v>
      </c>
      <c r="E4424" s="1"/>
    </row>
    <row r="4425" spans="1:8">
      <c r="A4425" t="s">
        <v>8018</v>
      </c>
      <c r="B4425" t="s">
        <v>8019</v>
      </c>
      <c r="E4425" s="1"/>
    </row>
    <row r="4426" spans="1:8">
      <c r="A4426" t="s">
        <v>8020</v>
      </c>
      <c r="B4426" t="s">
        <v>8021</v>
      </c>
      <c r="E4426" s="1"/>
    </row>
    <row r="4427" spans="1:8">
      <c r="A4427" t="s">
        <v>8022</v>
      </c>
      <c r="B4427" t="s">
        <v>8023</v>
      </c>
      <c r="E4427" s="1"/>
    </row>
    <row r="4428" spans="1:8">
      <c r="A4428" t="s">
        <v>8024</v>
      </c>
      <c r="B4428" t="s">
        <v>8025</v>
      </c>
      <c r="E4428" s="1"/>
    </row>
    <row r="4429" spans="1:8">
      <c r="B4429" t="s">
        <v>8026</v>
      </c>
      <c r="E4429" s="1"/>
    </row>
    <row r="4430" spans="1:8">
      <c r="A4430" t="s">
        <v>8027</v>
      </c>
      <c r="B4430" t="s">
        <v>8028</v>
      </c>
      <c r="E4430" s="1"/>
    </row>
    <row r="4431" spans="1:8">
      <c r="A4431" t="s">
        <v>8029</v>
      </c>
      <c r="B4431" t="s">
        <v>8030</v>
      </c>
      <c r="E4431" s="1"/>
    </row>
    <row r="4432" spans="1:8">
      <c r="A4432" t="s">
        <v>8031</v>
      </c>
      <c r="B4432" t="s">
        <v>8032</v>
      </c>
      <c r="E4432" s="1"/>
    </row>
    <row r="4433" spans="1:8">
      <c r="A4433" t="s">
        <v>8033</v>
      </c>
      <c r="B4433" t="s">
        <v>8034</v>
      </c>
      <c r="E4433" s="1"/>
    </row>
    <row r="4434" spans="1:8">
      <c r="A4434" t="s">
        <v>8035</v>
      </c>
      <c r="B4434" t="s">
        <v>8036</v>
      </c>
      <c r="E4434" s="1"/>
    </row>
    <row r="4435" spans="1:8">
      <c r="A4435" t="s">
        <v>8037</v>
      </c>
      <c r="B4435" t="s">
        <v>8038</v>
      </c>
      <c r="E4435" s="1"/>
    </row>
    <row r="4436" spans="1:8">
      <c r="A4436" t="s">
        <v>8039</v>
      </c>
      <c r="B4436" t="s">
        <v>8040</v>
      </c>
      <c r="E4436" s="1"/>
    </row>
    <row r="4437" spans="1:8">
      <c r="A4437" t="s">
        <v>8041</v>
      </c>
      <c r="B4437" t="s">
        <v>8042</v>
      </c>
      <c r="E4437" s="1"/>
    </row>
    <row r="4438" spans="1:8">
      <c r="A4438" t="s">
        <v>8043</v>
      </c>
      <c r="B4438" t="s">
        <v>8044</v>
      </c>
      <c r="E4438" s="1"/>
    </row>
    <row r="4439" spans="1:8">
      <c r="A4439" t="s">
        <v>8045</v>
      </c>
      <c r="B4439" t="s">
        <v>8046</v>
      </c>
      <c r="E4439" s="1"/>
    </row>
    <row r="4440" spans="1:8">
      <c r="A4440" t="s">
        <v>8047</v>
      </c>
      <c r="B4440" t="s">
        <v>8048</v>
      </c>
      <c r="E4440" s="1"/>
    </row>
    <row r="4441" spans="1:8">
      <c r="A4441" t="s">
        <v>8049</v>
      </c>
      <c r="B4441" t="s">
        <v>8050</v>
      </c>
      <c r="E4441" s="1"/>
    </row>
    <row r="4442" spans="1:8">
      <c r="A4442" t="s">
        <v>8051</v>
      </c>
      <c r="B4442" t="s">
        <v>8052</v>
      </c>
      <c r="C4442" s="1" t="s">
        <v>9187</v>
      </c>
      <c r="D4442" s="1"/>
      <c r="E4442" s="1" t="str">
        <f t="shared" si="274"/>
        <v>https://www.kegg.jp/dbget-bin/www_bget?ec:3.5.2.3</v>
      </c>
      <c r="F4442" s="1" t="s">
        <v>10507</v>
      </c>
      <c r="G4442" s="10" t="s">
        <v>11317</v>
      </c>
      <c r="H4442" s="13" t="s">
        <v>10509</v>
      </c>
    </row>
    <row r="4443" spans="1:8">
      <c r="A4443" t="s">
        <v>8053</v>
      </c>
      <c r="B4443" t="s">
        <v>8054</v>
      </c>
      <c r="E4443" s="1"/>
    </row>
    <row r="4444" spans="1:8">
      <c r="A4444" t="s">
        <v>8055</v>
      </c>
      <c r="B4444" t="s">
        <v>8056</v>
      </c>
      <c r="E4444" s="1"/>
    </row>
    <row r="4445" spans="1:8">
      <c r="A4445" t="s">
        <v>8057</v>
      </c>
      <c r="B4445" t="s">
        <v>8058</v>
      </c>
      <c r="E4445" s="1"/>
    </row>
    <row r="4446" spans="1:8">
      <c r="A4446" t="s">
        <v>8059</v>
      </c>
      <c r="B4446" t="s">
        <v>8060</v>
      </c>
      <c r="E4446" s="1"/>
    </row>
    <row r="4447" spans="1:8">
      <c r="A4447" t="s">
        <v>8061</v>
      </c>
      <c r="B4447" t="s">
        <v>8062</v>
      </c>
      <c r="E4447" s="1"/>
    </row>
    <row r="4448" spans="1:8">
      <c r="A4448" t="s">
        <v>8063</v>
      </c>
      <c r="B4448" t="s">
        <v>8064</v>
      </c>
      <c r="E4448" s="1"/>
    </row>
    <row r="4449" spans="1:5">
      <c r="A4449" t="s">
        <v>8065</v>
      </c>
      <c r="B4449" t="s">
        <v>8066</v>
      </c>
      <c r="E4449" s="1"/>
    </row>
    <row r="4450" spans="1:5">
      <c r="A4450" t="s">
        <v>8067</v>
      </c>
      <c r="B4450" t="s">
        <v>8068</v>
      </c>
      <c r="E4450" s="1"/>
    </row>
    <row r="4451" spans="1:5">
      <c r="A4451" t="s">
        <v>8069</v>
      </c>
      <c r="B4451" t="s">
        <v>8070</v>
      </c>
      <c r="E4451" s="1"/>
    </row>
    <row r="4452" spans="1:5">
      <c r="A4452" t="s">
        <v>8071</v>
      </c>
      <c r="B4452" t="s">
        <v>8072</v>
      </c>
      <c r="E4452" s="1"/>
    </row>
    <row r="4453" spans="1:5">
      <c r="A4453" t="s">
        <v>8073</v>
      </c>
      <c r="B4453" t="s">
        <v>8074</v>
      </c>
      <c r="E4453" s="1"/>
    </row>
    <row r="4454" spans="1:5">
      <c r="B4454" t="s">
        <v>8075</v>
      </c>
      <c r="E4454" s="1"/>
    </row>
    <row r="4455" spans="1:5">
      <c r="A4455" t="s">
        <v>8076</v>
      </c>
      <c r="B4455" t="s">
        <v>8077</v>
      </c>
      <c r="E4455" s="1"/>
    </row>
    <row r="4456" spans="1:5">
      <c r="A4456" t="s">
        <v>8078</v>
      </c>
      <c r="B4456" t="s">
        <v>8079</v>
      </c>
      <c r="E4456" s="1"/>
    </row>
    <row r="4457" spans="1:5">
      <c r="A4457" t="s">
        <v>8080</v>
      </c>
      <c r="B4457" t="s">
        <v>8081</v>
      </c>
      <c r="E4457" s="1"/>
    </row>
    <row r="4458" spans="1:5">
      <c r="A4458" t="s">
        <v>8082</v>
      </c>
      <c r="B4458" t="s">
        <v>8083</v>
      </c>
      <c r="E4458" s="1"/>
    </row>
    <row r="4459" spans="1:5">
      <c r="A4459" t="s">
        <v>8084</v>
      </c>
      <c r="B4459" t="s">
        <v>8085</v>
      </c>
      <c r="E4459" s="1"/>
    </row>
    <row r="4460" spans="1:5">
      <c r="A4460" t="s">
        <v>8086</v>
      </c>
      <c r="B4460" t="s">
        <v>8087</v>
      </c>
      <c r="E4460" s="1"/>
    </row>
    <row r="4461" spans="1:5">
      <c r="A4461" t="s">
        <v>8088</v>
      </c>
      <c r="B4461" t="s">
        <v>8089</v>
      </c>
      <c r="E4461" s="1"/>
    </row>
    <row r="4462" spans="1:5">
      <c r="A4462" t="s">
        <v>8090</v>
      </c>
      <c r="B4462" t="s">
        <v>8091</v>
      </c>
      <c r="E4462" s="1"/>
    </row>
    <row r="4463" spans="1:5">
      <c r="A4463" t="s">
        <v>8092</v>
      </c>
      <c r="B4463" t="s">
        <v>8093</v>
      </c>
      <c r="E4463" s="1"/>
    </row>
    <row r="4464" spans="1:5">
      <c r="A4464" t="s">
        <v>8094</v>
      </c>
      <c r="B4464" t="s">
        <v>8095</v>
      </c>
      <c r="E4464" s="1"/>
    </row>
    <row r="4465" spans="1:5">
      <c r="A4465" t="s">
        <v>8096</v>
      </c>
      <c r="B4465" t="s">
        <v>8097</v>
      </c>
      <c r="E4465" s="1"/>
    </row>
    <row r="4466" spans="1:5">
      <c r="A4466" t="s">
        <v>8098</v>
      </c>
      <c r="B4466" t="s">
        <v>8099</v>
      </c>
      <c r="E4466" s="1"/>
    </row>
    <row r="4467" spans="1:5">
      <c r="A4467" t="s">
        <v>8100</v>
      </c>
      <c r="B4467" t="s">
        <v>8101</v>
      </c>
      <c r="E4467" s="1"/>
    </row>
    <row r="4468" spans="1:5">
      <c r="A4468" t="s">
        <v>8102</v>
      </c>
      <c r="B4468" t="s">
        <v>8103</v>
      </c>
      <c r="E4468" s="1"/>
    </row>
    <row r="4469" spans="1:5">
      <c r="A4469" t="s">
        <v>8104</v>
      </c>
      <c r="B4469" t="s">
        <v>8105</v>
      </c>
      <c r="E4469" s="1"/>
    </row>
    <row r="4470" spans="1:5">
      <c r="A4470" t="s">
        <v>8106</v>
      </c>
      <c r="B4470" t="s">
        <v>8107</v>
      </c>
      <c r="E4470" s="1"/>
    </row>
    <row r="4471" spans="1:5">
      <c r="A4471" t="s">
        <v>8108</v>
      </c>
      <c r="B4471" t="s">
        <v>8109</v>
      </c>
      <c r="E4471" s="1"/>
    </row>
    <row r="4472" spans="1:5">
      <c r="A4472" t="s">
        <v>8110</v>
      </c>
      <c r="B4472" t="s">
        <v>8111</v>
      </c>
      <c r="E4472" s="1"/>
    </row>
    <row r="4473" spans="1:5">
      <c r="A4473" t="s">
        <v>8112</v>
      </c>
      <c r="B4473" t="s">
        <v>8113</v>
      </c>
      <c r="E4473" s="1"/>
    </row>
    <row r="4474" spans="1:5">
      <c r="A4474" t="s">
        <v>8114</v>
      </c>
      <c r="B4474" t="s">
        <v>8115</v>
      </c>
      <c r="E4474" s="1"/>
    </row>
    <row r="4475" spans="1:5">
      <c r="B4475" t="s">
        <v>8116</v>
      </c>
      <c r="E4475" s="1"/>
    </row>
    <row r="4476" spans="1:5">
      <c r="A4476" t="s">
        <v>8117</v>
      </c>
      <c r="B4476" t="s">
        <v>8118</v>
      </c>
      <c r="E4476" s="1"/>
    </row>
    <row r="4477" spans="1:5">
      <c r="A4477" t="s">
        <v>8119</v>
      </c>
      <c r="B4477" t="s">
        <v>8120</v>
      </c>
      <c r="E4477" s="1"/>
    </row>
    <row r="4478" spans="1:5">
      <c r="A4478" t="s">
        <v>8121</v>
      </c>
      <c r="B4478" t="s">
        <v>8122</v>
      </c>
      <c r="E4478" s="1"/>
    </row>
    <row r="4479" spans="1:5">
      <c r="A4479" t="s">
        <v>8123</v>
      </c>
      <c r="B4479" t="s">
        <v>8124</v>
      </c>
      <c r="E4479" s="1"/>
    </row>
    <row r="4480" spans="1:5">
      <c r="A4480" t="s">
        <v>8125</v>
      </c>
      <c r="B4480" t="s">
        <v>8126</v>
      </c>
      <c r="E4480" s="1"/>
    </row>
    <row r="4481" spans="1:8">
      <c r="A4481" t="s">
        <v>8127</v>
      </c>
      <c r="B4481" t="s">
        <v>8128</v>
      </c>
      <c r="E4481" s="1"/>
    </row>
    <row r="4482" spans="1:8">
      <c r="B4482" t="s">
        <v>8129</v>
      </c>
      <c r="E4482" s="1"/>
    </row>
    <row r="4483" spans="1:8">
      <c r="A4483" t="s">
        <v>8130</v>
      </c>
      <c r="B4483" t="s">
        <v>8131</v>
      </c>
      <c r="E4483" s="1"/>
    </row>
    <row r="4484" spans="1:8">
      <c r="A4484" t="s">
        <v>8132</v>
      </c>
      <c r="B4484" t="s">
        <v>8133</v>
      </c>
      <c r="E4484" s="1"/>
    </row>
    <row r="4485" spans="1:8">
      <c r="A4485" t="s">
        <v>8134</v>
      </c>
      <c r="B4485" t="s">
        <v>8135</v>
      </c>
      <c r="E4485" s="1"/>
    </row>
    <row r="4486" spans="1:8">
      <c r="A4486" t="s">
        <v>8136</v>
      </c>
      <c r="B4486" t="s">
        <v>8137</v>
      </c>
      <c r="E4486" s="1"/>
    </row>
    <row r="4487" spans="1:8">
      <c r="A4487" t="s">
        <v>8138</v>
      </c>
      <c r="B4487" t="s">
        <v>8139</v>
      </c>
      <c r="E4487" s="1"/>
    </row>
    <row r="4488" spans="1:8">
      <c r="A4488" t="s">
        <v>8140</v>
      </c>
      <c r="B4488" t="s">
        <v>8141</v>
      </c>
      <c r="E4488" s="1"/>
    </row>
    <row r="4489" spans="1:8">
      <c r="A4489" t="s">
        <v>8142</v>
      </c>
      <c r="B4489" t="s">
        <v>8143</v>
      </c>
      <c r="C4489" s="1" t="s">
        <v>1399</v>
      </c>
      <c r="D4489" s="1"/>
      <c r="E4489" s="1" t="str">
        <f t="shared" ref="E4489:E4504" si="276">HYPERLINK("https://www.kegg.jp/dbget-bin/www_bget?ec:" &amp; C4489, "https://www.kegg.jp/dbget-bin/www_bget?ec:" &amp; C4489)</f>
        <v>https://www.kegg.jp/dbget-bin/www_bget?ec:2.1.1.72</v>
      </c>
      <c r="F4489" t="s">
        <v>9546</v>
      </c>
      <c r="G4489" s="10" t="s">
        <v>9549</v>
      </c>
      <c r="H4489" s="13" t="s">
        <v>9548</v>
      </c>
    </row>
    <row r="4490" spans="1:8">
      <c r="A4490" t="s">
        <v>8144</v>
      </c>
      <c r="B4490" t="s">
        <v>8145</v>
      </c>
      <c r="E4490" s="1"/>
    </row>
    <row r="4491" spans="1:8">
      <c r="A4491" t="s">
        <v>8146</v>
      </c>
      <c r="B4491" t="s">
        <v>8147</v>
      </c>
      <c r="E4491" s="1"/>
    </row>
    <row r="4492" spans="1:8">
      <c r="A4492" t="s">
        <v>8148</v>
      </c>
      <c r="B4492" t="s">
        <v>8149</v>
      </c>
      <c r="E4492" s="1"/>
    </row>
    <row r="4493" spans="1:8">
      <c r="A4493" t="s">
        <v>8150</v>
      </c>
      <c r="B4493" t="s">
        <v>8151</v>
      </c>
      <c r="E4493" s="1"/>
    </row>
    <row r="4494" spans="1:8">
      <c r="A4494" t="s">
        <v>8152</v>
      </c>
      <c r="B4494" t="s">
        <v>8153</v>
      </c>
      <c r="E4494" s="1"/>
    </row>
    <row r="4495" spans="1:8">
      <c r="A4495" t="s">
        <v>8154</v>
      </c>
      <c r="B4495" t="s">
        <v>8155</v>
      </c>
      <c r="E4495" s="1"/>
    </row>
    <row r="4496" spans="1:8">
      <c r="A4496" t="s">
        <v>8156</v>
      </c>
      <c r="B4496" t="s">
        <v>8157</v>
      </c>
      <c r="E4496" s="1"/>
    </row>
    <row r="4497" spans="1:8">
      <c r="A4497" t="s">
        <v>8158</v>
      </c>
      <c r="B4497" t="s">
        <v>8159</v>
      </c>
      <c r="E4497" s="1"/>
    </row>
    <row r="4498" spans="1:8">
      <c r="A4498" t="s">
        <v>8160</v>
      </c>
      <c r="B4498" t="s">
        <v>8161</v>
      </c>
      <c r="E4498" s="1"/>
    </row>
    <row r="4499" spans="1:8">
      <c r="A4499" t="s">
        <v>8162</v>
      </c>
      <c r="B4499" t="s">
        <v>8163</v>
      </c>
      <c r="E4499" s="1"/>
    </row>
    <row r="4500" spans="1:8">
      <c r="A4500" t="s">
        <v>8164</v>
      </c>
      <c r="B4500" t="s">
        <v>8165</v>
      </c>
      <c r="E4500" s="1"/>
    </row>
    <row r="4501" spans="1:8">
      <c r="A4501" t="s">
        <v>8166</v>
      </c>
      <c r="B4501" t="s">
        <v>8167</v>
      </c>
      <c r="E4501" s="1"/>
    </row>
    <row r="4502" spans="1:8">
      <c r="A4502" t="s">
        <v>8168</v>
      </c>
      <c r="B4502" t="s">
        <v>8169</v>
      </c>
      <c r="E4502" s="1"/>
    </row>
    <row r="4503" spans="1:8">
      <c r="A4503" t="s">
        <v>8170</v>
      </c>
      <c r="B4503" t="s">
        <v>8171</v>
      </c>
      <c r="E4503" s="1"/>
    </row>
    <row r="4504" spans="1:8">
      <c r="A4504" t="s">
        <v>8172</v>
      </c>
      <c r="B4504" t="s">
        <v>8173</v>
      </c>
      <c r="C4504" s="1" t="s">
        <v>860</v>
      </c>
      <c r="D4504" s="1"/>
      <c r="E4504" s="1" t="str">
        <f t="shared" si="276"/>
        <v>https://www.kegg.jp/dbget-bin/www_bget?ec:2.8.1.6</v>
      </c>
      <c r="F4504" s="19" t="s">
        <v>9420</v>
      </c>
      <c r="G4504" s="22" t="s">
        <v>9418</v>
      </c>
      <c r="H4504" s="20" t="s">
        <v>9419</v>
      </c>
    </row>
    <row r="4505" spans="1:8">
      <c r="A4505" t="s">
        <v>8174</v>
      </c>
      <c r="B4505" t="s">
        <v>8175</v>
      </c>
      <c r="E4505" s="1"/>
    </row>
    <row r="4506" spans="1:8">
      <c r="A4506" t="s">
        <v>8176</v>
      </c>
      <c r="B4506" t="s">
        <v>8177</v>
      </c>
      <c r="E4506" s="1"/>
    </row>
    <row r="4507" spans="1:8">
      <c r="A4507" t="s">
        <v>8178</v>
      </c>
      <c r="B4507" t="s">
        <v>8179</v>
      </c>
      <c r="E4507" s="1"/>
    </row>
    <row r="4508" spans="1:8">
      <c r="A4508" t="s">
        <v>8180</v>
      </c>
      <c r="B4508" t="s">
        <v>8181</v>
      </c>
      <c r="E4508" s="1"/>
    </row>
    <row r="4509" spans="1:8">
      <c r="A4509" t="s">
        <v>8182</v>
      </c>
      <c r="B4509" t="s">
        <v>8183</v>
      </c>
      <c r="E4509" s="1"/>
    </row>
    <row r="4510" spans="1:8">
      <c r="A4510" t="s">
        <v>8184</v>
      </c>
      <c r="B4510" t="s">
        <v>8185</v>
      </c>
      <c r="E4510" s="1"/>
    </row>
    <row r="4511" spans="1:8">
      <c r="A4511" t="s">
        <v>8186</v>
      </c>
      <c r="B4511" t="s">
        <v>8187</v>
      </c>
      <c r="E4511" s="1"/>
    </row>
    <row r="4512" spans="1:8">
      <c r="A4512" t="s">
        <v>8188</v>
      </c>
      <c r="B4512" t="s">
        <v>8189</v>
      </c>
      <c r="E4512" s="1"/>
    </row>
    <row r="4513" spans="1:5">
      <c r="A4513" t="s">
        <v>8190</v>
      </c>
      <c r="B4513" t="s">
        <v>8191</v>
      </c>
      <c r="E4513" s="1"/>
    </row>
    <row r="4514" spans="1:5">
      <c r="A4514" t="s">
        <v>8192</v>
      </c>
      <c r="B4514" t="s">
        <v>8193</v>
      </c>
      <c r="E4514" s="1"/>
    </row>
    <row r="4515" spans="1:5">
      <c r="A4515" t="s">
        <v>8194</v>
      </c>
      <c r="B4515" t="s">
        <v>8195</v>
      </c>
      <c r="E4515" s="1"/>
    </row>
    <row r="4516" spans="1:5">
      <c r="A4516" t="s">
        <v>8196</v>
      </c>
      <c r="B4516" t="s">
        <v>8197</v>
      </c>
      <c r="E4516" s="1"/>
    </row>
    <row r="4517" spans="1:5">
      <c r="A4517" t="s">
        <v>8198</v>
      </c>
      <c r="B4517" t="s">
        <v>8199</v>
      </c>
      <c r="E4517" s="1"/>
    </row>
    <row r="4518" spans="1:5">
      <c r="A4518" t="s">
        <v>8200</v>
      </c>
      <c r="B4518" t="s">
        <v>8201</v>
      </c>
      <c r="E4518" s="1"/>
    </row>
    <row r="4519" spans="1:5">
      <c r="A4519" t="s">
        <v>8202</v>
      </c>
      <c r="B4519" t="s">
        <v>8203</v>
      </c>
      <c r="E4519" s="1"/>
    </row>
    <row r="4520" spans="1:5">
      <c r="A4520" t="s">
        <v>8204</v>
      </c>
      <c r="B4520" t="s">
        <v>8205</v>
      </c>
      <c r="E4520" s="1"/>
    </row>
    <row r="4521" spans="1:5">
      <c r="A4521" t="s">
        <v>8206</v>
      </c>
      <c r="B4521" t="s">
        <v>8207</v>
      </c>
      <c r="E4521" s="1"/>
    </row>
    <row r="4522" spans="1:5">
      <c r="A4522" t="s">
        <v>8208</v>
      </c>
      <c r="B4522" t="s">
        <v>8209</v>
      </c>
      <c r="E4522" s="1"/>
    </row>
    <row r="4523" spans="1:5">
      <c r="A4523" t="s">
        <v>8210</v>
      </c>
      <c r="B4523" t="s">
        <v>8211</v>
      </c>
      <c r="E4523" s="1"/>
    </row>
    <row r="4524" spans="1:5">
      <c r="A4524" t="s">
        <v>8212</v>
      </c>
      <c r="B4524" t="s">
        <v>8213</v>
      </c>
      <c r="E4524" s="1"/>
    </row>
    <row r="4525" spans="1:5">
      <c r="A4525" t="s">
        <v>8214</v>
      </c>
      <c r="B4525" t="s">
        <v>8215</v>
      </c>
      <c r="E4525" s="1"/>
    </row>
    <row r="4526" spans="1:5">
      <c r="A4526" t="s">
        <v>8216</v>
      </c>
      <c r="B4526" t="s">
        <v>8217</v>
      </c>
      <c r="E4526" s="1"/>
    </row>
    <row r="4527" spans="1:5">
      <c r="A4527" t="s">
        <v>8218</v>
      </c>
      <c r="B4527" t="s">
        <v>8219</v>
      </c>
      <c r="E4527" s="1"/>
    </row>
    <row r="4528" spans="1:5">
      <c r="A4528" t="s">
        <v>8220</v>
      </c>
      <c r="B4528" t="s">
        <v>8221</v>
      </c>
      <c r="E4528" s="1"/>
    </row>
    <row r="4529" spans="1:5">
      <c r="A4529" t="s">
        <v>8222</v>
      </c>
      <c r="B4529" t="s">
        <v>8223</v>
      </c>
      <c r="E4529" s="1"/>
    </row>
    <row r="4530" spans="1:5">
      <c r="B4530" t="s">
        <v>8224</v>
      </c>
      <c r="E4530" s="1"/>
    </row>
    <row r="4531" spans="1:5">
      <c r="A4531" t="s">
        <v>8225</v>
      </c>
      <c r="B4531" t="s">
        <v>8226</v>
      </c>
      <c r="E4531" s="1"/>
    </row>
    <row r="4532" spans="1:5">
      <c r="A4532" t="s">
        <v>8227</v>
      </c>
      <c r="B4532" t="s">
        <v>8228</v>
      </c>
      <c r="E4532" s="1"/>
    </row>
    <row r="4533" spans="1:5">
      <c r="A4533" t="s">
        <v>8229</v>
      </c>
      <c r="B4533" t="s">
        <v>8230</v>
      </c>
      <c r="E4533" s="1"/>
    </row>
    <row r="4534" spans="1:5">
      <c r="A4534" t="s">
        <v>8231</v>
      </c>
      <c r="B4534" t="s">
        <v>8232</v>
      </c>
      <c r="E4534" s="1"/>
    </row>
    <row r="4535" spans="1:5">
      <c r="A4535" t="s">
        <v>8233</v>
      </c>
      <c r="B4535" t="s">
        <v>8234</v>
      </c>
      <c r="E4535" s="1"/>
    </row>
    <row r="4536" spans="1:5">
      <c r="A4536" t="s">
        <v>8235</v>
      </c>
      <c r="B4536" t="s">
        <v>8236</v>
      </c>
      <c r="E4536" s="1"/>
    </row>
    <row r="4537" spans="1:5">
      <c r="A4537" t="s">
        <v>8237</v>
      </c>
      <c r="B4537" t="s">
        <v>8238</v>
      </c>
      <c r="E4537" s="1"/>
    </row>
    <row r="4538" spans="1:5">
      <c r="B4538" t="s">
        <v>8239</v>
      </c>
      <c r="E4538" s="1"/>
    </row>
    <row r="4539" spans="1:5">
      <c r="A4539" t="s">
        <v>8240</v>
      </c>
      <c r="B4539" t="s">
        <v>8241</v>
      </c>
      <c r="E4539" s="1"/>
    </row>
    <row r="4540" spans="1:5">
      <c r="B4540" t="s">
        <v>8242</v>
      </c>
      <c r="E4540" s="1"/>
    </row>
    <row r="4541" spans="1:5">
      <c r="A4541" t="s">
        <v>8243</v>
      </c>
      <c r="B4541" t="s">
        <v>8244</v>
      </c>
      <c r="E4541" s="1"/>
    </row>
    <row r="4542" spans="1:5">
      <c r="A4542" t="s">
        <v>8245</v>
      </c>
      <c r="B4542" t="s">
        <v>8246</v>
      </c>
      <c r="E4542" s="1"/>
    </row>
    <row r="4543" spans="1:5">
      <c r="B4543" t="s">
        <v>8247</v>
      </c>
      <c r="E4543" s="1"/>
    </row>
    <row r="4544" spans="1:5">
      <c r="A4544" t="s">
        <v>8248</v>
      </c>
      <c r="B4544" t="s">
        <v>8249</v>
      </c>
      <c r="E4544" s="1"/>
    </row>
    <row r="4545" spans="1:5">
      <c r="B4545" t="s">
        <v>8250</v>
      </c>
      <c r="E4545" s="1"/>
    </row>
    <row r="4546" spans="1:5">
      <c r="A4546" t="s">
        <v>8251</v>
      </c>
      <c r="B4546" t="s">
        <v>8252</v>
      </c>
      <c r="E4546" s="1"/>
    </row>
    <row r="4547" spans="1:5">
      <c r="A4547" t="s">
        <v>8253</v>
      </c>
      <c r="B4547" t="s">
        <v>8254</v>
      </c>
      <c r="E4547" s="1"/>
    </row>
    <row r="4548" spans="1:5">
      <c r="A4548" t="s">
        <v>8255</v>
      </c>
      <c r="B4548" t="s">
        <v>8256</v>
      </c>
      <c r="E4548" s="1"/>
    </row>
    <row r="4549" spans="1:5">
      <c r="A4549" t="s">
        <v>8257</v>
      </c>
      <c r="B4549" t="s">
        <v>8258</v>
      </c>
      <c r="E4549" s="1"/>
    </row>
    <row r="4550" spans="1:5">
      <c r="A4550" t="s">
        <v>8259</v>
      </c>
      <c r="B4550" t="s">
        <v>8260</v>
      </c>
      <c r="E4550" s="1"/>
    </row>
    <row r="4551" spans="1:5">
      <c r="A4551" t="s">
        <v>8261</v>
      </c>
      <c r="B4551" t="s">
        <v>8262</v>
      </c>
      <c r="E4551" s="1"/>
    </row>
    <row r="4552" spans="1:5">
      <c r="A4552" t="s">
        <v>8263</v>
      </c>
      <c r="B4552" t="s">
        <v>8264</v>
      </c>
      <c r="E4552" s="1"/>
    </row>
    <row r="4553" spans="1:5">
      <c r="B4553" t="s">
        <v>8265</v>
      </c>
      <c r="E4553" s="1"/>
    </row>
    <row r="4554" spans="1:5">
      <c r="A4554" t="s">
        <v>8266</v>
      </c>
      <c r="B4554" t="s">
        <v>8267</v>
      </c>
      <c r="E4554" s="1"/>
    </row>
    <row r="4555" spans="1:5">
      <c r="A4555" t="s">
        <v>8268</v>
      </c>
      <c r="B4555" t="s">
        <v>8269</v>
      </c>
      <c r="E4555" s="1"/>
    </row>
    <row r="4556" spans="1:5">
      <c r="A4556" t="s">
        <v>8270</v>
      </c>
      <c r="B4556" t="s">
        <v>8271</v>
      </c>
      <c r="E4556" s="1"/>
    </row>
    <row r="4557" spans="1:5">
      <c r="B4557" t="s">
        <v>8272</v>
      </c>
      <c r="E4557" s="1"/>
    </row>
    <row r="4558" spans="1:5">
      <c r="A4558" t="s">
        <v>8273</v>
      </c>
      <c r="B4558" t="s">
        <v>8274</v>
      </c>
      <c r="E4558" s="1"/>
    </row>
    <row r="4559" spans="1:5">
      <c r="A4559" t="s">
        <v>8275</v>
      </c>
      <c r="B4559" t="s">
        <v>8276</v>
      </c>
      <c r="E4559" s="1"/>
    </row>
    <row r="4560" spans="1:5">
      <c r="A4560" t="s">
        <v>8277</v>
      </c>
      <c r="B4560" t="s">
        <v>8278</v>
      </c>
      <c r="E4560" s="1"/>
    </row>
    <row r="4561" spans="1:8">
      <c r="A4561" t="s">
        <v>8279</v>
      </c>
      <c r="B4561" t="s">
        <v>8280</v>
      </c>
      <c r="E4561" s="1"/>
    </row>
    <row r="4562" spans="1:8">
      <c r="A4562" t="s">
        <v>8281</v>
      </c>
      <c r="B4562" t="s">
        <v>8282</v>
      </c>
      <c r="E4562" s="1"/>
    </row>
    <row r="4563" spans="1:8">
      <c r="A4563" t="s">
        <v>8283</v>
      </c>
      <c r="B4563" t="s">
        <v>8284</v>
      </c>
      <c r="E4563" s="1"/>
    </row>
    <row r="4564" spans="1:8">
      <c r="A4564" t="s">
        <v>8285</v>
      </c>
      <c r="B4564" t="s">
        <v>8286</v>
      </c>
      <c r="E4564" s="1"/>
    </row>
    <row r="4565" spans="1:8">
      <c r="A4565" t="s">
        <v>8287</v>
      </c>
      <c r="B4565" t="s">
        <v>8288</v>
      </c>
      <c r="E4565" s="1"/>
    </row>
    <row r="4566" spans="1:8">
      <c r="A4566" t="s">
        <v>8289</v>
      </c>
      <c r="B4566" t="s">
        <v>8290</v>
      </c>
      <c r="E4566" s="1"/>
    </row>
    <row r="4567" spans="1:8">
      <c r="A4567" t="s">
        <v>8291</v>
      </c>
      <c r="B4567" t="s">
        <v>8292</v>
      </c>
      <c r="E4567" s="1"/>
    </row>
    <row r="4568" spans="1:8">
      <c r="A4568" t="s">
        <v>8293</v>
      </c>
      <c r="B4568" t="s">
        <v>8294</v>
      </c>
      <c r="E4568" s="1"/>
    </row>
    <row r="4569" spans="1:8">
      <c r="A4569" t="s">
        <v>8295</v>
      </c>
      <c r="B4569" t="s">
        <v>8296</v>
      </c>
      <c r="C4569" s="1" t="s">
        <v>3861</v>
      </c>
      <c r="D4569" s="1"/>
      <c r="E4569" s="1" t="str">
        <f t="shared" ref="E4569:E4573" si="277">HYPERLINK("https://www.kegg.jp/dbget-bin/www_bget?ec:" &amp; C4569, "https://www.kegg.jp/dbget-bin/www_bget?ec:" &amp; C4569)</f>
        <v>https://www.kegg.jp/dbget-bin/www_bget?ec:2.5.1.17</v>
      </c>
      <c r="F4569" t="s">
        <v>9650</v>
      </c>
    </row>
    <row r="4570" spans="1:8">
      <c r="A4570" t="s">
        <v>8297</v>
      </c>
      <c r="B4570" t="s">
        <v>8298</v>
      </c>
      <c r="E4570" s="1"/>
    </row>
    <row r="4571" spans="1:8">
      <c r="A4571" t="s">
        <v>8299</v>
      </c>
      <c r="B4571" t="s">
        <v>8300</v>
      </c>
      <c r="C4571" s="1" t="s">
        <v>9188</v>
      </c>
      <c r="D4571" s="1"/>
      <c r="E4571" s="1" t="str">
        <f t="shared" si="277"/>
        <v>https://www.kegg.jp/dbget-bin/www_bget?ec:2.3.1.29</v>
      </c>
      <c r="F4571" s="1" t="s">
        <v>10510</v>
      </c>
      <c r="G4571" s="10" t="s">
        <v>11318</v>
      </c>
      <c r="H4571" s="13" t="s">
        <v>11319</v>
      </c>
    </row>
    <row r="4572" spans="1:8">
      <c r="A4572" t="s">
        <v>8301</v>
      </c>
      <c r="B4572" t="s">
        <v>8302</v>
      </c>
      <c r="E4572" s="1"/>
    </row>
    <row r="4573" spans="1:8">
      <c r="A4573" t="s">
        <v>8303</v>
      </c>
      <c r="B4573" t="s">
        <v>8304</v>
      </c>
      <c r="C4573" s="1" t="s">
        <v>9228</v>
      </c>
      <c r="D4573" s="1"/>
      <c r="E4573" s="1" t="str">
        <f t="shared" si="277"/>
        <v>https://www.kegg.jp/dbget-bin/www_bget?ec:2.1.1.228</v>
      </c>
      <c r="F4573" t="s">
        <v>10513</v>
      </c>
      <c r="G4573" s="10" t="s">
        <v>11320</v>
      </c>
      <c r="H4573" s="13" t="s">
        <v>11321</v>
      </c>
    </row>
    <row r="4574" spans="1:8">
      <c r="A4574" t="s">
        <v>8305</v>
      </c>
      <c r="B4574" t="s">
        <v>8306</v>
      </c>
      <c r="E4574" s="1"/>
    </row>
    <row r="4575" spans="1:8">
      <c r="A4575" t="s">
        <v>8307</v>
      </c>
      <c r="B4575" t="s">
        <v>8308</v>
      </c>
      <c r="E4575" s="1"/>
    </row>
    <row r="4576" spans="1:8">
      <c r="A4576" t="s">
        <v>8309</v>
      </c>
      <c r="B4576" t="s">
        <v>8310</v>
      </c>
      <c r="E4576" s="1"/>
    </row>
    <row r="4577" spans="1:5">
      <c r="A4577" t="s">
        <v>8311</v>
      </c>
      <c r="B4577" t="s">
        <v>8312</v>
      </c>
      <c r="E4577" s="1"/>
    </row>
    <row r="4578" spans="1:5">
      <c r="A4578" t="s">
        <v>8313</v>
      </c>
      <c r="B4578" t="s">
        <v>8314</v>
      </c>
      <c r="E4578" s="1"/>
    </row>
    <row r="4579" spans="1:5">
      <c r="A4579" t="s">
        <v>8315</v>
      </c>
      <c r="B4579" t="s">
        <v>8316</v>
      </c>
      <c r="E4579" s="1"/>
    </row>
    <row r="4580" spans="1:5">
      <c r="A4580" t="s">
        <v>8317</v>
      </c>
      <c r="B4580" t="s">
        <v>8318</v>
      </c>
      <c r="E4580" s="1"/>
    </row>
    <row r="4581" spans="1:5">
      <c r="A4581" t="s">
        <v>8319</v>
      </c>
      <c r="B4581" t="s">
        <v>8320</v>
      </c>
      <c r="E4581" s="1"/>
    </row>
    <row r="4582" spans="1:5">
      <c r="A4582" t="s">
        <v>8321</v>
      </c>
      <c r="B4582" t="s">
        <v>8322</v>
      </c>
      <c r="E4582" s="1"/>
    </row>
    <row r="4583" spans="1:5">
      <c r="A4583" t="s">
        <v>8323</v>
      </c>
      <c r="B4583" t="s">
        <v>8324</v>
      </c>
      <c r="E4583" s="1"/>
    </row>
    <row r="4584" spans="1:5">
      <c r="A4584" t="s">
        <v>8325</v>
      </c>
      <c r="B4584" t="s">
        <v>8326</v>
      </c>
      <c r="E4584" s="1"/>
    </row>
    <row r="4585" spans="1:5">
      <c r="A4585" t="s">
        <v>8327</v>
      </c>
      <c r="B4585" t="s">
        <v>8328</v>
      </c>
      <c r="E4585" s="1"/>
    </row>
    <row r="4586" spans="1:5">
      <c r="A4586" t="s">
        <v>8329</v>
      </c>
      <c r="B4586" t="s">
        <v>8330</v>
      </c>
      <c r="E4586" s="1"/>
    </row>
    <row r="4587" spans="1:5">
      <c r="A4587" t="s">
        <v>8331</v>
      </c>
      <c r="B4587" t="s">
        <v>8332</v>
      </c>
      <c r="E4587" s="1"/>
    </row>
    <row r="4588" spans="1:5">
      <c r="A4588" t="s">
        <v>8333</v>
      </c>
      <c r="B4588" t="s">
        <v>8334</v>
      </c>
      <c r="E4588" s="1"/>
    </row>
    <row r="4589" spans="1:5">
      <c r="A4589" t="s">
        <v>8335</v>
      </c>
      <c r="B4589" t="s">
        <v>8336</v>
      </c>
      <c r="E4589" s="1"/>
    </row>
    <row r="4590" spans="1:5">
      <c r="A4590" t="s">
        <v>8337</v>
      </c>
      <c r="B4590" t="s">
        <v>8338</v>
      </c>
      <c r="E4590" s="1"/>
    </row>
    <row r="4591" spans="1:5">
      <c r="A4591" t="s">
        <v>8339</v>
      </c>
      <c r="B4591" t="s">
        <v>8340</v>
      </c>
      <c r="E4591" s="1"/>
    </row>
    <row r="4592" spans="1:5">
      <c r="A4592" t="s">
        <v>8341</v>
      </c>
      <c r="B4592" t="s">
        <v>8342</v>
      </c>
      <c r="E4592" s="1"/>
    </row>
    <row r="4593" spans="1:6">
      <c r="A4593" t="s">
        <v>8343</v>
      </c>
      <c r="B4593" t="s">
        <v>8344</v>
      </c>
      <c r="E4593" s="1"/>
    </row>
    <row r="4594" spans="1:6">
      <c r="A4594" t="s">
        <v>8345</v>
      </c>
      <c r="B4594" t="s">
        <v>8346</v>
      </c>
      <c r="E4594" s="1"/>
    </row>
    <row r="4595" spans="1:6">
      <c r="A4595" t="s">
        <v>8347</v>
      </c>
      <c r="B4595" t="s">
        <v>8348</v>
      </c>
      <c r="E4595" s="1"/>
    </row>
    <row r="4596" spans="1:6">
      <c r="A4596" t="s">
        <v>8349</v>
      </c>
      <c r="B4596" t="s">
        <v>8350</v>
      </c>
      <c r="E4596" s="1"/>
    </row>
    <row r="4597" spans="1:6">
      <c r="A4597" t="s">
        <v>8351</v>
      </c>
      <c r="B4597" t="s">
        <v>8352</v>
      </c>
      <c r="E4597" s="1"/>
    </row>
    <row r="4598" spans="1:6">
      <c r="A4598" t="s">
        <v>8353</v>
      </c>
      <c r="B4598" t="s">
        <v>8354</v>
      </c>
      <c r="E4598" s="1"/>
    </row>
    <row r="4599" spans="1:6">
      <c r="A4599" t="s">
        <v>8355</v>
      </c>
      <c r="B4599" t="s">
        <v>8356</v>
      </c>
      <c r="E4599" s="1"/>
    </row>
    <row r="4600" spans="1:6">
      <c r="A4600" t="s">
        <v>8357</v>
      </c>
      <c r="B4600" t="s">
        <v>8358</v>
      </c>
      <c r="E4600" s="1"/>
    </row>
    <row r="4601" spans="1:6">
      <c r="A4601" t="s">
        <v>8359</v>
      </c>
      <c r="B4601" t="s">
        <v>8360</v>
      </c>
      <c r="E4601" s="1"/>
    </row>
    <row r="4602" spans="1:6">
      <c r="A4602" t="s">
        <v>8361</v>
      </c>
      <c r="B4602" t="s">
        <v>8362</v>
      </c>
      <c r="E4602" s="1"/>
    </row>
    <row r="4603" spans="1:6">
      <c r="B4603" t="s">
        <v>8363</v>
      </c>
      <c r="E4603" s="1"/>
    </row>
    <row r="4604" spans="1:6">
      <c r="B4604" t="s">
        <v>8364</v>
      </c>
      <c r="E4604" s="1"/>
    </row>
    <row r="4605" spans="1:6">
      <c r="A4605" t="s">
        <v>8365</v>
      </c>
      <c r="B4605" t="s">
        <v>8366</v>
      </c>
      <c r="E4605" s="1"/>
    </row>
    <row r="4606" spans="1:6">
      <c r="A4606" t="s">
        <v>8367</v>
      </c>
      <c r="B4606" t="s">
        <v>8368</v>
      </c>
      <c r="E4606" s="1"/>
    </row>
    <row r="4607" spans="1:6">
      <c r="A4607" t="s">
        <v>8369</v>
      </c>
      <c r="B4607" t="s">
        <v>8370</v>
      </c>
      <c r="E4607" s="1"/>
    </row>
    <row r="4608" spans="1:6">
      <c r="A4608" t="s">
        <v>8371</v>
      </c>
      <c r="B4608" t="s">
        <v>8372</v>
      </c>
      <c r="C4608" s="1" t="s">
        <v>9189</v>
      </c>
      <c r="D4608" s="1"/>
      <c r="E4608" s="1" t="str">
        <f t="shared" ref="E4608:E4671" si="278">HYPERLINK("https://www.kegg.jp/dbget-bin/www_bget?ec:" &amp; C4608, "https://www.kegg.jp/dbget-bin/www_bget?ec:" &amp; C4608)</f>
        <v>https://www.kegg.jp/dbget-bin/www_bget?ec:3.1.21.2</v>
      </c>
      <c r="F4608" t="s">
        <v>9650</v>
      </c>
    </row>
    <row r="4609" spans="1:6">
      <c r="A4609" t="s">
        <v>8373</v>
      </c>
      <c r="B4609" t="s">
        <v>8374</v>
      </c>
      <c r="E4609" s="1"/>
    </row>
    <row r="4610" spans="1:6">
      <c r="A4610" t="s">
        <v>8375</v>
      </c>
      <c r="B4610" t="s">
        <v>8376</v>
      </c>
      <c r="E4610" s="1"/>
    </row>
    <row r="4611" spans="1:6">
      <c r="A4611" t="s">
        <v>8377</v>
      </c>
      <c r="B4611" t="s">
        <v>8378</v>
      </c>
      <c r="E4611" s="1"/>
    </row>
    <row r="4612" spans="1:6">
      <c r="A4612" t="s">
        <v>8379</v>
      </c>
      <c r="B4612" t="s">
        <v>8380</v>
      </c>
      <c r="E4612" s="1"/>
    </row>
    <row r="4613" spans="1:6">
      <c r="A4613" t="s">
        <v>8381</v>
      </c>
      <c r="B4613" t="s">
        <v>8382</v>
      </c>
      <c r="E4613" s="1"/>
    </row>
    <row r="4614" spans="1:6">
      <c r="A4614" t="s">
        <v>8383</v>
      </c>
      <c r="B4614" t="s">
        <v>8384</v>
      </c>
      <c r="E4614" s="1"/>
    </row>
    <row r="4615" spans="1:6">
      <c r="A4615" t="s">
        <v>8385</v>
      </c>
      <c r="B4615" t="s">
        <v>8386</v>
      </c>
      <c r="E4615" s="1"/>
    </row>
    <row r="4616" spans="1:6">
      <c r="A4616" t="s">
        <v>8387</v>
      </c>
      <c r="B4616" t="s">
        <v>8388</v>
      </c>
      <c r="E4616" s="1"/>
    </row>
    <row r="4617" spans="1:6">
      <c r="A4617" t="s">
        <v>8389</v>
      </c>
      <c r="B4617" t="s">
        <v>8390</v>
      </c>
      <c r="E4617" s="1"/>
    </row>
    <row r="4618" spans="1:6">
      <c r="A4618" t="s">
        <v>8391</v>
      </c>
      <c r="B4618" t="s">
        <v>8392</v>
      </c>
      <c r="E4618" s="1"/>
    </row>
    <row r="4619" spans="1:6">
      <c r="A4619" t="s">
        <v>8393</v>
      </c>
      <c r="B4619" t="s">
        <v>8394</v>
      </c>
      <c r="E4619" s="1"/>
    </row>
    <row r="4620" spans="1:6">
      <c r="A4620" t="s">
        <v>8395</v>
      </c>
      <c r="B4620" t="s">
        <v>8396</v>
      </c>
      <c r="C4620" s="1" t="s">
        <v>9190</v>
      </c>
      <c r="D4620" s="1"/>
      <c r="E4620" s="1" t="str">
        <f t="shared" si="278"/>
        <v>https://www.kegg.jp/dbget-bin/www_bget?ec:1.1.1.</v>
      </c>
      <c r="F4620" t="s">
        <v>9650</v>
      </c>
    </row>
    <row r="4621" spans="1:6">
      <c r="A4621" t="s">
        <v>8397</v>
      </c>
      <c r="B4621" t="s">
        <v>8398</v>
      </c>
      <c r="E4621" s="1"/>
    </row>
    <row r="4622" spans="1:6">
      <c r="A4622" t="s">
        <v>8399</v>
      </c>
      <c r="B4622" t="s">
        <v>8400</v>
      </c>
      <c r="E4622" s="1"/>
    </row>
    <row r="4623" spans="1:6">
      <c r="A4623" t="s">
        <v>8401</v>
      </c>
      <c r="B4623" t="s">
        <v>8402</v>
      </c>
      <c r="E4623" s="1"/>
    </row>
    <row r="4624" spans="1:6">
      <c r="A4624" t="s">
        <v>8403</v>
      </c>
      <c r="B4624" t="s">
        <v>8404</v>
      </c>
      <c r="E4624" s="1"/>
    </row>
    <row r="4625" spans="1:8">
      <c r="A4625" t="s">
        <v>8405</v>
      </c>
      <c r="B4625" t="s">
        <v>8406</v>
      </c>
      <c r="E4625" s="1"/>
    </row>
    <row r="4626" spans="1:8">
      <c r="A4626" t="s">
        <v>8407</v>
      </c>
      <c r="B4626" t="s">
        <v>8408</v>
      </c>
      <c r="C4626" s="1" t="s">
        <v>9191</v>
      </c>
      <c r="D4626" s="1"/>
      <c r="E4626" s="1" t="str">
        <f t="shared" ref="E4626" si="279">HYPERLINK("https://www.kegg.jp/dbget-bin/www_bget?ec:" &amp; C4626, "https://www.kegg.jp/dbget-bin/www_bget?ec:" &amp; C4626)</f>
        <v>https://www.kegg.jp/dbget-bin/www_bget?ec:2.6.1.85</v>
      </c>
      <c r="F4626" t="s">
        <v>10515</v>
      </c>
      <c r="G4626" s="10" t="s">
        <v>9372</v>
      </c>
      <c r="H4626" s="13" t="s">
        <v>11004</v>
      </c>
    </row>
    <row r="4627" spans="1:8">
      <c r="A4627" t="s">
        <v>8407</v>
      </c>
      <c r="B4627" t="s">
        <v>8408</v>
      </c>
      <c r="C4627" s="1" t="s">
        <v>9191</v>
      </c>
      <c r="D4627" s="1"/>
      <c r="E4627" s="1" t="str">
        <f t="shared" ref="E4627" si="280">HYPERLINK("https://www.kegg.jp/dbget-bin/www_bget?ec:" &amp; C4627, "https://www.kegg.jp/dbget-bin/www_bget?ec:" &amp; C4627)</f>
        <v>https://www.kegg.jp/dbget-bin/www_bget?ec:2.6.1.85</v>
      </c>
      <c r="F4627" t="s">
        <v>10515</v>
      </c>
      <c r="G4627" s="10" t="s">
        <v>11322</v>
      </c>
      <c r="H4627" s="13" t="s">
        <v>11323</v>
      </c>
    </row>
    <row r="4628" spans="1:8">
      <c r="A4628" t="s">
        <v>8407</v>
      </c>
      <c r="B4628" t="s">
        <v>8408</v>
      </c>
      <c r="C4628" s="1" t="s">
        <v>9191</v>
      </c>
      <c r="D4628" s="1"/>
      <c r="E4628" s="1" t="str">
        <f t="shared" si="278"/>
        <v>https://www.kegg.jp/dbget-bin/www_bget?ec:2.6.1.85</v>
      </c>
      <c r="F4628" t="s">
        <v>10515</v>
      </c>
      <c r="G4628" s="10" t="s">
        <v>11324</v>
      </c>
      <c r="H4628" s="13" t="s">
        <v>11325</v>
      </c>
    </row>
    <row r="4629" spans="1:8">
      <c r="A4629" t="s">
        <v>8409</v>
      </c>
      <c r="B4629" t="s">
        <v>8410</v>
      </c>
      <c r="E4629" s="1"/>
    </row>
    <row r="4630" spans="1:8">
      <c r="A4630" t="s">
        <v>8411</v>
      </c>
      <c r="B4630" t="s">
        <v>8412</v>
      </c>
      <c r="E4630" s="1"/>
    </row>
    <row r="4631" spans="1:8">
      <c r="A4631" t="s">
        <v>8413</v>
      </c>
      <c r="B4631" t="s">
        <v>8414</v>
      </c>
      <c r="E4631" s="1"/>
    </row>
    <row r="4632" spans="1:8">
      <c r="A4632" t="s">
        <v>8415</v>
      </c>
      <c r="B4632" t="s">
        <v>8416</v>
      </c>
      <c r="C4632" s="1" t="s">
        <v>9192</v>
      </c>
      <c r="D4632" s="1"/>
      <c r="E4632" s="1" t="str">
        <f t="shared" ref="E4632" si="281">HYPERLINK("https://www.kegg.jp/dbget-bin/www_bget?ec:" &amp; C4632, "https://www.kegg.jp/dbget-bin/www_bget?ec:" &amp; C4632)</f>
        <v>https://www.kegg.jp/dbget-bin/www_bget?ec:1.3.1.1</v>
      </c>
      <c r="F4632" s="1" t="s">
        <v>10520</v>
      </c>
      <c r="G4632" s="10" t="s">
        <v>11326</v>
      </c>
      <c r="H4632" s="13" t="s">
        <v>11327</v>
      </c>
    </row>
    <row r="4633" spans="1:8">
      <c r="A4633" t="s">
        <v>8415</v>
      </c>
      <c r="B4633" t="s">
        <v>8416</v>
      </c>
      <c r="C4633" s="1" t="s">
        <v>9192</v>
      </c>
      <c r="D4633" s="1"/>
      <c r="E4633" s="1" t="str">
        <f t="shared" ref="E4633" si="282">HYPERLINK("https://www.kegg.jp/dbget-bin/www_bget?ec:" &amp; C4633, "https://www.kegg.jp/dbget-bin/www_bget?ec:" &amp; C4633)</f>
        <v>https://www.kegg.jp/dbget-bin/www_bget?ec:1.3.1.1</v>
      </c>
      <c r="F4633" t="s">
        <v>10520</v>
      </c>
      <c r="G4633" s="10" t="s">
        <v>11328</v>
      </c>
      <c r="H4633" s="13" t="s">
        <v>11329</v>
      </c>
    </row>
    <row r="4634" spans="1:8">
      <c r="A4634" t="s">
        <v>8415</v>
      </c>
      <c r="B4634" t="s">
        <v>8416</v>
      </c>
      <c r="C4634" s="1" t="s">
        <v>9192</v>
      </c>
      <c r="D4634" s="1"/>
      <c r="E4634" s="1" t="str">
        <f t="shared" si="278"/>
        <v>https://www.kegg.jp/dbget-bin/www_bget?ec:1.3.1.1</v>
      </c>
      <c r="F4634" t="s">
        <v>10520</v>
      </c>
      <c r="G4634" s="10" t="s">
        <v>11330</v>
      </c>
      <c r="H4634" s="13" t="s">
        <v>11331</v>
      </c>
    </row>
    <row r="4635" spans="1:8">
      <c r="A4635" t="s">
        <v>8417</v>
      </c>
      <c r="B4635" t="s">
        <v>8418</v>
      </c>
      <c r="E4635" s="1"/>
    </row>
    <row r="4636" spans="1:8">
      <c r="A4636" t="s">
        <v>8419</v>
      </c>
      <c r="B4636" t="s">
        <v>8420</v>
      </c>
      <c r="E4636" s="1"/>
    </row>
    <row r="4637" spans="1:8">
      <c r="A4637" t="s">
        <v>8421</v>
      </c>
      <c r="B4637" t="s">
        <v>8422</v>
      </c>
      <c r="E4637" s="1"/>
    </row>
    <row r="4638" spans="1:8">
      <c r="A4638" t="s">
        <v>8423</v>
      </c>
      <c r="B4638" t="s">
        <v>8424</v>
      </c>
      <c r="E4638" s="1"/>
    </row>
    <row r="4639" spans="1:8">
      <c r="A4639" t="s">
        <v>8425</v>
      </c>
      <c r="B4639" t="s">
        <v>8426</v>
      </c>
      <c r="E4639" s="1"/>
    </row>
    <row r="4640" spans="1:8">
      <c r="A4640" t="s">
        <v>8427</v>
      </c>
      <c r="B4640" t="s">
        <v>8428</v>
      </c>
      <c r="E4640" s="1"/>
    </row>
    <row r="4641" spans="1:8">
      <c r="A4641" t="s">
        <v>8429</v>
      </c>
      <c r="B4641" t="s">
        <v>8430</v>
      </c>
      <c r="E4641" s="1"/>
    </row>
    <row r="4642" spans="1:8">
      <c r="A4642" t="s">
        <v>8431</v>
      </c>
      <c r="B4642" t="s">
        <v>8432</v>
      </c>
      <c r="C4642" s="1" t="s">
        <v>349</v>
      </c>
      <c r="D4642" s="1" t="s">
        <v>10527</v>
      </c>
      <c r="E4642" s="1" t="str">
        <f t="shared" si="278"/>
        <v>https://www.kegg.jp/dbget-bin/www_bget?ec:3.6.4.12</v>
      </c>
      <c r="F4642" t="s">
        <v>9650</v>
      </c>
    </row>
    <row r="4643" spans="1:8">
      <c r="A4643" t="s">
        <v>8433</v>
      </c>
      <c r="B4643" t="s">
        <v>8434</v>
      </c>
      <c r="E4643" s="1"/>
    </row>
    <row r="4644" spans="1:8">
      <c r="A4644" t="s">
        <v>8435</v>
      </c>
      <c r="B4644" t="s">
        <v>8436</v>
      </c>
      <c r="E4644" s="1"/>
    </row>
    <row r="4645" spans="1:8">
      <c r="A4645" t="s">
        <v>8437</v>
      </c>
      <c r="B4645" t="s">
        <v>8438</v>
      </c>
      <c r="E4645" s="1"/>
    </row>
    <row r="4646" spans="1:8">
      <c r="A4646" t="s">
        <v>8439</v>
      </c>
      <c r="B4646" t="s">
        <v>8440</v>
      </c>
      <c r="E4646" s="1"/>
    </row>
    <row r="4647" spans="1:8">
      <c r="A4647" t="s">
        <v>8441</v>
      </c>
      <c r="B4647" t="s">
        <v>8442</v>
      </c>
      <c r="E4647" s="1"/>
    </row>
    <row r="4648" spans="1:8">
      <c r="A4648" t="s">
        <v>8443</v>
      </c>
      <c r="B4648" t="s">
        <v>8444</v>
      </c>
      <c r="E4648" s="1"/>
    </row>
    <row r="4649" spans="1:8">
      <c r="A4649" t="s">
        <v>8445</v>
      </c>
      <c r="B4649" t="s">
        <v>8446</v>
      </c>
      <c r="E4649" s="1"/>
    </row>
    <row r="4650" spans="1:8">
      <c r="A4650" t="s">
        <v>8447</v>
      </c>
      <c r="B4650" t="s">
        <v>8448</v>
      </c>
      <c r="E4650" s="1"/>
    </row>
    <row r="4651" spans="1:8">
      <c r="A4651" t="s">
        <v>8449</v>
      </c>
      <c r="B4651" t="s">
        <v>8450</v>
      </c>
      <c r="E4651" s="1"/>
    </row>
    <row r="4652" spans="1:8">
      <c r="A4652" t="s">
        <v>8451</v>
      </c>
      <c r="B4652" t="s">
        <v>8452</v>
      </c>
      <c r="E4652" s="1"/>
    </row>
    <row r="4653" spans="1:8">
      <c r="A4653" t="s">
        <v>8453</v>
      </c>
      <c r="B4653" t="s">
        <v>8454</v>
      </c>
      <c r="C4653" s="1" t="s">
        <v>9193</v>
      </c>
      <c r="D4653" s="1"/>
      <c r="E4653" s="1" t="str">
        <f t="shared" si="278"/>
        <v>https://www.kegg.jp/dbget-bin/www_bget?ec:2.4.2.9</v>
      </c>
      <c r="F4653" s="1" t="s">
        <v>10528</v>
      </c>
      <c r="G4653" s="10" t="s">
        <v>11046</v>
      </c>
      <c r="H4653" s="13" t="s">
        <v>11332</v>
      </c>
    </row>
    <row r="4654" spans="1:8">
      <c r="A4654" t="s">
        <v>8455</v>
      </c>
      <c r="B4654" t="s">
        <v>8456</v>
      </c>
      <c r="E4654" s="1"/>
    </row>
    <row r="4655" spans="1:8">
      <c r="A4655" t="s">
        <v>8457</v>
      </c>
      <c r="B4655" t="s">
        <v>8458</v>
      </c>
      <c r="C4655" s="1"/>
      <c r="D4655" s="1"/>
      <c r="E4655" s="1"/>
    </row>
    <row r="4656" spans="1:8">
      <c r="A4656" t="s">
        <v>8459</v>
      </c>
      <c r="B4656" t="s">
        <v>8460</v>
      </c>
      <c r="C4656" s="1" t="s">
        <v>9194</v>
      </c>
      <c r="D4656" s="1"/>
      <c r="E4656" s="1" t="str">
        <f t="shared" ref="E4656" si="283">HYPERLINK("https://www.kegg.jp/dbget-bin/www_bget?ec:" &amp; C4656, "https://www.kegg.jp/dbget-bin/www_bget?ec:" &amp; C4656)</f>
        <v>https://www.kegg.jp/dbget-bin/www_bget?ec:1.3.1.98</v>
      </c>
      <c r="F4656" t="s">
        <v>10531</v>
      </c>
      <c r="G4656" s="10" t="s">
        <v>11333</v>
      </c>
      <c r="H4656" s="13" t="s">
        <v>11334</v>
      </c>
    </row>
    <row r="4657" spans="1:8">
      <c r="A4657" t="s">
        <v>8459</v>
      </c>
      <c r="B4657" t="s">
        <v>8460</v>
      </c>
      <c r="C4657" s="1" t="s">
        <v>9194</v>
      </c>
      <c r="D4657" s="1"/>
      <c r="E4657" s="1" t="str">
        <f t="shared" si="278"/>
        <v>https://www.kegg.jp/dbget-bin/www_bget?ec:1.3.1.98</v>
      </c>
      <c r="F4657" t="s">
        <v>10531</v>
      </c>
      <c r="G4657" s="10" t="s">
        <v>11335</v>
      </c>
      <c r="H4657" s="13" t="s">
        <v>11336</v>
      </c>
    </row>
    <row r="4658" spans="1:8">
      <c r="A4658" t="s">
        <v>8461</v>
      </c>
      <c r="B4658" t="s">
        <v>8462</v>
      </c>
      <c r="E4658" s="1"/>
    </row>
    <row r="4659" spans="1:8">
      <c r="A4659" t="s">
        <v>8463</v>
      </c>
      <c r="B4659" t="s">
        <v>8464</v>
      </c>
      <c r="E4659" s="1"/>
    </row>
    <row r="4660" spans="1:8">
      <c r="A4660" t="s">
        <v>8465</v>
      </c>
      <c r="B4660" t="s">
        <v>8466</v>
      </c>
      <c r="E4660" s="1"/>
    </row>
    <row r="4661" spans="1:8">
      <c r="A4661" t="s">
        <v>8467</v>
      </c>
      <c r="B4661" t="s">
        <v>8468</v>
      </c>
      <c r="E4661" s="1"/>
    </row>
    <row r="4662" spans="1:8">
      <c r="A4662" t="s">
        <v>8469</v>
      </c>
      <c r="B4662" t="s">
        <v>8470</v>
      </c>
      <c r="E4662" s="1"/>
    </row>
    <row r="4663" spans="1:8">
      <c r="A4663" t="s">
        <v>8471</v>
      </c>
      <c r="B4663" t="s">
        <v>8472</v>
      </c>
      <c r="E4663" s="1"/>
    </row>
    <row r="4664" spans="1:8">
      <c r="A4664" t="s">
        <v>8473</v>
      </c>
      <c r="B4664" t="s">
        <v>8474</v>
      </c>
      <c r="E4664" s="1"/>
    </row>
    <row r="4665" spans="1:8">
      <c r="A4665" t="s">
        <v>8475</v>
      </c>
      <c r="B4665" t="s">
        <v>8476</v>
      </c>
      <c r="E4665" s="1"/>
    </row>
    <row r="4666" spans="1:8">
      <c r="A4666" t="s">
        <v>8477</v>
      </c>
      <c r="B4666" t="s">
        <v>8478</v>
      </c>
      <c r="E4666" s="1"/>
    </row>
    <row r="4667" spans="1:8">
      <c r="A4667" t="s">
        <v>8479</v>
      </c>
      <c r="B4667" t="s">
        <v>8480</v>
      </c>
      <c r="E4667" s="1"/>
    </row>
    <row r="4668" spans="1:8">
      <c r="A4668" t="s">
        <v>8481</v>
      </c>
      <c r="B4668" t="s">
        <v>8482</v>
      </c>
      <c r="C4668" s="1" t="s">
        <v>9195</v>
      </c>
      <c r="D4668" s="1"/>
      <c r="E4668" s="1" t="str">
        <f t="shared" ref="E4668" si="284">HYPERLINK("https://www.kegg.jp/dbget-bin/www_bget?ec:" &amp; C4668, "https://www.kegg.jp/dbget-bin/www_bget?ec:" &amp; C4668)</f>
        <v>https://www.kegg.jp/dbget-bin/www_bget?ec:4.1.3.36</v>
      </c>
      <c r="F4668" s="1" t="s">
        <v>10535</v>
      </c>
      <c r="G4668" s="10" t="s">
        <v>10536</v>
      </c>
      <c r="H4668" s="13" t="s">
        <v>11337</v>
      </c>
    </row>
    <row r="4669" spans="1:8">
      <c r="A4669" t="s">
        <v>8481</v>
      </c>
      <c r="B4669" t="s">
        <v>8482</v>
      </c>
      <c r="C4669" s="1" t="s">
        <v>9195</v>
      </c>
      <c r="D4669" s="1"/>
      <c r="E4669" s="1" t="str">
        <f t="shared" si="278"/>
        <v>https://www.kegg.jp/dbget-bin/www_bget?ec:4.1.3.36</v>
      </c>
      <c r="F4669" s="1" t="s">
        <v>10535</v>
      </c>
      <c r="G4669" s="10" t="s">
        <v>10538</v>
      </c>
      <c r="H4669" s="13" t="s">
        <v>11338</v>
      </c>
    </row>
    <row r="4670" spans="1:8">
      <c r="A4670" t="s">
        <v>8483</v>
      </c>
      <c r="B4670" t="s">
        <v>8484</v>
      </c>
      <c r="C4670" s="1" t="s">
        <v>9196</v>
      </c>
      <c r="D4670" s="1"/>
      <c r="E4670" s="1" t="str">
        <f t="shared" si="278"/>
        <v>https://www.kegg.jp/dbget-bin/www_bget?ec:2.2.1.9</v>
      </c>
      <c r="F4670" s="1" t="s">
        <v>10540</v>
      </c>
      <c r="G4670" s="10" t="s">
        <v>11339</v>
      </c>
      <c r="H4670" s="13" t="s">
        <v>11340</v>
      </c>
    </row>
    <row r="4671" spans="1:8">
      <c r="A4671" t="s">
        <v>8485</v>
      </c>
      <c r="B4671" t="s">
        <v>8486</v>
      </c>
      <c r="C4671" s="1" t="s">
        <v>9197</v>
      </c>
      <c r="D4671" s="1"/>
      <c r="E4671" s="1" t="str">
        <f t="shared" si="278"/>
        <v>https://www.kegg.jp/dbget-bin/www_bget?ec:5.4.4.2</v>
      </c>
      <c r="F4671" s="1" t="s">
        <v>10542</v>
      </c>
      <c r="G4671" s="10" t="s">
        <v>10543</v>
      </c>
      <c r="H4671" s="13" t="s">
        <v>10544</v>
      </c>
    </row>
    <row r="4672" spans="1:8">
      <c r="A4672" t="s">
        <v>8487</v>
      </c>
      <c r="B4672" t="s">
        <v>8488</v>
      </c>
      <c r="E4672" s="1"/>
    </row>
    <row r="4673" spans="1:8">
      <c r="A4673" t="s">
        <v>8489</v>
      </c>
      <c r="B4673" t="s">
        <v>8490</v>
      </c>
      <c r="E4673" s="1"/>
    </row>
    <row r="4674" spans="1:8">
      <c r="A4674" t="s">
        <v>8491</v>
      </c>
      <c r="B4674" t="s">
        <v>8492</v>
      </c>
      <c r="E4674" s="1"/>
    </row>
    <row r="4675" spans="1:8">
      <c r="A4675" t="s">
        <v>8493</v>
      </c>
      <c r="B4675" t="s">
        <v>8494</v>
      </c>
      <c r="E4675" s="1"/>
    </row>
    <row r="4676" spans="1:8">
      <c r="A4676" t="s">
        <v>8495</v>
      </c>
      <c r="B4676" t="s">
        <v>8496</v>
      </c>
      <c r="E4676" s="1"/>
    </row>
    <row r="4677" spans="1:8">
      <c r="A4677" t="s">
        <v>8497</v>
      </c>
      <c r="B4677" t="s">
        <v>8498</v>
      </c>
      <c r="E4677" s="1"/>
    </row>
    <row r="4678" spans="1:8">
      <c r="A4678" t="s">
        <v>8499</v>
      </c>
      <c r="B4678" t="s">
        <v>8500</v>
      </c>
      <c r="C4678" s="1" t="s">
        <v>9198</v>
      </c>
      <c r="D4678" s="1"/>
      <c r="E4678" s="1" t="str">
        <f t="shared" ref="E4678:E4751" si="285">HYPERLINK("https://www.kegg.jp/dbget-bin/www_bget?ec:" &amp; C4678, "https://www.kegg.jp/dbget-bin/www_bget?ec:" &amp; C4678)</f>
        <v>https://www.kegg.jp/dbget-bin/www_bget?ec:3.5.4.3</v>
      </c>
      <c r="F4678" s="1" t="s">
        <v>10545</v>
      </c>
      <c r="G4678" s="1" t="s">
        <v>11341</v>
      </c>
      <c r="H4678" s="13" t="s">
        <v>11342</v>
      </c>
    </row>
    <row r="4679" spans="1:8">
      <c r="A4679" t="s">
        <v>8501</v>
      </c>
      <c r="B4679" t="s">
        <v>8502</v>
      </c>
      <c r="E4679" s="1"/>
    </row>
    <row r="4680" spans="1:8">
      <c r="A4680" t="s">
        <v>8503</v>
      </c>
      <c r="B4680" t="s">
        <v>8504</v>
      </c>
      <c r="E4680" s="1"/>
    </row>
    <row r="4681" spans="1:8">
      <c r="A4681" t="s">
        <v>8505</v>
      </c>
      <c r="B4681" t="s">
        <v>8506</v>
      </c>
      <c r="E4681" s="1"/>
    </row>
    <row r="4682" spans="1:8">
      <c r="A4682" t="s">
        <v>8507</v>
      </c>
      <c r="B4682" t="s">
        <v>8508</v>
      </c>
      <c r="E4682" s="1"/>
    </row>
    <row r="4683" spans="1:8">
      <c r="A4683" t="s">
        <v>8509</v>
      </c>
      <c r="B4683" t="s">
        <v>8510</v>
      </c>
      <c r="E4683" s="1"/>
    </row>
    <row r="4684" spans="1:8">
      <c r="A4684" t="s">
        <v>8511</v>
      </c>
      <c r="B4684" t="s">
        <v>8512</v>
      </c>
      <c r="E4684" s="1"/>
    </row>
    <row r="4685" spans="1:8">
      <c r="A4685" t="s">
        <v>8513</v>
      </c>
      <c r="B4685" t="s">
        <v>8514</v>
      </c>
      <c r="E4685" s="1"/>
    </row>
    <row r="4686" spans="1:8">
      <c r="A4686" t="s">
        <v>8515</v>
      </c>
      <c r="B4686" t="s">
        <v>8516</v>
      </c>
      <c r="E4686" s="1"/>
    </row>
    <row r="4687" spans="1:8">
      <c r="A4687" t="s">
        <v>8517</v>
      </c>
      <c r="B4687" t="s">
        <v>8518</v>
      </c>
      <c r="E4687" s="1"/>
    </row>
    <row r="4688" spans="1:8">
      <c r="A4688" t="s">
        <v>8519</v>
      </c>
      <c r="B4688" t="s">
        <v>8520</v>
      </c>
      <c r="E4688" s="1"/>
    </row>
    <row r="4689" spans="1:8">
      <c r="A4689" t="s">
        <v>8521</v>
      </c>
      <c r="B4689" t="s">
        <v>8522</v>
      </c>
      <c r="E4689" s="1"/>
    </row>
    <row r="4690" spans="1:8">
      <c r="A4690" t="s">
        <v>8523</v>
      </c>
      <c r="B4690" t="s">
        <v>8524</v>
      </c>
      <c r="E4690" s="1"/>
    </row>
    <row r="4691" spans="1:8">
      <c r="A4691" t="s">
        <v>8525</v>
      </c>
      <c r="B4691" t="s">
        <v>8526</v>
      </c>
      <c r="E4691" s="1"/>
    </row>
    <row r="4692" spans="1:8">
      <c r="A4692" t="s">
        <v>8527</v>
      </c>
      <c r="B4692" t="s">
        <v>8528</v>
      </c>
      <c r="C4692" s="1" t="s">
        <v>9199</v>
      </c>
      <c r="D4692" s="1"/>
      <c r="E4692" s="1" t="str">
        <f t="shared" si="285"/>
        <v>https://www.kegg.jp/dbget-bin/www_bget?ec:3.2.2.4</v>
      </c>
      <c r="F4692" s="1" t="s">
        <v>10548</v>
      </c>
      <c r="G4692" s="10" t="s">
        <v>11343</v>
      </c>
      <c r="H4692" s="13" t="s">
        <v>11344</v>
      </c>
    </row>
    <row r="4693" spans="1:8">
      <c r="A4693" t="s">
        <v>8529</v>
      </c>
      <c r="B4693" t="s">
        <v>8530</v>
      </c>
      <c r="C4693" s="1" t="s">
        <v>298</v>
      </c>
      <c r="D4693" s="1"/>
      <c r="E4693" s="1" t="str">
        <f t="shared" ref="E4693" si="286">HYPERLINK("https://www.kegg.jp/dbget-bin/www_bget?ec:" &amp; C4693, "https://www.kegg.jp/dbget-bin/www_bget?ec:" &amp; C4693)</f>
        <v>https://www.kegg.jp/dbget-bin/www_bget?ec:2.7.7.7</v>
      </c>
      <c r="F4693" s="19" t="s">
        <v>9321</v>
      </c>
      <c r="G4693" s="22" t="s">
        <v>9580</v>
      </c>
      <c r="H4693" s="20" t="s">
        <v>10817</v>
      </c>
    </row>
    <row r="4694" spans="1:8">
      <c r="A4694" t="s">
        <v>8529</v>
      </c>
      <c r="B4694" t="s">
        <v>8530</v>
      </c>
      <c r="C4694" s="1" t="s">
        <v>298</v>
      </c>
      <c r="D4694" s="1"/>
      <c r="E4694" s="1" t="str">
        <f t="shared" ref="E4694" si="287">HYPERLINK("https://www.kegg.jp/dbget-bin/www_bget?ec:" &amp; C4694, "https://www.kegg.jp/dbget-bin/www_bget?ec:" &amp; C4694)</f>
        <v>https://www.kegg.jp/dbget-bin/www_bget?ec:2.7.7.7</v>
      </c>
      <c r="F4694" s="19" t="s">
        <v>9321</v>
      </c>
      <c r="G4694" s="22" t="s">
        <v>9514</v>
      </c>
      <c r="H4694" s="20" t="s">
        <v>9515</v>
      </c>
    </row>
    <row r="4695" spans="1:8">
      <c r="A4695" t="s">
        <v>8529</v>
      </c>
      <c r="B4695" t="s">
        <v>8530</v>
      </c>
      <c r="C4695" s="1" t="s">
        <v>298</v>
      </c>
      <c r="D4695" s="1"/>
      <c r="E4695" s="1" t="str">
        <f t="shared" ref="E4695" si="288">HYPERLINK("https://www.kegg.jp/dbget-bin/www_bget?ec:" &amp; C4695, "https://www.kegg.jp/dbget-bin/www_bget?ec:" &amp; C4695)</f>
        <v>https://www.kegg.jp/dbget-bin/www_bget?ec:2.7.7.7</v>
      </c>
      <c r="F4695" s="19" t="s">
        <v>9321</v>
      </c>
      <c r="G4695" s="22" t="s">
        <v>9516</v>
      </c>
      <c r="H4695" s="20" t="s">
        <v>9515</v>
      </c>
    </row>
    <row r="4696" spans="1:8">
      <c r="A4696" t="s">
        <v>8529</v>
      </c>
      <c r="B4696" t="s">
        <v>8530</v>
      </c>
      <c r="C4696" s="1" t="s">
        <v>298</v>
      </c>
      <c r="D4696" s="1"/>
      <c r="E4696" s="1" t="str">
        <f t="shared" ref="E4696" si="289">HYPERLINK("https://www.kegg.jp/dbget-bin/www_bget?ec:" &amp; C4696, "https://www.kegg.jp/dbget-bin/www_bget?ec:" &amp; C4696)</f>
        <v>https://www.kegg.jp/dbget-bin/www_bget?ec:2.7.7.7</v>
      </c>
      <c r="F4696" s="19" t="s">
        <v>9321</v>
      </c>
      <c r="G4696" s="22" t="s">
        <v>9517</v>
      </c>
      <c r="H4696" s="20" t="s">
        <v>9515</v>
      </c>
    </row>
    <row r="4697" spans="1:8">
      <c r="A4697" t="s">
        <v>8529</v>
      </c>
      <c r="B4697" t="s">
        <v>8530</v>
      </c>
      <c r="C4697" s="1" t="s">
        <v>298</v>
      </c>
      <c r="D4697" s="1"/>
      <c r="E4697" s="1" t="str">
        <f t="shared" ref="E4697" si="290">HYPERLINK("https://www.kegg.jp/dbget-bin/www_bget?ec:" &amp; C4697, "https://www.kegg.jp/dbget-bin/www_bget?ec:" &amp; C4697)</f>
        <v>https://www.kegg.jp/dbget-bin/www_bget?ec:2.7.7.7</v>
      </c>
      <c r="F4697" s="19" t="s">
        <v>9321</v>
      </c>
      <c r="G4697" s="22" t="s">
        <v>9571</v>
      </c>
      <c r="H4697" s="20" t="s">
        <v>10657</v>
      </c>
    </row>
    <row r="4698" spans="1:8">
      <c r="A4698" t="s">
        <v>8529</v>
      </c>
      <c r="B4698" t="s">
        <v>8530</v>
      </c>
      <c r="C4698" s="1" t="s">
        <v>298</v>
      </c>
      <c r="D4698" s="1"/>
      <c r="E4698" s="1" t="str">
        <f t="shared" si="285"/>
        <v>https://www.kegg.jp/dbget-bin/www_bget?ec:2.7.7.7</v>
      </c>
      <c r="F4698" s="19" t="s">
        <v>9321</v>
      </c>
      <c r="G4698" s="22" t="s">
        <v>9995</v>
      </c>
      <c r="H4698" s="20" t="s">
        <v>9996</v>
      </c>
    </row>
    <row r="4699" spans="1:8">
      <c r="A4699" t="s">
        <v>8531</v>
      </c>
      <c r="B4699" t="s">
        <v>8532</v>
      </c>
      <c r="E4699" s="1"/>
    </row>
    <row r="4700" spans="1:8">
      <c r="A4700" t="s">
        <v>8533</v>
      </c>
      <c r="B4700" t="s">
        <v>8534</v>
      </c>
      <c r="E4700" s="1"/>
    </row>
    <row r="4701" spans="1:8">
      <c r="A4701" t="s">
        <v>8535</v>
      </c>
      <c r="B4701" t="s">
        <v>8536</v>
      </c>
      <c r="C4701" s="1" t="s">
        <v>9200</v>
      </c>
      <c r="D4701" s="1"/>
      <c r="E4701" s="1" t="str">
        <f t="shared" si="285"/>
        <v>https://www.kegg.jp/dbget-bin/www_bget?ec:1.3.1.14</v>
      </c>
      <c r="F4701" s="1" t="s">
        <v>10551</v>
      </c>
      <c r="G4701" s="10" t="s">
        <v>11345</v>
      </c>
      <c r="H4701" s="13" t="s">
        <v>11346</v>
      </c>
    </row>
    <row r="4702" spans="1:8">
      <c r="A4702" t="s">
        <v>8537</v>
      </c>
      <c r="B4702" t="s">
        <v>8538</v>
      </c>
      <c r="C4702" s="1" t="s">
        <v>9201</v>
      </c>
      <c r="D4702" s="1"/>
      <c r="E4702" s="1" t="str">
        <f t="shared" si="285"/>
        <v>https://www.kegg.jp/dbget-bin/www_bget?ec:3.1.11.2</v>
      </c>
      <c r="F4702" t="s">
        <v>9650</v>
      </c>
    </row>
    <row r="4703" spans="1:8">
      <c r="A4703" t="s">
        <v>8539</v>
      </c>
      <c r="B4703" t="s">
        <v>8540</v>
      </c>
      <c r="E4703" s="1"/>
    </row>
    <row r="4704" spans="1:8">
      <c r="A4704" t="s">
        <v>8541</v>
      </c>
      <c r="B4704" t="s">
        <v>8542</v>
      </c>
      <c r="E4704" s="1"/>
    </row>
    <row r="4705" spans="1:8">
      <c r="A4705" t="s">
        <v>8543</v>
      </c>
      <c r="B4705" t="s">
        <v>8544</v>
      </c>
      <c r="E4705" s="1"/>
    </row>
    <row r="4706" spans="1:8">
      <c r="A4706" t="s">
        <v>8545</v>
      </c>
      <c r="B4706" t="s">
        <v>8546</v>
      </c>
      <c r="C4706" s="1" t="s">
        <v>9202</v>
      </c>
      <c r="D4706" s="1"/>
      <c r="E4706" s="1" t="str">
        <f t="shared" ref="E4706" si="291">HYPERLINK("https://www.kegg.jp/dbget-bin/www_bget?ec:" &amp; C4706, "https://www.kegg.jp/dbget-bin/www_bget?ec:" &amp; C4706)</f>
        <v>https://www.kegg.jp/dbget-bin/www_bget?ec:3.1.3.3</v>
      </c>
      <c r="F4706" t="s">
        <v>10554</v>
      </c>
      <c r="G4706" s="10" t="s">
        <v>11347</v>
      </c>
      <c r="H4706" s="13" t="s">
        <v>11348</v>
      </c>
    </row>
    <row r="4707" spans="1:8">
      <c r="A4707" t="s">
        <v>8545</v>
      </c>
      <c r="B4707" t="s">
        <v>8546</v>
      </c>
      <c r="C4707" s="1" t="s">
        <v>9202</v>
      </c>
      <c r="D4707" s="1"/>
      <c r="E4707" s="1" t="str">
        <f t="shared" si="285"/>
        <v>https://www.kegg.jp/dbget-bin/www_bget?ec:3.1.3.3</v>
      </c>
      <c r="F4707" s="1" t="s">
        <v>10554</v>
      </c>
      <c r="G4707" s="10" t="s">
        <v>11349</v>
      </c>
      <c r="H4707" s="13" t="s">
        <v>11350</v>
      </c>
    </row>
    <row r="4708" spans="1:8">
      <c r="A4708" t="s">
        <v>8547</v>
      </c>
      <c r="B4708" t="s">
        <v>8548</v>
      </c>
      <c r="E4708" s="1"/>
    </row>
    <row r="4709" spans="1:8">
      <c r="A4709" t="s">
        <v>8549</v>
      </c>
      <c r="B4709" t="s">
        <v>8550</v>
      </c>
      <c r="E4709" s="1"/>
    </row>
    <row r="4710" spans="1:8">
      <c r="A4710" t="s">
        <v>8551</v>
      </c>
      <c r="B4710" t="s">
        <v>8552</v>
      </c>
      <c r="E4710" s="1"/>
    </row>
    <row r="4711" spans="1:8">
      <c r="A4711" t="s">
        <v>8553</v>
      </c>
      <c r="B4711" t="s">
        <v>8554</v>
      </c>
      <c r="E4711" s="1"/>
    </row>
    <row r="4712" spans="1:8">
      <c r="A4712" t="s">
        <v>8555</v>
      </c>
      <c r="B4712" t="s">
        <v>8556</v>
      </c>
      <c r="E4712" s="1"/>
    </row>
    <row r="4713" spans="1:8">
      <c r="A4713" t="s">
        <v>8557</v>
      </c>
      <c r="B4713" t="s">
        <v>8558</v>
      </c>
      <c r="E4713" s="1"/>
    </row>
    <row r="4714" spans="1:8">
      <c r="A4714" t="s">
        <v>8559</v>
      </c>
      <c r="B4714" t="s">
        <v>8560</v>
      </c>
      <c r="E4714" s="1"/>
    </row>
    <row r="4715" spans="1:8">
      <c r="A4715" t="s">
        <v>8561</v>
      </c>
      <c r="B4715" t="s">
        <v>8562</v>
      </c>
      <c r="E4715" s="1"/>
    </row>
    <row r="4716" spans="1:8">
      <c r="A4716" t="s">
        <v>8563</v>
      </c>
      <c r="B4716" t="s">
        <v>8564</v>
      </c>
      <c r="E4716" s="1"/>
    </row>
    <row r="4717" spans="1:8">
      <c r="A4717" t="s">
        <v>8565</v>
      </c>
      <c r="B4717" t="s">
        <v>8566</v>
      </c>
      <c r="E4717" s="1"/>
    </row>
    <row r="4718" spans="1:8">
      <c r="A4718" t="s">
        <v>8567</v>
      </c>
      <c r="B4718" t="s">
        <v>8568</v>
      </c>
      <c r="E4718" s="1"/>
    </row>
    <row r="4719" spans="1:8">
      <c r="A4719" t="s">
        <v>8569</v>
      </c>
      <c r="B4719" t="s">
        <v>8570</v>
      </c>
      <c r="E4719" s="1"/>
    </row>
    <row r="4720" spans="1:8">
      <c r="A4720" t="s">
        <v>8571</v>
      </c>
      <c r="B4720" t="s">
        <v>8572</v>
      </c>
      <c r="E4720" s="1"/>
    </row>
    <row r="4721" spans="1:5">
      <c r="A4721" t="s">
        <v>8573</v>
      </c>
      <c r="B4721" t="s">
        <v>8574</v>
      </c>
      <c r="E4721" s="1"/>
    </row>
    <row r="4722" spans="1:5">
      <c r="A4722" t="s">
        <v>8575</v>
      </c>
      <c r="B4722" t="s">
        <v>8576</v>
      </c>
      <c r="E4722" s="1"/>
    </row>
    <row r="4723" spans="1:5">
      <c r="A4723" t="s">
        <v>8577</v>
      </c>
      <c r="B4723" t="s">
        <v>8578</v>
      </c>
      <c r="E4723" s="1"/>
    </row>
    <row r="4724" spans="1:5">
      <c r="A4724" t="s">
        <v>8579</v>
      </c>
      <c r="B4724" t="s">
        <v>8580</v>
      </c>
      <c r="E4724" s="1"/>
    </row>
    <row r="4725" spans="1:5">
      <c r="A4725" t="s">
        <v>8581</v>
      </c>
      <c r="B4725" t="s">
        <v>8582</v>
      </c>
      <c r="E4725" s="1"/>
    </row>
    <row r="4726" spans="1:5">
      <c r="B4726" t="s">
        <v>8583</v>
      </c>
      <c r="E4726" s="1"/>
    </row>
    <row r="4727" spans="1:5">
      <c r="B4727" t="s">
        <v>8584</v>
      </c>
      <c r="E4727" s="1"/>
    </row>
    <row r="4728" spans="1:5">
      <c r="B4728" t="s">
        <v>8585</v>
      </c>
      <c r="E4728" s="1"/>
    </row>
    <row r="4729" spans="1:5">
      <c r="A4729" t="s">
        <v>8586</v>
      </c>
      <c r="B4729" t="s">
        <v>8587</v>
      </c>
      <c r="E4729" s="1"/>
    </row>
    <row r="4730" spans="1:5">
      <c r="A4730" t="s">
        <v>8588</v>
      </c>
      <c r="B4730" t="s">
        <v>8589</v>
      </c>
      <c r="E4730" s="1"/>
    </row>
    <row r="4731" spans="1:5">
      <c r="A4731" t="s">
        <v>8590</v>
      </c>
      <c r="B4731" t="s">
        <v>8591</v>
      </c>
      <c r="E4731" s="1"/>
    </row>
    <row r="4732" spans="1:5">
      <c r="A4732" t="s">
        <v>8592</v>
      </c>
      <c r="B4732" t="s">
        <v>8593</v>
      </c>
      <c r="E4732" s="1"/>
    </row>
    <row r="4733" spans="1:5">
      <c r="A4733" t="s">
        <v>8594</v>
      </c>
      <c r="B4733" t="s">
        <v>8595</v>
      </c>
      <c r="E4733" s="1"/>
    </row>
    <row r="4734" spans="1:5">
      <c r="A4734" t="s">
        <v>8596</v>
      </c>
      <c r="B4734" t="s">
        <v>8597</v>
      </c>
      <c r="E4734" s="1"/>
    </row>
    <row r="4735" spans="1:5">
      <c r="A4735" t="s">
        <v>8598</v>
      </c>
      <c r="B4735" t="s">
        <v>8599</v>
      </c>
      <c r="E4735" s="1"/>
    </row>
    <row r="4736" spans="1:5">
      <c r="A4736" t="s">
        <v>8600</v>
      </c>
      <c r="B4736" t="s">
        <v>8601</v>
      </c>
      <c r="E4736" s="1"/>
    </row>
    <row r="4737" spans="1:8">
      <c r="A4737" t="s">
        <v>8602</v>
      </c>
      <c r="B4737" t="s">
        <v>8603</v>
      </c>
      <c r="E4737" s="1"/>
    </row>
    <row r="4738" spans="1:8">
      <c r="A4738" t="s">
        <v>8604</v>
      </c>
      <c r="B4738" t="s">
        <v>8605</v>
      </c>
      <c r="E4738" s="1"/>
    </row>
    <row r="4739" spans="1:8">
      <c r="A4739" t="s">
        <v>8606</v>
      </c>
      <c r="B4739" t="s">
        <v>8607</v>
      </c>
      <c r="C4739" s="1" t="s">
        <v>9203</v>
      </c>
      <c r="D4739" s="1"/>
      <c r="E4739" s="1" t="str">
        <f t="shared" ref="E4739" si="292">HYPERLINK("https://www.kegg.jp/dbget-bin/www_bget?ec:" &amp; C4739, "https://www.kegg.jp/dbget-bin/www_bget?ec:" &amp; C4739)</f>
        <v>https://www.kegg.jp/dbget-bin/www_bget?ec:4.2.1.3</v>
      </c>
      <c r="F4739" s="1" t="s">
        <v>10559</v>
      </c>
      <c r="G4739" s="10" t="s">
        <v>10560</v>
      </c>
      <c r="H4739" s="13" t="s">
        <v>10561</v>
      </c>
    </row>
    <row r="4740" spans="1:8">
      <c r="A4740" t="s">
        <v>8606</v>
      </c>
      <c r="B4740" t="s">
        <v>8607</v>
      </c>
      <c r="C4740" s="1" t="s">
        <v>9203</v>
      </c>
      <c r="D4740" s="1"/>
      <c r="E4740" s="1" t="str">
        <f t="shared" ref="E4740" si="293">HYPERLINK("https://www.kegg.jp/dbget-bin/www_bget?ec:" &amp; C4740, "https://www.kegg.jp/dbget-bin/www_bget?ec:" &amp; C4740)</f>
        <v>https://www.kegg.jp/dbget-bin/www_bget?ec:4.2.1.3</v>
      </c>
      <c r="F4740" s="1" t="s">
        <v>10559</v>
      </c>
      <c r="G4740" s="10" t="s">
        <v>10562</v>
      </c>
      <c r="H4740" s="13" t="s">
        <v>11351</v>
      </c>
    </row>
    <row r="4741" spans="1:8">
      <c r="A4741" t="s">
        <v>8606</v>
      </c>
      <c r="B4741" t="s">
        <v>8607</v>
      </c>
      <c r="C4741" s="1" t="s">
        <v>9203</v>
      </c>
      <c r="D4741" s="1"/>
      <c r="E4741" s="1" t="str">
        <f t="shared" si="285"/>
        <v>https://www.kegg.jp/dbget-bin/www_bget?ec:4.2.1.3</v>
      </c>
      <c r="F4741" s="1" t="s">
        <v>10559</v>
      </c>
      <c r="G4741" s="10" t="s">
        <v>10564</v>
      </c>
      <c r="H4741" s="13" t="s">
        <v>11352</v>
      </c>
    </row>
    <row r="4742" spans="1:8">
      <c r="A4742" t="s">
        <v>8608</v>
      </c>
      <c r="B4742" t="s">
        <v>8609</v>
      </c>
      <c r="C4742" s="1" t="s">
        <v>9204</v>
      </c>
      <c r="D4742" s="1"/>
      <c r="E4742" s="1" t="str">
        <f t="shared" ref="E4742" si="294">HYPERLINK("https://www.kegg.jp/dbget-bin/www_bget?ec:" &amp; C4742, "https://www.kegg.jp/dbget-bin/www_bget?ec:" &amp; C4742)</f>
        <v>https://www.kegg.jp/dbget-bin/www_bget?ec:2.6.1.1</v>
      </c>
      <c r="F4742" t="s">
        <v>10566</v>
      </c>
      <c r="G4742" s="10" t="s">
        <v>11353</v>
      </c>
      <c r="H4742" s="13" t="s">
        <v>11354</v>
      </c>
    </row>
    <row r="4743" spans="1:8">
      <c r="A4743" t="s">
        <v>8608</v>
      </c>
      <c r="B4743" t="s">
        <v>8609</v>
      </c>
      <c r="C4743" s="1" t="s">
        <v>9204</v>
      </c>
      <c r="D4743" s="1"/>
      <c r="E4743" s="1" t="str">
        <f t="shared" ref="E4743" si="295">HYPERLINK("https://www.kegg.jp/dbget-bin/www_bget?ec:" &amp; C4743, "https://www.kegg.jp/dbget-bin/www_bget?ec:" &amp; C4743)</f>
        <v>https://www.kegg.jp/dbget-bin/www_bget?ec:2.6.1.1</v>
      </c>
      <c r="F4743" t="s">
        <v>10566</v>
      </c>
      <c r="G4743" s="10" t="s">
        <v>11355</v>
      </c>
      <c r="H4743" s="13" t="s">
        <v>11356</v>
      </c>
    </row>
    <row r="4744" spans="1:8">
      <c r="A4744" t="s">
        <v>8608</v>
      </c>
      <c r="B4744" t="s">
        <v>8609</v>
      </c>
      <c r="C4744" s="1" t="s">
        <v>9204</v>
      </c>
      <c r="D4744" s="1"/>
      <c r="E4744" s="1" t="str">
        <f t="shared" ref="E4744" si="296">HYPERLINK("https://www.kegg.jp/dbget-bin/www_bget?ec:" &amp; C4744, "https://www.kegg.jp/dbget-bin/www_bget?ec:" &amp; C4744)</f>
        <v>https://www.kegg.jp/dbget-bin/www_bget?ec:2.6.1.1</v>
      </c>
      <c r="F4744" t="s">
        <v>10566</v>
      </c>
      <c r="G4744" s="10" t="s">
        <v>11357</v>
      </c>
      <c r="H4744" s="13" t="s">
        <v>11358</v>
      </c>
    </row>
    <row r="4745" spans="1:8">
      <c r="A4745" t="s">
        <v>8608</v>
      </c>
      <c r="B4745" t="s">
        <v>8609</v>
      </c>
      <c r="C4745" s="1" t="s">
        <v>9204</v>
      </c>
      <c r="D4745" s="1"/>
      <c r="E4745" s="1" t="str">
        <f t="shared" ref="E4745" si="297">HYPERLINK("https://www.kegg.jp/dbget-bin/www_bget?ec:" &amp; C4745, "https://www.kegg.jp/dbget-bin/www_bget?ec:" &amp; C4745)</f>
        <v>https://www.kegg.jp/dbget-bin/www_bget?ec:2.6.1.1</v>
      </c>
      <c r="F4745" t="s">
        <v>10566</v>
      </c>
      <c r="G4745" s="10" t="s">
        <v>11359</v>
      </c>
      <c r="H4745" s="13" t="s">
        <v>11360</v>
      </c>
    </row>
    <row r="4746" spans="1:8">
      <c r="A4746" t="s">
        <v>8608</v>
      </c>
      <c r="B4746" t="s">
        <v>8609</v>
      </c>
      <c r="C4746" s="1" t="s">
        <v>9204</v>
      </c>
      <c r="D4746" s="1"/>
      <c r="E4746" s="1" t="str">
        <f t="shared" ref="E4746" si="298">HYPERLINK("https://www.kegg.jp/dbget-bin/www_bget?ec:" &amp; C4746, "https://www.kegg.jp/dbget-bin/www_bget?ec:" &amp; C4746)</f>
        <v>https://www.kegg.jp/dbget-bin/www_bget?ec:2.6.1.1</v>
      </c>
      <c r="F4746" t="s">
        <v>10566</v>
      </c>
      <c r="G4746" s="10" t="s">
        <v>11359</v>
      </c>
      <c r="H4746" s="13" t="s">
        <v>11361</v>
      </c>
    </row>
    <row r="4747" spans="1:8">
      <c r="A4747" t="s">
        <v>8608</v>
      </c>
      <c r="B4747" t="s">
        <v>8609</v>
      </c>
      <c r="C4747" s="1" t="s">
        <v>9204</v>
      </c>
      <c r="D4747" s="1"/>
      <c r="E4747" s="1" t="str">
        <f t="shared" ref="E4747" si="299">HYPERLINK("https://www.kegg.jp/dbget-bin/www_bget?ec:" &amp; C4747, "https://www.kegg.jp/dbget-bin/www_bget?ec:" &amp; C4747)</f>
        <v>https://www.kegg.jp/dbget-bin/www_bget?ec:2.6.1.1</v>
      </c>
      <c r="F4747" t="s">
        <v>10566</v>
      </c>
      <c r="G4747" s="10" t="s">
        <v>11362</v>
      </c>
      <c r="H4747" s="13" t="s">
        <v>11363</v>
      </c>
    </row>
    <row r="4748" spans="1:8">
      <c r="A4748" t="s">
        <v>8608</v>
      </c>
      <c r="B4748" t="s">
        <v>8609</v>
      </c>
      <c r="C4748" s="1" t="s">
        <v>9204</v>
      </c>
      <c r="D4748" s="1"/>
      <c r="E4748" s="1" t="str">
        <f t="shared" ref="E4748" si="300">HYPERLINK("https://www.kegg.jp/dbget-bin/www_bget?ec:" &amp; C4748, "https://www.kegg.jp/dbget-bin/www_bget?ec:" &amp; C4748)</f>
        <v>https://www.kegg.jp/dbget-bin/www_bget?ec:2.6.1.1</v>
      </c>
      <c r="F4748" t="s">
        <v>10566</v>
      </c>
      <c r="G4748" s="10" t="s">
        <v>11364</v>
      </c>
      <c r="H4748" s="13" t="s">
        <v>11365</v>
      </c>
    </row>
    <row r="4749" spans="1:8">
      <c r="A4749" t="s">
        <v>8608</v>
      </c>
      <c r="B4749" t="s">
        <v>8609</v>
      </c>
      <c r="C4749" s="1" t="s">
        <v>9204</v>
      </c>
      <c r="D4749" s="1"/>
      <c r="E4749" s="1" t="str">
        <f t="shared" si="285"/>
        <v>https://www.kegg.jp/dbget-bin/www_bget?ec:2.6.1.1</v>
      </c>
      <c r="F4749" t="s">
        <v>10566</v>
      </c>
      <c r="G4749" s="10" t="s">
        <v>11366</v>
      </c>
      <c r="H4749" s="13" t="s">
        <v>11367</v>
      </c>
    </row>
    <row r="4750" spans="1:8">
      <c r="A4750" t="s">
        <v>8608</v>
      </c>
      <c r="B4750" t="s">
        <v>8609</v>
      </c>
      <c r="C4750" s="1" t="s">
        <v>9205</v>
      </c>
      <c r="D4750" s="1"/>
      <c r="E4750" s="1" t="str">
        <f t="shared" ref="E4750" si="301">HYPERLINK("https://www.kegg.jp/dbget-bin/www_bget?ec:" &amp; C4750, "https://www.kegg.jp/dbget-bin/www_bget?ec:" &amp; C4750)</f>
        <v>https://www.kegg.jp/dbget-bin/www_bget?ec:4.1.1.12</v>
      </c>
      <c r="F4750" t="s">
        <v>10582</v>
      </c>
      <c r="G4750" s="10" t="s">
        <v>10583</v>
      </c>
      <c r="H4750" s="13" t="s">
        <v>11368</v>
      </c>
    </row>
    <row r="4751" spans="1:8">
      <c r="A4751" t="s">
        <v>8608</v>
      </c>
      <c r="B4751" t="s">
        <v>8609</v>
      </c>
      <c r="C4751" s="1" t="s">
        <v>9205</v>
      </c>
      <c r="D4751" s="1"/>
      <c r="E4751" s="1" t="str">
        <f t="shared" si="285"/>
        <v>https://www.kegg.jp/dbget-bin/www_bget?ec:4.1.1.12</v>
      </c>
      <c r="F4751" t="s">
        <v>10582</v>
      </c>
      <c r="G4751" s="10" t="s">
        <v>10585</v>
      </c>
      <c r="H4751" s="13" t="s">
        <v>11369</v>
      </c>
    </row>
    <row r="4752" spans="1:8">
      <c r="A4752" t="s">
        <v>8610</v>
      </c>
      <c r="B4752" t="s">
        <v>8611</v>
      </c>
      <c r="E4752" s="1"/>
    </row>
    <row r="4753" spans="1:8">
      <c r="A4753" t="s">
        <v>8612</v>
      </c>
      <c r="B4753" t="s">
        <v>8613</v>
      </c>
      <c r="E4753" s="1"/>
    </row>
    <row r="4754" spans="1:8">
      <c r="A4754" t="s">
        <v>8614</v>
      </c>
      <c r="B4754" t="s">
        <v>8615</v>
      </c>
      <c r="E4754" s="1"/>
    </row>
    <row r="4755" spans="1:8">
      <c r="A4755" t="s">
        <v>8616</v>
      </c>
      <c r="B4755" t="s">
        <v>8617</v>
      </c>
      <c r="E4755" s="1"/>
    </row>
    <row r="4756" spans="1:8">
      <c r="A4756" t="s">
        <v>8618</v>
      </c>
      <c r="B4756" t="s">
        <v>8619</v>
      </c>
      <c r="C4756" s="1" t="s">
        <v>9206</v>
      </c>
      <c r="D4756" s="1"/>
      <c r="E4756" s="1" t="str">
        <f t="shared" ref="E4756" si="302">HYPERLINK("https://www.kegg.jp/dbget-bin/www_bget?ec:" &amp; C4756, "https://www.kegg.jp/dbget-bin/www_bget?ec:" &amp; C4756)</f>
        <v>https://www.kegg.jp/dbget-bin/www_bget?ec:2.1.1.131</v>
      </c>
      <c r="F4756" t="s">
        <v>10587</v>
      </c>
      <c r="G4756" s="10" t="s">
        <v>11370</v>
      </c>
      <c r="H4756" s="13" t="s">
        <v>11371</v>
      </c>
    </row>
    <row r="4757" spans="1:8">
      <c r="A4757" t="s">
        <v>8618</v>
      </c>
      <c r="B4757" t="s">
        <v>8619</v>
      </c>
      <c r="C4757" s="1" t="s">
        <v>9206</v>
      </c>
      <c r="D4757" s="1"/>
      <c r="E4757" s="1" t="str">
        <f t="shared" ref="E4757:E4795" si="303">HYPERLINK("https://www.kegg.jp/dbget-bin/www_bget?ec:" &amp; C4757, "https://www.kegg.jp/dbget-bin/www_bget?ec:" &amp; C4757)</f>
        <v>https://www.kegg.jp/dbget-bin/www_bget?ec:2.1.1.131</v>
      </c>
      <c r="F4757" t="s">
        <v>10587</v>
      </c>
      <c r="G4757" s="10" t="s">
        <v>11372</v>
      </c>
      <c r="H4757" s="13" t="s">
        <v>11373</v>
      </c>
    </row>
    <row r="4758" spans="1:8">
      <c r="A4758" t="s">
        <v>8620</v>
      </c>
      <c r="B4758" t="s">
        <v>8621</v>
      </c>
      <c r="E4758" s="1"/>
    </row>
    <row r="4759" spans="1:8">
      <c r="A4759" t="s">
        <v>8622</v>
      </c>
      <c r="B4759" t="s">
        <v>8623</v>
      </c>
      <c r="C4759" s="1" t="s">
        <v>9207</v>
      </c>
      <c r="D4759" s="1"/>
      <c r="E4759" s="1" t="str">
        <f t="shared" si="303"/>
        <v>https://www.kegg.jp/dbget-bin/www_bget?ec:2.1.1.133</v>
      </c>
      <c r="F4759" s="1" t="s">
        <v>10592</v>
      </c>
      <c r="G4759" s="10" t="s">
        <v>11374</v>
      </c>
      <c r="H4759" s="13" t="s">
        <v>11375</v>
      </c>
    </row>
    <row r="4760" spans="1:8">
      <c r="A4760" t="s">
        <v>8624</v>
      </c>
      <c r="B4760" t="s">
        <v>8625</v>
      </c>
      <c r="E4760" s="1"/>
    </row>
    <row r="4761" spans="1:8">
      <c r="A4761" t="s">
        <v>8626</v>
      </c>
      <c r="B4761" t="s">
        <v>8627</v>
      </c>
      <c r="E4761" s="1"/>
    </row>
    <row r="4762" spans="1:8">
      <c r="A4762" t="s">
        <v>8628</v>
      </c>
      <c r="B4762" t="s">
        <v>8629</v>
      </c>
      <c r="C4762" s="1" t="s">
        <v>9208</v>
      </c>
      <c r="D4762" s="1"/>
      <c r="E4762" s="1" t="str">
        <f t="shared" si="303"/>
        <v>https://www.kegg.jp/dbget-bin/www_bget?ec:2.7.1.49</v>
      </c>
      <c r="F4762" s="1" t="s">
        <v>10595</v>
      </c>
      <c r="G4762" s="10" t="s">
        <v>11376</v>
      </c>
      <c r="H4762" s="13" t="s">
        <v>11377</v>
      </c>
    </row>
    <row r="4763" spans="1:8">
      <c r="A4763" t="s">
        <v>8628</v>
      </c>
      <c r="B4763" t="s">
        <v>8629</v>
      </c>
      <c r="C4763" s="1" t="s">
        <v>9209</v>
      </c>
      <c r="D4763" s="1"/>
      <c r="E4763" s="1" t="str">
        <f t="shared" si="303"/>
        <v>https://www.kegg.jp/dbget-bin/www_bget?ec:2.7.4.7</v>
      </c>
      <c r="F4763" s="1" t="s">
        <v>10598</v>
      </c>
      <c r="G4763" s="10" t="s">
        <v>11378</v>
      </c>
      <c r="H4763" s="13" t="s">
        <v>11379</v>
      </c>
    </row>
    <row r="4764" spans="1:8">
      <c r="A4764" t="s">
        <v>8630</v>
      </c>
      <c r="B4764" t="s">
        <v>8631</v>
      </c>
      <c r="E4764" s="1"/>
    </row>
    <row r="4765" spans="1:8">
      <c r="A4765" t="s">
        <v>8632</v>
      </c>
      <c r="B4765" t="s">
        <v>8633</v>
      </c>
      <c r="C4765" s="1" t="s">
        <v>9210</v>
      </c>
      <c r="D4765" s="1"/>
      <c r="E4765" s="1" t="str">
        <f t="shared" si="303"/>
        <v>https://www.kegg.jp/dbget-bin/www_bget?ec:2.5.1.3</v>
      </c>
      <c r="F4765" t="s">
        <v>9650</v>
      </c>
    </row>
    <row r="4766" spans="1:8">
      <c r="A4766" t="s">
        <v>8634</v>
      </c>
      <c r="B4766" t="s">
        <v>8635</v>
      </c>
      <c r="C4766" s="1" t="s">
        <v>9211</v>
      </c>
      <c r="D4766" s="1"/>
      <c r="E4766" s="1" t="str">
        <f t="shared" si="303"/>
        <v>https://www.kegg.jp/dbget-bin/www_bget?ec:4.1.99.17</v>
      </c>
      <c r="F4766" t="s">
        <v>10601</v>
      </c>
      <c r="G4766" s="10" t="s">
        <v>11380</v>
      </c>
      <c r="H4766" s="13" t="s">
        <v>11381</v>
      </c>
    </row>
    <row r="4767" spans="1:8">
      <c r="A4767" t="s">
        <v>8636</v>
      </c>
      <c r="B4767" t="s">
        <v>8637</v>
      </c>
      <c r="E4767" s="1"/>
    </row>
    <row r="4768" spans="1:8">
      <c r="A4768" t="s">
        <v>8638</v>
      </c>
      <c r="B4768" t="s">
        <v>8639</v>
      </c>
      <c r="E4768" s="1"/>
    </row>
    <row r="4769" spans="1:5">
      <c r="A4769" t="s">
        <v>8640</v>
      </c>
      <c r="B4769" t="s">
        <v>8641</v>
      </c>
      <c r="E4769" s="1"/>
    </row>
    <row r="4770" spans="1:5">
      <c r="A4770" t="s">
        <v>8642</v>
      </c>
      <c r="B4770" t="s">
        <v>8643</v>
      </c>
      <c r="E4770" s="1"/>
    </row>
    <row r="4771" spans="1:5">
      <c r="A4771" t="s">
        <v>8644</v>
      </c>
      <c r="B4771" t="s">
        <v>8645</v>
      </c>
      <c r="E4771" s="1"/>
    </row>
    <row r="4772" spans="1:5">
      <c r="A4772" t="s">
        <v>8646</v>
      </c>
      <c r="B4772" t="s">
        <v>8647</v>
      </c>
      <c r="E4772" s="1"/>
    </row>
    <row r="4773" spans="1:5">
      <c r="A4773" t="s">
        <v>8648</v>
      </c>
      <c r="B4773" t="s">
        <v>8649</v>
      </c>
      <c r="E4773" s="1"/>
    </row>
    <row r="4774" spans="1:5">
      <c r="A4774" t="s">
        <v>8650</v>
      </c>
      <c r="B4774" t="s">
        <v>8651</v>
      </c>
      <c r="E4774" s="1"/>
    </row>
    <row r="4775" spans="1:5">
      <c r="A4775" t="s">
        <v>8652</v>
      </c>
      <c r="B4775" t="s">
        <v>8653</v>
      </c>
      <c r="E4775" s="1"/>
    </row>
    <row r="4776" spans="1:5">
      <c r="A4776" t="s">
        <v>8654</v>
      </c>
      <c r="B4776" t="s">
        <v>8655</v>
      </c>
      <c r="E4776" s="1"/>
    </row>
    <row r="4777" spans="1:5">
      <c r="A4777" t="s">
        <v>8656</v>
      </c>
      <c r="B4777" t="s">
        <v>8657</v>
      </c>
      <c r="E4777" s="1"/>
    </row>
    <row r="4778" spans="1:5">
      <c r="A4778" t="s">
        <v>8658</v>
      </c>
      <c r="B4778" t="s">
        <v>8659</v>
      </c>
      <c r="E4778" s="1"/>
    </row>
    <row r="4779" spans="1:5">
      <c r="A4779" t="s">
        <v>8660</v>
      </c>
      <c r="B4779" t="s">
        <v>8661</v>
      </c>
      <c r="E4779" s="1"/>
    </row>
    <row r="4780" spans="1:5">
      <c r="A4780" t="s">
        <v>8662</v>
      </c>
      <c r="B4780" t="s">
        <v>8663</v>
      </c>
      <c r="E4780" s="1"/>
    </row>
    <row r="4781" spans="1:5">
      <c r="A4781" t="s">
        <v>8664</v>
      </c>
      <c r="B4781" t="s">
        <v>8665</v>
      </c>
      <c r="E4781" s="1"/>
    </row>
    <row r="4782" spans="1:5">
      <c r="A4782" t="s">
        <v>8666</v>
      </c>
      <c r="B4782" t="s">
        <v>8667</v>
      </c>
      <c r="E4782" s="1"/>
    </row>
    <row r="4783" spans="1:5">
      <c r="A4783" t="s">
        <v>8668</v>
      </c>
      <c r="B4783" t="s">
        <v>8669</v>
      </c>
      <c r="E4783" s="1"/>
    </row>
    <row r="4784" spans="1:5">
      <c r="A4784" t="s">
        <v>8670</v>
      </c>
      <c r="B4784" t="s">
        <v>8671</v>
      </c>
      <c r="E4784" s="1"/>
    </row>
    <row r="4785" spans="1:8">
      <c r="A4785" t="s">
        <v>8672</v>
      </c>
      <c r="B4785" t="s">
        <v>8673</v>
      </c>
      <c r="E4785" s="1"/>
    </row>
    <row r="4786" spans="1:8">
      <c r="A4786" t="s">
        <v>8674</v>
      </c>
      <c r="B4786" t="s">
        <v>8675</v>
      </c>
      <c r="E4786" s="1"/>
    </row>
    <row r="4787" spans="1:8">
      <c r="A4787" t="s">
        <v>8676</v>
      </c>
      <c r="B4787" t="s">
        <v>8677</v>
      </c>
      <c r="E4787" s="1"/>
    </row>
    <row r="4788" spans="1:8">
      <c r="A4788" t="s">
        <v>8678</v>
      </c>
      <c r="B4788" t="s">
        <v>8679</v>
      </c>
      <c r="E4788" s="1"/>
    </row>
    <row r="4789" spans="1:8">
      <c r="A4789" t="s">
        <v>8680</v>
      </c>
      <c r="B4789" t="s">
        <v>8681</v>
      </c>
      <c r="E4789" s="1"/>
    </row>
    <row r="4790" spans="1:8">
      <c r="A4790" t="s">
        <v>8682</v>
      </c>
      <c r="B4790" t="s">
        <v>8683</v>
      </c>
      <c r="E4790" s="1"/>
    </row>
    <row r="4791" spans="1:8">
      <c r="A4791" t="s">
        <v>8684</v>
      </c>
      <c r="B4791" t="s">
        <v>8685</v>
      </c>
      <c r="E4791" s="1"/>
    </row>
    <row r="4792" spans="1:8">
      <c r="A4792" t="s">
        <v>8686</v>
      </c>
      <c r="B4792" t="s">
        <v>8687</v>
      </c>
      <c r="E4792" s="1"/>
    </row>
    <row r="4793" spans="1:8">
      <c r="A4793" t="s">
        <v>8688</v>
      </c>
      <c r="B4793" t="s">
        <v>8689</v>
      </c>
      <c r="E4793" s="1"/>
    </row>
    <row r="4794" spans="1:8">
      <c r="A4794" t="s">
        <v>8690</v>
      </c>
      <c r="B4794" t="s">
        <v>8691</v>
      </c>
      <c r="C4794" s="1" t="s">
        <v>9212</v>
      </c>
      <c r="D4794" s="1"/>
      <c r="E4794" s="1" t="str">
        <f t="shared" si="303"/>
        <v>https://www.kegg.jp/dbget-bin/www_bget?ec:2.7.9.1</v>
      </c>
      <c r="F4794" s="1" t="s">
        <v>10604</v>
      </c>
      <c r="G4794" s="10" t="s">
        <v>11382</v>
      </c>
      <c r="H4794" s="13" t="s">
        <v>11383</v>
      </c>
    </row>
    <row r="4795" spans="1:8">
      <c r="A4795" t="s">
        <v>8692</v>
      </c>
      <c r="B4795" t="s">
        <v>8693</v>
      </c>
      <c r="C4795" s="1" t="s">
        <v>9213</v>
      </c>
      <c r="D4795" s="1"/>
      <c r="E4795" s="1" t="str">
        <f t="shared" si="303"/>
        <v>https://www.kegg.jp/dbget-bin/www_bget?ec:2.1.1.190</v>
      </c>
      <c r="F4795" t="s">
        <v>9650</v>
      </c>
    </row>
    <row r="4796" spans="1:8">
      <c r="A4796" t="s">
        <v>8694</v>
      </c>
      <c r="B4796" t="s">
        <v>8695</v>
      </c>
      <c r="E4796" s="1"/>
    </row>
    <row r="4797" spans="1:8">
      <c r="A4797" t="s">
        <v>8696</v>
      </c>
      <c r="B4797" t="s">
        <v>8697</v>
      </c>
      <c r="E4797" s="1"/>
    </row>
    <row r="4798" spans="1:8">
      <c r="A4798" t="s">
        <v>8698</v>
      </c>
      <c r="B4798" t="s">
        <v>8699</v>
      </c>
      <c r="E4798" s="1"/>
    </row>
    <row r="4799" spans="1:8">
      <c r="A4799" t="s">
        <v>8700</v>
      </c>
      <c r="B4799" t="s">
        <v>8701</v>
      </c>
      <c r="E4799" s="1"/>
    </row>
    <row r="4800" spans="1:8">
      <c r="A4800" t="s">
        <v>8702</v>
      </c>
      <c r="B4800" t="s">
        <v>8703</v>
      </c>
      <c r="E4800" s="1"/>
    </row>
    <row r="4801" spans="1:5">
      <c r="A4801" t="s">
        <v>8704</v>
      </c>
      <c r="B4801" t="s">
        <v>8705</v>
      </c>
      <c r="E4801" s="1"/>
    </row>
    <row r="4802" spans="1:5">
      <c r="B4802" t="s">
        <v>8706</v>
      </c>
      <c r="E4802" s="1"/>
    </row>
    <row r="4803" spans="1:5">
      <c r="A4803" t="s">
        <v>8707</v>
      </c>
      <c r="B4803" t="s">
        <v>8708</v>
      </c>
      <c r="E4803" s="1"/>
    </row>
    <row r="4804" spans="1:5">
      <c r="B4804" t="s">
        <v>8709</v>
      </c>
      <c r="E4804" s="1"/>
    </row>
    <row r="4805" spans="1:5">
      <c r="A4805" t="s">
        <v>8710</v>
      </c>
      <c r="B4805" t="s">
        <v>8711</v>
      </c>
      <c r="E4805" s="1"/>
    </row>
    <row r="4806" spans="1:5">
      <c r="A4806" t="s">
        <v>8712</v>
      </c>
      <c r="B4806" t="s">
        <v>8713</v>
      </c>
      <c r="E4806" s="1"/>
    </row>
    <row r="4807" spans="1:5">
      <c r="A4807" t="s">
        <v>8714</v>
      </c>
      <c r="B4807" t="s">
        <v>8715</v>
      </c>
      <c r="E4807" s="1"/>
    </row>
    <row r="4808" spans="1:5">
      <c r="A4808" t="s">
        <v>8716</v>
      </c>
      <c r="B4808" t="s">
        <v>8717</v>
      </c>
      <c r="E4808" s="1"/>
    </row>
    <row r="4809" spans="1:5">
      <c r="A4809" t="s">
        <v>8718</v>
      </c>
      <c r="B4809" t="s">
        <v>8719</v>
      </c>
      <c r="E4809" s="1"/>
    </row>
    <row r="4810" spans="1:5">
      <c r="A4810" t="s">
        <v>8720</v>
      </c>
      <c r="B4810" t="s">
        <v>8721</v>
      </c>
      <c r="E4810" s="1"/>
    </row>
    <row r="4811" spans="1:5">
      <c r="A4811" t="s">
        <v>8722</v>
      </c>
      <c r="B4811" t="s">
        <v>8723</v>
      </c>
      <c r="E4811" s="1"/>
    </row>
    <row r="4812" spans="1:5">
      <c r="A4812" t="s">
        <v>8724</v>
      </c>
      <c r="B4812" t="s">
        <v>8725</v>
      </c>
      <c r="E4812" s="1"/>
    </row>
    <row r="4813" spans="1:5">
      <c r="A4813" t="s">
        <v>8726</v>
      </c>
      <c r="B4813" t="s">
        <v>8727</v>
      </c>
      <c r="E4813" s="1"/>
    </row>
    <row r="4814" spans="1:5">
      <c r="A4814" t="s">
        <v>8728</v>
      </c>
      <c r="B4814" t="s">
        <v>8729</v>
      </c>
      <c r="E4814" s="1"/>
    </row>
    <row r="4815" spans="1:5">
      <c r="A4815" t="s">
        <v>8730</v>
      </c>
      <c r="B4815" t="s">
        <v>8731</v>
      </c>
      <c r="E4815" s="1"/>
    </row>
    <row r="4816" spans="1:5">
      <c r="A4816" t="s">
        <v>8732</v>
      </c>
      <c r="B4816" t="s">
        <v>8733</v>
      </c>
      <c r="E4816" s="1"/>
    </row>
    <row r="4817" spans="1:8">
      <c r="A4817" t="s">
        <v>8734</v>
      </c>
      <c r="B4817" t="s">
        <v>8735</v>
      </c>
      <c r="E4817" s="1"/>
    </row>
    <row r="4818" spans="1:8">
      <c r="A4818" t="s">
        <v>8736</v>
      </c>
      <c r="B4818" t="s">
        <v>8737</v>
      </c>
      <c r="E4818" s="1"/>
    </row>
    <row r="4819" spans="1:8">
      <c r="A4819" t="s">
        <v>8738</v>
      </c>
      <c r="B4819" t="s">
        <v>8739</v>
      </c>
      <c r="E4819" s="1"/>
    </row>
    <row r="4820" spans="1:8">
      <c r="A4820" t="s">
        <v>8740</v>
      </c>
      <c r="B4820" t="s">
        <v>8741</v>
      </c>
      <c r="E4820" s="1"/>
    </row>
    <row r="4821" spans="1:8">
      <c r="A4821" t="s">
        <v>8742</v>
      </c>
      <c r="B4821" t="s">
        <v>8743</v>
      </c>
      <c r="E4821" s="1"/>
    </row>
    <row r="4822" spans="1:8">
      <c r="A4822" t="s">
        <v>8744</v>
      </c>
      <c r="B4822" t="s">
        <v>8745</v>
      </c>
      <c r="E4822" s="1"/>
    </row>
    <row r="4823" spans="1:8">
      <c r="A4823" t="s">
        <v>8746</v>
      </c>
      <c r="B4823" t="s">
        <v>8747</v>
      </c>
      <c r="E4823" s="1"/>
    </row>
    <row r="4824" spans="1:8">
      <c r="A4824" t="s">
        <v>8748</v>
      </c>
      <c r="B4824" t="s">
        <v>8749</v>
      </c>
      <c r="E4824" s="1"/>
    </row>
    <row r="4825" spans="1:8">
      <c r="A4825" t="s">
        <v>8750</v>
      </c>
      <c r="B4825" t="s">
        <v>8751</v>
      </c>
      <c r="E4825" s="1"/>
    </row>
    <row r="4826" spans="1:8">
      <c r="A4826" t="s">
        <v>8752</v>
      </c>
      <c r="B4826" t="s">
        <v>8753</v>
      </c>
      <c r="E4826" s="1"/>
    </row>
    <row r="4827" spans="1:8">
      <c r="A4827" t="s">
        <v>8754</v>
      </c>
      <c r="B4827" t="s">
        <v>8755</v>
      </c>
      <c r="E4827" s="1"/>
    </row>
    <row r="4828" spans="1:8">
      <c r="A4828" t="s">
        <v>8756</v>
      </c>
      <c r="B4828" t="s">
        <v>8757</v>
      </c>
      <c r="E4828" s="1"/>
    </row>
    <row r="4829" spans="1:8">
      <c r="A4829" t="s">
        <v>8758</v>
      </c>
      <c r="B4829" t="s">
        <v>8759</v>
      </c>
      <c r="E4829" s="1"/>
    </row>
    <row r="4830" spans="1:8">
      <c r="A4830" t="s">
        <v>8760</v>
      </c>
      <c r="B4830" t="s">
        <v>8761</v>
      </c>
      <c r="C4830" s="1" t="s">
        <v>9214</v>
      </c>
      <c r="D4830" s="1"/>
      <c r="E4830" s="1" t="str">
        <f t="shared" ref="E4830:E4862" si="304">HYPERLINK("https://www.kegg.jp/dbget-bin/www_bget?ec:" &amp; C4830, "https://www.kegg.jp/dbget-bin/www_bget?ec:" &amp; C4830)</f>
        <v>https://www.kegg.jp/dbget-bin/www_bget?ec:6.3.4.3</v>
      </c>
      <c r="F4830" t="s">
        <v>10607</v>
      </c>
      <c r="G4830" s="10" t="s">
        <v>11384</v>
      </c>
      <c r="H4830" s="13" t="s">
        <v>11385</v>
      </c>
    </row>
    <row r="4831" spans="1:8">
      <c r="A4831" t="s">
        <v>8762</v>
      </c>
      <c r="B4831" t="s">
        <v>8763</v>
      </c>
      <c r="C4831" s="1" t="s">
        <v>9215</v>
      </c>
      <c r="D4831" s="1"/>
      <c r="E4831" s="1" t="str">
        <f t="shared" si="304"/>
        <v>https://www.kegg.jp/dbget-bin/www_bget?ec:6.1.1.15</v>
      </c>
      <c r="F4831" s="1" t="s">
        <v>10610</v>
      </c>
      <c r="G4831" s="10" t="s">
        <v>11386</v>
      </c>
      <c r="H4831" s="13" t="s">
        <v>11387</v>
      </c>
    </row>
    <row r="4832" spans="1:8">
      <c r="A4832" t="s">
        <v>8764</v>
      </c>
      <c r="B4832" t="s">
        <v>8765</v>
      </c>
      <c r="E4832" s="1"/>
    </row>
    <row r="4833" spans="1:5">
      <c r="A4833" t="s">
        <v>8766</v>
      </c>
      <c r="B4833" t="s">
        <v>8767</v>
      </c>
      <c r="E4833" s="1"/>
    </row>
    <row r="4834" spans="1:5">
      <c r="B4834" t="s">
        <v>8768</v>
      </c>
      <c r="E4834" s="1"/>
    </row>
    <row r="4835" spans="1:5">
      <c r="A4835" t="s">
        <v>8769</v>
      </c>
      <c r="B4835" t="s">
        <v>8770</v>
      </c>
      <c r="E4835" s="1"/>
    </row>
    <row r="4836" spans="1:5">
      <c r="A4836" t="s">
        <v>8771</v>
      </c>
      <c r="B4836" t="s">
        <v>8772</v>
      </c>
      <c r="E4836" s="1"/>
    </row>
    <row r="4837" spans="1:5">
      <c r="A4837" t="s">
        <v>8773</v>
      </c>
      <c r="B4837" t="s">
        <v>8774</v>
      </c>
      <c r="E4837" s="1"/>
    </row>
    <row r="4838" spans="1:5">
      <c r="A4838" t="s">
        <v>8775</v>
      </c>
      <c r="B4838" t="s">
        <v>8776</v>
      </c>
      <c r="E4838" s="1"/>
    </row>
    <row r="4839" spans="1:5">
      <c r="A4839" t="s">
        <v>8777</v>
      </c>
      <c r="B4839" t="s">
        <v>8778</v>
      </c>
      <c r="E4839" s="1"/>
    </row>
    <row r="4840" spans="1:5">
      <c r="A4840" t="s">
        <v>8779</v>
      </c>
      <c r="B4840" t="s">
        <v>8780</v>
      </c>
      <c r="E4840" s="1"/>
    </row>
    <row r="4841" spans="1:5">
      <c r="A4841" t="s">
        <v>8781</v>
      </c>
      <c r="B4841" t="s">
        <v>8782</v>
      </c>
      <c r="E4841" s="1"/>
    </row>
    <row r="4842" spans="1:5">
      <c r="A4842" t="s">
        <v>8783</v>
      </c>
      <c r="B4842" t="s">
        <v>8784</v>
      </c>
      <c r="E4842" s="1"/>
    </row>
    <row r="4843" spans="1:5">
      <c r="A4843" t="s">
        <v>8785</v>
      </c>
      <c r="B4843" t="s">
        <v>8786</v>
      </c>
      <c r="E4843" s="1"/>
    </row>
    <row r="4844" spans="1:5">
      <c r="A4844" t="s">
        <v>8787</v>
      </c>
      <c r="B4844" t="s">
        <v>8788</v>
      </c>
      <c r="E4844" s="1"/>
    </row>
    <row r="4845" spans="1:5">
      <c r="A4845" t="s">
        <v>8789</v>
      </c>
      <c r="B4845" t="s">
        <v>8790</v>
      </c>
      <c r="E4845" s="1"/>
    </row>
    <row r="4846" spans="1:5">
      <c r="A4846" t="s">
        <v>8791</v>
      </c>
      <c r="B4846" t="s">
        <v>8792</v>
      </c>
      <c r="E4846" s="1"/>
    </row>
    <row r="4847" spans="1:5">
      <c r="A4847" t="s">
        <v>8793</v>
      </c>
      <c r="B4847" t="s">
        <v>8794</v>
      </c>
      <c r="E4847" s="1"/>
    </row>
    <row r="4848" spans="1:5">
      <c r="A4848" t="s">
        <v>8795</v>
      </c>
      <c r="B4848" t="s">
        <v>8796</v>
      </c>
      <c r="E4848" s="1"/>
    </row>
    <row r="4849" spans="1:8">
      <c r="A4849" t="s">
        <v>8797</v>
      </c>
      <c r="B4849" t="s">
        <v>8798</v>
      </c>
      <c r="E4849" s="1"/>
    </row>
    <row r="4850" spans="1:8">
      <c r="A4850" t="s">
        <v>8799</v>
      </c>
      <c r="B4850" t="s">
        <v>8800</v>
      </c>
      <c r="C4850" s="1" t="s">
        <v>9216</v>
      </c>
      <c r="D4850" s="1"/>
      <c r="E4850" s="1" t="str">
        <f t="shared" ref="E4850" si="305">HYPERLINK("https://www.kegg.jp/dbget-bin/www_bget?ec:" &amp; C4850, "https://www.kegg.jp/dbget-bin/www_bget?ec:" &amp; C4850)</f>
        <v>https://www.kegg.jp/dbget-bin/www_bget?ec:2.5.1.47</v>
      </c>
      <c r="F4850" s="1" t="s">
        <v>10613</v>
      </c>
      <c r="G4850" s="10" t="s">
        <v>11388</v>
      </c>
      <c r="H4850" s="13" t="s">
        <v>11389</v>
      </c>
    </row>
    <row r="4851" spans="1:8">
      <c r="A4851" t="s">
        <v>8799</v>
      </c>
      <c r="B4851" t="s">
        <v>8800</v>
      </c>
      <c r="C4851" s="1" t="s">
        <v>9216</v>
      </c>
      <c r="D4851" s="1"/>
      <c r="E4851" s="1" t="str">
        <f t="shared" ref="E4851" si="306">HYPERLINK("https://www.kegg.jp/dbget-bin/www_bget?ec:" &amp; C4851, "https://www.kegg.jp/dbget-bin/www_bget?ec:" &amp; C4851)</f>
        <v>https://www.kegg.jp/dbget-bin/www_bget?ec:2.5.1.47</v>
      </c>
      <c r="F4851" s="1" t="s">
        <v>10613</v>
      </c>
      <c r="G4851" s="10" t="s">
        <v>11390</v>
      </c>
      <c r="H4851" s="13" t="s">
        <v>11391</v>
      </c>
    </row>
    <row r="4852" spans="1:8">
      <c r="A4852" t="s">
        <v>8799</v>
      </c>
      <c r="B4852" t="s">
        <v>8800</v>
      </c>
      <c r="C4852" s="1" t="s">
        <v>9216</v>
      </c>
      <c r="D4852" s="1"/>
      <c r="E4852" s="1" t="str">
        <f t="shared" ref="E4852" si="307">HYPERLINK("https://www.kegg.jp/dbget-bin/www_bget?ec:" &amp; C4852, "https://www.kegg.jp/dbget-bin/www_bget?ec:" &amp; C4852)</f>
        <v>https://www.kegg.jp/dbget-bin/www_bget?ec:2.5.1.47</v>
      </c>
      <c r="F4852" s="1" t="s">
        <v>10613</v>
      </c>
      <c r="G4852" s="10" t="s">
        <v>11392</v>
      </c>
      <c r="H4852" s="13" t="s">
        <v>11393</v>
      </c>
    </row>
    <row r="4853" spans="1:8">
      <c r="A4853" t="s">
        <v>8799</v>
      </c>
      <c r="B4853" t="s">
        <v>8800</v>
      </c>
      <c r="C4853" s="1" t="s">
        <v>9216</v>
      </c>
      <c r="D4853" s="1"/>
      <c r="E4853" s="1" t="str">
        <f t="shared" si="304"/>
        <v>https://www.kegg.jp/dbget-bin/www_bget?ec:2.5.1.47</v>
      </c>
      <c r="F4853" s="1" t="s">
        <v>10613</v>
      </c>
      <c r="G4853" s="10" t="s">
        <v>11394</v>
      </c>
      <c r="H4853" s="13" t="s">
        <v>11395</v>
      </c>
    </row>
    <row r="4854" spans="1:8">
      <c r="A4854" t="s">
        <v>8801</v>
      </c>
      <c r="B4854" t="s">
        <v>8802</v>
      </c>
      <c r="C4854" s="1" t="s">
        <v>9217</v>
      </c>
      <c r="D4854" s="1"/>
      <c r="E4854" s="1" t="str">
        <f t="shared" si="304"/>
        <v>https://www.kegg.jp/dbget-bin/www_bget?ec:3.1.3.15</v>
      </c>
      <c r="F4854" s="1" t="s">
        <v>10622</v>
      </c>
      <c r="G4854" s="10" t="s">
        <v>11396</v>
      </c>
      <c r="H4854" s="13" t="s">
        <v>11397</v>
      </c>
    </row>
    <row r="4855" spans="1:8">
      <c r="A4855" t="s">
        <v>8801</v>
      </c>
      <c r="B4855" t="s">
        <v>8802</v>
      </c>
      <c r="C4855" s="1" t="s">
        <v>9218</v>
      </c>
      <c r="D4855" s="1"/>
      <c r="E4855" s="1" t="str">
        <f t="shared" si="304"/>
        <v>https://www.kegg.jp/dbget-bin/www_bget?ec:4.2.1.19</v>
      </c>
      <c r="F4855" s="1" t="s">
        <v>10625</v>
      </c>
      <c r="G4855" s="10" t="s">
        <v>10626</v>
      </c>
      <c r="H4855" s="13" t="s">
        <v>11398</v>
      </c>
    </row>
    <row r="4856" spans="1:8">
      <c r="A4856" t="s">
        <v>8803</v>
      </c>
      <c r="B4856" t="s">
        <v>8804</v>
      </c>
      <c r="C4856" s="1" t="s">
        <v>9219</v>
      </c>
      <c r="D4856" s="1"/>
      <c r="E4856" s="1" t="str">
        <f t="shared" ref="E4856" si="308">HYPERLINK("https://www.kegg.jp/dbget-bin/www_bget?ec:" &amp; C4856, "https://www.kegg.jp/dbget-bin/www_bget?ec:" &amp; C4856)</f>
        <v>https://www.kegg.jp/dbget-bin/www_bget?ec:2.6.1.9</v>
      </c>
      <c r="F4856" t="s">
        <v>10628</v>
      </c>
      <c r="G4856" s="10" t="s">
        <v>11399</v>
      </c>
      <c r="H4856" s="13" t="s">
        <v>11400</v>
      </c>
    </row>
    <row r="4857" spans="1:8">
      <c r="A4857" t="s">
        <v>8803</v>
      </c>
      <c r="B4857" t="s">
        <v>8804</v>
      </c>
      <c r="C4857" s="1" t="s">
        <v>9219</v>
      </c>
      <c r="D4857" s="1"/>
      <c r="E4857" s="1" t="str">
        <f t="shared" ref="E4857" si="309">HYPERLINK("https://www.kegg.jp/dbget-bin/www_bget?ec:" &amp; C4857, "https://www.kegg.jp/dbget-bin/www_bget?ec:" &amp; C4857)</f>
        <v>https://www.kegg.jp/dbget-bin/www_bget?ec:2.6.1.9</v>
      </c>
      <c r="F4857" t="s">
        <v>10628</v>
      </c>
      <c r="G4857" s="10" t="s">
        <v>11355</v>
      </c>
      <c r="H4857" s="13" t="s">
        <v>11356</v>
      </c>
    </row>
    <row r="4858" spans="1:8">
      <c r="A4858" t="s">
        <v>8803</v>
      </c>
      <c r="B4858" t="s">
        <v>8804</v>
      </c>
      <c r="C4858" s="1" t="s">
        <v>9219</v>
      </c>
      <c r="D4858" s="1"/>
      <c r="E4858" s="1" t="str">
        <f t="shared" si="304"/>
        <v>https://www.kegg.jp/dbget-bin/www_bget?ec:2.6.1.9</v>
      </c>
      <c r="F4858" t="s">
        <v>10628</v>
      </c>
      <c r="G4858" s="10" t="s">
        <v>11357</v>
      </c>
      <c r="H4858" s="13" t="s">
        <v>11358</v>
      </c>
    </row>
    <row r="4859" spans="1:8">
      <c r="A4859" t="s">
        <v>8805</v>
      </c>
      <c r="B4859" t="s">
        <v>8806</v>
      </c>
      <c r="C4859" s="1" t="s">
        <v>9220</v>
      </c>
      <c r="D4859" s="1"/>
      <c r="E4859" s="1" t="str">
        <f t="shared" ref="E4859" si="310">HYPERLINK("https://www.kegg.jp/dbget-bin/www_bget?ec:" &amp; C4859, "https://www.kegg.jp/dbget-bin/www_bget?ec:" &amp; C4859)</f>
        <v>https://www.kegg.jp/dbget-bin/www_bget?ec:1.1.1.23</v>
      </c>
      <c r="F4859" s="1" t="s">
        <v>10631</v>
      </c>
      <c r="G4859" s="10" t="s">
        <v>11401</v>
      </c>
      <c r="H4859" s="13" t="s">
        <v>11402</v>
      </c>
    </row>
    <row r="4860" spans="1:8">
      <c r="A4860" t="s">
        <v>8805</v>
      </c>
      <c r="B4860" t="s">
        <v>8806</v>
      </c>
      <c r="C4860" s="1" t="s">
        <v>9220</v>
      </c>
      <c r="D4860" s="1"/>
      <c r="E4860" s="1" t="str">
        <f t="shared" ref="E4860" si="311">HYPERLINK("https://www.kegg.jp/dbget-bin/www_bget?ec:" &amp; C4860, "https://www.kegg.jp/dbget-bin/www_bget?ec:" &amp; C4860)</f>
        <v>https://www.kegg.jp/dbget-bin/www_bget?ec:1.1.1.23</v>
      </c>
      <c r="F4860" t="s">
        <v>10631</v>
      </c>
      <c r="G4860" s="10" t="s">
        <v>11403</v>
      </c>
      <c r="H4860" s="13" t="s">
        <v>11404</v>
      </c>
    </row>
    <row r="4861" spans="1:8">
      <c r="A4861" t="s">
        <v>8805</v>
      </c>
      <c r="B4861" t="s">
        <v>8806</v>
      </c>
      <c r="C4861" s="1" t="s">
        <v>9220</v>
      </c>
      <c r="D4861" s="1"/>
      <c r="E4861" s="1" t="str">
        <f t="shared" si="304"/>
        <v>https://www.kegg.jp/dbget-bin/www_bget?ec:1.1.1.23</v>
      </c>
      <c r="F4861" t="s">
        <v>10631</v>
      </c>
      <c r="G4861" s="10" t="s">
        <v>11405</v>
      </c>
      <c r="H4861" s="13" t="s">
        <v>11406</v>
      </c>
    </row>
    <row r="4862" spans="1:8">
      <c r="A4862" t="s">
        <v>8807</v>
      </c>
      <c r="B4862" t="s">
        <v>8808</v>
      </c>
      <c r="C4862" s="1" t="s">
        <v>9221</v>
      </c>
      <c r="D4862" s="1"/>
      <c r="E4862" s="1" t="str">
        <f t="shared" si="304"/>
        <v>https://www.kegg.jp/dbget-bin/www_bget?ec:2.4.2.17</v>
      </c>
      <c r="F4862" s="1" t="s">
        <v>10636</v>
      </c>
      <c r="G4862" s="10" t="s">
        <v>11407</v>
      </c>
      <c r="H4862" s="13" t="s">
        <v>11408</v>
      </c>
    </row>
    <row r="4863" spans="1:8">
      <c r="A4863" t="s">
        <v>8809</v>
      </c>
      <c r="B4863" t="s">
        <v>8810</v>
      </c>
      <c r="E4863" s="1"/>
    </row>
    <row r="4864" spans="1:8">
      <c r="A4864" t="s">
        <v>8811</v>
      </c>
      <c r="B4864" t="s">
        <v>8812</v>
      </c>
      <c r="E4864" s="1"/>
    </row>
    <row r="4865" spans="1:5">
      <c r="A4865" t="s">
        <v>8813</v>
      </c>
      <c r="B4865" t="s">
        <v>8814</v>
      </c>
      <c r="E4865" s="1"/>
    </row>
    <row r="4866" spans="1:5">
      <c r="A4866" t="s">
        <v>8815</v>
      </c>
      <c r="B4866" t="s">
        <v>8816</v>
      </c>
      <c r="E4866" s="1"/>
    </row>
    <row r="4867" spans="1:5">
      <c r="A4867" t="s">
        <v>8817</v>
      </c>
      <c r="B4867" t="s">
        <v>8818</v>
      </c>
      <c r="E4867" s="1"/>
    </row>
    <row r="4868" spans="1:5">
      <c r="A4868" t="s">
        <v>8819</v>
      </c>
      <c r="B4868" t="s">
        <v>8820</v>
      </c>
      <c r="E4868" s="1"/>
    </row>
    <row r="4869" spans="1:5">
      <c r="A4869" t="s">
        <v>8821</v>
      </c>
      <c r="B4869" t="s">
        <v>8822</v>
      </c>
      <c r="E4869" s="1"/>
    </row>
    <row r="4870" spans="1:5">
      <c r="A4870" t="s">
        <v>8823</v>
      </c>
      <c r="B4870" t="s">
        <v>8824</v>
      </c>
      <c r="E4870" s="1"/>
    </row>
    <row r="4871" spans="1:5">
      <c r="A4871" t="s">
        <v>8825</v>
      </c>
      <c r="B4871" t="s">
        <v>8826</v>
      </c>
      <c r="E4871" s="1"/>
    </row>
    <row r="4872" spans="1:5">
      <c r="A4872" t="s">
        <v>8827</v>
      </c>
      <c r="B4872" t="s">
        <v>8828</v>
      </c>
      <c r="E4872" s="1"/>
    </row>
    <row r="4873" spans="1:5">
      <c r="A4873" t="s">
        <v>8829</v>
      </c>
      <c r="B4873" t="s">
        <v>8830</v>
      </c>
      <c r="E4873" s="1"/>
    </row>
    <row r="4874" spans="1:5">
      <c r="A4874" t="s">
        <v>8831</v>
      </c>
      <c r="B4874" t="s">
        <v>8832</v>
      </c>
      <c r="E4874" s="1"/>
    </row>
    <row r="4875" spans="1:5">
      <c r="A4875" t="s">
        <v>8833</v>
      </c>
      <c r="B4875" t="s">
        <v>8834</v>
      </c>
      <c r="E4875" s="1"/>
    </row>
    <row r="4876" spans="1:5">
      <c r="A4876" t="s">
        <v>8835</v>
      </c>
      <c r="B4876" t="s">
        <v>8836</v>
      </c>
      <c r="E4876" s="1"/>
    </row>
    <row r="4877" spans="1:5">
      <c r="A4877" t="s">
        <v>8837</v>
      </c>
      <c r="B4877" t="s">
        <v>8838</v>
      </c>
      <c r="E4877" s="1"/>
    </row>
    <row r="4878" spans="1:5">
      <c r="A4878" t="s">
        <v>8839</v>
      </c>
      <c r="B4878" t="s">
        <v>8840</v>
      </c>
      <c r="E4878" s="1"/>
    </row>
    <row r="4879" spans="1:5">
      <c r="A4879" t="s">
        <v>8841</v>
      </c>
      <c r="B4879" t="s">
        <v>8842</v>
      </c>
      <c r="E4879" s="1"/>
    </row>
    <row r="4880" spans="1:5">
      <c r="A4880" t="s">
        <v>8843</v>
      </c>
      <c r="B4880" t="s">
        <v>8844</v>
      </c>
      <c r="E4880" s="1"/>
    </row>
    <row r="4881" spans="1:5">
      <c r="A4881" t="s">
        <v>8845</v>
      </c>
      <c r="B4881" t="s">
        <v>8846</v>
      </c>
      <c r="E4881" s="1"/>
    </row>
    <row r="4882" spans="1:5">
      <c r="A4882" t="s">
        <v>8847</v>
      </c>
      <c r="B4882" t="s">
        <v>8848</v>
      </c>
      <c r="E4882" s="1"/>
    </row>
    <row r="4883" spans="1:5">
      <c r="A4883" t="s">
        <v>8849</v>
      </c>
      <c r="B4883" t="s">
        <v>8850</v>
      </c>
      <c r="E4883" s="1"/>
    </row>
    <row r="4884" spans="1:5">
      <c r="A4884" t="s">
        <v>8851</v>
      </c>
      <c r="B4884" t="s">
        <v>8852</v>
      </c>
      <c r="E4884" s="1"/>
    </row>
    <row r="4885" spans="1:5">
      <c r="A4885" t="s">
        <v>8853</v>
      </c>
      <c r="B4885" t="s">
        <v>8854</v>
      </c>
      <c r="E4885" s="1"/>
    </row>
    <row r="4886" spans="1:5">
      <c r="A4886" t="s">
        <v>8855</v>
      </c>
      <c r="B4886" t="s">
        <v>8856</v>
      </c>
      <c r="E4886" s="1"/>
    </row>
    <row r="4887" spans="1:5">
      <c r="A4887" t="s">
        <v>8857</v>
      </c>
      <c r="B4887" t="s">
        <v>8858</v>
      </c>
      <c r="E4887" s="1"/>
    </row>
    <row r="4888" spans="1:5">
      <c r="A4888" t="s">
        <v>8859</v>
      </c>
      <c r="B4888" t="s">
        <v>8860</v>
      </c>
      <c r="E4888" s="1"/>
    </row>
    <row r="4889" spans="1:5">
      <c r="A4889" t="s">
        <v>8861</v>
      </c>
      <c r="B4889" t="s">
        <v>8862</v>
      </c>
      <c r="E4889" s="1"/>
    </row>
    <row r="4890" spans="1:5">
      <c r="A4890" t="s">
        <v>8863</v>
      </c>
      <c r="B4890" t="s">
        <v>8864</v>
      </c>
      <c r="E4890" s="1"/>
    </row>
    <row r="4891" spans="1:5">
      <c r="B4891" t="s">
        <v>8865</v>
      </c>
      <c r="E4891" s="1"/>
    </row>
    <row r="4892" spans="1:5">
      <c r="A4892" t="s">
        <v>8866</v>
      </c>
      <c r="B4892" t="s">
        <v>8867</v>
      </c>
      <c r="E4892" s="1"/>
    </row>
    <row r="4893" spans="1:5">
      <c r="B4893" t="s">
        <v>8868</v>
      </c>
      <c r="E4893" s="1"/>
    </row>
    <row r="4894" spans="1:5">
      <c r="A4894" t="s">
        <v>8869</v>
      </c>
      <c r="B4894" t="s">
        <v>8870</v>
      </c>
      <c r="E4894" s="1"/>
    </row>
    <row r="4895" spans="1:5">
      <c r="B4895" t="s">
        <v>8871</v>
      </c>
      <c r="E4895" s="1"/>
    </row>
    <row r="4896" spans="1:5">
      <c r="A4896" t="s">
        <v>8872</v>
      </c>
      <c r="B4896" t="s">
        <v>8873</v>
      </c>
      <c r="E4896" s="1"/>
    </row>
    <row r="4897" spans="1:5">
      <c r="A4897" t="s">
        <v>8874</v>
      </c>
      <c r="B4897" t="s">
        <v>8875</v>
      </c>
      <c r="E4897" s="1"/>
    </row>
    <row r="4898" spans="1:5">
      <c r="A4898" t="s">
        <v>8876</v>
      </c>
      <c r="B4898" t="s">
        <v>8877</v>
      </c>
      <c r="E4898" s="1"/>
    </row>
    <row r="4899" spans="1:5">
      <c r="A4899" t="s">
        <v>8878</v>
      </c>
      <c r="B4899" t="s">
        <v>8879</v>
      </c>
      <c r="E4899" s="1"/>
    </row>
    <row r="4900" spans="1:5">
      <c r="A4900" t="s">
        <v>8880</v>
      </c>
      <c r="B4900" t="s">
        <v>8881</v>
      </c>
      <c r="E4900" s="1"/>
    </row>
    <row r="4901" spans="1:5">
      <c r="A4901" t="s">
        <v>8882</v>
      </c>
      <c r="B4901" t="s">
        <v>8883</v>
      </c>
      <c r="E4901" s="1"/>
    </row>
    <row r="4902" spans="1:5">
      <c r="A4902" t="s">
        <v>8884</v>
      </c>
      <c r="B4902" t="s">
        <v>8885</v>
      </c>
      <c r="E4902" s="1"/>
    </row>
    <row r="4903" spans="1:5">
      <c r="A4903" t="s">
        <v>8886</v>
      </c>
      <c r="B4903" t="s">
        <v>8887</v>
      </c>
      <c r="E4903" s="1"/>
    </row>
    <row r="4904" spans="1:5">
      <c r="A4904" t="s">
        <v>8888</v>
      </c>
      <c r="B4904" t="s">
        <v>8889</v>
      </c>
      <c r="E4904" s="1"/>
    </row>
    <row r="4905" spans="1:5">
      <c r="A4905" t="s">
        <v>8890</v>
      </c>
      <c r="B4905" t="s">
        <v>8891</v>
      </c>
      <c r="E4905" s="1"/>
    </row>
    <row r="4906" spans="1:5">
      <c r="A4906" t="s">
        <v>8892</v>
      </c>
      <c r="B4906" t="s">
        <v>8893</v>
      </c>
      <c r="E4906" s="1"/>
    </row>
    <row r="4907" spans="1:5">
      <c r="A4907" t="s">
        <v>8894</v>
      </c>
      <c r="B4907" t="s">
        <v>8895</v>
      </c>
      <c r="E4907" s="1"/>
    </row>
    <row r="4908" spans="1:5">
      <c r="A4908" t="s">
        <v>8896</v>
      </c>
      <c r="B4908" t="s">
        <v>8897</v>
      </c>
      <c r="E4908" s="1"/>
    </row>
    <row r="4909" spans="1:5">
      <c r="A4909" t="s">
        <v>8898</v>
      </c>
      <c r="B4909" t="s">
        <v>8899</v>
      </c>
      <c r="E4909" s="1"/>
    </row>
    <row r="4910" spans="1:5">
      <c r="A4910" t="s">
        <v>8900</v>
      </c>
      <c r="B4910" t="s">
        <v>8901</v>
      </c>
      <c r="E4910" s="1"/>
    </row>
    <row r="4911" spans="1:5">
      <c r="A4911" t="s">
        <v>8902</v>
      </c>
      <c r="B4911" t="s">
        <v>8903</v>
      </c>
      <c r="E4911" s="1"/>
    </row>
    <row r="4912" spans="1:5">
      <c r="A4912" t="s">
        <v>8904</v>
      </c>
      <c r="B4912" t="s">
        <v>8905</v>
      </c>
      <c r="E4912" s="1"/>
    </row>
    <row r="4913" spans="1:8">
      <c r="A4913" t="s">
        <v>8906</v>
      </c>
      <c r="B4913" t="s">
        <v>8907</v>
      </c>
      <c r="E4913" s="1"/>
    </row>
    <row r="4914" spans="1:8">
      <c r="A4914" t="s">
        <v>8908</v>
      </c>
      <c r="B4914" t="s">
        <v>8909</v>
      </c>
      <c r="C4914" s="1" t="s">
        <v>9222</v>
      </c>
      <c r="D4914" s="1"/>
      <c r="E4914" s="1" t="str">
        <f t="shared" ref="E4914:E4952" si="312">HYPERLINK("https://www.kegg.jp/dbget-bin/www_bget?ec:" &amp; C4914, "https://www.kegg.jp/dbget-bin/www_bget?ec:" &amp; C4914)</f>
        <v>https://www.kegg.jp/dbget-bin/www_bget?ec:2.8.4.4</v>
      </c>
      <c r="F4914" s="1" t="s">
        <v>10639</v>
      </c>
      <c r="G4914" s="10" t="s">
        <v>11409</v>
      </c>
      <c r="H4914" s="13" t="s">
        <v>11410</v>
      </c>
    </row>
    <row r="4915" spans="1:8">
      <c r="A4915" t="s">
        <v>8910</v>
      </c>
      <c r="B4915" t="s">
        <v>8911</v>
      </c>
      <c r="E4915" s="1"/>
    </row>
    <row r="4916" spans="1:8">
      <c r="A4916" t="s">
        <v>8912</v>
      </c>
      <c r="B4916" t="s">
        <v>8913</v>
      </c>
      <c r="E4916" s="1"/>
    </row>
    <row r="4917" spans="1:8">
      <c r="A4917" t="s">
        <v>8914</v>
      </c>
      <c r="B4917" t="s">
        <v>8915</v>
      </c>
      <c r="E4917" s="1"/>
    </row>
    <row r="4918" spans="1:8">
      <c r="A4918" t="s">
        <v>8916</v>
      </c>
      <c r="B4918" t="s">
        <v>8917</v>
      </c>
      <c r="C4918" s="1" t="s">
        <v>9223</v>
      </c>
      <c r="D4918" s="1"/>
      <c r="E4918" s="1" t="str">
        <f t="shared" ref="E4918" si="313">HYPERLINK("https://www.kegg.jp/dbget-bin/www_bget?ec:" &amp; C4918, "https://www.kegg.jp/dbget-bin/www_bget?ec:" &amp; C4918)</f>
        <v>https://www.kegg.jp/dbget-bin/www_bget?ec:4.1.1.96</v>
      </c>
      <c r="F4918" s="1" t="s">
        <v>10641</v>
      </c>
      <c r="G4918" s="1" t="s">
        <v>10642</v>
      </c>
      <c r="H4918" s="13" t="s">
        <v>11411</v>
      </c>
    </row>
    <row r="4919" spans="1:8">
      <c r="A4919" t="s">
        <v>8916</v>
      </c>
      <c r="B4919" t="s">
        <v>8917</v>
      </c>
      <c r="C4919" s="1" t="s">
        <v>9223</v>
      </c>
      <c r="D4919" s="1"/>
      <c r="E4919" s="1" t="str">
        <f t="shared" si="312"/>
        <v>https://www.kegg.jp/dbget-bin/www_bget?ec:4.1.1.96</v>
      </c>
      <c r="F4919" s="1" t="s">
        <v>10641</v>
      </c>
      <c r="G4919" s="10" t="s">
        <v>10644</v>
      </c>
      <c r="H4919" s="13" t="s">
        <v>11412</v>
      </c>
    </row>
    <row r="4920" spans="1:8">
      <c r="A4920" t="s">
        <v>8918</v>
      </c>
      <c r="B4920" t="s">
        <v>8919</v>
      </c>
      <c r="E4920" s="1"/>
    </row>
    <row r="4921" spans="1:8">
      <c r="A4921" t="s">
        <v>8920</v>
      </c>
      <c r="B4921" t="s">
        <v>8921</v>
      </c>
      <c r="E4921" s="1"/>
    </row>
    <row r="4922" spans="1:8">
      <c r="A4922" t="s">
        <v>8922</v>
      </c>
      <c r="B4922" t="s">
        <v>8923</v>
      </c>
      <c r="E4922" s="1"/>
    </row>
    <row r="4923" spans="1:8">
      <c r="A4923" t="s">
        <v>8924</v>
      </c>
      <c r="B4923" t="s">
        <v>8925</v>
      </c>
      <c r="E4923" s="1"/>
    </row>
    <row r="4924" spans="1:8">
      <c r="A4924" t="s">
        <v>8926</v>
      </c>
      <c r="B4924" t="s">
        <v>8927</v>
      </c>
      <c r="E4924" s="1"/>
    </row>
    <row r="4925" spans="1:8">
      <c r="A4925" t="s">
        <v>8928</v>
      </c>
      <c r="B4925" t="s">
        <v>8929</v>
      </c>
      <c r="E4925" s="1"/>
    </row>
    <row r="4926" spans="1:8">
      <c r="A4926" t="s">
        <v>8930</v>
      </c>
      <c r="B4926" t="s">
        <v>8931</v>
      </c>
      <c r="E4926" s="1"/>
    </row>
    <row r="4927" spans="1:8">
      <c r="A4927" t="s">
        <v>8932</v>
      </c>
      <c r="B4927" t="s">
        <v>8933</v>
      </c>
      <c r="E4927" s="1"/>
    </row>
    <row r="4928" spans="1:8">
      <c r="A4928" t="s">
        <v>8934</v>
      </c>
      <c r="B4928" t="s">
        <v>8935</v>
      </c>
      <c r="E4928" s="1"/>
    </row>
    <row r="4929" spans="1:8">
      <c r="A4929" t="s">
        <v>8936</v>
      </c>
      <c r="B4929" t="s">
        <v>8937</v>
      </c>
      <c r="C4929" s="1" t="s">
        <v>9224</v>
      </c>
      <c r="D4929" s="1"/>
      <c r="E4929" s="1" t="str">
        <f t="shared" ref="E4929" si="314">HYPERLINK("https://www.kegg.jp/dbget-bin/www_bget?ec:" &amp; C4929, "https://www.kegg.jp/dbget-bin/www_bget?ec:" &amp; C4929)</f>
        <v>https://www.kegg.jp/dbget-bin/www_bget?ec:3.2.1.1</v>
      </c>
      <c r="F4929" s="1" t="s">
        <v>10646</v>
      </c>
      <c r="G4929" s="10" t="s">
        <v>11413</v>
      </c>
      <c r="H4929" s="13" t="s">
        <v>11414</v>
      </c>
    </row>
    <row r="4930" spans="1:8">
      <c r="A4930" t="s">
        <v>8936</v>
      </c>
      <c r="B4930" t="s">
        <v>8937</v>
      </c>
      <c r="C4930" s="1" t="s">
        <v>9224</v>
      </c>
      <c r="D4930" s="1"/>
      <c r="E4930" s="1" t="str">
        <f t="shared" si="312"/>
        <v>https://www.kegg.jp/dbget-bin/www_bget?ec:3.2.1.1</v>
      </c>
      <c r="F4930" s="1" t="s">
        <v>10646</v>
      </c>
      <c r="G4930" s="10" t="s">
        <v>10649</v>
      </c>
      <c r="H4930" s="13" t="s">
        <v>11415</v>
      </c>
    </row>
    <row r="4931" spans="1:8">
      <c r="A4931" t="s">
        <v>8938</v>
      </c>
      <c r="B4931" t="s">
        <v>8939</v>
      </c>
      <c r="E4931" s="1"/>
    </row>
    <row r="4932" spans="1:8">
      <c r="A4932" t="s">
        <v>8940</v>
      </c>
      <c r="B4932" t="s">
        <v>8941</v>
      </c>
      <c r="E4932" s="1"/>
    </row>
    <row r="4933" spans="1:8">
      <c r="A4933" t="s">
        <v>8942</v>
      </c>
      <c r="B4933" t="s">
        <v>8943</v>
      </c>
      <c r="E4933" s="1"/>
    </row>
    <row r="4934" spans="1:8">
      <c r="A4934" t="s">
        <v>8944</v>
      </c>
      <c r="B4934" t="s">
        <v>8945</v>
      </c>
      <c r="E4934" s="1"/>
    </row>
    <row r="4935" spans="1:8">
      <c r="A4935" t="s">
        <v>8946</v>
      </c>
      <c r="B4935" t="s">
        <v>8947</v>
      </c>
      <c r="E4935" s="1"/>
    </row>
    <row r="4936" spans="1:8">
      <c r="A4936" t="s">
        <v>8948</v>
      </c>
      <c r="B4936" t="s">
        <v>8949</v>
      </c>
      <c r="E4936" s="1"/>
    </row>
    <row r="4937" spans="1:8">
      <c r="A4937" t="s">
        <v>8950</v>
      </c>
      <c r="B4937" t="s">
        <v>8951</v>
      </c>
      <c r="C4937" s="1" t="s">
        <v>9225</v>
      </c>
      <c r="D4937" s="1"/>
      <c r="E4937" s="1" t="str">
        <f t="shared" si="312"/>
        <v>https://www.kegg.jp/dbget-bin/www_bget?ec:3.1.25.</v>
      </c>
      <c r="F4937" t="s">
        <v>9650</v>
      </c>
    </row>
    <row r="4938" spans="1:8">
      <c r="A4938" t="s">
        <v>8952</v>
      </c>
      <c r="B4938" t="s">
        <v>8953</v>
      </c>
      <c r="E4938" s="1"/>
    </row>
    <row r="4939" spans="1:8">
      <c r="A4939" t="s">
        <v>8954</v>
      </c>
      <c r="B4939" t="s">
        <v>8955</v>
      </c>
      <c r="E4939" s="1"/>
    </row>
    <row r="4940" spans="1:8">
      <c r="A4940" t="s">
        <v>8956</v>
      </c>
      <c r="B4940" t="s">
        <v>8957</v>
      </c>
      <c r="E4940" s="1"/>
    </row>
    <row r="4941" spans="1:8">
      <c r="A4941" t="s">
        <v>8958</v>
      </c>
      <c r="B4941" t="s">
        <v>8959</v>
      </c>
      <c r="E4941" s="1"/>
    </row>
    <row r="4942" spans="1:8">
      <c r="A4942" t="s">
        <v>8960</v>
      </c>
      <c r="B4942" t="s">
        <v>8961</v>
      </c>
      <c r="E4942" s="1"/>
    </row>
    <row r="4943" spans="1:8">
      <c r="A4943" t="s">
        <v>8962</v>
      </c>
      <c r="B4943" t="s">
        <v>8963</v>
      </c>
      <c r="E4943" s="1"/>
    </row>
    <row r="4944" spans="1:8">
      <c r="A4944" t="s">
        <v>8964</v>
      </c>
      <c r="B4944" t="s">
        <v>8965</v>
      </c>
      <c r="E4944" s="1"/>
    </row>
    <row r="4945" spans="1:8">
      <c r="A4945" t="s">
        <v>8966</v>
      </c>
      <c r="B4945" t="s">
        <v>8967</v>
      </c>
      <c r="E4945" s="1"/>
    </row>
    <row r="4946" spans="1:8">
      <c r="A4946" t="s">
        <v>8968</v>
      </c>
      <c r="B4946" t="s">
        <v>8969</v>
      </c>
      <c r="E4946" s="1"/>
    </row>
    <row r="4947" spans="1:8">
      <c r="A4947" t="s">
        <v>8970</v>
      </c>
      <c r="B4947" t="s">
        <v>8971</v>
      </c>
      <c r="E4947" s="1"/>
    </row>
    <row r="4948" spans="1:8">
      <c r="A4948" t="s">
        <v>8972</v>
      </c>
      <c r="B4948" t="s">
        <v>8973</v>
      </c>
      <c r="E4948" s="1"/>
    </row>
    <row r="4949" spans="1:8">
      <c r="A4949" t="s">
        <v>8974</v>
      </c>
      <c r="B4949" t="s">
        <v>8975</v>
      </c>
      <c r="E4949" s="1"/>
    </row>
    <row r="4950" spans="1:8">
      <c r="A4950" t="s">
        <v>8976</v>
      </c>
      <c r="B4950" t="s">
        <v>8977</v>
      </c>
      <c r="E4950" s="1"/>
    </row>
    <row r="4951" spans="1:8">
      <c r="A4951" t="s">
        <v>8978</v>
      </c>
      <c r="B4951" t="s">
        <v>8979</v>
      </c>
      <c r="E4951" s="1"/>
    </row>
    <row r="4952" spans="1:8">
      <c r="A4952" t="s">
        <v>8980</v>
      </c>
      <c r="B4952" t="s">
        <v>8981</v>
      </c>
      <c r="C4952" s="1" t="s">
        <v>9226</v>
      </c>
      <c r="D4952" s="1"/>
      <c r="E4952" s="1" t="str">
        <f t="shared" si="312"/>
        <v>https://www.kegg.jp/dbget-bin/www_bget?ec:2.1.3.2</v>
      </c>
      <c r="F4952" s="1" t="s">
        <v>10651</v>
      </c>
      <c r="G4952" s="21" t="s">
        <v>11416</v>
      </c>
      <c r="H4952" s="13" t="s">
        <v>11417</v>
      </c>
    </row>
    <row r="4953" spans="1:8">
      <c r="A4953" t="s">
        <v>8982</v>
      </c>
      <c r="B4953" t="s">
        <v>8983</v>
      </c>
      <c r="E4953" s="1"/>
    </row>
    <row r="4954" spans="1:8">
      <c r="A4954" t="s">
        <v>8984</v>
      </c>
      <c r="B4954" t="s">
        <v>8985</v>
      </c>
      <c r="E4954" s="1"/>
    </row>
    <row r="4955" spans="1:8">
      <c r="A4955" t="s">
        <v>8986</v>
      </c>
      <c r="B4955" t="s">
        <v>8987</v>
      </c>
      <c r="E4955" s="1"/>
    </row>
    <row r="4956" spans="1:8">
      <c r="A4956" t="s">
        <v>8988</v>
      </c>
      <c r="B4956" t="s">
        <v>8989</v>
      </c>
      <c r="E4956" s="1"/>
    </row>
    <row r="4957" spans="1:8">
      <c r="A4957" t="s">
        <v>8990</v>
      </c>
      <c r="B4957" t="s">
        <v>8991</v>
      </c>
      <c r="C4957" s="1" t="s">
        <v>9227</v>
      </c>
      <c r="D4957" s="1"/>
      <c r="E4957" s="1" t="str">
        <f t="shared" ref="E4957" si="315">HYPERLINK("https://www.kegg.jp/dbget-bin/www_bget?ec:" &amp; C4957, "https://www.kegg.jp/dbget-bin/www_bget?ec:" &amp; C4957)</f>
        <v>https://www.kegg.jp/dbget-bin/www_bget?ec:6.1.1.20</v>
      </c>
      <c r="F4957" s="1" t="s">
        <v>10654</v>
      </c>
      <c r="G4957" s="10" t="s">
        <v>11418</v>
      </c>
      <c r="H4957" s="13" t="s">
        <v>11419</v>
      </c>
    </row>
    <row r="4958" spans="1:8">
      <c r="A4958" t="s">
        <v>8992</v>
      </c>
      <c r="B4958" t="s">
        <v>8993</v>
      </c>
      <c r="E4958" s="1"/>
    </row>
    <row r="4959" spans="1:8">
      <c r="A4959" t="s">
        <v>8994</v>
      </c>
      <c r="B4959" t="s">
        <v>8995</v>
      </c>
      <c r="E4959" s="1"/>
    </row>
    <row r="4960" spans="1:8">
      <c r="A4960" t="s">
        <v>8996</v>
      </c>
      <c r="B4960" t="s">
        <v>8997</v>
      </c>
      <c r="E4960" s="1"/>
    </row>
    <row r="4961" spans="1:5">
      <c r="A4961" t="s">
        <v>8998</v>
      </c>
      <c r="B4961" t="s">
        <v>8999</v>
      </c>
      <c r="E4961" s="1"/>
    </row>
    <row r="4962" spans="1:5">
      <c r="A4962" t="s">
        <v>9000</v>
      </c>
      <c r="B4962" t="s">
        <v>9001</v>
      </c>
      <c r="E4962" s="1"/>
    </row>
    <row r="4963" spans="1:5">
      <c r="A4963" t="s">
        <v>9002</v>
      </c>
      <c r="B4963" t="s">
        <v>9003</v>
      </c>
      <c r="E4963" s="1"/>
    </row>
    <row r="4964" spans="1:5">
      <c r="A4964" t="s">
        <v>9004</v>
      </c>
      <c r="B4964" t="s">
        <v>9005</v>
      </c>
      <c r="E4964" s="1"/>
    </row>
    <row r="4965" spans="1:5">
      <c r="A4965" t="s">
        <v>9006</v>
      </c>
      <c r="B4965" t="s">
        <v>9007</v>
      </c>
      <c r="E4965" s="1"/>
    </row>
    <row r="4966" spans="1:5">
      <c r="A4966" t="s">
        <v>9008</v>
      </c>
      <c r="B4966" t="s">
        <v>9009</v>
      </c>
      <c r="E4966" s="1"/>
    </row>
    <row r="4967" spans="1:5">
      <c r="A4967" t="s">
        <v>9010</v>
      </c>
      <c r="B4967" t="s">
        <v>9011</v>
      </c>
      <c r="E4967" s="1"/>
    </row>
    <row r="4968" spans="1:5">
      <c r="A4968" t="s">
        <v>9012</v>
      </c>
      <c r="B4968" t="s">
        <v>9013</v>
      </c>
      <c r="E4968" s="1"/>
    </row>
    <row r="4969" spans="1:5">
      <c r="A4969" t="s">
        <v>9014</v>
      </c>
      <c r="B4969" t="s">
        <v>9015</v>
      </c>
      <c r="E4969" s="1"/>
    </row>
    <row r="4970" spans="1:5">
      <c r="A4970" t="s">
        <v>9016</v>
      </c>
      <c r="B4970" t="s">
        <v>9017</v>
      </c>
      <c r="E4970" s="1"/>
    </row>
    <row r="4971" spans="1:5">
      <c r="A4971" t="s">
        <v>9018</v>
      </c>
      <c r="B4971" t="s">
        <v>9019</v>
      </c>
      <c r="E4971" s="1"/>
    </row>
    <row r="4972" spans="1:5">
      <c r="A4972" t="s">
        <v>9020</v>
      </c>
      <c r="B4972" t="s">
        <v>9021</v>
      </c>
      <c r="E4972" s="1"/>
    </row>
    <row r="4973" spans="1:5">
      <c r="A4973" t="s">
        <v>9022</v>
      </c>
      <c r="B4973" t="s">
        <v>9023</v>
      </c>
      <c r="E4973" s="1"/>
    </row>
    <row r="4974" spans="1:5">
      <c r="A4974" t="s">
        <v>9024</v>
      </c>
      <c r="B4974" t="s">
        <v>9025</v>
      </c>
      <c r="E4974" s="1"/>
    </row>
    <row r="4975" spans="1:5">
      <c r="B4975" t="s">
        <v>9026</v>
      </c>
      <c r="E4975" s="1"/>
    </row>
    <row r="4976" spans="1:5">
      <c r="A4976" t="s">
        <v>9027</v>
      </c>
      <c r="B4976" t="s">
        <v>9028</v>
      </c>
      <c r="E4976" s="1"/>
    </row>
    <row r="4977" spans="1:5">
      <c r="A4977" t="s">
        <v>9029</v>
      </c>
      <c r="B4977" t="s">
        <v>9030</v>
      </c>
      <c r="E4977" s="1"/>
    </row>
    <row r="4978" spans="1:5">
      <c r="A4978" t="s">
        <v>9031</v>
      </c>
      <c r="B4978" t="s">
        <v>9032</v>
      </c>
      <c r="E4978" s="1"/>
    </row>
    <row r="4979" spans="1:5">
      <c r="A4979" t="s">
        <v>9033</v>
      </c>
      <c r="B4979" t="s">
        <v>9034</v>
      </c>
      <c r="E4979" s="1"/>
    </row>
    <row r="4980" spans="1:5">
      <c r="A4980" t="s">
        <v>9035</v>
      </c>
      <c r="B4980" t="s">
        <v>9036</v>
      </c>
      <c r="E4980" s="1"/>
    </row>
    <row r="4981" spans="1:5">
      <c r="B4981" t="s">
        <v>9037</v>
      </c>
      <c r="E4981" s="1"/>
    </row>
    <row r="4982" spans="1:5">
      <c r="B4982" t="s">
        <v>9038</v>
      </c>
      <c r="E4982" s="1"/>
    </row>
    <row r="4983" spans="1:5">
      <c r="A4983" t="s">
        <v>9039</v>
      </c>
      <c r="B4983" t="s">
        <v>9040</v>
      </c>
      <c r="E4983" s="1"/>
    </row>
    <row r="4984" spans="1:5">
      <c r="A4984" t="s">
        <v>9041</v>
      </c>
      <c r="B4984" t="s">
        <v>9042</v>
      </c>
      <c r="E4984" s="1"/>
    </row>
    <row r="4985" spans="1:5">
      <c r="A4985" t="s">
        <v>9043</v>
      </c>
      <c r="B4985" t="s">
        <v>9044</v>
      </c>
      <c r="E4985" s="1"/>
    </row>
    <row r="4986" spans="1:5">
      <c r="A4986" t="s">
        <v>9045</v>
      </c>
      <c r="B4986" t="s">
        <v>9046</v>
      </c>
      <c r="E4986" s="1"/>
    </row>
    <row r="4987" spans="1:5">
      <c r="A4987" t="s">
        <v>9047</v>
      </c>
      <c r="B4987" t="s">
        <v>9048</v>
      </c>
      <c r="E4987" s="1"/>
    </row>
    <row r="4988" spans="1:5">
      <c r="B4988" t="s">
        <v>9049</v>
      </c>
      <c r="E4988" s="1"/>
    </row>
    <row r="4989" spans="1:5">
      <c r="B4989" t="s">
        <v>9050</v>
      </c>
      <c r="E4989" s="1"/>
    </row>
    <row r="4990" spans="1:5">
      <c r="A4990" t="s">
        <v>9051</v>
      </c>
      <c r="B4990" t="s">
        <v>9052</v>
      </c>
      <c r="E4990" s="1"/>
    </row>
    <row r="4991" spans="1:5">
      <c r="A4991" t="s">
        <v>9053</v>
      </c>
      <c r="B4991" t="s">
        <v>9054</v>
      </c>
      <c r="E4991" s="1"/>
    </row>
    <row r="4992" spans="1:5">
      <c r="A4992" t="s">
        <v>9055</v>
      </c>
      <c r="B4992" t="s">
        <v>9056</v>
      </c>
      <c r="E4992" s="1"/>
    </row>
    <row r="4993" spans="1:5">
      <c r="A4993" t="s">
        <v>9057</v>
      </c>
      <c r="B4993" t="s">
        <v>9058</v>
      </c>
      <c r="E4993" s="1"/>
    </row>
    <row r="4994" spans="1:5">
      <c r="A4994" t="s">
        <v>9059</v>
      </c>
      <c r="B4994" t="s">
        <v>9060</v>
      </c>
      <c r="E4994" s="1"/>
    </row>
    <row r="4995" spans="1:5">
      <c r="A4995" t="s">
        <v>9061</v>
      </c>
      <c r="B4995" t="s">
        <v>9062</v>
      </c>
      <c r="E4995" s="1"/>
    </row>
    <row r="4996" spans="1:5">
      <c r="A4996" t="s">
        <v>9063</v>
      </c>
      <c r="B4996" t="s">
        <v>9064</v>
      </c>
      <c r="E4996" s="1"/>
    </row>
    <row r="4997" spans="1:5">
      <c r="A4997" t="s">
        <v>9065</v>
      </c>
      <c r="B4997" t="s">
        <v>9066</v>
      </c>
      <c r="E4997" s="1"/>
    </row>
    <row r="4998" spans="1:5">
      <c r="A4998" t="s">
        <v>9067</v>
      </c>
      <c r="B4998" t="s">
        <v>9068</v>
      </c>
      <c r="E4998" s="1"/>
    </row>
    <row r="4999" spans="1:5">
      <c r="A4999" t="s">
        <v>9069</v>
      </c>
      <c r="B4999" t="s">
        <v>9070</v>
      </c>
      <c r="E4999" s="1"/>
    </row>
    <row r="5000" spans="1:5">
      <c r="A5000" t="s">
        <v>9071</v>
      </c>
      <c r="B5000" t="s">
        <v>9072</v>
      </c>
      <c r="E5000" s="1"/>
    </row>
    <row r="5001" spans="1:5">
      <c r="A5001" t="s">
        <v>9073</v>
      </c>
      <c r="B5001" t="s">
        <v>9074</v>
      </c>
      <c r="E5001" s="1"/>
    </row>
    <row r="5002" spans="1:5">
      <c r="A5002" t="s">
        <v>9075</v>
      </c>
      <c r="B5002" t="s">
        <v>9076</v>
      </c>
      <c r="E5002" s="1"/>
    </row>
    <row r="5003" spans="1:5">
      <c r="A5003" t="s">
        <v>9077</v>
      </c>
      <c r="B5003" t="s">
        <v>9078</v>
      </c>
      <c r="E5003" s="1"/>
    </row>
    <row r="5004" spans="1:5">
      <c r="A5004" t="s">
        <v>9079</v>
      </c>
      <c r="B5004" t="s">
        <v>9080</v>
      </c>
      <c r="E5004" s="1"/>
    </row>
    <row r="5005" spans="1:5">
      <c r="E5005" s="1"/>
    </row>
    <row r="5006" spans="1:5">
      <c r="E5006" s="1"/>
    </row>
  </sheetData>
  <phoneticPr fontId="39" type="noConversion"/>
  <hyperlinks>
    <hyperlink ref="C2542" r:id="rId1" display="https://enzyme.expasy.org/EC/3.5.2.7" xr:uid="{8881C692-3DDC-9742-82B7-0F8B1D9602EA}"/>
    <hyperlink ref="C19" r:id="rId2" xr:uid="{0F16DAC3-2E80-9247-B4D2-F185E56C427D}"/>
    <hyperlink ref="C35" r:id="rId3" xr:uid="{40BAFCB2-D8A1-654C-93CB-71DFA16996BE}"/>
    <hyperlink ref="C58" r:id="rId4" xr:uid="{79FB74F8-310A-E54B-8A65-3B68BC7CCD31}"/>
    <hyperlink ref="C66" r:id="rId5" xr:uid="{FD2DA79D-DF16-B24F-B350-A89DC6389E03}"/>
    <hyperlink ref="C70" r:id="rId6" xr:uid="{91556DFC-C843-1640-B6C1-132013A402A8}"/>
    <hyperlink ref="C81" r:id="rId7" xr:uid="{2EF72457-25BD-F64D-BF83-4BBF0A0AB473}"/>
    <hyperlink ref="C83" r:id="rId8" xr:uid="{638125C9-95C9-B741-BD7B-032BF288B7E3}"/>
    <hyperlink ref="C87" r:id="rId9" xr:uid="{06F3F578-2DEB-6647-872C-AC5272735FD1}"/>
    <hyperlink ref="C89" r:id="rId10" xr:uid="{94DE4126-E789-C14C-AEA1-006D9E4A117F}"/>
    <hyperlink ref="C91" r:id="rId11" xr:uid="{BFB7E203-6785-4846-B9BF-BFD714948E5E}"/>
    <hyperlink ref="C93" r:id="rId12" display="https://enzyme.expasy.org/EC/3.1.3.7" xr:uid="{F53F7727-E8C3-E348-AC93-A0D509427112}"/>
    <hyperlink ref="C102" r:id="rId13" xr:uid="{CED07986-4622-DE44-8A86-2AC44446E0BA}"/>
    <hyperlink ref="C112" r:id="rId14" xr:uid="{68603111-1C8E-AE4F-B8C7-7F788D3D3422}"/>
    <hyperlink ref="C131" r:id="rId15" xr:uid="{63A10671-9A34-FE47-B736-2723A08EBBA2}"/>
    <hyperlink ref="C139" r:id="rId16" xr:uid="{FF1EA615-C8C9-254C-9D19-2192D5D33412}"/>
    <hyperlink ref="C148" r:id="rId17" xr:uid="{9233B0C9-66E7-124A-838B-C92C26810E84}"/>
    <hyperlink ref="C149" r:id="rId18" xr:uid="{F2B30496-B759-6648-A13E-4077BB31C03F}"/>
    <hyperlink ref="C157" r:id="rId19" xr:uid="{61B66A52-63AF-8F47-B4C0-5364BC8EB380}"/>
    <hyperlink ref="C162" r:id="rId20" xr:uid="{DAFD87A7-D5BD-B545-904B-CA01185AF3F2}"/>
    <hyperlink ref="C177" r:id="rId21" xr:uid="{035AF361-DD3E-764F-9988-FF61B3CF42D8}"/>
    <hyperlink ref="C181" r:id="rId22" xr:uid="{5ECB996B-185B-AD4D-8BA0-3E8FEAF6B983}"/>
    <hyperlink ref="C182" r:id="rId23" xr:uid="{D9457898-2B29-A34A-8319-1DB3021AAFB7}"/>
    <hyperlink ref="C192" r:id="rId24" xr:uid="{9F75965B-956C-BF42-A187-5DE119E49352}"/>
    <hyperlink ref="C197" r:id="rId25" xr:uid="{945D6C04-EDD7-8841-86B6-B8BCE5875242}"/>
    <hyperlink ref="C199" r:id="rId26" xr:uid="{B4AEE2DA-2FE2-F14F-9DB2-DE2417CE58AF}"/>
    <hyperlink ref="C201" r:id="rId27" xr:uid="{AA7660EF-85A2-B942-96A7-3ED636DA58A1}"/>
    <hyperlink ref="C203" r:id="rId28" xr:uid="{A403E114-3924-804A-A49F-F259D2441F0C}"/>
    <hyperlink ref="C205" r:id="rId29" xr:uid="{B4EDD92E-B8B4-5F4B-99B2-F054076149F4}"/>
    <hyperlink ref="C207" r:id="rId30" xr:uid="{6DEE3774-C5AE-6C44-BD0E-F3426D015123}"/>
    <hyperlink ref="C256" r:id="rId31" display="https://enzyme.expasy.org/EC/5.4.2.11" xr:uid="{A280C291-7F0E-434F-81AA-13BB697E6483}"/>
    <hyperlink ref="C222" r:id="rId32" xr:uid="{B49A4ED1-C0F0-9048-8C19-7247F6AA036C}"/>
    <hyperlink ref="C262" r:id="rId33" display="https://enzyme.expasy.org/EC/4.2.1.20" xr:uid="{D6078E25-305A-6E43-B061-61A837E1E0C6}"/>
    <hyperlink ref="C265" r:id="rId34" xr:uid="{0905E048-7B6D-944F-B585-0212959F856A}"/>
    <hyperlink ref="C266" r:id="rId35" xr:uid="{758C9497-2619-8F4E-A1CD-E908F927F03D}"/>
    <hyperlink ref="C270" r:id="rId36" xr:uid="{A5ADC95A-118D-8F4A-9E2E-424FF01EC1B3}"/>
    <hyperlink ref="C281" r:id="rId37" xr:uid="{318AE932-6409-D846-A013-88101C1B6A6E}"/>
    <hyperlink ref="C282" r:id="rId38" xr:uid="{7C33F6D0-FACD-9440-BCDB-DF0C9E2EA7CA}"/>
    <hyperlink ref="C293" r:id="rId39" xr:uid="{92823AB3-D23D-4644-8F17-541B7BDFC3AC}"/>
    <hyperlink ref="C305" r:id="rId40" xr:uid="{245CD40B-4632-684C-B4AB-85BF45E05093}"/>
    <hyperlink ref="C412" r:id="rId41" xr:uid="{03659FF4-4BA9-BB47-8705-F6FAAEF7626E}"/>
    <hyperlink ref="C419" r:id="rId42" xr:uid="{80186B6D-4144-5045-9164-42DE7EDA7284}"/>
    <hyperlink ref="C423" r:id="rId43" xr:uid="{61BDB07E-8F21-CF4C-B094-AD130D679B94}"/>
    <hyperlink ref="C424" r:id="rId44" xr:uid="{9C1FD1AE-8523-B440-8C8A-923ED8EE824D}"/>
    <hyperlink ref="C440" r:id="rId45" xr:uid="{B89E674F-ED84-964B-A4A6-77DA47BED0BD}"/>
    <hyperlink ref="C446" r:id="rId46" xr:uid="{378F8849-1036-DA40-A5AA-6925E39BC72B}"/>
    <hyperlink ref="C461" r:id="rId47" xr:uid="{0A3C1A73-6853-AF4B-80BC-66FDE146D11D}"/>
    <hyperlink ref="C462" r:id="rId48" xr:uid="{BA0E6A2F-EA91-A441-9791-7BF11634DE24}"/>
    <hyperlink ref="C465" r:id="rId49" xr:uid="{E1FA8BE3-C165-D246-9B34-18F6E0DEFF57}"/>
    <hyperlink ref="C468" r:id="rId50" xr:uid="{4157D29C-D909-B34B-9747-0FD17EDC84F3}"/>
    <hyperlink ref="C486" r:id="rId51" xr:uid="{38C16F5D-9218-0D4D-B467-EA2D50B9B170}"/>
    <hyperlink ref="C530" r:id="rId52" xr:uid="{D0327209-D59B-D846-8B9F-44F2FFAE1FB5}"/>
    <hyperlink ref="C538" r:id="rId53" xr:uid="{4536A297-A140-5342-A39A-493B7D86BAC0}"/>
    <hyperlink ref="C568" r:id="rId54" xr:uid="{1436BD68-D419-9547-8AFC-550C47B3E6DE}"/>
    <hyperlink ref="C569" r:id="rId55" xr:uid="{E924A7C2-6CC4-4C4E-8BF6-88C9EAF99859}"/>
    <hyperlink ref="C570" r:id="rId56" xr:uid="{4084AE52-BE60-564D-883F-D54DD9596E1A}"/>
    <hyperlink ref="C571" r:id="rId57" xr:uid="{8A76515A-6431-9145-9949-1A06826D262A}"/>
    <hyperlink ref="C573" r:id="rId58" xr:uid="{66B55ABB-39BD-514B-904F-118B7216532F}"/>
    <hyperlink ref="C592" r:id="rId59" xr:uid="{5ACF7370-D5E2-C044-8316-9CB3BDE0269F}"/>
    <hyperlink ref="C594" r:id="rId60" xr:uid="{73707727-AFDB-5743-BF49-6F29BF7508FC}"/>
    <hyperlink ref="C601" r:id="rId61" xr:uid="{074B5A28-222D-7842-AE1A-B2AF365EB30C}"/>
    <hyperlink ref="C628" r:id="rId62" xr:uid="{6C6E41B3-ED5C-7542-B418-340BF52238D4}"/>
    <hyperlink ref="C632" r:id="rId63" xr:uid="{58A30FB2-848E-5442-B0C4-1022431EB08C}"/>
    <hyperlink ref="C635" r:id="rId64" xr:uid="{99E1C8F6-9516-8648-837B-5C8956758909}"/>
    <hyperlink ref="C636" r:id="rId65" xr:uid="{E59FB108-3DB7-9B4B-AADC-275E84E25B6E}"/>
    <hyperlink ref="C643" r:id="rId66" xr:uid="{86F3D717-C376-8C46-A8E7-26840B6F5D9E}"/>
    <hyperlink ref="C651" r:id="rId67" xr:uid="{8E229A24-07CB-B640-A782-CC5AEC78972C}"/>
    <hyperlink ref="C658" r:id="rId68" xr:uid="{2A720C30-212A-A74E-88BA-1BB2D10FD3A1}"/>
    <hyperlink ref="C661" r:id="rId69" xr:uid="{903E9BBE-8FEC-194A-9BCE-0DAAE709FBDF}"/>
    <hyperlink ref="C664" r:id="rId70" xr:uid="{491E455A-905D-2A42-BCC7-E6E41C080390}"/>
    <hyperlink ref="C668" r:id="rId71" xr:uid="{869DA723-36CB-374D-8396-0DFB5C95572F}"/>
    <hyperlink ref="C675" r:id="rId72" xr:uid="{572F2297-FF49-1744-A5D8-C708AADC6B62}"/>
    <hyperlink ref="C687" r:id="rId73" xr:uid="{71B65FF2-461D-404B-B4A6-C268CF840DE7}"/>
    <hyperlink ref="C694" r:id="rId74" xr:uid="{96F2E01F-3DB1-E046-AA68-73C09CD0B222}"/>
    <hyperlink ref="C696" r:id="rId75" xr:uid="{A3A76482-0F29-3148-97A0-2BAB35083DBE}"/>
    <hyperlink ref="C699" r:id="rId76" xr:uid="{B88A6123-70B8-4B46-AB9F-D621178D81CF}"/>
    <hyperlink ref="C702" r:id="rId77" xr:uid="{AE219C25-35B7-984F-9C25-01FE3B3D26AA}"/>
    <hyperlink ref="C710" r:id="rId78" xr:uid="{0ABE5892-BA74-CA49-84F7-97D00D0067FC}"/>
    <hyperlink ref="C760" r:id="rId79" xr:uid="{867FC577-CF70-4D4F-B4CE-5722E8FF0C0E}"/>
    <hyperlink ref="C787" r:id="rId80" xr:uid="{6172414A-9D11-2D47-8DAD-405835C597A6}"/>
    <hyperlink ref="C792" r:id="rId81" xr:uid="{56731F50-1479-DD4F-94C7-AD5F794EEE28}"/>
    <hyperlink ref="C872" r:id="rId82" xr:uid="{B1AF6353-7CFA-E249-9478-89014946B335}"/>
    <hyperlink ref="C880" r:id="rId83" xr:uid="{9FC0E17A-0CC3-1348-874C-F60AED791997}"/>
    <hyperlink ref="C885" r:id="rId84" xr:uid="{1233BD87-FEF2-594E-A171-C63EF4426EEA}"/>
    <hyperlink ref="C886" r:id="rId85" xr:uid="{35C04508-53A0-7140-99DE-5C7EA2619D41}"/>
    <hyperlink ref="C888" r:id="rId86" xr:uid="{36B978A1-B978-0D4F-B381-94998B2D6419}"/>
    <hyperlink ref="C897" r:id="rId87" xr:uid="{D98890CB-8F56-0A4D-8542-1222155EB2C3}"/>
    <hyperlink ref="C903" r:id="rId88" xr:uid="{40AEEF42-CDF4-0640-BC03-8365C3E8F6BA}"/>
    <hyperlink ref="C919" r:id="rId89" xr:uid="{AAD66BFB-558C-DC40-82A4-7F487BC612DC}"/>
    <hyperlink ref="C928" r:id="rId90" xr:uid="{F51BC642-C580-1444-BA06-02E1BF86F69A}"/>
    <hyperlink ref="C935" r:id="rId91" xr:uid="{ECDB9413-69E4-EB42-94F3-E6AB7089FC07}"/>
    <hyperlink ref="C936" r:id="rId92" xr:uid="{1E7FB72D-3547-3847-B422-2FA52CC9C048}"/>
    <hyperlink ref="C937" r:id="rId93" xr:uid="{59CD63A1-4A0A-674F-9339-308F0932889D}"/>
    <hyperlink ref="C986" r:id="rId94" xr:uid="{AD718285-B6A0-BE4D-AE36-6E3CC124E163}"/>
    <hyperlink ref="C993" r:id="rId95" xr:uid="{32210C02-D099-214F-8BE6-37804D60A1C2}"/>
    <hyperlink ref="C999" r:id="rId96" xr:uid="{EB9C5823-B631-194E-B3C9-3B9FC4B7EFDB}"/>
    <hyperlink ref="C1033" r:id="rId97" xr:uid="{0BE7229F-1EE2-6D41-A32C-F968E70151F5}"/>
    <hyperlink ref="C1035" r:id="rId98" xr:uid="{0936EFCB-BC9A-DC43-9B58-A90099F55EA1}"/>
    <hyperlink ref="C1038" r:id="rId99" xr:uid="{7E960DD0-DDE0-3144-BE2C-6060A6404784}"/>
    <hyperlink ref="C1045" r:id="rId100" xr:uid="{92878ADB-A211-0746-8F1B-E86C23420F2A}"/>
    <hyperlink ref="C1047" r:id="rId101" xr:uid="{27A69174-4826-4542-8C71-D711E872E25D}"/>
    <hyperlink ref="C1048" r:id="rId102" xr:uid="{2BB3C7A8-A1FA-BD4F-9E7C-3B880EA389DC}"/>
    <hyperlink ref="C1049" r:id="rId103" xr:uid="{4AFDD0F2-673E-6C42-AEAE-B31F0A220E18}"/>
    <hyperlink ref="C1133" r:id="rId104" xr:uid="{44E8B742-F998-234F-B838-7765EF554F35}"/>
    <hyperlink ref="C1138" r:id="rId105" xr:uid="{40637653-49E3-A14D-BD36-181F86DE3670}"/>
    <hyperlink ref="C1140" r:id="rId106" xr:uid="{25E7F50F-D085-CC4A-A05D-79547BF58A7A}"/>
    <hyperlink ref="C1141" r:id="rId107" xr:uid="{0DF7E9C8-A0D6-DD47-80D3-5C12EE2B4BFE}"/>
    <hyperlink ref="C1143" r:id="rId108" xr:uid="{FA0A2EB9-5515-784B-9BDD-C722554BFD6B}"/>
    <hyperlink ref="C1158" r:id="rId109" xr:uid="{120978B3-49C5-8543-AEF0-1D6BEE9B95DF}"/>
    <hyperlink ref="C1163" r:id="rId110" xr:uid="{D2D8EEBC-9A63-7149-83C0-F6922EE143C6}"/>
    <hyperlink ref="C1176" r:id="rId111" xr:uid="{139522B1-C6C5-7748-A603-5F55A82E407A}"/>
    <hyperlink ref="C1184" r:id="rId112" xr:uid="{001C0A97-CB7F-AA49-8B4D-C04EEC168404}"/>
    <hyperlink ref="C1185" r:id="rId113" xr:uid="{99669C41-0F5D-2C47-A120-BFD114DB28F0}"/>
    <hyperlink ref="C1227" r:id="rId114" xr:uid="{26CD8261-757F-7340-93E9-E4A29B049401}"/>
    <hyperlink ref="C1234" r:id="rId115" xr:uid="{49602764-EED0-BB4D-8842-5FDFFC2B1927}"/>
    <hyperlink ref="C1240" r:id="rId116" xr:uid="{62E61C01-E50F-4644-991E-7CAE1FC68C27}"/>
    <hyperlink ref="C1250" r:id="rId117" xr:uid="{640BDE73-3A7D-B445-9F1C-9838156F1D40}"/>
    <hyperlink ref="C1283" r:id="rId118" xr:uid="{4358FD24-D502-634C-A3E1-45A4DC8ED195}"/>
    <hyperlink ref="C1308" r:id="rId119" xr:uid="{337D940A-CB41-5A4B-9891-BE722694BD1B}"/>
    <hyperlink ref="C1324" r:id="rId120" xr:uid="{D61A3AA4-BD1E-F244-AD1F-24877D9EFDB5}"/>
    <hyperlink ref="C1330" r:id="rId121" xr:uid="{CC8F63C4-FB5E-5240-AFD4-39655E69C873}"/>
    <hyperlink ref="C1338" r:id="rId122" xr:uid="{89101487-FD72-9044-AAE9-48EB05867088}"/>
    <hyperlink ref="C1346" r:id="rId123" xr:uid="{F4B85942-7FA4-804E-BDC9-659EC834C6B3}"/>
    <hyperlink ref="C1349" r:id="rId124" xr:uid="{D6C7ABB2-0E54-D44F-9757-AFFDAA045C28}"/>
    <hyperlink ref="C1358" r:id="rId125" xr:uid="{069ED427-5D40-114A-BCBE-E00D2C52635C}"/>
    <hyperlink ref="C1385" r:id="rId126" xr:uid="{ECF045FC-56B4-BF4F-8386-4E8E45375D4D}"/>
    <hyperlink ref="C1387" r:id="rId127" xr:uid="{193FE52D-5069-B140-B91A-E402B1509F24}"/>
    <hyperlink ref="C1391" r:id="rId128" xr:uid="{745E36D9-B54A-0548-BF0A-A37D6941FE82}"/>
    <hyperlink ref="C1392" r:id="rId129" xr:uid="{EED5A4C2-135D-3E4E-BE26-161DD37D0B43}"/>
    <hyperlink ref="C1393" r:id="rId130" xr:uid="{DE7A8318-DDB3-0349-8147-67133A2D27BA}"/>
    <hyperlink ref="C1454" r:id="rId131" xr:uid="{ACF70094-5366-DC48-8307-2781B86F701A}"/>
    <hyperlink ref="C1473" r:id="rId132" xr:uid="{93B621F4-9F95-2D4B-A25A-95544B8CD22A}"/>
    <hyperlink ref="C1485" r:id="rId133" xr:uid="{E4C03573-7E6A-7D40-8FF6-D1FAC08E6769}"/>
    <hyperlink ref="C1504" r:id="rId134" xr:uid="{A7735831-7098-7246-B6CA-9D23D01769D8}"/>
    <hyperlink ref="C1508" r:id="rId135" xr:uid="{C0ABDA8F-EDB6-994E-82BC-F7BC789CF8EA}"/>
    <hyperlink ref="C1539" r:id="rId136" xr:uid="{A76D4E1F-57F5-464B-8B4B-7F48E1BBD21A}"/>
    <hyperlink ref="C1550" r:id="rId137" xr:uid="{A4A18550-50FC-DA4A-B61B-CCBC9CF9193E}"/>
    <hyperlink ref="C1611" r:id="rId138" xr:uid="{151322DF-D991-C74F-9C7E-C3A4EA857888}"/>
    <hyperlink ref="C1613" r:id="rId139" xr:uid="{4F77B024-D20B-EF4B-9F8B-3745E28E9CFF}"/>
    <hyperlink ref="C1615" r:id="rId140" xr:uid="{7266EC29-852C-3F47-B95C-CFFF0DAC995B}"/>
    <hyperlink ref="C1616" r:id="rId141" xr:uid="{20195640-1069-D74B-9B35-710D8F353B0C}"/>
    <hyperlink ref="C1671" r:id="rId142" xr:uid="{59397C70-2EE9-5442-8A04-EB4A6455FDAE}"/>
    <hyperlink ref="C1720" r:id="rId143" xr:uid="{8A8C2BC5-3B49-6B4C-9548-4F2EF1BD074C}"/>
    <hyperlink ref="C1722" r:id="rId144" xr:uid="{B202CCA9-62CD-C346-B5FA-34B095915706}"/>
    <hyperlink ref="C1724" r:id="rId145" xr:uid="{4E7D1221-7126-E644-9C08-4E8671EB9A3D}"/>
    <hyperlink ref="C1726" r:id="rId146" xr:uid="{292F4B12-A2DD-1B47-BD3F-CDFE62E3C962}"/>
    <hyperlink ref="C1748" r:id="rId147" xr:uid="{A44F1FC0-D0A2-7E4C-B9E3-13BC4047FD18}"/>
    <hyperlink ref="C1757" r:id="rId148" xr:uid="{7812F950-DE31-1D43-9AAF-2DD8A360D6C6}"/>
    <hyperlink ref="C1787" r:id="rId149" xr:uid="{1FFC120F-7423-EF4B-BC77-B00FA1FA51C7}"/>
    <hyperlink ref="C1814" r:id="rId150" xr:uid="{EB3B430B-66FA-494A-9B8E-FAD328D9A40F}"/>
    <hyperlink ref="C1820" r:id="rId151" xr:uid="{DF818296-5851-A740-8A94-DDEF276E33DC}"/>
    <hyperlink ref="C1823" r:id="rId152" xr:uid="{4F7D5BE6-9DBC-B94A-8021-84FCA0A3A01B}"/>
    <hyperlink ref="C1854" r:id="rId153" xr:uid="{3BE32A0A-F0F4-9248-942D-9B1D98D513EF}"/>
    <hyperlink ref="C1872" r:id="rId154" xr:uid="{3A160607-5854-A343-B81F-6557FFAC0A2A}"/>
    <hyperlink ref="C1883" r:id="rId155" xr:uid="{01BB2B3A-6E66-F344-B35D-19A03F207B90}"/>
    <hyperlink ref="C1901" r:id="rId156" xr:uid="{EADE7C61-791B-8A46-89B9-9C7964761FF1}"/>
    <hyperlink ref="C1907" r:id="rId157" xr:uid="{3C05A449-279C-BF42-9DAC-5AEE5F6E37EF}"/>
    <hyperlink ref="C1908" r:id="rId158" xr:uid="{9A0AEDD1-7E54-CA44-8285-94E0D2806D85}"/>
    <hyperlink ref="C1954" r:id="rId159" xr:uid="{C6B57627-4FBB-7E4C-AF9C-A9A8D37349C0}"/>
    <hyperlink ref="C1976" r:id="rId160" xr:uid="{01F67634-62A5-574D-9FB0-7528CED57A74}"/>
    <hyperlink ref="C1977" r:id="rId161" xr:uid="{EF8F5957-B397-7A41-91C3-C1C1AB0CF13F}"/>
    <hyperlink ref="C1982" r:id="rId162" xr:uid="{DF5F1B2F-769F-1F47-AC7C-E5F0284D0984}"/>
    <hyperlink ref="C1994" r:id="rId163" xr:uid="{1A395AE8-326D-4744-8B59-3EDA55E4CF31}"/>
    <hyperlink ref="C2012" r:id="rId164" xr:uid="{0C24AA61-61E3-904F-A33D-8452DFC9AD68}"/>
    <hyperlink ref="C2037" r:id="rId165" xr:uid="{85793C19-CFC9-7746-BF52-EF10144A8BF9}"/>
    <hyperlink ref="C2053" r:id="rId166" xr:uid="{98DE0FB6-B239-8946-97D7-C5F50695590E}"/>
    <hyperlink ref="C2071" r:id="rId167" xr:uid="{5BC014E8-5E1B-B042-B208-E8B86ED146CF}"/>
    <hyperlink ref="C2079" r:id="rId168" xr:uid="{90BD59A0-D6E1-0747-8169-128779EB12D4}"/>
    <hyperlink ref="C2108" r:id="rId169" xr:uid="{716447FE-8CDB-324C-98CB-F13FB2FCB7E5}"/>
    <hyperlink ref="C2139" r:id="rId170" xr:uid="{90374854-19C5-E548-9F73-BA19C22FDB3B}"/>
    <hyperlink ref="C2149" r:id="rId171" xr:uid="{CCD78025-DEDE-F746-83FA-5241D9F3C4B8}"/>
    <hyperlink ref="C2185" r:id="rId172" xr:uid="{77DAA41F-67B6-E74C-B2A7-A3A4B10A710A}"/>
    <hyperlink ref="C2188" r:id="rId173" xr:uid="{650B5693-F0FA-D54B-BF42-069915310E5F}"/>
    <hyperlink ref="C2192" r:id="rId174" xr:uid="{F6AFEB0C-0333-3B4B-826C-D25736F119A4}"/>
    <hyperlink ref="C2214" r:id="rId175" xr:uid="{5C0FFA12-A149-8D41-AF47-C57C8B8F1443}"/>
    <hyperlink ref="C2215" r:id="rId176" xr:uid="{D8C43ABF-1B86-0149-AFD0-C56F8CCAA607}"/>
    <hyperlink ref="C2218" r:id="rId177" xr:uid="{2DEE8FE0-1CA5-6B49-9568-F1594DAE42DA}"/>
    <hyperlink ref="C2219" r:id="rId178" xr:uid="{92330EF7-947B-7E4B-A67E-1970D891477F}"/>
    <hyperlink ref="C2251" r:id="rId179" xr:uid="{A2664C0E-95D9-8D48-AE8C-066A8ADB9AA5}"/>
    <hyperlink ref="C2261" r:id="rId180" xr:uid="{FC31AE7F-2442-C04F-BAED-9030262964E2}"/>
    <hyperlink ref="C2291" r:id="rId181" xr:uid="{DED09789-FDF3-B245-B109-D6061FC19BCF}"/>
    <hyperlink ref="C2303" r:id="rId182" xr:uid="{A1BF8811-9533-5148-9323-7502A62006C9}"/>
    <hyperlink ref="C2333" r:id="rId183" xr:uid="{84A841FF-3CB0-CA47-9090-6A802ABC1043}"/>
    <hyperlink ref="C2346" r:id="rId184" xr:uid="{38AFD42D-4128-3049-A837-97E09B78B8F6}"/>
    <hyperlink ref="C2355" r:id="rId185" xr:uid="{04DC7C21-8251-C348-8BB5-D7F247752C1B}"/>
    <hyperlink ref="C2356" r:id="rId186" xr:uid="{2EFA0C12-F5AB-1244-95FF-F229924525B8}"/>
    <hyperlink ref="C2371" r:id="rId187" xr:uid="{315935DB-DF83-2F42-A224-410681A1F389}"/>
    <hyperlink ref="C2384" r:id="rId188" xr:uid="{B4711C1A-93D6-3B4B-BB3C-22621161FAFD}"/>
    <hyperlink ref="C2388" r:id="rId189" xr:uid="{7FC1E7DA-8463-B44C-80C0-BCCE0FDA2087}"/>
    <hyperlink ref="C2392" r:id="rId190" xr:uid="{919278DE-0717-CC40-8E9A-CA25E6E15653}"/>
    <hyperlink ref="C2419" r:id="rId191" xr:uid="{E1FF1ABE-A198-284B-8D6E-C7F92BCA3896}"/>
    <hyperlink ref="C2435" r:id="rId192" xr:uid="{75B6B23B-3DE7-1744-BBE8-6867518EDE66}"/>
    <hyperlink ref="C2465" r:id="rId193" xr:uid="{8F448199-0B9B-4B45-A0AA-4F708675D399}"/>
    <hyperlink ref="C2468" r:id="rId194" xr:uid="{3FEB3433-E844-4244-A3A5-4E6C4E954BCF}"/>
    <hyperlink ref="C2478" r:id="rId195" xr:uid="{AC4CD333-99A4-AD49-873B-B74E8B72037A}"/>
    <hyperlink ref="C2500" r:id="rId196" xr:uid="{252F9A04-1DE2-6E44-8B33-5EC7AB1C7A3A}"/>
    <hyperlink ref="C2521" r:id="rId197" xr:uid="{200949D7-AC9D-8A41-BB6A-797372355717}"/>
    <hyperlink ref="C2539" r:id="rId198" xr:uid="{E43AC2B5-E6F8-564A-971F-C28C3FDB3C6C}"/>
    <hyperlink ref="C2541" r:id="rId199" xr:uid="{497F6C62-B0E0-6649-A33F-93C2D3412EB4}"/>
    <hyperlink ref="C2545" r:id="rId200" xr:uid="{350F9897-EB3D-FE47-B38A-1E8271523587}"/>
    <hyperlink ref="C2548" r:id="rId201" xr:uid="{A2F86AAE-99F5-ED4F-9CA2-7CC740269C3C}"/>
    <hyperlink ref="C2579" r:id="rId202" xr:uid="{9F2A3338-80FB-D84F-91B1-1D5AFF7BC8BC}"/>
    <hyperlink ref="C2586" r:id="rId203" xr:uid="{1AF21B44-1B10-3F41-9C8F-A3F726BCA182}"/>
    <hyperlink ref="C2589" r:id="rId204" xr:uid="{73DB55D8-465F-8A40-9A90-18E8CDB814CB}"/>
    <hyperlink ref="C2593" r:id="rId205" xr:uid="{E4B1E048-091B-664A-B12C-17B3E0F82A94}"/>
    <hyperlink ref="C2594" r:id="rId206" xr:uid="{A5DACDAA-92F7-8245-AADF-ABA132FFE59A}"/>
    <hyperlink ref="C2601" r:id="rId207" xr:uid="{D8C93AA0-8010-AA4C-8C30-50BA6928F1E6}"/>
    <hyperlink ref="C2612" r:id="rId208" xr:uid="{A274B5F8-A7B1-2245-BAE4-1B8B24839CDF}"/>
    <hyperlink ref="C2613" r:id="rId209" xr:uid="{9802DB65-8463-A04C-9C20-E4D95C04B69A}"/>
    <hyperlink ref="C2621" r:id="rId210" xr:uid="{956101E3-093F-864E-B2F5-34B9CC3FDE34}"/>
    <hyperlink ref="C2623" r:id="rId211" xr:uid="{2ED2D30C-19B4-3347-AD32-6A253438E942}"/>
    <hyperlink ref="C2636" r:id="rId212" xr:uid="{4833ED99-DFD1-3240-92DF-6B71A1933C2E}"/>
    <hyperlink ref="C2638" r:id="rId213" xr:uid="{EF2BF82E-FF30-494C-82FF-578169B7BBAE}"/>
    <hyperlink ref="C2648" r:id="rId214" xr:uid="{0A218683-0975-3A4E-BE56-BA49B4478A90}"/>
    <hyperlink ref="C2651" r:id="rId215" xr:uid="{F5AC1335-CC54-A440-8AA2-72C73180822F}"/>
    <hyperlink ref="C2656" r:id="rId216" xr:uid="{7BD170E4-A99F-E744-9D80-B5DDC4F60A89}"/>
    <hyperlink ref="C2673" r:id="rId217" xr:uid="{277B358F-3862-CB48-BEA4-13C8920C3B69}"/>
    <hyperlink ref="C2680" r:id="rId218" xr:uid="{DEFDB914-A972-BD4A-8E94-C5B8E7812765}"/>
    <hyperlink ref="C2684" r:id="rId219" xr:uid="{992FEFDB-03F6-FB4A-BCD2-75A61459AE95}"/>
    <hyperlink ref="C2686" r:id="rId220" xr:uid="{CCFEF78E-1AFB-EA4F-8422-1117A7EED08F}"/>
    <hyperlink ref="C2704" r:id="rId221" xr:uid="{656A8909-7532-504F-9CFA-F43F849D9D8C}"/>
    <hyperlink ref="C2707" r:id="rId222" xr:uid="{1D2EFDDA-02EF-A54A-A89B-B5B9A941F12F}"/>
    <hyperlink ref="C2711" r:id="rId223" xr:uid="{857C6270-CA79-9D42-A6AB-AFE1B40DE4F9}"/>
    <hyperlink ref="C2733" r:id="rId224" xr:uid="{4C0381E9-C8C5-4541-9BCF-BA6944FF8208}"/>
    <hyperlink ref="C2730" r:id="rId225" xr:uid="{C8425884-980D-974F-96F5-F2767FD6BE7C}"/>
    <hyperlink ref="C2934" r:id="rId226" xr:uid="{37748ACB-7C7F-3E4E-91B4-780B6EE16ED5}"/>
    <hyperlink ref="C2965" r:id="rId227" xr:uid="{EF0478EF-621D-6049-AFCC-DB0166B2039D}"/>
    <hyperlink ref="C3001" r:id="rId228" xr:uid="{2F22C945-6197-F543-ADFD-E8F33FF6CB32}"/>
    <hyperlink ref="C3002" r:id="rId229" xr:uid="{2CA6CAB0-04E9-3F45-AA59-83D024A16A82}"/>
    <hyperlink ref="C3015" r:id="rId230" xr:uid="{54B2CB36-64A4-AA41-85B8-679C7AE57803}"/>
    <hyperlink ref="C3038" r:id="rId231" xr:uid="{E4B931CF-1FD5-084F-AAA7-743187A9811F}"/>
    <hyperlink ref="C3041" r:id="rId232" xr:uid="{9CA73209-AE30-C94A-AB1B-0FB195314FC6}"/>
    <hyperlink ref="C3060" r:id="rId233" xr:uid="{59DC3B52-B143-1041-92B4-5D7F934E5A8B}"/>
    <hyperlink ref="C3073" r:id="rId234" xr:uid="{546B2D84-1D5D-0F4D-AA9C-434737FD15B3}"/>
    <hyperlink ref="C3100" r:id="rId235" xr:uid="{968B7A41-FED1-E745-874E-EACB97397F18}"/>
    <hyperlink ref="C3107" r:id="rId236" xr:uid="{DB2686EF-63E2-B74B-AE6E-0B131C8F5620}"/>
    <hyperlink ref="C3111" r:id="rId237" xr:uid="{D0C70316-20FA-A54B-A655-ABF762497BEC}"/>
    <hyperlink ref="C3123" r:id="rId238" xr:uid="{22D46ED4-1496-3E45-B89D-09519AE296C4}"/>
    <hyperlink ref="C3142" r:id="rId239" xr:uid="{3BB4C739-3B82-E94F-9C2C-968A4C98450B}"/>
    <hyperlink ref="C3144" r:id="rId240" xr:uid="{C156A7D5-3F43-5945-A092-6041AC51C8E6}"/>
    <hyperlink ref="C3210" r:id="rId241" xr:uid="{41395C1E-537B-DC45-82DB-845547F6A179}"/>
    <hyperlink ref="C3212" r:id="rId242" xr:uid="{95EAFF64-D553-BA4A-92A0-B4710911572B}"/>
    <hyperlink ref="C3213" r:id="rId243" xr:uid="{56A5C941-D087-DF4C-8D8C-1B7F611E83ED}"/>
    <hyperlink ref="C3222" r:id="rId244" xr:uid="{0F974442-D2F4-7547-A18E-16389A5AE0CE}"/>
    <hyperlink ref="C3226" r:id="rId245" xr:uid="{0CF671F6-7AE1-AE4C-890E-A17F06FD22AA}"/>
    <hyperlink ref="C3235" r:id="rId246" xr:uid="{A5C6E0F7-1DB6-9D43-A9B6-223731B72E49}"/>
    <hyperlink ref="C3261" r:id="rId247" xr:uid="{17680407-E556-1E4C-A9C4-C1146A8B6787}"/>
    <hyperlink ref="C3275" r:id="rId248" xr:uid="{F5D67F00-D4F3-624C-A4E6-008D80324559}"/>
    <hyperlink ref="C3279" r:id="rId249" xr:uid="{9CFE6B6A-EC90-2B4B-8F99-6F3710E57162}"/>
    <hyperlink ref="C3289" r:id="rId250" xr:uid="{6ECAD537-D33A-5E4D-A7EE-CB937C937754}"/>
    <hyperlink ref="C3292" r:id="rId251" xr:uid="{CEE5A7AD-F776-3C48-8B9B-E37C8957C06D}"/>
    <hyperlink ref="C3311" r:id="rId252" xr:uid="{108C31AC-7C0C-614A-AEED-12E579DC7B32}"/>
    <hyperlink ref="C3312" r:id="rId253" xr:uid="{64812248-092B-D84C-82E3-78D1A43EFE9B}"/>
    <hyperlink ref="C3313" r:id="rId254" xr:uid="{E2F5D2F9-3D8A-6A4D-B0B9-B1C74DF9BFBE}"/>
    <hyperlink ref="C3329" r:id="rId255" xr:uid="{D7F7869E-F47F-A04A-AFA7-3D3940B870DD}"/>
    <hyperlink ref="C3330" r:id="rId256" xr:uid="{70068B70-1BE5-0C46-9FEC-B4153AD78883}"/>
    <hyperlink ref="C3332" r:id="rId257" xr:uid="{174796AC-44B6-354A-B709-4B4F7E8EC47A}"/>
    <hyperlink ref="C3333" r:id="rId258" xr:uid="{5E86C9FA-0D4A-5E40-81CE-5D240139EEFC}"/>
    <hyperlink ref="C3358" r:id="rId259" xr:uid="{EA0667ED-8588-EB4D-8262-0D251DE13F25}"/>
    <hyperlink ref="C3359" r:id="rId260" xr:uid="{600359F3-C55C-4C4D-A436-846BF7B218D0}"/>
    <hyperlink ref="C3378" r:id="rId261" xr:uid="{87C624EC-2D86-2546-80F1-AC033083C0C7}"/>
    <hyperlink ref="C3394" r:id="rId262" xr:uid="{86ABE5FD-69E2-DA41-80B6-D3CB8C50B71B}"/>
    <hyperlink ref="C3396" r:id="rId263" xr:uid="{B8D0F85F-4065-3C4B-88A3-0B8DA8A9B2E7}"/>
    <hyperlink ref="C3402" r:id="rId264" xr:uid="{4E94BC15-533B-8643-B849-BB66F5780C41}"/>
    <hyperlink ref="C3406" r:id="rId265" xr:uid="{B9B1D23A-0A28-DD45-9F42-85BEF0871C6A}"/>
    <hyperlink ref="C3407" r:id="rId266" xr:uid="{B7224BCD-6692-5B45-890B-406684F96AA4}"/>
    <hyperlink ref="C3411" r:id="rId267" xr:uid="{62F6BA9C-58AB-CD44-8BD5-C3608A8205F3}"/>
    <hyperlink ref="C3415" r:id="rId268" xr:uid="{36122A0D-6246-2048-A861-08362BEA0268}"/>
    <hyperlink ref="C3421" r:id="rId269" xr:uid="{36A7B1EF-02EF-C248-9E7C-67A83073EDB1}"/>
    <hyperlink ref="C3443" r:id="rId270" xr:uid="{5D9CB873-1CAD-DF47-A2E9-6EC74DB39E74}"/>
    <hyperlink ref="C3472" r:id="rId271" xr:uid="{BB5ECD5D-27A1-264F-9182-4E5CC140A4D5}"/>
    <hyperlink ref="C3476" r:id="rId272" xr:uid="{B44CD63F-6C0B-184B-8242-3B8C925ADB61}"/>
    <hyperlink ref="C3491" r:id="rId273" xr:uid="{4D848AFE-00F3-5947-93ED-98828FAA7374}"/>
    <hyperlink ref="C3512" r:id="rId274" xr:uid="{398985E4-F73C-BF48-B50E-EDBFF153255C}"/>
    <hyperlink ref="C3535" r:id="rId275" xr:uid="{C7DC85C6-DA9C-C24D-ABC8-8C4D7C553E4B}"/>
    <hyperlink ref="C3537" r:id="rId276" xr:uid="{05976393-626C-BE41-B763-C676FAC289CF}"/>
    <hyperlink ref="C3582" r:id="rId277" xr:uid="{8A9D5468-EC0F-E94F-8FB5-E21B39391B09}"/>
    <hyperlink ref="C3601" r:id="rId278" xr:uid="{DFCD9577-CE1D-344A-8EA4-6877CC3E7DCD}"/>
    <hyperlink ref="C3611" r:id="rId279" xr:uid="{B70B0D2C-FDB0-774B-A98F-9D0599701E74}"/>
    <hyperlink ref="C3615" r:id="rId280" xr:uid="{CB2A0E6A-7CDF-8849-9140-4D785B4F3BCE}"/>
    <hyperlink ref="C3640" r:id="rId281" xr:uid="{0D66EE74-EC44-DC4E-9CBB-2809DF486224}"/>
    <hyperlink ref="C3643" r:id="rId282" xr:uid="{32F081B9-3202-FC4E-8A86-BBB42BE7F75E}"/>
    <hyperlink ref="C3654" r:id="rId283" xr:uid="{2A72A3F7-167F-1341-9C38-DD1D373256D9}"/>
    <hyperlink ref="C3661" r:id="rId284" xr:uid="{40B57659-D7B6-C84B-B71E-0F8DB60EC8CE}"/>
    <hyperlink ref="C3761" r:id="rId285" xr:uid="{61BB0A8D-466B-4B4B-AFC8-8539056E6DBC}"/>
    <hyperlink ref="C3796" r:id="rId286" xr:uid="{72F8318F-0400-7842-AC21-2302F752BDD0}"/>
    <hyperlink ref="C3797" r:id="rId287" xr:uid="{057CC381-A69E-CD48-9555-0B65465B7672}"/>
    <hyperlink ref="C3818" r:id="rId288" xr:uid="{2C5EB639-0196-A34B-AA0D-DC0DD4CBF582}"/>
    <hyperlink ref="C3822" r:id="rId289" xr:uid="{B4BC0F03-C8A4-9E45-B3D1-63CA45DFCFFB}"/>
    <hyperlink ref="C3824" r:id="rId290" xr:uid="{7AC53779-53F5-2C45-B55D-FF759E8135BB}"/>
    <hyperlink ref="C3834" r:id="rId291" xr:uid="{A4F4378A-545C-C94D-993E-B41C129A28B6}"/>
    <hyperlink ref="C3881" r:id="rId292" xr:uid="{12080D69-B10C-9742-ADB9-1ED6D92054AA}"/>
    <hyperlink ref="C3901" r:id="rId293" xr:uid="{2D0044D0-C94C-6E4A-8C15-09138C2DE719}"/>
    <hyperlink ref="C3909" r:id="rId294" xr:uid="{8FDF3699-A3BD-7145-AD98-269935BE88EE}"/>
    <hyperlink ref="C3912" r:id="rId295" xr:uid="{87F9BABC-ADEC-F348-875E-F68EBC6D15DD}"/>
    <hyperlink ref="C3927" r:id="rId296" xr:uid="{F85156CA-5219-EA41-99C9-04E3CF1030AF}"/>
    <hyperlink ref="C3942" r:id="rId297" xr:uid="{F2E847A2-BF2B-344D-A057-07E5CE23A062}"/>
    <hyperlink ref="C3954" r:id="rId298" xr:uid="{4AB5AC65-91F8-2F41-9E88-7FF0FB2CF5D8}"/>
    <hyperlink ref="C3965" r:id="rId299" xr:uid="{1A3C8E32-17A6-9948-BF7E-D3860DA602C5}"/>
    <hyperlink ref="C3976" r:id="rId300" xr:uid="{8FB45D9E-FD28-A347-9ECA-F6C53848F37F}"/>
    <hyperlink ref="C3987" r:id="rId301" xr:uid="{51A68295-620D-7B40-89A7-5947AF4CD366}"/>
    <hyperlink ref="C3996" r:id="rId302" xr:uid="{0148FB3D-08FE-BC4D-BBDD-9D6280CF8387}"/>
    <hyperlink ref="C3999" r:id="rId303" xr:uid="{00203782-50B2-4142-9003-4FE1527FD38C}"/>
    <hyperlink ref="C4005" r:id="rId304" xr:uid="{A8F4CA31-7909-B24D-B0C3-26E33D46818C}"/>
    <hyperlink ref="C4010" r:id="rId305" xr:uid="{6D76E4E2-6601-FA49-A64E-9D2398716E60}"/>
    <hyperlink ref="C4028" r:id="rId306" xr:uid="{F28BAD75-3F06-DD42-8729-1DD377EDDBD3}"/>
    <hyperlink ref="C4035" r:id="rId307" xr:uid="{01314329-61F2-4A46-86BE-732E2A683A6B}"/>
    <hyperlink ref="C4046" r:id="rId308" xr:uid="{B6F324A2-D314-DF4E-9A3F-B63647E07596}"/>
    <hyperlink ref="C4049" r:id="rId309" xr:uid="{4F48EF3F-8989-1B40-B3E3-085AAE47E6FA}"/>
    <hyperlink ref="C4056" r:id="rId310" xr:uid="{C7ED557F-747F-F047-A6A2-3CD9E6998D13}"/>
    <hyperlink ref="C4060" r:id="rId311" xr:uid="{4022BDE2-D3FE-3D48-B5EC-E2A50C5D13E9}"/>
    <hyperlink ref="C4068" r:id="rId312" xr:uid="{B3E324C9-3C70-3448-B9CA-2CA5996BFECF}"/>
    <hyperlink ref="C4099" r:id="rId313" xr:uid="{66E67952-1DB4-9342-9292-A4164F0C994F}"/>
    <hyperlink ref="C4102" r:id="rId314" xr:uid="{E2196B72-7EB4-D34F-9C26-7D83A6803D06}"/>
    <hyperlink ref="C4119" r:id="rId315" xr:uid="{5B347C3E-C205-784F-9B0A-90F721B14CB0}"/>
    <hyperlink ref="C4128" r:id="rId316" xr:uid="{AF072C5C-8907-274D-BB8F-F6B566236F7A}"/>
    <hyperlink ref="C4149" r:id="rId317" xr:uid="{59C4B89E-6C60-9047-B93A-9F14B70C5D6D}"/>
    <hyperlink ref="C4156" r:id="rId318" xr:uid="{8AADA95E-0144-C345-BF12-F8392658D455}"/>
    <hyperlink ref="C4158" r:id="rId319" xr:uid="{42DC7E4C-B8C4-544C-BD51-569854C0396D}"/>
    <hyperlink ref="C4186" r:id="rId320" xr:uid="{D547D727-85BE-AF4A-99D9-A4394B49C17C}"/>
    <hyperlink ref="C4214" r:id="rId321" xr:uid="{CE0E2C01-8302-924D-8C29-448F5801A04B}"/>
    <hyperlink ref="C4235" r:id="rId322" xr:uid="{772DB16A-260A-334F-B2F1-C103251435E4}"/>
    <hyperlink ref="C4248" r:id="rId323" xr:uid="{46A60B5F-33D2-124A-9493-D0A49A0EBC0E}"/>
    <hyperlink ref="C4253" r:id="rId324" xr:uid="{8943F07C-1659-AF41-A35C-CBE499303B43}"/>
    <hyperlink ref="C4262" r:id="rId325" xr:uid="{BC562064-BDC5-5742-A5DA-A95AF93C71BB}"/>
    <hyperlink ref="C4280" r:id="rId326" xr:uid="{2C43D713-115A-0D41-B3CC-B062E3377100}"/>
    <hyperlink ref="C4328" r:id="rId327" xr:uid="{ACF978BD-2C54-6047-9E5E-364A879A2586}"/>
    <hyperlink ref="C4331" r:id="rId328" xr:uid="{08CA6E61-650F-3A40-8A17-DDBCA9545A98}"/>
    <hyperlink ref="C4399" r:id="rId329" xr:uid="{BB284B1D-D0D7-B743-812A-DFC0D0B86250}"/>
    <hyperlink ref="C4417" r:id="rId330" xr:uid="{62B3CE51-B9F3-DE47-A607-88F426CBF9B3}"/>
    <hyperlink ref="C4420" r:id="rId331" xr:uid="{778644E9-A5DB-4548-B180-B68978648050}"/>
    <hyperlink ref="C4442" r:id="rId332" xr:uid="{24AF625A-9788-D24A-99C6-71DA6E95C950}"/>
    <hyperlink ref="C4489" r:id="rId333" xr:uid="{6E483A66-486E-6F48-9873-C3F2E11B887F}"/>
    <hyperlink ref="C4504" r:id="rId334" xr:uid="{E7505773-4DA4-AE43-8A96-056ACF01661B}"/>
    <hyperlink ref="C4569" r:id="rId335" xr:uid="{86F411F4-6356-0C47-A9C8-58D4E50EAD9B}"/>
    <hyperlink ref="C4571" r:id="rId336" xr:uid="{5ABE3A06-40F3-1D4C-B4D4-69B23BF09AA4}"/>
    <hyperlink ref="C4608" r:id="rId337" xr:uid="{FB9099E4-05A2-F64E-BA66-4D78B542A926}"/>
    <hyperlink ref="C4620" r:id="rId338" xr:uid="{95B7B609-78C2-1F49-AAB3-BF744E1D1DC5}"/>
    <hyperlink ref="C4628" r:id="rId339" xr:uid="{F04CDEF7-3223-7A4A-9234-A91980C99568}"/>
    <hyperlink ref="C4634" r:id="rId340" xr:uid="{7D603FB8-B113-B149-9450-DBF3AA4CE7C1}"/>
    <hyperlink ref="C4642" r:id="rId341" xr:uid="{58AA669E-59E0-2842-98CA-075D4773FD85}"/>
    <hyperlink ref="C4653" r:id="rId342" xr:uid="{99913FC0-042E-AF44-BB5B-CA978B14B670}"/>
    <hyperlink ref="C4657" r:id="rId343" xr:uid="{0B189FFA-4759-8943-B546-0B00BCD589A6}"/>
    <hyperlink ref="C4669" r:id="rId344" xr:uid="{29D4859E-8908-0340-88C3-FAB2EC0C0E64}"/>
    <hyperlink ref="C4670" r:id="rId345" xr:uid="{8B386776-7C54-AA4A-BE14-95E6E0C11D79}"/>
    <hyperlink ref="C4671" r:id="rId346" xr:uid="{C941C170-0B8B-4444-A630-1DD9F92B9277}"/>
    <hyperlink ref="C4678" r:id="rId347" xr:uid="{7AF71D72-9C8D-9A4F-91BB-9547A22AF3AE}"/>
    <hyperlink ref="C4692" r:id="rId348" xr:uid="{8BEE1B70-729E-5C46-A260-A87328729714}"/>
    <hyperlink ref="C4698" r:id="rId349" xr:uid="{1910A062-727F-AF40-8DE5-5BC273DA2E6B}"/>
    <hyperlink ref="C4701" r:id="rId350" xr:uid="{208484E0-F7FE-AA4E-9780-BD36A317CBB9}"/>
    <hyperlink ref="C4702" r:id="rId351" xr:uid="{46FD0591-064C-EC45-B3DF-E8203C6D7A4C}"/>
    <hyperlink ref="C4707" r:id="rId352" xr:uid="{28B113E3-F127-4745-92D7-232BF70E8D59}"/>
    <hyperlink ref="C4741" r:id="rId353" xr:uid="{AF087B9A-8F66-7742-BF64-B3A4F7E90325}"/>
    <hyperlink ref="C4749" r:id="rId354" xr:uid="{54775E6F-DD88-E044-BA72-4BEC596CFF5E}"/>
    <hyperlink ref="C4751" r:id="rId355" xr:uid="{0FC6BE16-657E-AD4D-8631-D1B8ED342E48}"/>
    <hyperlink ref="C4757" r:id="rId356" xr:uid="{04583C40-9623-4248-9F82-096973180779}"/>
    <hyperlink ref="C4759" r:id="rId357" xr:uid="{B217211C-4C63-B043-90B2-45577E0D2E4B}"/>
    <hyperlink ref="C4762" r:id="rId358" xr:uid="{7E79D298-B956-C04D-95E2-24241A7DF55D}"/>
    <hyperlink ref="C4763" r:id="rId359" xr:uid="{DFAB5309-38B0-9047-AEE9-2A4395E09476}"/>
    <hyperlink ref="C4765" r:id="rId360" xr:uid="{E05EE608-EFF3-2744-B344-1BDA3F1C24EA}"/>
    <hyperlink ref="C4766" r:id="rId361" xr:uid="{4A08F000-F248-AB41-8F10-914CBD222AB4}"/>
    <hyperlink ref="C4794" r:id="rId362" xr:uid="{9B3008BB-5062-1B4B-93C0-A60F04267479}"/>
    <hyperlink ref="C4795" r:id="rId363" xr:uid="{AA279BEC-A443-BA46-9FEE-958E919970E8}"/>
    <hyperlink ref="C4830" r:id="rId364" xr:uid="{C7A5E48C-6209-5840-AC52-87C934067EA6}"/>
    <hyperlink ref="C4831" r:id="rId365" xr:uid="{E86AC633-16CA-874B-B74E-4967EF5A444F}"/>
    <hyperlink ref="C4853" r:id="rId366" xr:uid="{2C102C4F-2D67-4144-AFEC-5DAE5524D901}"/>
    <hyperlink ref="C4854" r:id="rId367" xr:uid="{14CBC56E-5A97-B640-9F88-E19D166F3E1D}"/>
    <hyperlink ref="C4855" r:id="rId368" xr:uid="{927E3D21-DD0D-2E4B-BF8B-B685ED059AC6}"/>
    <hyperlink ref="C4858" r:id="rId369" xr:uid="{46FDE854-4627-714C-BB40-8EB115DD01EA}"/>
    <hyperlink ref="C4861" r:id="rId370" xr:uid="{B22A86C2-C173-614B-866E-98D7B1146F84}"/>
    <hyperlink ref="C4862" r:id="rId371" xr:uid="{5D6E9A71-8180-B741-8FAC-6A60929CA4D5}"/>
    <hyperlink ref="C4914" r:id="rId372" xr:uid="{3677868B-1983-624A-97E2-D2EDFF3F1062}"/>
    <hyperlink ref="C4919" r:id="rId373" xr:uid="{10E731A2-D482-6643-88BB-50DBC89830B2}"/>
    <hyperlink ref="C4930" r:id="rId374" xr:uid="{1624F12E-6D2D-D043-AC68-91D06DFFE1C7}"/>
    <hyperlink ref="C4937" r:id="rId375" xr:uid="{12D50457-2EAE-0B45-8451-14B7692B0BAB}"/>
    <hyperlink ref="C4952" r:id="rId376" xr:uid="{B5771B07-1EE7-AE45-ACFB-01F7FD4801AE}"/>
    <hyperlink ref="C4957" r:id="rId377" xr:uid="{12AA995E-13FB-854C-8E71-D397105274E8}"/>
    <hyperlink ref="C4573" r:id="rId378" xr:uid="{A83F52C8-2C40-FD41-AD70-E5B66C0E1EA5}"/>
    <hyperlink ref="G19" r:id="rId379" display="https://www.genome.jp/entry/C00052" xr:uid="{8D694B49-8CBF-9A4E-903A-6131D0192401}"/>
    <hyperlink ref="H19" r:id="rId380" display="https://www.genome.jp/entry/C03733" xr:uid="{F9191BA4-BCEF-2243-AE37-AB189222549F}"/>
    <hyperlink ref="C20" r:id="rId381" xr:uid="{5B97459B-125B-504D-B029-5FFC81E2F177}"/>
    <hyperlink ref="G20" r:id="rId382" display="https://www.genome.jp/entry/C00935" xr:uid="{D5ED4481-D7C9-8B4C-B125-D9F9B326C427}"/>
    <hyperlink ref="H20" r:id="rId383" display="https://www.genome.jp/entry/C18094" xr:uid="{28949FE9-608D-734E-BADD-83564490D150}"/>
    <hyperlink ref="F58" r:id="rId384" xr:uid="{0231CB23-67EC-8849-AE79-2AAA01016276}"/>
    <hyperlink ref="C59" r:id="rId385" xr:uid="{EFBE464D-563B-FE4B-8D88-4D6AE66F87B5}"/>
    <hyperlink ref="F59" r:id="rId386" xr:uid="{D94BEAF8-8909-854E-B81F-20E1C7C2EE51}"/>
    <hyperlink ref="G58" r:id="rId387" display="https://www.kegg.jp/entry/C00025" xr:uid="{5572C99F-C0B3-0A41-A90E-FAAA13D71720}"/>
    <hyperlink ref="G59" r:id="rId388" display="https://www.kegg.jp/entry/C00049" xr:uid="{EAE74929-A29C-A645-9BFE-F32BE13D7DDD}"/>
    <hyperlink ref="F66" r:id="rId389" xr:uid="{FFAA9EA0-EE4E-F144-90D8-CFE0602A5026}"/>
    <hyperlink ref="C65" r:id="rId390" xr:uid="{26970001-83EA-304C-ADC2-A87943E6ADC7}"/>
    <hyperlink ref="F65" r:id="rId391" xr:uid="{D0952C12-C06B-254D-A8C9-7D0AA3BA4DC4}"/>
    <hyperlink ref="C1484" r:id="rId392" xr:uid="{D302EFD4-48AF-7147-9F5A-E73DBE86A8C0}"/>
    <hyperlink ref="C3377" r:id="rId393" xr:uid="{844D9A1B-746F-F84B-8006-82906E0A463E}"/>
    <hyperlink ref="H3377" r:id="rId394" display="https://www.genome.jp/entry/C00052" xr:uid="{B97C1BC7-0C89-3A41-B72E-8DF9DFBF9180}"/>
    <hyperlink ref="I3377" r:id="rId395" display="https://www.genome.jp/entry/C03733" xr:uid="{A021C3F1-343F-1043-AF7F-14CE89CC6F4B}"/>
    <hyperlink ref="H3378" r:id="rId396" display="https://www.genome.jp/entry/C00935" xr:uid="{ED3662D2-DE9E-E74D-89EC-21034AF4741B}"/>
    <hyperlink ref="I3378" r:id="rId397" display="https://www.genome.jp/entry/C18094" xr:uid="{8876A12A-CFC5-0647-B314-2821250E9AE5}"/>
    <hyperlink ref="C69" r:id="rId398" xr:uid="{83FEC3F5-E4EA-4644-9C18-4ECAF078013E}"/>
    <hyperlink ref="G70" r:id="rId399" display="https://www.kegg.jp/entry/C00966" xr:uid="{CAD2FB13-02F8-724B-87D6-42C073B28A3A}"/>
    <hyperlink ref="C318" r:id="rId400" xr:uid="{089D6486-4377-7C46-A195-C7BF3EB4B554}"/>
    <hyperlink ref="E3954" r:id="rId401" xr:uid="{41D4C076-8F88-684A-9B4A-5887A42AAD74}"/>
    <hyperlink ref="E3060" r:id="rId402" xr:uid="{D3567D3A-26E2-0547-8E68-07FEC2D83269}"/>
    <hyperlink ref="E318" r:id="rId403" xr:uid="{2F15969E-2F67-214B-AD6A-BB58051D4169}"/>
    <hyperlink ref="C86" r:id="rId404" xr:uid="{95767ADD-1161-2749-A261-64B4A224B692}"/>
    <hyperlink ref="C88" r:id="rId405" xr:uid="{CED39937-77F3-9D41-8A07-5F56EDCC5F1A}"/>
    <hyperlink ref="F86" r:id="rId406" xr:uid="{CFF7C8C5-129C-7C46-A26C-33669B326114}"/>
    <hyperlink ref="C103" r:id="rId407" xr:uid="{BA9BC7C7-DA47-5A46-A12A-A2A768E31273}"/>
    <hyperlink ref="G148" r:id="rId408" display="https://www.kegg.jp/entry/C04352" xr:uid="{FF0EB57D-641B-A94C-920D-0DC405E77A64}"/>
    <hyperlink ref="C196" r:id="rId409" xr:uid="{C87AD446-D8E3-0B4F-AEDC-38BF8A0FDF4F}"/>
    <hyperlink ref="G201" r:id="rId410" display="https://www.kegg.jp/entry/C00096" xr:uid="{14239BED-6A03-8644-8014-D588B9A88CEB}"/>
    <hyperlink ref="F207" r:id="rId411" xr:uid="{668D87F1-7CD7-9347-A031-D6E7C90743E5}"/>
    <hyperlink ref="H207" r:id="rId412" display="https://www.kegg.jp/entry/C00345" xr:uid="{D230D8DD-86D7-FF45-BD84-B8B08C3D833E}"/>
    <hyperlink ref="C255" r:id="rId413" display="https://enzyme.expasy.org/EC/5.4.2.11" xr:uid="{167A6ADB-C04C-E448-B1A6-D94D554B4619}"/>
    <hyperlink ref="C261" r:id="rId414" display="https://enzyme.expasy.org/EC/4.2.1.20" xr:uid="{56C85F0D-AEF5-2847-A87D-1285ABA5838C}"/>
    <hyperlink ref="C269" r:id="rId415" xr:uid="{A2E14F24-C172-A049-8D2B-1FE3FEB92029}"/>
    <hyperlink ref="C268" r:id="rId416" xr:uid="{F9513555-5E5E-1D4C-A51E-E9EF75BCD75E}"/>
    <hyperlink ref="C280" r:id="rId417" xr:uid="{0980F085-5004-E84C-B3EB-F67FF2785027}"/>
    <hyperlink ref="C279" r:id="rId418" xr:uid="{AB0A02C6-BAF3-AE43-9E6E-43F63D5063A2}"/>
    <hyperlink ref="C278" r:id="rId419" xr:uid="{296616C6-287D-F648-A1F5-14D56452EF99}"/>
    <hyperlink ref="C277" r:id="rId420" xr:uid="{90F15CD4-F7EA-7840-A2E1-F833E585754B}"/>
    <hyperlink ref="C276" r:id="rId421" xr:uid="{056125C4-26E6-A548-9213-3E25C2B3D0B6}"/>
    <hyperlink ref="C283" r:id="rId422" xr:uid="{8ED3E0E1-3B1A-9A45-8CCD-A65E3E86C54C}"/>
    <hyperlink ref="C284" r:id="rId423" xr:uid="{1D3EE650-6351-CB47-86F8-888EC84EEC23}"/>
    <hyperlink ref="C285" r:id="rId424" xr:uid="{14F9EFAF-2C1D-5C49-8366-7FACB839B0E2}"/>
    <hyperlink ref="C286" r:id="rId425" xr:uid="{7A638412-8185-D64B-B157-63AB0C38A7F0}"/>
    <hyperlink ref="C287" r:id="rId426" xr:uid="{A8D65DE7-5A08-A043-A3EE-27F6E3DDEAF5}"/>
    <hyperlink ref="G293" r:id="rId427" display="https://www.kegg.jp/entry/C00096" xr:uid="{E18F39F5-EE2C-E946-B978-71BBDD6EFDBE}"/>
    <hyperlink ref="F3073" r:id="rId428" xr:uid="{21769A4E-54EE-934E-988E-A952D6B094C3}"/>
    <hyperlink ref="F305" r:id="rId429" xr:uid="{45C6CFCF-2C67-8A49-97E8-58D365332261}"/>
    <hyperlink ref="C304" r:id="rId430" xr:uid="{7EC914CB-857E-4C41-BCD3-07D5128AEF69}"/>
    <hyperlink ref="F304" r:id="rId431" xr:uid="{D5306769-F014-2E4E-A5A1-05D7C1A86F31}"/>
    <hyperlink ref="C303" r:id="rId432" xr:uid="{FD28978A-E212-F440-AB94-0FE7481D914C}"/>
    <hyperlink ref="F303" r:id="rId433" xr:uid="{6440E2FB-2E85-E547-9581-AE09EDC46BF9}"/>
    <hyperlink ref="H303" r:id="rId434" display="https://www.kegg.jp/entry/C01170" xr:uid="{E04ADF59-BAF1-404D-91B0-1716C904F3D8}"/>
    <hyperlink ref="C4101" r:id="rId435" xr:uid="{A0ACA949-1A65-3049-BD43-8141A1490388}"/>
    <hyperlink ref="C4100" r:id="rId436" xr:uid="{1A15DDA9-C7A2-D249-82AB-00975A6A45EF}"/>
    <hyperlink ref="F4102" r:id="rId437" xr:uid="{F25CA14D-3897-814B-ACCD-48C0A83A4751}"/>
    <hyperlink ref="F4101" r:id="rId438" xr:uid="{BF20E7B1-90A0-5742-B45D-3C1C523A2078}"/>
    <hyperlink ref="F4100" r:id="rId439" xr:uid="{85515F8C-64EA-6C49-8AC8-6358F0FB8BEE}"/>
    <hyperlink ref="H4100" r:id="rId440" display="https://www.kegg.jp/entry/C01170" xr:uid="{8FFF9BA2-CCCF-D44B-B506-73F3EB9BD0EC}"/>
    <hyperlink ref="C4260" r:id="rId441" xr:uid="{65568761-9478-DD45-88D3-182B5616111E}"/>
    <hyperlink ref="C4261" r:id="rId442" xr:uid="{F7CE71D5-EE6F-9840-B09F-3BACD7C2E33D}"/>
    <hyperlink ref="F4260" r:id="rId443" xr:uid="{A88B8C0B-BBCF-634B-A52E-2EB656A16AC5}"/>
    <hyperlink ref="H4260" r:id="rId444" display="https://www.kegg.jp/entry/C01170" xr:uid="{6A6E629C-9E87-E44D-8304-B1D8388FEE91}"/>
    <hyperlink ref="F4261" r:id="rId445" xr:uid="{B5F73670-6A4A-114F-8659-03CDA3333B7E}"/>
    <hyperlink ref="F4262" r:id="rId446" xr:uid="{0F70A352-ED31-474D-82DB-B483A6D7B08C}"/>
    <hyperlink ref="C438" r:id="rId447" xr:uid="{FE7D5184-929E-FE45-A3B3-A53A4CFEBFCD}"/>
    <hyperlink ref="C439" r:id="rId448" xr:uid="{CA9E974C-D53C-D84C-B34E-03B45F71E2CC}"/>
    <hyperlink ref="F438" r:id="rId449" xr:uid="{1C12DEEF-6A48-D147-B6F2-1599A8C5CC4B}"/>
    <hyperlink ref="C441" r:id="rId450" xr:uid="{84AE84A5-3E13-9549-9DF7-41134F13D397}"/>
    <hyperlink ref="C445" r:id="rId451" xr:uid="{A491F4F6-73A3-E143-A0E2-A4601CBFC6B7}"/>
    <hyperlink ref="C444" r:id="rId452" xr:uid="{CEA0E550-5BCA-554D-B597-52FDA24B2759}"/>
    <hyperlink ref="C443" r:id="rId453" xr:uid="{9CCAD78A-61B8-3648-BD72-A996E7C6693E}"/>
    <hyperlink ref="C442" r:id="rId454" xr:uid="{F06F4124-9BCB-8F4B-AD46-A35F903F985A}"/>
    <hyperlink ref="C466" r:id="rId455" xr:uid="{359DB4CA-7E0E-1E44-9A04-BCED1A6F6445}"/>
    <hyperlink ref="C467" r:id="rId456" xr:uid="{82846257-358D-A747-B493-D327D953C63D}"/>
    <hyperlink ref="G486" r:id="rId457" display="https://www.kegg.jp/entry/C00868" xr:uid="{4F9B461B-1314-4D47-A47B-51691350FAA3}"/>
    <hyperlink ref="H486" r:id="rId458" display="https://www.kegg.jp/entry/C02764" xr:uid="{298680FE-609B-A647-9ACD-9D83B7E64F86}"/>
    <hyperlink ref="C529" r:id="rId459" xr:uid="{39C9F961-2D72-4F45-B16C-401AC2C56E71}"/>
    <hyperlink ref="C528" r:id="rId460" xr:uid="{490C9B9A-DCEE-6548-99C5-7116A143E118}"/>
    <hyperlink ref="C527" r:id="rId461" xr:uid="{4EDE131E-3FF9-7C4B-A4BC-34A181CB4AF7}"/>
    <hyperlink ref="C526" r:id="rId462" xr:uid="{71B878FA-132A-8440-BB59-16530CC3D310}"/>
    <hyperlink ref="F526" r:id="rId463" xr:uid="{4E0D9496-1695-5242-820F-126B4A852100}"/>
    <hyperlink ref="H528" r:id="rId464" display="https://www.kegg.jp/entry/C20905" xr:uid="{5346BF0D-9449-954C-93CD-6486F064564E}"/>
    <hyperlink ref="G530" r:id="rId465" display="https://www.kegg.jp/entry/C05167" xr:uid="{EC363DA8-CD8C-4C47-AE47-2ABA1347454F}"/>
    <hyperlink ref="H570" r:id="rId466" display="https://www.kegg.jp/entry/C04896" xr:uid="{038D643A-A911-394F-8AEF-D5EEEAACBFFC}"/>
    <hyperlink ref="C627" r:id="rId467" xr:uid="{13E937C0-2258-FD4F-9CB6-97CA17634F7D}"/>
    <hyperlink ref="F627" r:id="rId468" xr:uid="{2DF7915C-846A-3C4F-B24E-3E8BD0EB1553}"/>
    <hyperlink ref="C626" r:id="rId469" xr:uid="{2E14A655-47CA-F448-81E6-72185DCA0402}"/>
    <hyperlink ref="F626" r:id="rId470" xr:uid="{9E1E66BD-746D-2445-B98B-266D89A53FFA}"/>
    <hyperlink ref="C625" r:id="rId471" xr:uid="{0AEDDE54-7632-3845-8940-64EC8910E5C4}"/>
    <hyperlink ref="F625" r:id="rId472" xr:uid="{2DF9A629-0709-CB4A-B543-4235AF3AF458}"/>
    <hyperlink ref="C624" r:id="rId473" xr:uid="{D375681F-F41D-4B44-8E97-0FAC097240F0}"/>
    <hyperlink ref="F624" r:id="rId474" xr:uid="{45B6646D-8896-EF43-88D9-757877958589}"/>
    <hyperlink ref="F628" r:id="rId475" xr:uid="{AEBD1483-E11F-324A-AAC1-A5649031EF61}"/>
    <hyperlink ref="G628" r:id="rId476" display="https://www.kegg.jp/entry/C00111" xr:uid="{0BD0E9BF-84C3-AB48-BBB8-14D054A85853}"/>
    <hyperlink ref="C631" r:id="rId477" xr:uid="{C0FA3E35-AF59-2045-AA7E-5D7A54E5C773}"/>
    <hyperlink ref="C630" r:id="rId478" xr:uid="{3439DB70-F541-FE4D-8C84-22046548C6A1}"/>
    <hyperlink ref="C634" r:id="rId479" xr:uid="{1271AB8E-4AC6-224E-9634-177FA8A84CAF}"/>
    <hyperlink ref="C633" r:id="rId480" xr:uid="{C2C7B860-7615-8148-8A56-CDCC571DB16F}"/>
    <hyperlink ref="F651" r:id="rId481" xr:uid="{9AE56EFA-81C7-C942-BA8D-22279C561949}"/>
    <hyperlink ref="C650" r:id="rId482" xr:uid="{4D6A8F4B-FF96-C744-90A7-3B31A2719D5E}"/>
    <hyperlink ref="F650" r:id="rId483" xr:uid="{F6793FD5-345D-C644-8CB1-09B22C639B4D}"/>
    <hyperlink ref="C649" r:id="rId484" xr:uid="{6B93524C-573E-4E44-A4A1-483D189175B5}"/>
    <hyperlink ref="F649" r:id="rId485" xr:uid="{F8E5E6B1-A4C3-EB45-B05F-0F738E238A9B}"/>
    <hyperlink ref="C648" r:id="rId486" xr:uid="{8C315CA9-790F-3941-914C-90A3FF58CFEE}"/>
    <hyperlink ref="F648" r:id="rId487" xr:uid="{F7AEE9BA-81DC-0D4A-AC7C-57451EEB3135}"/>
    <hyperlink ref="C647" r:id="rId488" xr:uid="{44EC30B3-DA8B-9042-B832-CA86428A7451}"/>
    <hyperlink ref="F647" r:id="rId489" xr:uid="{92475D80-2153-B94B-B2F6-857776E030AE}"/>
    <hyperlink ref="C646" r:id="rId490" xr:uid="{0123F662-70D1-1645-9819-6759EFCAE613}"/>
    <hyperlink ref="F646" r:id="rId491" xr:uid="{5CD4E7A8-575C-1441-95A8-3EBE6A73B26C}"/>
    <hyperlink ref="C645" r:id="rId492" xr:uid="{9F6E47DE-22C7-624F-AD8D-D27B3200C595}"/>
    <hyperlink ref="F645" r:id="rId493" xr:uid="{12D43D9C-F6FD-9F43-B6B6-AB833B3F28E0}"/>
    <hyperlink ref="C657" r:id="rId494" xr:uid="{40071CE6-2A1B-724D-ACEF-24541C067A49}"/>
    <hyperlink ref="C656" r:id="rId495" xr:uid="{F9848B79-245F-8044-94B1-43F0E18D0225}"/>
    <hyperlink ref="C655" r:id="rId496" xr:uid="{DD1BA300-0CEF-9447-9A8E-5BA6712E8647}"/>
    <hyperlink ref="C654" r:id="rId497" xr:uid="{89D75C45-B095-6546-86DE-A313C1D5AF17}"/>
    <hyperlink ref="C653" r:id="rId498" xr:uid="{552D3E95-4D26-B14B-A3A4-971CEC5907E7}"/>
    <hyperlink ref="C652" r:id="rId499" xr:uid="{E8C9CFBC-0C47-C54B-A484-F040053E622C}"/>
    <hyperlink ref="F658" r:id="rId500" xr:uid="{1B71B9D7-3E89-D948-AF99-9B43465C8535}"/>
    <hyperlink ref="F657" r:id="rId501" xr:uid="{6DB9FC77-DC34-B647-ABEC-29D504BA38AC}"/>
    <hyperlink ref="F656" r:id="rId502" xr:uid="{6550576D-581A-B940-94ED-CF7F94C823C1}"/>
    <hyperlink ref="F655" r:id="rId503" xr:uid="{10E35FF6-D9BE-D14A-B8EB-A217CA6E0AF4}"/>
    <hyperlink ref="F654" r:id="rId504" xr:uid="{2DE2DAF2-22FF-1447-ADED-C4B7A0E20483}"/>
    <hyperlink ref="F653" r:id="rId505" xr:uid="{5F54FE0F-2F53-D14F-A1BD-38D9A3068916}"/>
    <hyperlink ref="F652" r:id="rId506" xr:uid="{9323830B-1EAD-2E43-A10F-478DF789EDEF}"/>
    <hyperlink ref="C660" r:id="rId507" xr:uid="{ED23D16E-321B-1440-A0CE-5CA27A9857AC}"/>
    <hyperlink ref="C659" r:id="rId508" xr:uid="{F653D1C1-C9B3-E546-BEAC-EA5C9DA9BD13}"/>
    <hyperlink ref="F664" r:id="rId509" xr:uid="{4214DB9C-DB66-D44A-B2F3-C8BE6DF75DD2}"/>
    <hyperlink ref="C152" r:id="rId510" xr:uid="{3C9E95E3-C55F-FD4F-9BB1-1C943A5F7ACF}"/>
    <hyperlink ref="C153" r:id="rId511" xr:uid="{1C1A04FF-D947-524E-B44F-C0E600A8976F}"/>
    <hyperlink ref="C154" r:id="rId512" xr:uid="{4552E1F2-6204-E04B-A2DC-87562051000E}"/>
    <hyperlink ref="C155" r:id="rId513" xr:uid="{F9E852BE-012E-6E40-9CCB-EFD7EBF739BF}"/>
    <hyperlink ref="C156" r:id="rId514" xr:uid="{94E199D9-9F60-2640-BC0F-D7322234AA46}"/>
    <hyperlink ref="C686" r:id="rId515" xr:uid="{F1761895-3B30-4C4D-91B3-770902239DC3}"/>
    <hyperlink ref="C685" r:id="rId516" xr:uid="{ABBB7054-971D-8A4A-94C7-C8C756389962}"/>
    <hyperlink ref="G694" r:id="rId517" display="https://www.kegg.jp/entry/C01103" xr:uid="{C8061A6D-F672-BF41-BBAC-37E046456714}"/>
    <hyperlink ref="C695" r:id="rId518" xr:uid="{F41199F9-52E6-BE47-8221-E0713A630F1E}"/>
    <hyperlink ref="F695" r:id="rId519" xr:uid="{DF1B1B5E-2FAF-9B40-95F2-83088A43B877}"/>
    <hyperlink ref="C698" r:id="rId520" xr:uid="{48661A1A-7DCF-3B45-A2C1-2C8751B23FB9}"/>
    <hyperlink ref="F698" r:id="rId521" xr:uid="{E9A3318D-B3FA-1646-B707-63D315D6DEBE}"/>
    <hyperlink ref="C709" r:id="rId522" xr:uid="{5A67A7EB-E855-4046-B308-40E1D1521308}"/>
    <hyperlink ref="C3639" r:id="rId523" xr:uid="{DF7959FE-331F-5A4E-86E8-D3FF3EB0C26B}"/>
    <hyperlink ref="C790" r:id="rId524" xr:uid="{47B8BB8F-5418-3840-9820-790DFEEC6BF9}"/>
    <hyperlink ref="C791" r:id="rId525" xr:uid="{23519BB1-EDBA-C843-A52D-AB627CD3C02E}"/>
    <hyperlink ref="C871" r:id="rId526" xr:uid="{CCD197F5-10CE-114F-B389-BD9A3638F9C5}"/>
    <hyperlink ref="C870" r:id="rId527" xr:uid="{E43C2DA1-5FF2-6144-AD3F-32E07C8DEB97}"/>
    <hyperlink ref="C869" r:id="rId528" xr:uid="{F5FDB47E-6201-394C-B010-9B3BF17F7DA2}"/>
    <hyperlink ref="C3471" r:id="rId529" xr:uid="{1E752215-BE9F-EE44-BF6B-96F24CEEB77C}"/>
    <hyperlink ref="C879" r:id="rId530" xr:uid="{B5EE5C62-D944-F94D-9C33-A612BA95EDD8}"/>
    <hyperlink ref="C878" r:id="rId531" xr:uid="{F183A112-2019-C44C-AED7-7F8ED68AA4B0}"/>
    <hyperlink ref="C877" r:id="rId532" xr:uid="{CC4A2ABC-7628-5046-BC81-8AD12E635426}"/>
    <hyperlink ref="C876" r:id="rId533" xr:uid="{5140FC73-2503-244F-8EA5-8B179C807ED5}"/>
    <hyperlink ref="C875" r:id="rId534" xr:uid="{61F57C11-3C76-AA46-9381-C24C03A19949}"/>
    <hyperlink ref="C874" r:id="rId535" xr:uid="{F8C6D845-ADEE-B045-9A5C-7A5F382410A0}"/>
    <hyperlink ref="C896" r:id="rId536" xr:uid="{F25791F6-07A3-C147-A3BF-10CCFB50D055}"/>
    <hyperlink ref="C895" r:id="rId537" xr:uid="{7652F257-1097-514A-8D62-9C80053DBDFA}"/>
    <hyperlink ref="C894" r:id="rId538" xr:uid="{EF80BA1B-D10D-434C-BC60-B63C2E395574}"/>
    <hyperlink ref="C893" r:id="rId539" xr:uid="{C06A11B4-B50A-EE40-8CFE-47AE1C8E750C}"/>
    <hyperlink ref="C892" r:id="rId540" xr:uid="{7B32B864-1326-E945-8EC5-CE21602A0687}"/>
    <hyperlink ref="C902" r:id="rId541" xr:uid="{94CCD179-3633-254E-B3D0-B8EBA4B5C5A7}"/>
    <hyperlink ref="C901" r:id="rId542" xr:uid="{A16AFC8A-514A-C24C-851A-C225F9FE42D6}"/>
    <hyperlink ref="C900" r:id="rId543" xr:uid="{ED741A4C-8FE0-8045-9B1A-45971B740786}"/>
    <hyperlink ref="C899" r:id="rId544" xr:uid="{6BFA4258-49E4-4349-BC62-B69F9607CB73}"/>
    <hyperlink ref="C898" r:id="rId545" xr:uid="{1F8FFBC6-7DDB-E44E-869D-91F8E500B5A2}"/>
    <hyperlink ref="G919" r:id="rId546" display="https://www.kegg.jp/entry/C04188" xr:uid="{34AAB6C3-0A79-3D4A-98D1-CC4942CB9545}"/>
    <hyperlink ref="F919" r:id="rId547" xr:uid="{ABE9A388-DC85-5F44-8722-C68806204C28}"/>
    <hyperlink ref="F935" r:id="rId548" xr:uid="{6386AE51-090F-1740-A930-77A8EB61B26D}"/>
    <hyperlink ref="C934" r:id="rId549" xr:uid="{40CE3085-DDF4-E644-BBDD-2113DC906DB1}"/>
    <hyperlink ref="F934" r:id="rId550" xr:uid="{8D307541-6FF6-594D-8E31-016D248074C1}"/>
    <hyperlink ref="C933" r:id="rId551" xr:uid="{9D166F47-4039-C946-A426-024207F255E2}"/>
    <hyperlink ref="F933" r:id="rId552" xr:uid="{DF556FAC-AE37-8B4E-8F97-0A141448C221}"/>
    <hyperlink ref="C985" r:id="rId553" xr:uid="{281FE2BF-A221-D941-AB5D-3C0E9299064B}"/>
    <hyperlink ref="C992" r:id="rId554" xr:uid="{26B78360-13F4-644F-9D33-C50AB21A2213}"/>
    <hyperlink ref="C991" r:id="rId555" xr:uid="{EB09F500-9A7F-654E-A12E-9F1B2F536927}"/>
    <hyperlink ref="C990" r:id="rId556" xr:uid="{DAE21DBD-450A-1B40-9988-80409DDFBC99}"/>
    <hyperlink ref="C989" r:id="rId557" xr:uid="{479DB0FD-003A-B54C-88DB-31CFC0375B76}"/>
    <hyperlink ref="C988" r:id="rId558" xr:uid="{D17E871A-793A-4345-83D0-B26A934B67A4}"/>
    <hyperlink ref="C1034" r:id="rId559" xr:uid="{162315CD-E92E-9B46-8FD9-66B07C546958}"/>
    <hyperlink ref="C3122" r:id="rId560" xr:uid="{59D43AE3-250E-A749-B7D7-84C547758A16}"/>
    <hyperlink ref="F3122" r:id="rId561" xr:uid="{A4A294C1-53B3-574B-8916-AB99984702A4}"/>
    <hyperlink ref="F1038" r:id="rId562" xr:uid="{7604280C-B1E6-E343-98C7-DD05AB806A4C}"/>
    <hyperlink ref="C1044" r:id="rId563" xr:uid="{37D19328-CB1A-774E-8D20-B7EE46395048}"/>
    <hyperlink ref="F1047" r:id="rId564" xr:uid="{63F9A8BA-87C2-3C44-B0F1-0F3D675F1E11}"/>
    <hyperlink ref="F1048" r:id="rId565" xr:uid="{51A76D62-1774-8744-9A45-C074955F3D3A}"/>
    <hyperlink ref="F1133" r:id="rId566" xr:uid="{A3E6D54D-D5B6-ED41-9F2A-EEF086A3DCDC}"/>
    <hyperlink ref="F1138" r:id="rId567" xr:uid="{C66F2385-32A7-3F44-92F9-4556B273AF21}"/>
    <hyperlink ref="C1137" r:id="rId568" xr:uid="{B644FEA4-ED45-7241-9596-B86B18404F40}"/>
    <hyperlink ref="F1137" r:id="rId569" xr:uid="{1AA08940-3A44-DD4D-AC86-38FD455EAA12}"/>
    <hyperlink ref="C1136" r:id="rId570" xr:uid="{AE5B975A-B711-9542-A0D5-5CD538EC3B39}"/>
    <hyperlink ref="F1136" r:id="rId571" xr:uid="{0EFCF1E0-8DB4-A942-977B-43F2EAD5B8B6}"/>
    <hyperlink ref="C1135" r:id="rId572" xr:uid="{FE4EFC12-6F7F-B640-AC78-9363B336B4A6}"/>
    <hyperlink ref="F1135" r:id="rId573" xr:uid="{10A1E1BC-B1FE-2C44-ABCA-09CB7DB55B8B}"/>
    <hyperlink ref="C1134" r:id="rId574" xr:uid="{98CABC90-EA2A-AC44-9ED7-1A081C9F56EC}"/>
    <hyperlink ref="F1134" r:id="rId575" xr:uid="{9906C88A-0286-304F-96A3-DADCE492DA6E}"/>
    <hyperlink ref="F1140" r:id="rId576" xr:uid="{E89C2797-5F1A-1746-B38C-A7BA33A0EA57}"/>
    <hyperlink ref="F1141" r:id="rId577" xr:uid="{C6AF8FDD-80DA-F348-991F-840AFAA8ED7A}"/>
    <hyperlink ref="C1142" r:id="rId578" xr:uid="{7EA02396-4B9B-544F-BC43-D622AD726AAE}"/>
    <hyperlink ref="F1142" r:id="rId579" xr:uid="{B1ED8117-2E3C-3748-978E-EB46F40955BB}"/>
    <hyperlink ref="F1143" r:id="rId580" xr:uid="{C3DF9765-03BE-D94B-9A28-D90BA44FA836}"/>
    <hyperlink ref="F1163" r:id="rId581" xr:uid="{D8A7CC0C-B08D-7644-AA32-E7EF1D2798D2}"/>
    <hyperlink ref="F1176" r:id="rId582" xr:uid="{8E219AA1-3420-624C-9392-5205F114A6C6}"/>
    <hyperlink ref="F1185" r:id="rId583" xr:uid="{AD29DF97-D391-9E47-9BF7-7CC328D70E06}"/>
    <hyperlink ref="F1227" r:id="rId584" xr:uid="{A5998D9C-5ABA-0A47-8B43-D8F73F06CB6F}"/>
    <hyperlink ref="C1226" r:id="rId585" xr:uid="{290F1F15-692F-B749-9A1A-D34E9ABED4C4}"/>
    <hyperlink ref="F1226" r:id="rId586" xr:uid="{081287A3-6DBD-BC46-A29A-A3BDCB6F00AD}"/>
    <hyperlink ref="C1225" r:id="rId587" xr:uid="{929159EF-71FD-D04B-9288-5E145BD34709}"/>
    <hyperlink ref="F1225" r:id="rId588" xr:uid="{B432C190-A614-7944-89E7-8730FAA91D6B}"/>
    <hyperlink ref="F1234" r:id="rId589" xr:uid="{10B6F4C3-1DFB-CC4C-A2D0-F1BE52CD3F73}"/>
    <hyperlink ref="F1240" r:id="rId590" xr:uid="{A121A8ED-62DC-6441-9AFE-B201E9BE0E02}"/>
    <hyperlink ref="E1250" r:id="rId591" xr:uid="{F0DBAC35-EFF4-924A-ADBB-72F26FB0EC95}"/>
    <hyperlink ref="F1250" r:id="rId592" xr:uid="{807D3C75-892D-CA48-8A05-9A6C8397AD46}"/>
    <hyperlink ref="F1283" r:id="rId593" xr:uid="{133DF474-D846-134C-AE5A-865860A12D9C}"/>
    <hyperlink ref="C1280" r:id="rId594" xr:uid="{824ABC31-7ECB-AE47-BE89-8381051A9C17}"/>
    <hyperlink ref="F1280" r:id="rId595" xr:uid="{24F4B463-12F9-A747-B7D1-ECFE2AF6FC32}"/>
    <hyperlink ref="C1282" r:id="rId596" xr:uid="{71166D0F-B22B-4448-86B6-619CA5700204}"/>
    <hyperlink ref="F1282" r:id="rId597" xr:uid="{3BB3ACBC-7B5D-0C42-AC86-AC90395CDDE6}"/>
    <hyperlink ref="C1281" r:id="rId598" xr:uid="{4046D1EA-B8AE-DC4A-BBC1-2017415A71E6}"/>
    <hyperlink ref="F1281" r:id="rId599" xr:uid="{F305C21E-B5DC-784E-88AD-C55C86502B74}"/>
    <hyperlink ref="F1308" r:id="rId600" xr:uid="{868DC8B1-B949-3C48-930D-7A697C47BA77}"/>
    <hyperlink ref="F1330" r:id="rId601" xr:uid="{FC749B9C-45A8-F343-9AA4-A5B331F4A5BF}"/>
    <hyperlink ref="G1330" r:id="rId602" display="https://www.kegg.jp/entry/C00631" xr:uid="{6F9A43E3-DB4E-914A-A73C-1B6F4B13CE92}"/>
    <hyperlink ref="F3330" r:id="rId603" xr:uid="{12A84B14-F35B-DC4A-B8AC-1CC5FAC3DCA4}"/>
    <hyperlink ref="F1346" r:id="rId604" xr:uid="{788876D1-7E1A-F94F-B2E0-5564444530F6}"/>
    <hyperlink ref="C1348" r:id="rId605" xr:uid="{6EFD56E0-2DED-0F4D-A198-B420E2EAA340}"/>
    <hyperlink ref="C1347" r:id="rId606" xr:uid="{7AF623ED-803F-1F46-BD31-7D8A12BB58D2}"/>
    <hyperlink ref="F1358" r:id="rId607" xr:uid="{FF0C0A0F-52B1-D040-9D39-B7BEED6AA4AC}"/>
    <hyperlink ref="F1385" r:id="rId608" xr:uid="{B025E2CD-7976-FD4F-B489-F4531F6F8261}"/>
    <hyperlink ref="C1384" r:id="rId609" xr:uid="{73DD66CA-B06A-A243-A236-A302A9CBEA65}"/>
    <hyperlink ref="F1384" r:id="rId610" xr:uid="{5F4E03B3-B162-5645-8060-C2C876CE5803}"/>
    <hyperlink ref="C1383" r:id="rId611" xr:uid="{7A413185-BFCC-A942-9B02-72230D6E09A2}"/>
    <hyperlink ref="F1383" r:id="rId612" xr:uid="{B57DFDBB-8A8E-014E-A26D-B487AFDD363C}"/>
    <hyperlink ref="C1382" r:id="rId613" xr:uid="{43565053-549F-424D-8948-193A094150CA}"/>
    <hyperlink ref="F1382" r:id="rId614" xr:uid="{93E9021B-CCD5-714E-A2F4-FB7481AD1A96}"/>
    <hyperlink ref="C1381" r:id="rId615" xr:uid="{4F3ED760-631A-6D45-8430-82D9F0EB82CF}"/>
    <hyperlink ref="F1381" r:id="rId616" xr:uid="{05290BC4-9A56-CA4E-943B-4B70C420AB89}"/>
    <hyperlink ref="H1387" r:id="rId617" display="https://www.kegg.jp/entry/C00111" xr:uid="{8293F2C3-25EE-734E-9923-4ED2010E6678}"/>
    <hyperlink ref="C1453" r:id="rId618" xr:uid="{4C7F4FA9-6C0C-324F-B191-2BFA43D525C5}"/>
    <hyperlink ref="C1452" r:id="rId619" xr:uid="{B3ED9D51-9552-0042-B86B-9F3FF28E911D}"/>
    <hyperlink ref="C1451" r:id="rId620" xr:uid="{97F259D9-19B3-D64A-9037-FA034075D990}"/>
    <hyperlink ref="C1450" r:id="rId621" xr:uid="{81A05E25-74E3-174F-B434-302AFCAE9DF1}"/>
    <hyperlink ref="C1492" r:id="rId622" xr:uid="{B3F77297-92A7-CF4D-A47A-5EDCEF78EE88}"/>
    <hyperlink ref="C1491" r:id="rId623" xr:uid="{777B4C55-A2AD-CB49-85FD-AA6AF885549C}"/>
    <hyperlink ref="F1508" r:id="rId624" xr:uid="{729AA5E5-A02E-EB41-A59E-2D9D7DC1F410}"/>
    <hyperlink ref="C1538" r:id="rId625" xr:uid="{B7406D66-FC99-B84B-AE84-03F0711713E3}"/>
    <hyperlink ref="C1537" r:id="rId626" xr:uid="{77465384-8E4C-BF46-8200-9E4B66E1D6DC}"/>
    <hyperlink ref="C1536" r:id="rId627" xr:uid="{65233CC5-6C91-3A4B-BB22-43ABB1BEA52C}"/>
    <hyperlink ref="C1535" r:id="rId628" xr:uid="{234B7FAA-7327-324F-AE63-8476C78D1902}"/>
    <hyperlink ref="C1534" r:id="rId629" xr:uid="{94F91A27-0F8F-7A44-BC1B-54559145F695}"/>
    <hyperlink ref="C1533" r:id="rId630" xr:uid="{C05FCFA5-160C-3047-A3CB-672256C2BE17}"/>
    <hyperlink ref="C1532" r:id="rId631" xr:uid="{391BD4FD-A50F-F34B-B905-C0254BCD3EB2}"/>
    <hyperlink ref="C1531" r:id="rId632" xr:uid="{4EEF4EBB-1879-EB46-88AB-5BDE53DA4BFF}"/>
    <hyperlink ref="C1530" r:id="rId633" xr:uid="{2F16BCD9-7339-864C-8429-472EC55215F0}"/>
    <hyperlink ref="C1529" r:id="rId634" xr:uid="{F1D333DF-ACE6-6741-80BE-899E2EEEA5D0}"/>
    <hyperlink ref="C1528" r:id="rId635" xr:uid="{4ABCB9DA-EBCB-E64B-996F-C3FD65F53DD6}"/>
    <hyperlink ref="F1550" r:id="rId636" xr:uid="{848896F2-1119-0D45-8F30-A426664808E0}"/>
    <hyperlink ref="C1610" r:id="rId637" xr:uid="{98E4D1BA-5F0D-4943-BC3E-89B9490A5225}"/>
    <hyperlink ref="F1615" r:id="rId638" xr:uid="{B0FC17E6-8199-C042-841E-55A0A6B4844A}"/>
    <hyperlink ref="F1720" r:id="rId639" xr:uid="{5585509C-F606-8A42-86D9-874CE85C29FB}"/>
    <hyperlink ref="F1724" r:id="rId640" xr:uid="{6EEF1648-8C46-4342-A713-ECDA2C4F356F}"/>
    <hyperlink ref="C1727" r:id="rId641" xr:uid="{661282CE-CD79-B644-A34B-EFD19E52C9F0}"/>
    <hyperlink ref="C1728" r:id="rId642" xr:uid="{D5AD15BB-FDCE-4A49-94A1-F51715028C8C}"/>
    <hyperlink ref="C1729" r:id="rId643" xr:uid="{BF3CE20C-9F1E-4644-98E2-0D57439F0A54}"/>
    <hyperlink ref="C1730" r:id="rId644" xr:uid="{60CF2D2F-1E6B-7441-987C-497D56196BDF}"/>
    <hyperlink ref="C1731" r:id="rId645" xr:uid="{306DA9C1-CA94-B340-8317-6F7CC95BED7E}"/>
    <hyperlink ref="F1748" r:id="rId646" xr:uid="{55BC73B3-2D65-924A-978E-B9E0E0D5237C}"/>
    <hyperlink ref="C1747" r:id="rId647" xr:uid="{13D2C801-2212-E640-8D8C-AFE66B4D54DF}"/>
    <hyperlink ref="F1747" r:id="rId648" xr:uid="{41F51D9C-E50E-7148-9441-0D984B5641D9}"/>
    <hyperlink ref="C1786" r:id="rId649" xr:uid="{AD02084F-2191-F54C-9252-06A3E79C7C86}"/>
    <hyperlink ref="F1786" r:id="rId650" xr:uid="{33B49EA3-F083-B74E-B70C-446C8941B974}"/>
    <hyperlink ref="C1815" r:id="rId651" xr:uid="{4E32A915-6C58-F243-A2CF-B32E95F119F8}"/>
    <hyperlink ref="C1816" r:id="rId652" xr:uid="{C0C7B8A8-C100-984E-852C-8DCC27E9F7E1}"/>
    <hyperlink ref="C1817" r:id="rId653" xr:uid="{A9C7B89F-63E1-B24A-9C94-6C27C21DE3C3}"/>
    <hyperlink ref="F205" r:id="rId654" xr:uid="{B99B0B0A-4334-9A4E-A161-0B9FCF44A7FF}"/>
    <hyperlink ref="C1837" r:id="rId655" xr:uid="{6D69800C-E6DB-3141-AFD8-EDF994F823B2}"/>
    <hyperlink ref="C1838" r:id="rId656" xr:uid="{FAF2C99F-4DA5-2647-9F12-A492C179622B}"/>
    <hyperlink ref="C1839" r:id="rId657" xr:uid="{160EFB3F-4680-4148-A4F3-4831FC5E8C54}"/>
    <hyperlink ref="C1840" r:id="rId658" xr:uid="{8171B61F-B44C-174E-8B67-B53635590D6B}"/>
    <hyperlink ref="C1841" r:id="rId659" xr:uid="{6B950706-8664-214A-B36F-FA19E9BCF58A}"/>
    <hyperlink ref="C1842" r:id="rId660" xr:uid="{1834897E-5D4C-8A4D-B784-D48AF220B6A2}"/>
    <hyperlink ref="C1843" r:id="rId661" xr:uid="{DB46A1D3-50A4-9141-8562-9AE416FD2F42}"/>
    <hyperlink ref="C1844" r:id="rId662" xr:uid="{B6743D99-E537-CF45-886B-641F34DE677A}"/>
    <hyperlink ref="C1845" r:id="rId663" xr:uid="{980606A0-0761-D94D-8F3E-B8E112D2767D}"/>
    <hyperlink ref="C1846" r:id="rId664" xr:uid="{FCCE71E0-F34B-F344-9890-796A1AF86366}"/>
    <hyperlink ref="C1847" r:id="rId665" xr:uid="{C36B10AB-47D9-8F41-B8E8-53F1FDB910CF}"/>
    <hyperlink ref="C1848" r:id="rId666" xr:uid="{7300F722-BA2B-464E-9DEA-F611DB9959FD}"/>
    <hyperlink ref="C1849" r:id="rId667" xr:uid="{1780A824-E936-0A48-8A82-CDC06B259AB3}"/>
    <hyperlink ref="C1850" r:id="rId668" xr:uid="{38B6E00D-A7BB-4841-B4AC-B78A7846FFD3}"/>
    <hyperlink ref="C1851" r:id="rId669" xr:uid="{2B8AFB86-5028-0442-B7A3-8D3509BB6101}"/>
    <hyperlink ref="C1852" r:id="rId670" xr:uid="{0908D202-0D86-8547-8D32-CFA65502C5F0}"/>
    <hyperlink ref="C1853" r:id="rId671" xr:uid="{B562DBA3-6A35-DB4D-A905-04BD0DD86B27}"/>
    <hyperlink ref="H1847" r:id="rId672" display="https://www.kegg.jp/entry/C00031" xr:uid="{9296C753-CF7F-D745-83FC-047D09993646}"/>
    <hyperlink ref="C1871" r:id="rId673" xr:uid="{33EBB93D-077E-AB49-8C9E-1243F3D8CF1A}"/>
    <hyperlink ref="C1870" r:id="rId674" xr:uid="{AEB7C16A-7FA6-6648-B7C9-FA1E645BD779}"/>
    <hyperlink ref="C1869" r:id="rId675" xr:uid="{D231CA77-D58B-9B42-BFA7-6293A298AD63}"/>
    <hyperlink ref="C1868" r:id="rId676" xr:uid="{FD6AAE64-1E64-7745-A79A-F55E82C1EC5E}"/>
    <hyperlink ref="C1867" r:id="rId677" xr:uid="{30FF8E15-2E92-BF4C-829E-D5B3B415C5C9}"/>
    <hyperlink ref="C1866" r:id="rId678" xr:uid="{5E6AD599-3234-7C4F-AB51-D02C60D6D6E1}"/>
    <hyperlink ref="C1865" r:id="rId679" xr:uid="{D4CE1EB8-3C10-4846-9996-8EC84940EB2E}"/>
    <hyperlink ref="C1864" r:id="rId680" xr:uid="{41048C99-CC79-9A4B-886C-72A14D0298DE}"/>
    <hyperlink ref="C1863" r:id="rId681" xr:uid="{C5CC8EC4-FB17-5B49-B96C-CD1A01470779}"/>
    <hyperlink ref="C1862" r:id="rId682" xr:uid="{73B225B5-3984-3945-BD82-7F68B2080E2D}"/>
    <hyperlink ref="C1861" r:id="rId683" xr:uid="{A3C07E82-2022-9842-B2A9-D108A6F58339}"/>
    <hyperlink ref="C1860" r:id="rId684" xr:uid="{8B46DFC8-D882-DD47-83D6-B169F0FA9A9E}"/>
    <hyperlink ref="C1859" r:id="rId685" xr:uid="{47A054D1-D724-5846-AC2E-003CEB5753D2}"/>
    <hyperlink ref="C1858" r:id="rId686" xr:uid="{4489881A-FAF7-B84B-9463-C183BBF39399}"/>
    <hyperlink ref="C1857" r:id="rId687" xr:uid="{FD2A6779-F36B-DF48-9D81-1A1BEE0C0434}"/>
    <hyperlink ref="C1856" r:id="rId688" xr:uid="{F1BD7C53-4260-024B-A412-A2498AC51B11}"/>
    <hyperlink ref="C1855" r:id="rId689" xr:uid="{FF70EF93-9AF9-B445-B19B-FD77665E419D}"/>
    <hyperlink ref="H1865" r:id="rId690" display="https://www.kegg.jp/entry/C00031" xr:uid="{B8F33AF9-758E-F24E-887B-B82CD3A28D21}"/>
    <hyperlink ref="C3880" r:id="rId691" xr:uid="{360D3659-6A8B-884B-A818-5A4FF7982ED5}"/>
    <hyperlink ref="C3879" r:id="rId692" xr:uid="{B8F97D46-4797-C740-8219-BB4D33153055}"/>
    <hyperlink ref="C3878" r:id="rId693" xr:uid="{212CBFA5-7EB0-D24C-82B2-4A59D85615BD}"/>
    <hyperlink ref="C3877" r:id="rId694" xr:uid="{16BC6C87-49CA-0E49-9BAF-B72445EAF0E2}"/>
    <hyperlink ref="C3876" r:id="rId695" xr:uid="{2E797AF7-707A-5748-A5D7-476C70E3562B}"/>
    <hyperlink ref="C3875" r:id="rId696" xr:uid="{5BC05449-5B3C-BC45-BE3A-63A26A932C36}"/>
    <hyperlink ref="C3874" r:id="rId697" xr:uid="{978EAFCE-4088-ED49-9CAF-4879BDCF7C5D}"/>
    <hyperlink ref="C3873" r:id="rId698" xr:uid="{23A8A34E-296E-1C48-8C7C-D38B2996F360}"/>
    <hyperlink ref="C3872" r:id="rId699" xr:uid="{7BEA9519-C369-714D-9B94-39E95852F538}"/>
    <hyperlink ref="C3871" r:id="rId700" xr:uid="{A18BD47A-DA06-1C45-8686-25786482FDFF}"/>
    <hyperlink ref="C3870" r:id="rId701" xr:uid="{B82B45D8-07CE-2745-9ACB-3B582E815867}"/>
    <hyperlink ref="C3869" r:id="rId702" xr:uid="{F87B630C-B4B3-194D-B82E-E9E6DFABB662}"/>
    <hyperlink ref="C3868" r:id="rId703" xr:uid="{22A408C6-60FB-F643-B7D7-91BD593CDA14}"/>
    <hyperlink ref="C3867" r:id="rId704" xr:uid="{B09E6B71-5535-5C4E-B10B-DDA4B8469063}"/>
    <hyperlink ref="C3866" r:id="rId705" xr:uid="{CEE4BDCC-A46A-014B-837F-1FC74125FE66}"/>
    <hyperlink ref="C3865" r:id="rId706" xr:uid="{7DCBCD1D-C763-6944-B7BF-468D79DEC9EA}"/>
    <hyperlink ref="C3864" r:id="rId707" xr:uid="{DFE268EC-9318-EB44-B3C7-06695D1DDE58}"/>
    <hyperlink ref="H3874" r:id="rId708" display="https://www.kegg.jp/entry/C00031" xr:uid="{BFC1EA60-4BD7-BA44-AB43-6B89045DA464}"/>
    <hyperlink ref="F1907" r:id="rId709" xr:uid="{3B507455-B6D7-8A48-A9B0-430054835E53}"/>
    <hyperlink ref="F1908" r:id="rId710" xr:uid="{38B56576-1D48-9E45-B38C-20DB83FE52EC}"/>
    <hyperlink ref="F1954" r:id="rId711" xr:uid="{ED6433AE-877A-854D-B30B-E7CE8144140A}"/>
    <hyperlink ref="F3311" r:id="rId712" xr:uid="{67982C48-0C83-1040-B215-2A9663325209}"/>
    <hyperlink ref="F3312" r:id="rId713" xr:uid="{2BFE94D5-D4A9-204F-8038-10EA44175221}"/>
    <hyperlink ref="F1976" r:id="rId714" xr:uid="{60B93D30-2E7C-2D4B-9412-FBF55D158EB8}"/>
    <hyperlink ref="C1981" r:id="rId715" xr:uid="{58F83F0F-C87B-9B44-98C4-F3309F84B521}"/>
    <hyperlink ref="F1994" r:id="rId716" xr:uid="{58B4B3A4-B8FB-9541-87AB-BBD53BA0F810}"/>
    <hyperlink ref="H1994" r:id="rId717" display="https://www.kegg.jp/entry/C00905" xr:uid="{578A8DA6-0872-0C4B-A22F-EB2D187A0017}"/>
    <hyperlink ref="C1993" r:id="rId718" xr:uid="{08711666-ECF3-3046-8D8C-C2C87B9BA2ED}"/>
    <hyperlink ref="F1993" r:id="rId719" xr:uid="{EC2D4FD9-56DA-5D42-95F5-CA61C70AFF61}"/>
    <hyperlink ref="C2184" r:id="rId720" xr:uid="{73CBD910-7BF3-A140-BD43-A89567A1E902}"/>
    <hyperlink ref="F2188" r:id="rId721" xr:uid="{C816584B-F951-DA41-803A-0DDDF6BC9518}"/>
    <hyperlink ref="C2187" r:id="rId722" xr:uid="{8F7FC83F-7B18-A846-879D-8F0E38E1A4B6}"/>
    <hyperlink ref="F2187" r:id="rId723" xr:uid="{58955FC9-1788-8149-96C8-17A8D94E2A43}"/>
    <hyperlink ref="F2192" r:id="rId724" xr:uid="{E4B1B32C-D304-714B-B765-1472C9092283}"/>
    <hyperlink ref="C2213" r:id="rId725" xr:uid="{E37ECFBF-921D-CC4E-A004-206402319DFD}"/>
    <hyperlink ref="C2217" r:id="rId726" xr:uid="{45E297CE-F4CA-1549-B1DA-6A9B773E0759}"/>
    <hyperlink ref="C2276" r:id="rId727" display="https://enzyme.expasy.org/EC/6.3.5.5" xr:uid="{2D546FCB-3CC0-6C47-8A33-BFFD383B3AE9}"/>
    <hyperlink ref="E2276" r:id="rId728" xr:uid="{4D2B37F1-AA0A-C74A-B8E9-FE2C457E052D}"/>
    <hyperlink ref="C2275" r:id="rId729" display="https://enzyme.expasy.org/EC/6.3.5.5" xr:uid="{670A87D1-832A-A14E-9186-2ED78B5465E7}"/>
    <hyperlink ref="E2275" r:id="rId730" xr:uid="{E13DD7F7-AE1E-B54B-96BF-D56E36DD1287}"/>
    <hyperlink ref="C2274" r:id="rId731" display="https://enzyme.expasy.org/EC/6.3.5.5" xr:uid="{9BC91063-D70E-FA41-A618-8ABD7FD883E0}"/>
    <hyperlink ref="E2274" r:id="rId732" xr:uid="{C95E743B-EA8A-B74B-B2E3-F5B250C68F5A}"/>
    <hyperlink ref="C2273" r:id="rId733" display="https://enzyme.expasy.org/EC/6.3.5.5" xr:uid="{14B8E68D-9B8F-614E-AA31-9A81C4BCFFFA}"/>
    <hyperlink ref="E2273" r:id="rId734" xr:uid="{2244BDA4-01E8-5E4E-842E-5B5BCCD3A5C4}"/>
    <hyperlink ref="C2272" r:id="rId735" display="https://enzyme.expasy.org/EC/6.3.5.5" xr:uid="{4856E38C-9124-2546-B852-F875F0C75761}"/>
    <hyperlink ref="E2272" r:id="rId736" xr:uid="{22420A3B-BFF9-034B-B0EE-A34BBF033A68}"/>
    <hyperlink ref="C2271" r:id="rId737" display="https://enzyme.expasy.org/EC/6.3.5.5" xr:uid="{52BC4579-8546-7C4C-B528-AE3CF65E8694}"/>
    <hyperlink ref="E2271" r:id="rId738" xr:uid="{3B29AB02-4A10-9A43-8F95-3BCB95C1C194}"/>
    <hyperlink ref="C2078" r:id="rId739" xr:uid="{88D2EE88-419D-AE40-A1E4-5898191B1DCF}"/>
    <hyperlink ref="C2077" r:id="rId740" xr:uid="{23355690-6CD7-DF4F-9493-2DB8CAF79C98}"/>
    <hyperlink ref="C2076" r:id="rId741" xr:uid="{06105887-60BD-2444-8489-CFBAD34B4485}"/>
    <hyperlink ref="C2075" r:id="rId742" xr:uid="{F01E9C58-38A3-6F48-BE84-395B3C6E2FAB}"/>
    <hyperlink ref="C2074" r:id="rId743" xr:uid="{DF478A9B-89CF-1544-B26C-C2854D94BD9F}"/>
    <hyperlink ref="C2073" r:id="rId744" xr:uid="{233B81A4-10DB-1846-BB0E-70A5555296F4}"/>
    <hyperlink ref="C2072" r:id="rId745" xr:uid="{083D3BA7-79C8-624D-AF1B-5A77F22189B9}"/>
    <hyperlink ref="C2107" r:id="rId746" xr:uid="{58F94956-8607-EE47-ACA8-627B7822839F}"/>
    <hyperlink ref="C2106" r:id="rId747" xr:uid="{69CA3017-159D-1840-8FD9-6C8751C885E3}"/>
    <hyperlink ref="C2105" r:id="rId748" xr:uid="{29C72BCC-1A32-1E43-8B2C-06312B7CD2EB}"/>
    <hyperlink ref="C2104" r:id="rId749" xr:uid="{1332C09D-6FDD-1E41-9385-8978EACED857}"/>
    <hyperlink ref="C2250" r:id="rId750" xr:uid="{B84527CB-64B4-6140-B2C9-224F09E1E140}"/>
    <hyperlink ref="C2249" r:id="rId751" xr:uid="{FDA8F245-35EE-FE4A-8857-67105B59D1BC}"/>
    <hyperlink ref="C2248" r:id="rId752" xr:uid="{60A82234-D8C4-FD4D-A650-5D119E170C2A}"/>
    <hyperlink ref="C2247" r:id="rId753" xr:uid="{1B0A346A-8761-AB45-AB1C-31E35B49F8EC}"/>
    <hyperlink ref="C674" r:id="rId754" xr:uid="{D5669815-3DA0-AA4C-84C9-C55FD6AA0B4A}"/>
    <hyperlink ref="C673" r:id="rId755" xr:uid="{FAF534E9-C1C9-6447-A631-B112268E2004}"/>
    <hyperlink ref="C672" r:id="rId756" xr:uid="{875D5400-0E19-0A45-B585-3BC3DB344D27}"/>
    <hyperlink ref="C671" r:id="rId757" xr:uid="{E78748FB-D619-6F40-A83E-B6DCAD6B7848}"/>
    <hyperlink ref="C670" r:id="rId758" xr:uid="{3B6116F6-72AF-9A46-B98C-AFB547FEB205}"/>
    <hyperlink ref="F1726" r:id="rId759" xr:uid="{9BFD28E9-1510-164C-BEF1-A5FA042ABD0D}"/>
    <hyperlink ref="F2341" r:id="rId760" xr:uid="{7E6D0CFE-A592-E749-A135-49EDB763730F}"/>
    <hyperlink ref="C2345" r:id="rId761" xr:uid="{96962B37-E6EF-6746-9ED7-4A8ADAD8280D}"/>
    <hyperlink ref="C2344" r:id="rId762" xr:uid="{3F255151-889F-E241-8D97-374E57A8CCCB}"/>
    <hyperlink ref="C2343" r:id="rId763" xr:uid="{6E75A358-08E1-7E4F-9CC9-DB55EFB41304}"/>
    <hyperlink ref="C2342" r:id="rId764" xr:uid="{07EAB06E-01F5-004B-83D8-6896CAC6AAF8}"/>
    <hyperlink ref="C2341" r:id="rId765" xr:uid="{8DF20774-BCF1-4746-A4B9-02744E9C93F5}"/>
    <hyperlink ref="C4127" r:id="rId766" xr:uid="{627F07BE-267E-6C43-AA7B-AF4815E7E5C0}"/>
    <hyperlink ref="C4126" r:id="rId767" xr:uid="{EE311E84-4273-5143-901B-5C67E18A1764}"/>
    <hyperlink ref="C4125" r:id="rId768" xr:uid="{A4760CBA-5BDF-FD4A-85E6-4A9FC6C8FA08}"/>
    <hyperlink ref="C4124" r:id="rId769" xr:uid="{EA8D500E-AC47-5C4F-BEBD-1E77CFEBB0D3}"/>
    <hyperlink ref="C4123" r:id="rId770" xr:uid="{6CE50823-06ED-7840-A30B-9C3D613825AD}"/>
    <hyperlink ref="C4697" r:id="rId771" xr:uid="{18E05F0A-6F87-0342-9732-25884BD25943}"/>
    <hyperlink ref="C4696" r:id="rId772" xr:uid="{38CFF8A9-7870-944F-B65C-08852F54EF65}"/>
    <hyperlink ref="C4695" r:id="rId773" xr:uid="{BCD1170A-90A7-D04C-8495-19027AE4EE0A}"/>
    <hyperlink ref="C4694" r:id="rId774" xr:uid="{DAE421B6-F83F-6E48-A25F-6C87D7DCFF9E}"/>
    <hyperlink ref="C4693" r:id="rId775" xr:uid="{7C68F177-025F-2949-9175-05ACD1BE5147}"/>
    <hyperlink ref="F2355" r:id="rId776" xr:uid="{3FB432AC-DD72-774E-AF84-DACA9FB3512D}"/>
    <hyperlink ref="F2356" r:id="rId777" xr:uid="{948A06B4-8567-A24B-8E5B-52189AB6BB97}"/>
    <hyperlink ref="F2371" r:id="rId778" xr:uid="{5B61542A-69B6-A54C-8034-BAB33A7A2AF7}"/>
    <hyperlink ref="F2384" r:id="rId779" xr:uid="{379DCD8F-8845-694A-8896-7584BCF043FD}"/>
    <hyperlink ref="C2383" r:id="rId780" xr:uid="{ED5908C4-11A1-F741-80AC-89F47952B7F4}"/>
    <hyperlink ref="F2383" r:id="rId781" xr:uid="{86B97271-298E-884A-9520-6A5C3B805985}"/>
    <hyperlink ref="C2382" r:id="rId782" xr:uid="{AB810EA8-B908-BC40-8B21-AAD895619D49}"/>
    <hyperlink ref="F2382" r:id="rId783" xr:uid="{0B1D0504-4261-194F-8111-D00A67FDC1A5}"/>
    <hyperlink ref="C2381" r:id="rId784" xr:uid="{90A76B9B-8F17-C84C-98EC-B213DBFC9E95}"/>
    <hyperlink ref="F2381" r:id="rId785" xr:uid="{88D32CC9-553A-3A43-A655-D189D65934B6}"/>
    <hyperlink ref="C2380" r:id="rId786" xr:uid="{FDD74235-D6CD-3743-BA3A-4697839CE0DA}"/>
    <hyperlink ref="F2380" r:id="rId787" xr:uid="{2A99ADAD-B915-304C-8919-44DD84356252}"/>
    <hyperlink ref="C2379" r:id="rId788" xr:uid="{AF7007CA-BC7E-1F4A-88BE-78D506A93B7C}"/>
    <hyperlink ref="F2379" r:id="rId789" xr:uid="{B1399E3B-3493-BF48-BDEE-D57BED7AE767}"/>
    <hyperlink ref="C2378" r:id="rId790" xr:uid="{1C103B81-E10C-4C47-BAF4-88CF0B9B846C}"/>
    <hyperlink ref="F2378" r:id="rId791" xr:uid="{9FE12E82-842C-A54F-BBFA-90BB61184221}"/>
    <hyperlink ref="C2377" r:id="rId792" xr:uid="{332D75D5-055D-A443-853E-A2F7FA653BF8}"/>
    <hyperlink ref="F2377" r:id="rId793" xr:uid="{B578D644-008E-DA4B-8C37-EE0E4D8DE23F}"/>
    <hyperlink ref="C2376" r:id="rId794" xr:uid="{7D46FB06-D52D-D146-AE4C-4F9D10D2C018}"/>
    <hyperlink ref="F2376" r:id="rId795" xr:uid="{2521F2A7-6C51-934A-8EFF-1330BF4C757F}"/>
    <hyperlink ref="C2375" r:id="rId796" xr:uid="{2A422E0D-C82A-0245-B4DC-519B2680E00C}"/>
    <hyperlink ref="F2375" r:id="rId797" xr:uid="{E50E5D6F-29E6-604D-8981-A26F540CCBE4}"/>
    <hyperlink ref="F2639" r:id="rId798" xr:uid="{E8D44D0F-59FF-024A-8688-F65718D2D5F5}"/>
    <hyperlink ref="F2640" r:id="rId799" xr:uid="{E411C651-0889-6440-9FA6-6603822E0EA8}"/>
    <hyperlink ref="F2641" r:id="rId800" xr:uid="{28B7ECB5-FCA4-B74A-AB47-025625D73517}"/>
    <hyperlink ref="F2642" r:id="rId801" xr:uid="{7966A6E9-7058-E740-9E20-9BCA54BBD13B}"/>
    <hyperlink ref="F2643" r:id="rId802" xr:uid="{22C1DE2C-6F46-9E48-AE8F-56F44BABC704}"/>
    <hyperlink ref="F2644" r:id="rId803" xr:uid="{10DF82DE-780D-3848-A0C1-539A353E8748}"/>
    <hyperlink ref="F2645" r:id="rId804" xr:uid="{1C14F5AA-7627-C04A-B352-B35BDE2266AC}"/>
    <hyperlink ref="F2646" r:id="rId805" xr:uid="{BBC28D33-D824-4749-8687-EDABDE79C0DD}"/>
    <hyperlink ref="F2647" r:id="rId806" xr:uid="{4CD527BF-B54B-AA48-B91D-ABCF552D110E}"/>
    <hyperlink ref="F2648" r:id="rId807" xr:uid="{2E3F79E2-0854-B744-B0F0-D4174B22EEC2}"/>
    <hyperlink ref="C2647" r:id="rId808" xr:uid="{AB9590BA-3F91-F24A-B390-302A78B6AC36}"/>
    <hyperlink ref="C2646" r:id="rId809" xr:uid="{A3E99F4B-ED25-7D4D-90BD-7941DADFCCD3}"/>
    <hyperlink ref="C2645" r:id="rId810" xr:uid="{B06A7D52-D1D4-534B-8E2A-2ACF4331AC5F}"/>
    <hyperlink ref="C2644" r:id="rId811" xr:uid="{1AC09F71-5517-3345-A0FD-B0344295C4F2}"/>
    <hyperlink ref="C2643" r:id="rId812" xr:uid="{EF8537BE-6CAA-FE42-84FB-55E1DA64B124}"/>
    <hyperlink ref="C2642" r:id="rId813" xr:uid="{3B0EAFEE-7587-2740-98EA-4E2ACB7F36A3}"/>
    <hyperlink ref="C2641" r:id="rId814" xr:uid="{68859AAD-1DE0-4F4D-8B33-8B7E603011AB}"/>
    <hyperlink ref="C2640" r:id="rId815" xr:uid="{03509CF1-4EC6-F64A-975E-1B7D6CD27CDA}"/>
    <hyperlink ref="C2639" r:id="rId816" xr:uid="{C34F3A17-6BEB-C446-B4C7-2190F62F0899}"/>
    <hyperlink ref="C2387" r:id="rId817" xr:uid="{C608D82F-428D-6642-9AA9-AC22BFAE32DC}"/>
    <hyperlink ref="C2391" r:id="rId818" xr:uid="{C93CDAE5-7707-7642-A709-CFA3E8C85BAD}"/>
    <hyperlink ref="C2390" r:id="rId819" xr:uid="{7FED44F7-85E2-0344-AD6F-F5544A6AD008}"/>
    <hyperlink ref="C2389" r:id="rId820" xr:uid="{94E6CFC2-DDF4-2F4A-9C45-8FCB6E126B32}"/>
    <hyperlink ref="F2500" r:id="rId821" xr:uid="{5E6E86CB-9DC1-D648-A578-8144DEC68FC5}"/>
    <hyperlink ref="G2539" r:id="rId822" display="https://www.kegg.jp/entry/C03680" xr:uid="{5814EF23-FBCF-814D-8B89-AB2C04CC534C}"/>
    <hyperlink ref="C2540" r:id="rId823" xr:uid="{AB7D07EC-9F09-FC45-946E-8F7838486AB6}"/>
    <hyperlink ref="F2542" r:id="rId824" xr:uid="{87D77B16-D228-B04C-8C62-BD4EDC94FEFC}"/>
    <hyperlink ref="F2545" r:id="rId825" xr:uid="{F1FD3F69-2B9E-B741-B068-E1563A28A633}"/>
    <hyperlink ref="C2544" r:id="rId826" xr:uid="{B8E4DF21-F428-4E4B-854D-2BB92AE00929}"/>
    <hyperlink ref="F2544" r:id="rId827" xr:uid="{2EECB2E1-19C6-954F-9BC4-4830050744A6}"/>
    <hyperlink ref="F2548" r:id="rId828" xr:uid="{423EAD82-DECB-0140-9EAB-EAC6C3D5E6E5}"/>
    <hyperlink ref="C2578" r:id="rId829" xr:uid="{8DC63AC7-51B3-4946-AB17-B79DA69D43F1}"/>
    <hyperlink ref="C2577" r:id="rId830" xr:uid="{7D7B49D4-42CE-CD4A-8661-4A1CB282DD79}"/>
    <hyperlink ref="C3414" r:id="rId831" xr:uid="{846603E2-E6A1-A64C-A0CD-B853C5194BF7}"/>
    <hyperlink ref="C3413" r:id="rId832" xr:uid="{5ADBBF2B-4BFA-674F-9062-A3C04CE47EDC}"/>
    <hyperlink ref="G2586" r:id="rId833" display="https://www.kegg.jp/entry/C03406" xr:uid="{F85769B3-25D7-3244-AC70-866D156D7D09}"/>
    <hyperlink ref="C2588" r:id="rId834" xr:uid="{469A814A-C91D-D643-9968-86D76C584755}"/>
    <hyperlink ref="F2594" r:id="rId835" xr:uid="{D6FE263F-3638-0249-A2F9-0F64D7A6B524}"/>
    <hyperlink ref="F2601" r:id="rId836" xr:uid="{5E536C21-1385-DC49-AC6E-D50ADCF7853D}"/>
    <hyperlink ref="C2620" r:id="rId837" xr:uid="{3E81BE4C-1C6E-BD46-BD7D-EC1206BF1850}"/>
    <hyperlink ref="C2619" r:id="rId838" xr:uid="{2B862F31-B9C4-FB46-99AE-B236AC0CD0B9}"/>
    <hyperlink ref="F2623" r:id="rId839" xr:uid="{330E4F47-0EAB-9149-A573-C3FA182DB46A}"/>
    <hyperlink ref="C2635" r:id="rId840" xr:uid="{23600BC6-8C7F-114C-895B-C47134D8AC42}"/>
    <hyperlink ref="C2637" r:id="rId841" xr:uid="{4D0E7D22-17B3-FE4F-80BD-FA45B03A0213}"/>
    <hyperlink ref="F2656" r:id="rId842" xr:uid="{33B51A3A-0E23-D443-951C-C58732A4DD5A}"/>
    <hyperlink ref="F2673" r:id="rId843" xr:uid="{D25955B5-8A08-314D-B06C-6E6C6988B202}"/>
    <hyperlink ref="F2680" r:id="rId844" xr:uid="{83F1A72A-3528-9C41-9CD1-93AB81B6B060}"/>
    <hyperlink ref="F2684" r:id="rId845" xr:uid="{12E3EBDB-4817-7F48-BDAC-AC0DA2F538EB}"/>
    <hyperlink ref="F2686" r:id="rId846" xr:uid="{5301CD9E-4417-A443-BAC0-88DD404EDF9B}"/>
    <hyperlink ref="F2704" r:id="rId847" xr:uid="{94B1B728-2B85-464C-B41B-B1A46BF85AEF}"/>
    <hyperlink ref="C2703" r:id="rId848" xr:uid="{F096614A-A8FA-C645-B646-5F4A5547104D}"/>
    <hyperlink ref="F2703" r:id="rId849" xr:uid="{97A8736F-A070-3F45-A891-EBB703116F50}"/>
    <hyperlink ref="C2702" r:id="rId850" xr:uid="{EC94F2A5-A385-0F47-A8C4-14E42718BDDE}"/>
    <hyperlink ref="F2702" r:id="rId851" xr:uid="{AEEBF4ED-ECCE-514C-9354-0723F3A50128}"/>
    <hyperlink ref="C2701" r:id="rId852" xr:uid="{55245439-FAE2-3143-AFD1-0970826F7B3F}"/>
    <hyperlink ref="F2701" r:id="rId853" xr:uid="{ED86053B-1F29-B14D-B39E-BC83BD8FAEBC}"/>
    <hyperlink ref="C2700" r:id="rId854" xr:uid="{002D0B6D-5D2F-CA44-AAB0-219D2C77BC53}"/>
    <hyperlink ref="F2700" r:id="rId855" xr:uid="{EDB1B104-D234-5542-B034-D1E7D74CDEF3}"/>
    <hyperlink ref="C2699" r:id="rId856" xr:uid="{0B995F8B-9FCB-C341-A874-5396B227178F}"/>
    <hyperlink ref="F2699" r:id="rId857" xr:uid="{1DF125B8-F878-5F49-B1F8-6F9A9375970F}"/>
    <hyperlink ref="C2698" r:id="rId858" xr:uid="{EA9D6622-6462-494D-9A57-58EE4840F9F0}"/>
    <hyperlink ref="F2698" r:id="rId859" xr:uid="{A69D5D36-E2BF-CD4D-9495-42FEFC1F16F0}"/>
    <hyperlink ref="C2697" r:id="rId860" xr:uid="{0A12D833-B7EF-5C4C-9BBB-108E0FCF9F12}"/>
    <hyperlink ref="F2697" r:id="rId861" xr:uid="{4A622774-50D8-0647-B1ED-C07100EF1424}"/>
    <hyperlink ref="C2696" r:id="rId862" xr:uid="{A892E080-9D1A-4048-A8C0-A54C74468E8A}"/>
    <hyperlink ref="F2696" r:id="rId863" xr:uid="{8B87A8BD-B671-E74F-BB17-B5F16E52CBD4}"/>
    <hyperlink ref="C2695" r:id="rId864" xr:uid="{071A5DE1-8041-394F-AC05-46EBA517FFC7}"/>
    <hyperlink ref="F2695" r:id="rId865" xr:uid="{2270D7D8-9003-7446-BD98-376F373E19CF}"/>
    <hyperlink ref="C2694" r:id="rId866" xr:uid="{42072456-88A7-954A-A153-3F465552DA8A}"/>
    <hyperlink ref="F2694" r:id="rId867" xr:uid="{F26F0274-9FB7-8445-B127-0E29DB54A383}"/>
    <hyperlink ref="F2707" r:id="rId868" xr:uid="{2215EEFE-01D3-554A-8C85-300EC9F0F593}"/>
    <hyperlink ref="F2711" r:id="rId869" xr:uid="{F952C739-D436-DB47-B767-9763054EA2BE}"/>
    <hyperlink ref="C2710" r:id="rId870" xr:uid="{FFD22C87-2278-DE4A-BF7F-620E8148FC29}"/>
    <hyperlink ref="F2710" r:id="rId871" xr:uid="{520FCA74-7A27-6846-A647-475BDE460DAB}"/>
    <hyperlink ref="C2709" r:id="rId872" xr:uid="{30F32EC5-9976-F243-AAA3-3533CC98467C}"/>
    <hyperlink ref="F2709" r:id="rId873" xr:uid="{6CEA33C1-A176-5940-920E-9D8C0EF065BD}"/>
    <hyperlink ref="F2733" r:id="rId874" xr:uid="{4131425D-BD1F-7744-936A-A78F1A99478B}"/>
    <hyperlink ref="C2732" r:id="rId875" xr:uid="{709C179D-5377-F846-A3FC-040FD8C3AC8C}"/>
    <hyperlink ref="F2732" r:id="rId876" xr:uid="{BD42F68B-DCB7-1847-8E0C-4CDF98751C82}"/>
    <hyperlink ref="C2731" r:id="rId877" xr:uid="{BE3ACF80-9994-E745-A6D5-FE2902421B06}"/>
    <hyperlink ref="F2731" r:id="rId878" xr:uid="{BCD99285-A6C9-DC4B-ABBD-80F6619D3C93}"/>
    <hyperlink ref="F3002" r:id="rId879" xr:uid="{8C7C0712-DC31-634C-96D1-3D34B3A49A66}"/>
    <hyperlink ref="F3015" r:id="rId880" xr:uid="{12B0993E-A1F0-1B40-B179-41C929D8BBBA}"/>
    <hyperlink ref="F3038" r:id="rId881" xr:uid="{9592D1E7-FC12-814F-9034-BFDC5F1B6ED9}"/>
    <hyperlink ref="C3037" r:id="rId882" xr:uid="{F3214C16-CF22-DF46-91CC-8329CD0E8B95}"/>
    <hyperlink ref="F3037" r:id="rId883" xr:uid="{749B6E23-BCAD-4246-A4F5-521FCE50D7EB}"/>
    <hyperlink ref="C3036" r:id="rId884" xr:uid="{6C84D01F-3A21-D746-86AD-74AD9A90430A}"/>
    <hyperlink ref="F3036" r:id="rId885" xr:uid="{6D87F394-C5A8-8548-B6B9-FF25F847E81C}"/>
    <hyperlink ref="C3035" r:id="rId886" xr:uid="{D09C62A6-EBFE-1545-90C7-CCC98626A759}"/>
    <hyperlink ref="F3035" r:id="rId887" xr:uid="{3FCDEDB7-2B41-B24F-A158-5AFFE301C667}"/>
    <hyperlink ref="C3034" r:id="rId888" xr:uid="{2F5ADB72-7D56-CB45-927D-3E64FEDCF83F}"/>
    <hyperlink ref="F3034" r:id="rId889" xr:uid="{638474CA-5886-F147-B0F9-6C14A7DA8BE6}"/>
    <hyperlink ref="C3033" r:id="rId890" xr:uid="{31F340E3-6483-7445-81F1-7DAC44497879}"/>
    <hyperlink ref="F3033" r:id="rId891" xr:uid="{5CC660A3-6BA6-474A-92E2-AD8B0A9CCABC}"/>
    <hyperlink ref="C3032" r:id="rId892" xr:uid="{A247FCDE-4928-C941-85E8-BF5740C7720B}"/>
    <hyperlink ref="F3032" r:id="rId893" xr:uid="{32B641DF-E1D2-E343-8E49-F4884C1A47E6}"/>
    <hyperlink ref="C3031" r:id="rId894" xr:uid="{1CDF83E3-EB6B-2047-AB55-1743712A93B5}"/>
    <hyperlink ref="F3031" r:id="rId895" xr:uid="{5A9F8553-5549-BB47-A67E-8886780EE9BB}"/>
    <hyperlink ref="F3041" r:id="rId896" xr:uid="{05EEED51-E4C6-6C4D-8996-E2D038A9055A}"/>
    <hyperlink ref="F3210" r:id="rId897" xr:uid="{B22D55D1-8818-7540-8AB7-C0D85D42246B}"/>
    <hyperlink ref="C3209" r:id="rId898" xr:uid="{85B4DB42-7E62-0F47-B0D1-0B2F45C91BDF}"/>
    <hyperlink ref="F3209" r:id="rId899" xr:uid="{2FD31F40-C7B2-4742-B33C-48316FC4656A}"/>
    <hyperlink ref="C3208" r:id="rId900" xr:uid="{509BCDE9-2043-B64B-B87F-9C58F5198F63}"/>
    <hyperlink ref="F3208" r:id="rId901" xr:uid="{1376264B-493C-494E-B68D-14EA197D5387}"/>
    <hyperlink ref="C3207" r:id="rId902" xr:uid="{C0BB75C9-0830-2640-AC99-714CF5743BD8}"/>
    <hyperlink ref="F3207" r:id="rId903" xr:uid="{58A73B0D-531B-D642-9EDF-A7F3133452CD}"/>
    <hyperlink ref="C3206" r:id="rId904" xr:uid="{41372080-453D-2048-9059-535A8309C650}"/>
    <hyperlink ref="F3206" r:id="rId905" xr:uid="{A75ED14C-1FC0-1944-AD27-B29D4DDAE224}"/>
    <hyperlink ref="H3208" r:id="rId906" display="https://www.kegg.jp/entry/C01172" xr:uid="{1B46DA52-119E-6042-9EAB-448A7910AF4A}"/>
    <hyperlink ref="G3209" r:id="rId907" display="https://www.kegg.jp/entry/C01172" xr:uid="{36979CFE-4B1E-B942-BA1B-00DBE9E1E386}"/>
    <hyperlink ref="C3211" r:id="rId908" xr:uid="{0CA3CBD3-5866-F943-8464-9BAC64C1848C}"/>
    <hyperlink ref="F3211" r:id="rId909" xr:uid="{0D1E6338-D47F-9A46-8154-7ABB0635FE91}"/>
    <hyperlink ref="F3213" r:id="rId910" xr:uid="{B7B73A1D-C6BC-364B-9CEB-87FD3016C274}"/>
    <hyperlink ref="C3221" r:id="rId911" xr:uid="{A9579A2C-F5CB-6A4C-9EDE-6EB47643FCD4}"/>
    <hyperlink ref="C3225" r:id="rId912" xr:uid="{A2934B65-0786-CB45-B8B9-C7E7416E21AB}"/>
    <hyperlink ref="C3224" r:id="rId913" xr:uid="{8F95A92E-5A50-AE44-BA1D-8A1DA7A71219}"/>
    <hyperlink ref="C3234" r:id="rId914" xr:uid="{BE3D6975-71B7-BB4A-9421-447FD2221125}"/>
    <hyperlink ref="F3234" r:id="rId915" xr:uid="{CA3B5BCE-4E77-3744-89A4-6875954E75C2}"/>
    <hyperlink ref="F3235" r:id="rId916" xr:uid="{C7BDAE0D-A921-BB49-BF9E-FB261AE93B3A}"/>
    <hyperlink ref="C3260" r:id="rId917" xr:uid="{2D7AC1AA-CFCB-054D-82FC-4B5F91BAE87C}"/>
    <hyperlink ref="C3259" r:id="rId918" xr:uid="{A230EA7D-B870-554E-A591-7EA18B5632AD}"/>
    <hyperlink ref="F3279" r:id="rId919" xr:uid="{495C9CA4-FDEB-0F4D-A177-D9C08885704F}"/>
    <hyperlink ref="C3288" r:id="rId920" xr:uid="{79673CCC-DF52-2746-8F2F-40695E4676B0}"/>
    <hyperlink ref="F3288" r:id="rId921" xr:uid="{78CA083C-D400-D942-B4A7-BF682CE25DBF}"/>
    <hyperlink ref="F3289" r:id="rId922" xr:uid="{7BDF091E-6059-954B-A76A-B16225D3D3D6}"/>
    <hyperlink ref="C3328" r:id="rId923" xr:uid="{17C47F00-E24B-144D-B081-5E43B7894B29}"/>
    <hyperlink ref="C3331" r:id="rId924" xr:uid="{E8713CDA-51CF-9F46-9DF4-0F03F93C9A91}"/>
    <hyperlink ref="C3395" r:id="rId925" xr:uid="{DE399D1D-5171-EE4B-A0B7-A9996C1146CF}"/>
    <hyperlink ref="F3402" r:id="rId926" xr:uid="{59D566EC-EC4C-1649-A3EC-9E7DD5BD4932}"/>
    <hyperlink ref="F3406" r:id="rId927" xr:uid="{1309FCE5-9CB5-DF40-BBD5-9F62E6E97CFF}"/>
    <hyperlink ref="F3407" r:id="rId928" xr:uid="{33DF1345-FA33-1948-84F6-9405A35BD265}"/>
    <hyperlink ref="C3409" r:id="rId929" xr:uid="{2B27D5A3-FFE0-664A-97CB-A6CD046FBE46}"/>
    <hyperlink ref="C3410" r:id="rId930" xr:uid="{967F2B8C-45C9-994C-81E2-3E6891E75927}"/>
    <hyperlink ref="F3421" r:id="rId931" xr:uid="{4E1C4423-0B77-3C44-A685-0A879EC827E9}"/>
    <hyperlink ref="F3443" r:id="rId932" xr:uid="{A409B960-892F-8B4A-BB43-CE1BED2C0A05}"/>
    <hyperlink ref="F3476" r:id="rId933" xr:uid="{803AB318-D3E6-9C45-98C5-8395E9421C52}"/>
    <hyperlink ref="C3475" r:id="rId934" xr:uid="{9051F4AC-64FB-C448-BC74-FA1B34FC0AEA}"/>
    <hyperlink ref="F3475" r:id="rId935" xr:uid="{A2009C5D-33EA-B54A-B0C1-8768FD18EE9E}"/>
    <hyperlink ref="C3474" r:id="rId936" xr:uid="{0E608821-C946-D34F-A01E-78326D36C9E9}"/>
    <hyperlink ref="F3474" r:id="rId937" xr:uid="{BC457265-0A96-F349-B524-2392263489AD}"/>
    <hyperlink ref="C3473" r:id="rId938" xr:uid="{FB7EC49A-7579-7748-AFF8-6FC39FB71FDA}"/>
    <hyperlink ref="F3473" r:id="rId939" xr:uid="{2069CB0E-DAA5-534A-987C-0A9C33D4AE36}"/>
    <hyperlink ref="F3491" r:id="rId940" xr:uid="{433663FE-3996-5D48-BD5D-9F0BE96193B2}"/>
    <hyperlink ref="F3512" r:id="rId941" xr:uid="{D8ED3735-2B81-9945-95C9-716764D66E97}"/>
    <hyperlink ref="C3534" r:id="rId942" xr:uid="{2CD26080-1604-C748-92F5-0DEEF5EA5357}"/>
    <hyperlink ref="C3533" r:id="rId943" xr:uid="{4D08D1E9-9F1C-3C46-9C3E-A634B84A639A}"/>
    <hyperlink ref="C3536" r:id="rId944" xr:uid="{2AD2C08A-0BBF-6A44-BC4F-9CF95F81E8AA}"/>
    <hyperlink ref="F3536" r:id="rId945" xr:uid="{51797211-FC74-BC44-9A48-3E86858F0870}"/>
    <hyperlink ref="F3537" r:id="rId946" xr:uid="{A4649347-4FC6-A641-8540-04DD74F4623F}"/>
    <hyperlink ref="C3581" r:id="rId947" xr:uid="{A7D6F81C-7FCF-6044-A4C5-F8F9F8406DCF}"/>
    <hyperlink ref="F3581" r:id="rId948" xr:uid="{8DF4458E-9B4F-324D-B0BB-D4394FE850E1}"/>
    <hyperlink ref="F3582" r:id="rId949" xr:uid="{D2EE0371-4A29-1C43-B2E6-1DFDC7A405D2}"/>
    <hyperlink ref="F3601" r:id="rId950" xr:uid="{9CADD2C0-8026-4C4D-97BD-174E3B506029}"/>
    <hyperlink ref="C3600" r:id="rId951" xr:uid="{A3CF0C8D-4547-5040-B9D4-42B6A27CBA18}"/>
    <hyperlink ref="F3600" r:id="rId952" xr:uid="{0519C8D0-42D9-204A-BA3E-93AB15CEC882}"/>
    <hyperlink ref="F3611" r:id="rId953" xr:uid="{ABB6D2E7-9855-B849-A937-8890CEB8BEAD}"/>
    <hyperlink ref="F3615" r:id="rId954" xr:uid="{36BECFC9-813F-934E-BBEF-394CEB576C6A}"/>
    <hyperlink ref="F3643" r:id="rId955" xr:uid="{EC08E81C-D659-8F4E-B947-E396B497787F}"/>
    <hyperlink ref="C3653" r:id="rId956" xr:uid="{0FC6510E-FC35-4443-A2C5-819510E8583C}"/>
    <hyperlink ref="F3653" r:id="rId957" xr:uid="{6759A454-CA68-1E4E-B836-BF7ADCABF103}"/>
    <hyperlink ref="F3654" r:id="rId958" xr:uid="{67F33547-9310-3F4A-A755-76F5B21DDC54}"/>
    <hyperlink ref="F3661" r:id="rId959" xr:uid="{8974C940-463E-6440-B446-6DD3367BCD37}"/>
    <hyperlink ref="F3761" r:id="rId960" xr:uid="{B559C4D6-D8F4-B642-9669-D995CE291E87}"/>
    <hyperlink ref="F3796" r:id="rId961" xr:uid="{A1A6E1FE-8E7F-2F44-B7C3-E553D307616A}"/>
    <hyperlink ref="F3797" r:id="rId962" xr:uid="{820315E3-A988-6A4B-AF72-C05DA2160828}"/>
    <hyperlink ref="C3817" r:id="rId963" xr:uid="{8C98C723-DE31-6947-9DF4-B8CB8548C1E8}"/>
    <hyperlink ref="C3816" r:id="rId964" xr:uid="{0878A471-912F-4B4F-B70C-EA8425BE6635}"/>
    <hyperlink ref="C3815" r:id="rId965" xr:uid="{501DEA38-B6E8-DC4A-B9AE-E45E6107BAA6}"/>
    <hyperlink ref="F3815" r:id="rId966" xr:uid="{1B753C4A-BA8D-B940-9FAA-278A9BD1E8B1}"/>
    <hyperlink ref="F3817" r:id="rId967" xr:uid="{1CD87B7F-77FF-C242-AD16-9B02EB106C8B}"/>
    <hyperlink ref="F3818" r:id="rId968" xr:uid="{140E635F-1713-AA45-B5A3-8100F6E5F658}"/>
    <hyperlink ref="F3822" r:id="rId969" xr:uid="{E826EB9B-2AC1-3F4B-99A8-1A9D719040D4}"/>
    <hyperlink ref="C3821" r:id="rId970" xr:uid="{513167F7-3212-F548-BAA0-B07F1FE17EBE}"/>
    <hyperlink ref="F3821" r:id="rId971" xr:uid="{13044432-EA78-344A-9C2D-CA991F01C027}"/>
    <hyperlink ref="C3820" r:id="rId972" xr:uid="{A48407EF-9064-1B40-98BD-264790618ECC}"/>
    <hyperlink ref="F3820" r:id="rId973" xr:uid="{006A4FDF-3470-2C49-8EA5-8408A2E2F165}"/>
    <hyperlink ref="C3819" r:id="rId974" xr:uid="{B8266FCE-17FA-C74C-85C1-25340FA9A4AD}"/>
    <hyperlink ref="F3819" r:id="rId975" xr:uid="{9DDBB29C-BF19-A947-830D-B042D13B7F08}"/>
    <hyperlink ref="F3834" r:id="rId976" xr:uid="{1AA48F33-0123-D242-8BE8-E3215D9C5353}"/>
    <hyperlink ref="F3901" r:id="rId977" xr:uid="{C8A5564E-C5EF-8845-9A10-5560F9C05EE0}"/>
    <hyperlink ref="C3908" r:id="rId978" xr:uid="{B5EF0C19-63C9-6048-AE99-3B2E89A634D6}"/>
    <hyperlink ref="F3909" r:id="rId979" xr:uid="{560CF419-5BA1-8843-8961-45FB1C55B9C3}"/>
    <hyperlink ref="C3911" r:id="rId980" xr:uid="{FFBB2A59-D339-AD4E-829D-6B5540092DBB}"/>
    <hyperlink ref="F3911" r:id="rId981" xr:uid="{758A4E5F-BF35-1B4D-99E9-58B90215412A}"/>
    <hyperlink ref="F3912" r:id="rId982" xr:uid="{80B5873D-2C40-D24C-9B18-0023202ADD8C}"/>
    <hyperlink ref="C3926" r:id="rId983" xr:uid="{57FAA4F0-62E3-DF4C-892A-D4002DB3D15D}"/>
    <hyperlink ref="C3925" r:id="rId984" xr:uid="{6F188DFD-3D2C-5347-8681-71AE0F260BBE}"/>
    <hyperlink ref="C3924" r:id="rId985" xr:uid="{308B0613-8DD3-574C-831F-F701C98BA806}"/>
    <hyperlink ref="F3924" r:id="rId986" xr:uid="{F2B83362-4AE8-9745-B7BF-120DC8B96012}"/>
    <hyperlink ref="F3925" r:id="rId987" xr:uid="{C3246FDC-D403-B446-895A-F59A01D0C454}"/>
    <hyperlink ref="F3926" r:id="rId988" xr:uid="{2311566C-C9C9-4A43-A24A-43FEDD2BE857}"/>
    <hyperlink ref="F3927" r:id="rId989" xr:uid="{B2DBF93C-2CCD-D14C-A42B-332FB6232D5E}"/>
    <hyperlink ref="C3941" r:id="rId990" xr:uid="{449BBB7D-B413-BE4A-AA5E-D0A1BE209597}"/>
    <hyperlink ref="F3965" r:id="rId991" xr:uid="{D895A511-EDFC-794B-B374-A98029FDBEDE}"/>
    <hyperlink ref="F3987" r:id="rId992" xr:uid="{916F5A58-1DBE-9F4F-95DB-C47F6034BFD5}"/>
    <hyperlink ref="F3999" r:id="rId993" xr:uid="{77BA18C0-8B5C-894C-807A-A709DE397E06}"/>
    <hyperlink ref="C4004" r:id="rId994" xr:uid="{78A4CBB6-7B6E-8840-9AE5-FF041B24ABEC}"/>
    <hyperlink ref="C4003" r:id="rId995" xr:uid="{506C97A5-1CC3-0742-8882-6E8A9771AE93}"/>
    <hyperlink ref="C4002" r:id="rId996" xr:uid="{95005F3F-1343-DF46-A7F9-3CF65913C7D2}"/>
    <hyperlink ref="F4010" r:id="rId997" xr:uid="{A82E9329-EC49-704B-892C-BE7B3A2364EA}"/>
    <hyperlink ref="C4027" r:id="rId998" xr:uid="{BBC122CF-D909-864B-B36F-D94529333634}"/>
    <hyperlink ref="F4027" r:id="rId999" xr:uid="{9AE83BBD-B214-A843-9BFC-CA77625B4068}"/>
    <hyperlink ref="F4035" r:id="rId1000" xr:uid="{B4EF4BA2-1760-0142-9B42-A6F2FC18C9FF}"/>
    <hyperlink ref="C4034" r:id="rId1001" xr:uid="{CAF60C7A-9A1B-E34D-9737-E28C2C4581CA}"/>
    <hyperlink ref="F4034" r:id="rId1002" xr:uid="{0A999154-3CB8-F546-B762-365143CC9ECE}"/>
    <hyperlink ref="C4033" r:id="rId1003" xr:uid="{47E3CE0A-7EDA-C040-BCA6-9A90D0BCF115}"/>
    <hyperlink ref="F4033" r:id="rId1004" xr:uid="{858264BC-4C38-AE43-8550-F1F836D220A6}"/>
    <hyperlink ref="C4045" r:id="rId1005" xr:uid="{2DA67E49-1C69-994C-AE73-17A1FFABB84E}"/>
    <hyperlink ref="C4044" r:id="rId1006" xr:uid="{26ADD686-D551-1E4A-A3C4-EA9924DF45FF}"/>
    <hyperlink ref="F4046" r:id="rId1007" xr:uid="{CD67161D-79AF-764A-8F74-A2534936D2A7}"/>
    <hyperlink ref="F4060" r:id="rId1008" xr:uid="{C6CEC88E-2604-CD41-AC49-7701A65075E4}"/>
    <hyperlink ref="C4067" r:id="rId1009" xr:uid="{7756406F-E087-0740-A011-7D4082F8C5FF}"/>
    <hyperlink ref="F4067" r:id="rId1010" xr:uid="{59550C47-9B6A-0C42-8428-C824B66F3EE8}"/>
    <hyperlink ref="F4099" r:id="rId1011" xr:uid="{5486D3BD-71A6-7D44-9B4F-9D4034D7222B}"/>
    <hyperlink ref="C4118" r:id="rId1012" xr:uid="{7E3A1596-AD35-8046-9994-B77A4EC9288F}"/>
    <hyperlink ref="C4117" r:id="rId1013" xr:uid="{9FF54453-1D66-294E-9F2A-C591A7868E6C}"/>
    <hyperlink ref="C4116" r:id="rId1014" xr:uid="{CCDD7FF4-247F-7F47-85B8-0CA8658A797A}"/>
    <hyperlink ref="C4115" r:id="rId1015" xr:uid="{E572905C-5A71-574B-A89D-7391532C9E86}"/>
    <hyperlink ref="C4108" r:id="rId1016" xr:uid="{AD2BEDF7-5D46-D341-B228-CF96056B1BE3}"/>
    <hyperlink ref="C4107" r:id="rId1017" xr:uid="{7B803CF4-BBB9-7448-9DED-2803D23CB49E}"/>
    <hyperlink ref="C4106" r:id="rId1018" xr:uid="{D12410E9-EC5F-7E49-BDCB-1F1175D6DC16}"/>
    <hyperlink ref="C4105" r:id="rId1019" xr:uid="{D4C28F54-86C5-E140-BD33-6FA77C05A5E4}"/>
    <hyperlink ref="C4104" r:id="rId1020" xr:uid="{178834BA-674E-1743-9A1D-A71D7C5F11E2}"/>
    <hyperlink ref="C4113" r:id="rId1021" xr:uid="{DACBF231-863A-A44E-B0AA-8DA7AA469AA9}"/>
    <hyperlink ref="C4112" r:id="rId1022" xr:uid="{F59CF5B4-9422-B549-AC47-368AE66803DE}"/>
    <hyperlink ref="C4111" r:id="rId1023" xr:uid="{9A28E50A-FCBF-9A4A-A863-6645B439C5ED}"/>
    <hyperlink ref="C4110" r:id="rId1024" xr:uid="{5C271702-21DF-0246-860C-9629F306D02B}"/>
    <hyperlink ref="C4109" r:id="rId1025" xr:uid="{9998B710-B1D5-314A-ACA7-714C70B2D562}"/>
    <hyperlink ref="C4114" r:id="rId1026" xr:uid="{CE711AC6-9A51-BC40-B8EB-277E81B98211}"/>
    <hyperlink ref="F4104" r:id="rId1027" xr:uid="{71207470-FF30-4446-80E1-E26F4B72734C}"/>
    <hyperlink ref="F4113" r:id="rId1028" xr:uid="{81BE30FA-7D4E-6740-8030-F34FBE49F751}"/>
    <hyperlink ref="F4114" r:id="rId1029" xr:uid="{8A094D3E-6511-2A47-A42E-784F145369FB}"/>
    <hyperlink ref="F4115" r:id="rId1030" xr:uid="{EC2F237B-FB44-7C43-B9A2-A4FC29C41DFC}"/>
    <hyperlink ref="F4149" r:id="rId1031" xr:uid="{FCC2D918-C1B2-3241-A958-3223993A03FC}"/>
    <hyperlink ref="F4156" r:id="rId1032" xr:uid="{9AC8833A-46D9-5742-8F52-C97BD2B944E1}"/>
    <hyperlink ref="F4158" r:id="rId1033" xr:uid="{810417AD-5F89-D34E-AA54-F4F10A3245D9}"/>
    <hyperlink ref="C4185" r:id="rId1034" xr:uid="{6072248C-E4C0-AE45-83E6-5AE810E94598}"/>
    <hyperlink ref="F4185" r:id="rId1035" xr:uid="{FD7A6371-EA1C-BD43-9274-2A9A0EB72F0B}"/>
    <hyperlink ref="F4186" r:id="rId1036" xr:uid="{5D71F845-9420-3342-A4EF-FFEEBC70C85B}"/>
    <hyperlink ref="C4213" r:id="rId1037" xr:uid="{4AD5F58A-42C0-8645-9BC1-D416E25DE25C}"/>
    <hyperlink ref="F4213" r:id="rId1038" xr:uid="{CDE83B6A-EBC2-C64F-BE41-AB00CF1A17FA}"/>
    <hyperlink ref="F4214" r:id="rId1039" xr:uid="{D5D7CE02-28B1-DF49-8429-235408E3D330}"/>
    <hyperlink ref="C4230" r:id="rId1040" xr:uid="{C5F5A289-79CD-2A49-8054-8487BDB80FB0}"/>
    <hyperlink ref="C4229" r:id="rId1041" xr:uid="{DFCB7C59-0EC8-0041-80CA-FE84464F2386}"/>
    <hyperlink ref="C4228" r:id="rId1042" xr:uid="{8C1C4FAE-31C3-A940-81A5-68D164508455}"/>
    <hyperlink ref="C4227" r:id="rId1043" xr:uid="{5E87DEA5-EA05-FF4A-8C1B-18D607BE77AA}"/>
    <hyperlink ref="C4226" r:id="rId1044" display="https://enzyme.expasy.org/EC/1.1.1.100" xr:uid="{211D261D-15EC-8E47-8EE3-E8282394D4C1}"/>
    <hyperlink ref="E4226" r:id="rId1045" xr:uid="{8E60817B-F4A1-6644-B988-33FA0501094A}"/>
    <hyperlink ref="C4225" r:id="rId1046" display="https://enzyme.expasy.org/EC/1.1.1.100" xr:uid="{2F9091BD-237C-114B-BD88-C07FA8B57D50}"/>
    <hyperlink ref="E4225" r:id="rId1047" xr:uid="{79384654-2484-B74E-A370-83AD1E7AE637}"/>
    <hyperlink ref="C4224" r:id="rId1048" display="https://enzyme.expasy.org/EC/1.1.1.100" xr:uid="{0D576854-3BFD-D444-8B04-B926B5AC4AF1}"/>
    <hyperlink ref="E4224" r:id="rId1049" xr:uid="{6F567550-E0D3-9C40-BE4D-683E68FCC88E}"/>
    <hyperlink ref="C4223" r:id="rId1050" display="https://enzyme.expasy.org/EC/1.1.1.100" xr:uid="{FFCAED18-5275-CE48-9B7D-C28305C35C70}"/>
    <hyperlink ref="E4223" r:id="rId1051" xr:uid="{1D279E8F-2CEE-5E47-B646-D9AEF57DB96C}"/>
    <hyperlink ref="C4222" r:id="rId1052" display="https://enzyme.expasy.org/EC/1.1.1.100" xr:uid="{569D2FAD-4245-F34B-BCAB-2C911D90EAC3}"/>
    <hyperlink ref="E4222" r:id="rId1053" xr:uid="{69B31AD2-FDEE-6340-B3F5-76259DC2B327}"/>
    <hyperlink ref="C4221" r:id="rId1054" display="https://enzyme.expasy.org/EC/1.1.1.100" xr:uid="{B563A4ED-B458-294F-BC28-AA4A644E5DC9}"/>
    <hyperlink ref="E4221" r:id="rId1055" xr:uid="{04E114D4-08F8-B14F-85FF-D60A9FAE4AF6}"/>
    <hyperlink ref="C4220" r:id="rId1056" display="https://enzyme.expasy.org/EC/1.1.1.100" xr:uid="{D42950F5-A1E7-EE48-AF00-A1BD3535E903}"/>
    <hyperlink ref="E4220" r:id="rId1057" xr:uid="{AE8518EC-7598-B841-9F9D-25A060978A14}"/>
    <hyperlink ref="F4235" r:id="rId1058" xr:uid="{7C9C0F1C-18AF-6349-B434-A9C4DD73076C}"/>
    <hyperlink ref="C4247" r:id="rId1059" xr:uid="{7ADD6E38-3957-A042-88A3-25345B94BAE9}"/>
    <hyperlink ref="C4246" r:id="rId1060" xr:uid="{F4833DC9-4E44-A048-8B63-13F41629BEE1}"/>
    <hyperlink ref="C4245" r:id="rId1061" xr:uid="{1743998E-C11D-E94A-965C-2B40AA76F80C}"/>
    <hyperlink ref="F4328" r:id="rId1062" xr:uid="{581CEBA5-CBAA-E94F-A657-9987427BF078}"/>
    <hyperlink ref="F4331" r:id="rId1063" xr:uid="{80D3BD1A-C953-D747-9B7B-5B4B04DD0683}"/>
    <hyperlink ref="F4399" r:id="rId1064" xr:uid="{1BBAE608-D98C-5F45-886E-11416B04D10C}"/>
    <hyperlink ref="C4398" r:id="rId1065" xr:uid="{CF548922-1B0E-8243-827B-1F2A6C5A9686}"/>
    <hyperlink ref="F4398" r:id="rId1066" xr:uid="{98E728CC-BECC-D144-A733-2816C6D95A4B}"/>
    <hyperlink ref="C4397" r:id="rId1067" xr:uid="{2067D1C3-3C12-4D4F-A52C-1A08A73039DB}"/>
    <hyperlink ref="F4397" r:id="rId1068" xr:uid="{4C05AD1C-B654-894E-B9FB-55BB2628D346}"/>
    <hyperlink ref="C4396" r:id="rId1069" xr:uid="{4736F251-0FB0-0B44-A1D8-491302C51339}"/>
    <hyperlink ref="F4396" r:id="rId1070" xr:uid="{B4840EBB-F61C-A643-B3D5-B70E5175F424}"/>
    <hyperlink ref="C4395" r:id="rId1071" xr:uid="{BAC1EE5B-19EC-D44E-A5F4-3E6FD97ABFF1}"/>
    <hyperlink ref="F4395" r:id="rId1072" xr:uid="{3BFC1705-89A5-2B45-A6BD-9A8B02FA7AB7}"/>
    <hyperlink ref="F4417" r:id="rId1073" xr:uid="{765B1C09-E6A9-1344-B32B-C6BB89CCA662}"/>
    <hyperlink ref="C4419" r:id="rId1074" xr:uid="{2AB18AA4-DAE6-EE42-BB45-EB65A2F1F0BD}"/>
    <hyperlink ref="F4419" r:id="rId1075" xr:uid="{A1331878-64EE-2E48-9EAB-4F7459096119}"/>
    <hyperlink ref="F4420" r:id="rId1076" xr:uid="{DCAD62AC-D762-0C4A-95F9-654E59658DC3}"/>
    <hyperlink ref="F4442" r:id="rId1077" xr:uid="{7FF1510C-CDDA-ED4B-9DA4-D4649E821795}"/>
    <hyperlink ref="F4571" r:id="rId1078" xr:uid="{F5854AF6-05C5-1C43-9A31-72C03E8837F5}"/>
    <hyperlink ref="C4627" r:id="rId1079" xr:uid="{0902B997-92FA-0A44-B4D6-638B5405222A}"/>
    <hyperlink ref="C4626" r:id="rId1080" xr:uid="{D8008055-323C-4446-A377-11B7FFB47D58}"/>
    <hyperlink ref="C4633" r:id="rId1081" xr:uid="{BE7FFF5C-A93F-6841-8C9E-854D68B2C789}"/>
    <hyperlink ref="C4632" r:id="rId1082" xr:uid="{9F10A653-9530-D242-8912-32190F398625}"/>
    <hyperlink ref="F4632" r:id="rId1083" xr:uid="{6117E1BE-3437-CE41-8A20-BC4E0B8BD940}"/>
    <hyperlink ref="F4653" r:id="rId1084" xr:uid="{9B408D8C-458B-8C41-824B-DB6FCE1D89AC}"/>
    <hyperlink ref="C4656" r:id="rId1085" xr:uid="{083CF87B-669C-2B44-8EF0-EC1FF47916E5}"/>
    <hyperlink ref="C4668" r:id="rId1086" xr:uid="{7DE8D480-AAAA-7246-A071-547EF6FE39D7}"/>
    <hyperlink ref="F4668" r:id="rId1087" xr:uid="{9078F260-7B9E-F944-8A59-714DFA2F26DB}"/>
    <hyperlink ref="F4669" r:id="rId1088" xr:uid="{D89C379C-E6A2-6447-9104-68F96DF8304E}"/>
    <hyperlink ref="F4670" r:id="rId1089" xr:uid="{7BA3E586-0FE4-F749-B077-EB80908054C4}"/>
    <hyperlink ref="F4671" r:id="rId1090" xr:uid="{792DDAF6-5908-4442-97E1-3E4C938E64B4}"/>
    <hyperlink ref="F4678" r:id="rId1091" xr:uid="{7AF58B46-9E6C-C84B-B386-0778F39FAE25}"/>
    <hyperlink ref="F4692" r:id="rId1092" xr:uid="{9819EC9C-4603-434E-AF5E-F464EC627A35}"/>
    <hyperlink ref="F4701" r:id="rId1093" xr:uid="{A71E8D08-03F1-3647-AE4B-3F06574B6FEE}"/>
    <hyperlink ref="C4706" r:id="rId1094" xr:uid="{7D8E5EF4-F77A-0143-9647-0BC41A45BFF5}"/>
    <hyperlink ref="F4707" r:id="rId1095" xr:uid="{FBEAAC41-16E3-6D4C-9DAB-018ED79A66BA}"/>
    <hyperlink ref="F4741" r:id="rId1096" xr:uid="{79BCE360-6684-114F-9979-3CF7373237FA}"/>
    <hyperlink ref="C4740" r:id="rId1097" xr:uid="{0228D2A7-DDC8-0A4C-97BC-6C06EBC92701}"/>
    <hyperlink ref="F4740" r:id="rId1098" xr:uid="{86B7D1A1-5C10-7444-9EA6-EE01547E5590}"/>
    <hyperlink ref="C4739" r:id="rId1099" xr:uid="{5F8EF780-75C3-4E42-AC52-088AF4DC5EB7}"/>
    <hyperlink ref="F4739" r:id="rId1100" xr:uid="{70D4B0E0-8107-5548-86E9-D6E8BB932636}"/>
    <hyperlink ref="C4748" r:id="rId1101" xr:uid="{EDEBD6CE-AEFE-314D-BE1C-91FF9A253BEA}"/>
    <hyperlink ref="C4747" r:id="rId1102" xr:uid="{3F2CBEDC-3DF6-3B44-A6A1-EDD3EFA345EB}"/>
    <hyperlink ref="C4746" r:id="rId1103" xr:uid="{7BECC86B-3A01-964F-AEBC-1629BE550AA2}"/>
    <hyperlink ref="C4745" r:id="rId1104" xr:uid="{C3172803-6597-4A40-A08C-9F8DF742B432}"/>
    <hyperlink ref="C4744" r:id="rId1105" xr:uid="{1C126829-E1FC-E44F-AB59-535D1108F45C}"/>
    <hyperlink ref="C4743" r:id="rId1106" xr:uid="{C38C4BB5-EB5D-F842-ACE5-2B6569BC698C}"/>
    <hyperlink ref="C4742" r:id="rId1107" xr:uid="{6A16B582-59B1-9F46-9E72-A6EE0CC8969C}"/>
    <hyperlink ref="C4750" r:id="rId1108" xr:uid="{F799E331-9D1B-2347-ACD3-2A705FFABB65}"/>
    <hyperlink ref="C4756" r:id="rId1109" xr:uid="{7825DD1E-8779-F944-8050-C6F4D3C6F9E2}"/>
    <hyperlink ref="F4759" r:id="rId1110" xr:uid="{14BC8C7E-D9E9-554B-9EA1-B3A71421F8E3}"/>
    <hyperlink ref="F4762" r:id="rId1111" xr:uid="{B11EB26C-1555-F947-89AB-1BB49647281F}"/>
    <hyperlink ref="F4763" r:id="rId1112" xr:uid="{C28C0D38-B0D1-F742-ACFF-C1D31E7BE416}"/>
    <hyperlink ref="F4794" r:id="rId1113" xr:uid="{96F071B3-39A0-294E-98D3-33B1FC6582F0}"/>
    <hyperlink ref="F4831" r:id="rId1114" xr:uid="{6D75D0F7-B889-734E-AD7E-CC5F433F17DC}"/>
    <hyperlink ref="F4853" r:id="rId1115" xr:uid="{4F3B0687-3401-154B-B3E7-60ED6711EA3B}"/>
    <hyperlink ref="C4852" r:id="rId1116" xr:uid="{5F7B8652-0356-EE49-8773-5588704E375A}"/>
    <hyperlink ref="F4852" r:id="rId1117" xr:uid="{217AC689-9ACA-5740-BDB6-AAD75C0E423A}"/>
    <hyperlink ref="C4851" r:id="rId1118" xr:uid="{6A84A4C6-C8AE-7248-ADA9-EBCF17D85CB3}"/>
    <hyperlink ref="F4851" r:id="rId1119" xr:uid="{519B351C-DF07-2746-8353-649F40B13EC4}"/>
    <hyperlink ref="C4850" r:id="rId1120" xr:uid="{5FB69B7B-AC16-EC40-8AFE-25D1FC1DCFAA}"/>
    <hyperlink ref="F4850" r:id="rId1121" xr:uid="{002304FD-7A35-4040-B941-A28868CDC417}"/>
    <hyperlink ref="F4854" r:id="rId1122" xr:uid="{6DCD81C7-A24E-274F-8340-6D7A93D426D4}"/>
    <hyperlink ref="F4855" r:id="rId1123" xr:uid="{2B762F72-D0B0-C94C-A1C4-6C249522534F}"/>
    <hyperlink ref="C4857" r:id="rId1124" xr:uid="{8B130528-EA91-174B-B282-CD589BFBD55A}"/>
    <hyperlink ref="C4856" r:id="rId1125" xr:uid="{FCFD0DA5-7660-DB41-82FB-4AC723E8BDF5}"/>
    <hyperlink ref="C4860" r:id="rId1126" xr:uid="{1B56DB8B-54E6-154C-B546-88BD6964BD7E}"/>
    <hyperlink ref="C4859" r:id="rId1127" xr:uid="{0DF1095C-ED5E-6C4C-A37C-AF2E69C1C586}"/>
    <hyperlink ref="F4859" r:id="rId1128" xr:uid="{BB85080E-2A0C-5641-8F08-F806CB1616EE}"/>
    <hyperlink ref="F4862" r:id="rId1129" xr:uid="{E8293049-3604-5C45-9D05-65D09C945BC5}"/>
    <hyperlink ref="F4914" r:id="rId1130" xr:uid="{E30942EB-CF34-174D-912B-49F86C311608}"/>
    <hyperlink ref="C4918" r:id="rId1131" xr:uid="{84EACF56-4F9B-4F49-8726-2E4B4C0F2C56}"/>
    <hyperlink ref="F4918" r:id="rId1132" xr:uid="{39073264-DEFC-364B-B3DD-47C115656CD4}"/>
    <hyperlink ref="F4919" r:id="rId1133" xr:uid="{45EB5A2E-B668-E14E-BCD2-078F70640503}"/>
    <hyperlink ref="G4918" r:id="rId1134" display="https://www.kegg.jp/entry/C18172" xr:uid="{A9A78743-3AF5-8249-A5DA-453179C004E6}"/>
    <hyperlink ref="F4930" r:id="rId1135" xr:uid="{BF20A26F-6B96-7D4A-BB3E-FF8535E5E672}"/>
    <hyperlink ref="C4929" r:id="rId1136" xr:uid="{1C5DF56D-2CC0-274E-B32C-18B8539E7A6A}"/>
    <hyperlink ref="F4929" r:id="rId1137" xr:uid="{2D564A1E-3A53-E14E-8624-7E8F4F2825CB}"/>
    <hyperlink ref="F4952" r:id="rId1138" xr:uid="{011CB760-0C37-1949-A068-A2D1AF67E68B}"/>
    <hyperlink ref="F4957" r:id="rId1139" xr:uid="{8B7BD099-B46C-6249-8E08-4A939E1AA17D}"/>
    <hyperlink ref="F1392" r:id="rId1140" xr:uid="{B965A1FA-DBF5-514D-B683-CA8F65539494}"/>
    <hyperlink ref="C90" r:id="rId1141" xr:uid="{C0968008-8D85-7446-9490-D00FCD828C4F}"/>
    <hyperlink ref="G1484" r:id="rId1142" display="https://www.genome.jp/entry/C03733" xr:uid="{1BC18BBF-8C0F-904D-9FBB-3D3947B45C4B}"/>
    <hyperlink ref="H1484" r:id="rId1143" display="https://www.genome.jp/entry/C18094" xr:uid="{6655B759-AB2A-D342-BCF2-2ACB09742B5D}"/>
    <hyperlink ref="G1485" r:id="rId1144" display="5.4.99.9" xr:uid="{5F75465A-D2CB-3046-B4A4-F2B41C8A8E62}"/>
    <hyperlink ref="H1485" r:id="rId1145" display="https://www.genome.jp/entry/C00052" xr:uid="{90D8E4FC-EDDE-BE47-8FCE-1466B7205A3D}"/>
  </hyperlink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46CD-3DF1-024E-B3FA-0CC0ED2A0AB8}">
  <dimension ref="A1:N291"/>
  <sheetViews>
    <sheetView workbookViewId="0"/>
  </sheetViews>
  <sheetFormatPr defaultColWidth="11.1640625" defaultRowHeight="16"/>
  <cols>
    <col min="3" max="3" width="18.5" customWidth="1"/>
    <col min="5" max="5" width="24.5" customWidth="1"/>
    <col min="6" max="6" width="19.33203125" customWidth="1"/>
    <col min="7" max="7" width="33.83203125" customWidth="1"/>
    <col min="8" max="8" width="25.83203125" customWidth="1"/>
    <col min="9" max="9" width="25.33203125" customWidth="1"/>
    <col min="10" max="10" width="17.1640625" customWidth="1"/>
    <col min="11" max="11" width="35.33203125" customWidth="1"/>
    <col min="12" max="12" width="49.5" customWidth="1"/>
    <col min="13" max="13" width="65.1640625" customWidth="1"/>
    <col min="14" max="14" width="40.6640625" customWidth="1"/>
  </cols>
  <sheetData>
    <row r="1" spans="1:14" s="32" customFormat="1" ht="29" customHeight="1">
      <c r="A1" s="32" t="s">
        <v>12941</v>
      </c>
      <c r="B1" s="32" t="s">
        <v>12942</v>
      </c>
      <c r="C1" s="32" t="s">
        <v>12943</v>
      </c>
      <c r="D1" s="32" t="s">
        <v>12944</v>
      </c>
      <c r="E1" s="35" t="s">
        <v>12945</v>
      </c>
      <c r="F1" s="36" t="s">
        <v>12946</v>
      </c>
      <c r="G1" s="37" t="s">
        <v>12947</v>
      </c>
      <c r="H1" s="38" t="s">
        <v>12948</v>
      </c>
      <c r="I1" s="39" t="s">
        <v>12949</v>
      </c>
      <c r="J1" s="40" t="s">
        <v>12950</v>
      </c>
      <c r="K1" s="41" t="s">
        <v>12951</v>
      </c>
      <c r="L1" s="37" t="s">
        <v>12952</v>
      </c>
      <c r="M1" s="42" t="s">
        <v>12953</v>
      </c>
      <c r="N1" s="35" t="s">
        <v>12954</v>
      </c>
    </row>
    <row r="2" spans="1:14">
      <c r="A2">
        <v>1</v>
      </c>
      <c r="B2" s="1" t="s">
        <v>11429</v>
      </c>
      <c r="C2" t="str">
        <f>CONCATENATE(D2,"_mRNA")</f>
        <v>E1_1_1_100_mRNA</v>
      </c>
      <c r="D2" t="str">
        <f>CONCATENATE("E",B2)</f>
        <v>E1_1_1_100</v>
      </c>
      <c r="E2" t="str">
        <f>CONCATENATE("E",B2,"_kcat : 13.7")</f>
        <v>E1_1_1_100_kcat : 13.7</v>
      </c>
      <c r="F2" t="str">
        <f>CONCATENATE("E",B2,"_km : 1")</f>
        <v>E1_1_1_100_km : 1</v>
      </c>
      <c r="G2" t="str">
        <f>CONCATENATE(C2," : ",C2)</f>
        <v>E1_1_1_100_mRNA : E1_1_1_100_mRNA</v>
      </c>
      <c r="H2" t="str">
        <f>CONCATENATE(D2," : ",D2)</f>
        <v>E1_1_1_100 : E1_1_1_100</v>
      </c>
      <c r="I2" t="str">
        <f>CONCATENATE(C2," : ","0")</f>
        <v>E1_1_1_100_mRNA : 0</v>
      </c>
      <c r="J2" t="str">
        <f>CONCATENATE(D2," : ","0")</f>
        <v>E1_1_1_100 : 0</v>
      </c>
      <c r="K2" t="str">
        <f>CONCATENATE("0.00292 - (0.0093 * ",C2,")")</f>
        <v>0.00292 - (0.0093 * E1_1_1_100_mRNA)</v>
      </c>
      <c r="L2" t="str">
        <f>CONCATENATE("(0.278 * ",C2,")"," - (0.00000278 * ",D2,")")</f>
        <v>(0.278 * E1_1_1_100_mRNA) - (0.00000278 * E1_1_1_100)</v>
      </c>
      <c r="M2" t="str">
        <f>CONCATENATE("mRNA",A2,": -&gt; ",C2," | ","0.00292"," - ","(","0.0093"," * ",C2,")")</f>
        <v>mRNA1: -&gt; E1_1_1_100_mRNA | 0.00292 - (0.0093 * E1_1_1_100_mRNA)</v>
      </c>
      <c r="N2" t="str">
        <f>CONCATENATE("Peptide",A2,": ",C2," -&gt; ",D2," | ","(","0.278"," * ",C2,")"," - ","(","0.000000278"," * ",D2,")")</f>
        <v>Peptide1: E1_1_1_100_mRNA -&gt; E1_1_1_100 | (0.278 * E1_1_1_100_mRNA) - (0.000000278 * E1_1_1_100)</v>
      </c>
    </row>
    <row r="3" spans="1:14">
      <c r="A3">
        <v>2</v>
      </c>
      <c r="B3" s="1" t="s">
        <v>11430</v>
      </c>
      <c r="C3" t="str">
        <f t="shared" ref="C3:C66" si="0">CONCATENATE(D3,"_mRNA")</f>
        <v>E1_1_1_133_mRNA</v>
      </c>
      <c r="D3" t="str">
        <f t="shared" ref="D3:D66" si="1">CONCATENATE("E",B3)</f>
        <v>E1_1_1_133</v>
      </c>
      <c r="E3" t="str">
        <f t="shared" ref="E3:E66" si="2">CONCATENATE("E",B3,"_kcat : 13.7")</f>
        <v>E1_1_1_133_kcat : 13.7</v>
      </c>
      <c r="F3" t="str">
        <f>CONCATENATE("E",B3,"_km : 1")</f>
        <v>E1_1_1_133_km : 1</v>
      </c>
      <c r="G3" t="str">
        <f t="shared" ref="G3:G66" si="3">CONCATENATE(C3," : ",C3)</f>
        <v>E1_1_1_133_mRNA : E1_1_1_133_mRNA</v>
      </c>
      <c r="H3" t="str">
        <f t="shared" ref="H3:H66" si="4">CONCATENATE(D3," : ",D3)</f>
        <v>E1_1_1_133 : E1_1_1_133</v>
      </c>
      <c r="I3" t="str">
        <f>CONCATENATE(C3," : ","0")</f>
        <v>E1_1_1_133_mRNA : 0</v>
      </c>
      <c r="J3" t="str">
        <f t="shared" ref="J3:J66" si="5">CONCATENATE(D3," : ","0")</f>
        <v>E1_1_1_133 : 0</v>
      </c>
      <c r="K3" t="str">
        <f t="shared" ref="K3:K66" si="6">CONCATENATE("0.00292 - (0.0093 * ",C3,")")</f>
        <v>0.00292 - (0.0093 * E1_1_1_133_mRNA)</v>
      </c>
      <c r="L3" t="str">
        <f t="shared" ref="L3:L66" si="7">CONCATENATE("(0.278 * ",C3,")"," - (0.00000278 * ",D3,")")</f>
        <v>(0.278 * E1_1_1_133_mRNA) - (0.00000278 * E1_1_1_133)</v>
      </c>
      <c r="M3" t="str">
        <f t="shared" ref="M3:M66" si="8">CONCATENATE("mRNA",A3,": -&gt; ",C3," | ","0.00292"," - ","(","0.0093"," * ",C3,")")</f>
        <v>mRNA2: -&gt; E1_1_1_133_mRNA | 0.00292 - (0.0093 * E1_1_1_133_mRNA)</v>
      </c>
      <c r="N3" t="str">
        <f t="shared" ref="N3:N66" si="9">CONCATENATE("Peptide",A3,": ",C3," -&gt; ",D3," | ","(","0.278"," * ",C3,")"," - ","(","0.000000278"," * ",D3,")")</f>
        <v>Peptide2: E1_1_1_133_mRNA -&gt; E1_1_1_133 | (0.278 * E1_1_1_133_mRNA) - (0.000000278 * E1_1_1_133)</v>
      </c>
    </row>
    <row r="4" spans="1:14">
      <c r="A4">
        <v>3</v>
      </c>
      <c r="B4" s="1" t="s">
        <v>11431</v>
      </c>
      <c r="C4" t="str">
        <f t="shared" si="0"/>
        <v>E1_1_1_193_mRNA</v>
      </c>
      <c r="D4" t="str">
        <f t="shared" si="1"/>
        <v>E1_1_1_193</v>
      </c>
      <c r="E4" t="str">
        <f t="shared" si="2"/>
        <v>E1_1_1_193_kcat : 13.7</v>
      </c>
      <c r="F4" t="str">
        <f t="shared" ref="F4:F67" si="10">CONCATENATE("E",B4,"_km : 1")</f>
        <v>E1_1_1_193_km : 1</v>
      </c>
      <c r="G4" t="str">
        <f t="shared" si="3"/>
        <v>E1_1_1_193_mRNA : E1_1_1_193_mRNA</v>
      </c>
      <c r="H4" t="str">
        <f t="shared" si="4"/>
        <v>E1_1_1_193 : E1_1_1_193</v>
      </c>
      <c r="I4" t="str">
        <f t="shared" ref="I4:I67" si="11">CONCATENATE(C4," : ","0")</f>
        <v>E1_1_1_193_mRNA : 0</v>
      </c>
      <c r="J4" t="str">
        <f t="shared" si="5"/>
        <v>E1_1_1_193 : 0</v>
      </c>
      <c r="K4" t="str">
        <f t="shared" si="6"/>
        <v>0.00292 - (0.0093 * E1_1_1_193_mRNA)</v>
      </c>
      <c r="L4" t="str">
        <f t="shared" si="7"/>
        <v>(0.278 * E1_1_1_193_mRNA) - (0.00000278 * E1_1_1_193)</v>
      </c>
      <c r="M4" t="str">
        <f t="shared" si="8"/>
        <v>mRNA3: -&gt; E1_1_1_193_mRNA | 0.00292 - (0.0093 * E1_1_1_193_mRNA)</v>
      </c>
      <c r="N4" t="str">
        <f t="shared" si="9"/>
        <v>Peptide3: E1_1_1_193_mRNA -&gt; E1_1_1_193 | (0.278 * E1_1_1_193_mRNA) - (0.000000278 * E1_1_1_193)</v>
      </c>
    </row>
    <row r="5" spans="1:14">
      <c r="A5">
        <v>4</v>
      </c>
      <c r="B5" s="1" t="s">
        <v>11432</v>
      </c>
      <c r="C5" t="str">
        <f t="shared" si="0"/>
        <v>E1_1_1_205_mRNA</v>
      </c>
      <c r="D5" t="str">
        <f t="shared" si="1"/>
        <v>E1_1_1_205</v>
      </c>
      <c r="E5" t="str">
        <f t="shared" si="2"/>
        <v>E1_1_1_205_kcat : 13.7</v>
      </c>
      <c r="F5" t="str">
        <f t="shared" si="10"/>
        <v>E1_1_1_205_km : 1</v>
      </c>
      <c r="G5" t="str">
        <f t="shared" si="3"/>
        <v>E1_1_1_205_mRNA : E1_1_1_205_mRNA</v>
      </c>
      <c r="H5" t="str">
        <f t="shared" si="4"/>
        <v>E1_1_1_205 : E1_1_1_205</v>
      </c>
      <c r="I5" t="str">
        <f t="shared" si="11"/>
        <v>E1_1_1_205_mRNA : 0</v>
      </c>
      <c r="J5" t="str">
        <f t="shared" si="5"/>
        <v>E1_1_1_205 : 0</v>
      </c>
      <c r="K5" t="str">
        <f t="shared" si="6"/>
        <v>0.00292 - (0.0093 * E1_1_1_205_mRNA)</v>
      </c>
      <c r="L5" t="str">
        <f t="shared" si="7"/>
        <v>(0.278 * E1_1_1_205_mRNA) - (0.00000278 * E1_1_1_205)</v>
      </c>
      <c r="M5" t="str">
        <f t="shared" si="8"/>
        <v>mRNA4: -&gt; E1_1_1_205_mRNA | 0.00292 - (0.0093 * E1_1_1_205_mRNA)</v>
      </c>
      <c r="N5" t="str">
        <f t="shared" si="9"/>
        <v>Peptide4: E1_1_1_205_mRNA -&gt; E1_1_1_205 | (0.278 * E1_1_1_205_mRNA) - (0.000000278 * E1_1_1_205)</v>
      </c>
    </row>
    <row r="6" spans="1:14">
      <c r="A6">
        <v>5</v>
      </c>
      <c r="B6" s="1" t="s">
        <v>11433</v>
      </c>
      <c r="C6" t="str">
        <f t="shared" si="0"/>
        <v>E1_1_1_23_mRNA</v>
      </c>
      <c r="D6" t="str">
        <f t="shared" si="1"/>
        <v>E1_1_1_23</v>
      </c>
      <c r="E6" t="str">
        <f t="shared" si="2"/>
        <v>E1_1_1_23_kcat : 13.7</v>
      </c>
      <c r="F6" t="str">
        <f t="shared" si="10"/>
        <v>E1_1_1_23_km : 1</v>
      </c>
      <c r="G6" t="str">
        <f t="shared" si="3"/>
        <v>E1_1_1_23_mRNA : E1_1_1_23_mRNA</v>
      </c>
      <c r="H6" t="str">
        <f t="shared" si="4"/>
        <v>E1_1_1_23 : E1_1_1_23</v>
      </c>
      <c r="I6" t="str">
        <f t="shared" si="11"/>
        <v>E1_1_1_23_mRNA : 0</v>
      </c>
      <c r="J6" t="str">
        <f t="shared" si="5"/>
        <v>E1_1_1_23 : 0</v>
      </c>
      <c r="K6" t="str">
        <f t="shared" si="6"/>
        <v>0.00292 - (0.0093 * E1_1_1_23_mRNA)</v>
      </c>
      <c r="L6" t="str">
        <f t="shared" si="7"/>
        <v>(0.278 * E1_1_1_23_mRNA) - (0.00000278 * E1_1_1_23)</v>
      </c>
      <c r="M6" t="str">
        <f t="shared" si="8"/>
        <v>mRNA5: -&gt; E1_1_1_23_mRNA | 0.00292 - (0.0093 * E1_1_1_23_mRNA)</v>
      </c>
      <c r="N6" t="str">
        <f t="shared" si="9"/>
        <v>Peptide5: E1_1_1_23_mRNA -&gt; E1_1_1_23 | (0.278 * E1_1_1_23_mRNA) - (0.000000278 * E1_1_1_23)</v>
      </c>
    </row>
    <row r="7" spans="1:14">
      <c r="A7">
        <v>6</v>
      </c>
      <c r="B7" s="1" t="s">
        <v>11434</v>
      </c>
      <c r="C7" t="str">
        <f t="shared" si="0"/>
        <v>E1_1_1_262_mRNA</v>
      </c>
      <c r="D7" t="str">
        <f t="shared" si="1"/>
        <v>E1_1_1_262</v>
      </c>
      <c r="E7" t="str">
        <f t="shared" si="2"/>
        <v>E1_1_1_262_kcat : 13.7</v>
      </c>
      <c r="F7" t="str">
        <f t="shared" si="10"/>
        <v>E1_1_1_262_km : 1</v>
      </c>
      <c r="G7" t="str">
        <f t="shared" si="3"/>
        <v>E1_1_1_262_mRNA : E1_1_1_262_mRNA</v>
      </c>
      <c r="H7" t="str">
        <f t="shared" si="4"/>
        <v>E1_1_1_262 : E1_1_1_262</v>
      </c>
      <c r="I7" t="str">
        <f t="shared" si="11"/>
        <v>E1_1_1_262_mRNA : 0</v>
      </c>
      <c r="J7" t="str">
        <f t="shared" si="5"/>
        <v>E1_1_1_262 : 0</v>
      </c>
      <c r="K7" t="str">
        <f t="shared" si="6"/>
        <v>0.00292 - (0.0093 * E1_1_1_262_mRNA)</v>
      </c>
      <c r="L7" t="str">
        <f t="shared" si="7"/>
        <v>(0.278 * E1_1_1_262_mRNA) - (0.00000278 * E1_1_1_262)</v>
      </c>
      <c r="M7" t="str">
        <f t="shared" si="8"/>
        <v>mRNA6: -&gt; E1_1_1_262_mRNA | 0.00292 - (0.0093 * E1_1_1_262_mRNA)</v>
      </c>
      <c r="N7" t="str">
        <f t="shared" si="9"/>
        <v>Peptide6: E1_1_1_262_mRNA -&gt; E1_1_1_262 | (0.278 * E1_1_1_262_mRNA) - (0.000000278 * E1_1_1_262)</v>
      </c>
    </row>
    <row r="8" spans="1:14">
      <c r="A8">
        <v>7</v>
      </c>
      <c r="B8" s="1" t="s">
        <v>11435</v>
      </c>
      <c r="C8" t="str">
        <f t="shared" si="0"/>
        <v>E1_1_1_267_mRNA</v>
      </c>
      <c r="D8" t="str">
        <f t="shared" si="1"/>
        <v>E1_1_1_267</v>
      </c>
      <c r="E8" t="str">
        <f t="shared" si="2"/>
        <v>E1_1_1_267_kcat : 13.7</v>
      </c>
      <c r="F8" t="str">
        <f t="shared" si="10"/>
        <v>E1_1_1_267_km : 1</v>
      </c>
      <c r="G8" t="str">
        <f t="shared" si="3"/>
        <v>E1_1_1_267_mRNA : E1_1_1_267_mRNA</v>
      </c>
      <c r="H8" t="str">
        <f t="shared" si="4"/>
        <v>E1_1_1_267 : E1_1_1_267</v>
      </c>
      <c r="I8" t="str">
        <f t="shared" si="11"/>
        <v>E1_1_1_267_mRNA : 0</v>
      </c>
      <c r="J8" t="str">
        <f t="shared" si="5"/>
        <v>E1_1_1_267 : 0</v>
      </c>
      <c r="K8" t="str">
        <f t="shared" si="6"/>
        <v>0.00292 - (0.0093 * E1_1_1_267_mRNA)</v>
      </c>
      <c r="L8" t="str">
        <f t="shared" si="7"/>
        <v>(0.278 * E1_1_1_267_mRNA) - (0.00000278 * E1_1_1_267)</v>
      </c>
      <c r="M8" t="str">
        <f t="shared" si="8"/>
        <v>mRNA7: -&gt; E1_1_1_267_mRNA | 0.00292 - (0.0093 * E1_1_1_267_mRNA)</v>
      </c>
      <c r="N8" t="str">
        <f t="shared" si="9"/>
        <v>Peptide7: E1_1_1_267_mRNA -&gt; E1_1_1_267 | (0.278 * E1_1_1_267_mRNA) - (0.000000278 * E1_1_1_267)</v>
      </c>
    </row>
    <row r="9" spans="1:14">
      <c r="A9">
        <v>8</v>
      </c>
      <c r="B9" s="1" t="s">
        <v>11436</v>
      </c>
      <c r="C9" t="str">
        <f t="shared" si="0"/>
        <v>E1_1_1_3_mRNA</v>
      </c>
      <c r="D9" t="str">
        <f t="shared" si="1"/>
        <v>E1_1_1_3</v>
      </c>
      <c r="E9" t="str">
        <f t="shared" si="2"/>
        <v>E1_1_1_3_kcat : 13.7</v>
      </c>
      <c r="F9" t="str">
        <f t="shared" si="10"/>
        <v>E1_1_1_3_km : 1</v>
      </c>
      <c r="G9" t="str">
        <f t="shared" si="3"/>
        <v>E1_1_1_3_mRNA : E1_1_1_3_mRNA</v>
      </c>
      <c r="H9" t="str">
        <f t="shared" si="4"/>
        <v>E1_1_1_3 : E1_1_1_3</v>
      </c>
      <c r="I9" t="str">
        <f t="shared" si="11"/>
        <v>E1_1_1_3_mRNA : 0</v>
      </c>
      <c r="J9" t="str">
        <f t="shared" si="5"/>
        <v>E1_1_1_3 : 0</v>
      </c>
      <c r="K9" t="str">
        <f t="shared" si="6"/>
        <v>0.00292 - (0.0093 * E1_1_1_3_mRNA)</v>
      </c>
      <c r="L9" t="str">
        <f t="shared" si="7"/>
        <v>(0.278 * E1_1_1_3_mRNA) - (0.00000278 * E1_1_1_3)</v>
      </c>
      <c r="M9" t="str">
        <f t="shared" si="8"/>
        <v>mRNA8: -&gt; E1_1_1_3_mRNA | 0.00292 - (0.0093 * E1_1_1_3_mRNA)</v>
      </c>
      <c r="N9" t="str">
        <f t="shared" si="9"/>
        <v>Peptide8: E1_1_1_3_mRNA -&gt; E1_1_1_3 | (0.278 * E1_1_1_3_mRNA) - (0.000000278 * E1_1_1_3)</v>
      </c>
    </row>
    <row r="10" spans="1:14">
      <c r="A10">
        <v>9</v>
      </c>
      <c r="B10" s="1" t="s">
        <v>11437</v>
      </c>
      <c r="C10" t="str">
        <f t="shared" si="0"/>
        <v>E1_1_1_336_mRNA</v>
      </c>
      <c r="D10" t="str">
        <f t="shared" si="1"/>
        <v>E1_1_1_336</v>
      </c>
      <c r="E10" t="str">
        <f t="shared" si="2"/>
        <v>E1_1_1_336_kcat : 13.7</v>
      </c>
      <c r="F10" t="str">
        <f t="shared" si="10"/>
        <v>E1_1_1_336_km : 1</v>
      </c>
      <c r="G10" t="str">
        <f t="shared" si="3"/>
        <v>E1_1_1_336_mRNA : E1_1_1_336_mRNA</v>
      </c>
      <c r="H10" t="str">
        <f t="shared" si="4"/>
        <v>E1_1_1_336 : E1_1_1_336</v>
      </c>
      <c r="I10" t="str">
        <f t="shared" si="11"/>
        <v>E1_1_1_336_mRNA : 0</v>
      </c>
      <c r="J10" t="str">
        <f t="shared" si="5"/>
        <v>E1_1_1_336 : 0</v>
      </c>
      <c r="K10" t="str">
        <f t="shared" si="6"/>
        <v>0.00292 - (0.0093 * E1_1_1_336_mRNA)</v>
      </c>
      <c r="L10" t="str">
        <f t="shared" si="7"/>
        <v>(0.278 * E1_1_1_336_mRNA) - (0.00000278 * E1_1_1_336)</v>
      </c>
      <c r="M10" t="str">
        <f t="shared" si="8"/>
        <v>mRNA9: -&gt; E1_1_1_336_mRNA | 0.00292 - (0.0093 * E1_1_1_336_mRNA)</v>
      </c>
      <c r="N10" t="str">
        <f t="shared" si="9"/>
        <v>Peptide9: E1_1_1_336_mRNA -&gt; E1_1_1_336 | (0.278 * E1_1_1_336_mRNA) - (0.000000278 * E1_1_1_336)</v>
      </c>
    </row>
    <row r="11" spans="1:14">
      <c r="A11">
        <v>10</v>
      </c>
      <c r="B11" s="1" t="s">
        <v>11438</v>
      </c>
      <c r="C11" t="str">
        <f t="shared" si="0"/>
        <v>E1_1_1_37_mRNA</v>
      </c>
      <c r="D11" t="str">
        <f t="shared" si="1"/>
        <v>E1_1_1_37</v>
      </c>
      <c r="E11" t="str">
        <f t="shared" si="2"/>
        <v>E1_1_1_37_kcat : 13.7</v>
      </c>
      <c r="F11" t="str">
        <f t="shared" si="10"/>
        <v>E1_1_1_37_km : 1</v>
      </c>
      <c r="G11" t="str">
        <f t="shared" si="3"/>
        <v>E1_1_1_37_mRNA : E1_1_1_37_mRNA</v>
      </c>
      <c r="H11" t="str">
        <f t="shared" si="4"/>
        <v>E1_1_1_37 : E1_1_1_37</v>
      </c>
      <c r="I11" t="str">
        <f t="shared" si="11"/>
        <v>E1_1_1_37_mRNA : 0</v>
      </c>
      <c r="J11" t="str">
        <f t="shared" si="5"/>
        <v>E1_1_1_37 : 0</v>
      </c>
      <c r="K11" t="str">
        <f t="shared" si="6"/>
        <v>0.00292 - (0.0093 * E1_1_1_37_mRNA)</v>
      </c>
      <c r="L11" t="str">
        <f t="shared" si="7"/>
        <v>(0.278 * E1_1_1_37_mRNA) - (0.00000278 * E1_1_1_37)</v>
      </c>
      <c r="M11" t="str">
        <f t="shared" si="8"/>
        <v>mRNA10: -&gt; E1_1_1_37_mRNA | 0.00292 - (0.0093 * E1_1_1_37_mRNA)</v>
      </c>
      <c r="N11" t="str">
        <f t="shared" si="9"/>
        <v>Peptide10: E1_1_1_37_mRNA -&gt; E1_1_1_37 | (0.278 * E1_1_1_37_mRNA) - (0.000000278 * E1_1_1_37)</v>
      </c>
    </row>
    <row r="12" spans="1:14">
      <c r="A12">
        <v>11</v>
      </c>
      <c r="B12" s="1" t="s">
        <v>11439</v>
      </c>
      <c r="C12" t="str">
        <f t="shared" si="0"/>
        <v>E1_1_1_44_mRNA</v>
      </c>
      <c r="D12" t="str">
        <f t="shared" si="1"/>
        <v>E1_1_1_44</v>
      </c>
      <c r="E12" t="str">
        <f t="shared" si="2"/>
        <v>E1_1_1_44_kcat : 13.7</v>
      </c>
      <c r="F12" t="str">
        <f t="shared" si="10"/>
        <v>E1_1_1_44_km : 1</v>
      </c>
      <c r="G12" t="str">
        <f t="shared" si="3"/>
        <v>E1_1_1_44_mRNA : E1_1_1_44_mRNA</v>
      </c>
      <c r="H12" t="str">
        <f t="shared" si="4"/>
        <v>E1_1_1_44 : E1_1_1_44</v>
      </c>
      <c r="I12" t="str">
        <f t="shared" si="11"/>
        <v>E1_1_1_44_mRNA : 0</v>
      </c>
      <c r="J12" t="str">
        <f t="shared" si="5"/>
        <v>E1_1_1_44 : 0</v>
      </c>
      <c r="K12" t="str">
        <f t="shared" si="6"/>
        <v>0.00292 - (0.0093 * E1_1_1_44_mRNA)</v>
      </c>
      <c r="L12" t="str">
        <f t="shared" si="7"/>
        <v>(0.278 * E1_1_1_44_mRNA) - (0.00000278 * E1_1_1_44)</v>
      </c>
      <c r="M12" t="str">
        <f t="shared" si="8"/>
        <v>mRNA11: -&gt; E1_1_1_44_mRNA | 0.00292 - (0.0093 * E1_1_1_44_mRNA)</v>
      </c>
      <c r="N12" t="str">
        <f t="shared" si="9"/>
        <v>Peptide11: E1_1_1_44_mRNA -&gt; E1_1_1_44 | (0.278 * E1_1_1_44_mRNA) - (0.000000278 * E1_1_1_44)</v>
      </c>
    </row>
    <row r="13" spans="1:14">
      <c r="A13">
        <v>12</v>
      </c>
      <c r="B13" s="1" t="s">
        <v>11440</v>
      </c>
      <c r="C13" t="str">
        <f t="shared" si="0"/>
        <v>E1_1_1_85_mRNA</v>
      </c>
      <c r="D13" t="str">
        <f t="shared" si="1"/>
        <v>E1_1_1_85</v>
      </c>
      <c r="E13" t="str">
        <f t="shared" si="2"/>
        <v>E1_1_1_85_kcat : 13.7</v>
      </c>
      <c r="F13" t="str">
        <f t="shared" si="10"/>
        <v>E1_1_1_85_km : 1</v>
      </c>
      <c r="G13" t="str">
        <f t="shared" si="3"/>
        <v>E1_1_1_85_mRNA : E1_1_1_85_mRNA</v>
      </c>
      <c r="H13" t="str">
        <f t="shared" si="4"/>
        <v>E1_1_1_85 : E1_1_1_85</v>
      </c>
      <c r="I13" t="str">
        <f t="shared" si="11"/>
        <v>E1_1_1_85_mRNA : 0</v>
      </c>
      <c r="J13" t="str">
        <f t="shared" si="5"/>
        <v>E1_1_1_85 : 0</v>
      </c>
      <c r="K13" t="str">
        <f t="shared" si="6"/>
        <v>0.00292 - (0.0093 * E1_1_1_85_mRNA)</v>
      </c>
      <c r="L13" t="str">
        <f t="shared" si="7"/>
        <v>(0.278 * E1_1_1_85_mRNA) - (0.00000278 * E1_1_1_85)</v>
      </c>
      <c r="M13" t="str">
        <f t="shared" si="8"/>
        <v>mRNA12: -&gt; E1_1_1_85_mRNA | 0.00292 - (0.0093 * E1_1_1_85_mRNA)</v>
      </c>
      <c r="N13" t="str">
        <f t="shared" si="9"/>
        <v>Peptide12: E1_1_1_85_mRNA -&gt; E1_1_1_85 | (0.278 * E1_1_1_85_mRNA) - (0.000000278 * E1_1_1_85)</v>
      </c>
    </row>
    <row r="14" spans="1:14">
      <c r="A14">
        <v>13</v>
      </c>
      <c r="B14" s="1" t="s">
        <v>11441</v>
      </c>
      <c r="C14" t="str">
        <f t="shared" si="0"/>
        <v>E1_1_1_94_mRNA</v>
      </c>
      <c r="D14" t="str">
        <f t="shared" si="1"/>
        <v>E1_1_1_94</v>
      </c>
      <c r="E14" t="str">
        <f t="shared" si="2"/>
        <v>E1_1_1_94_kcat : 13.7</v>
      </c>
      <c r="F14" t="str">
        <f t="shared" si="10"/>
        <v>E1_1_1_94_km : 1</v>
      </c>
      <c r="G14" t="str">
        <f t="shared" si="3"/>
        <v>E1_1_1_94_mRNA : E1_1_1_94_mRNA</v>
      </c>
      <c r="H14" t="str">
        <f t="shared" si="4"/>
        <v>E1_1_1_94 : E1_1_1_94</v>
      </c>
      <c r="I14" t="str">
        <f t="shared" si="11"/>
        <v>E1_1_1_94_mRNA : 0</v>
      </c>
      <c r="J14" t="str">
        <f t="shared" si="5"/>
        <v>E1_1_1_94 : 0</v>
      </c>
      <c r="K14" t="str">
        <f t="shared" si="6"/>
        <v>0.00292 - (0.0093 * E1_1_1_94_mRNA)</v>
      </c>
      <c r="L14" t="str">
        <f t="shared" si="7"/>
        <v>(0.278 * E1_1_1_94_mRNA) - (0.00000278 * E1_1_1_94)</v>
      </c>
      <c r="M14" t="str">
        <f t="shared" si="8"/>
        <v>mRNA13: -&gt; E1_1_1_94_mRNA | 0.00292 - (0.0093 * E1_1_1_94_mRNA)</v>
      </c>
      <c r="N14" t="str">
        <f t="shared" si="9"/>
        <v>Peptide13: E1_1_1_94_mRNA -&gt; E1_1_1_94 | (0.278 * E1_1_1_94_mRNA) - (0.000000278 * E1_1_1_94)</v>
      </c>
    </row>
    <row r="15" spans="1:14">
      <c r="A15">
        <v>14</v>
      </c>
      <c r="B15" s="1" t="s">
        <v>11442</v>
      </c>
      <c r="C15" t="str">
        <f t="shared" si="0"/>
        <v>E1_11_1_24_mRNA</v>
      </c>
      <c r="D15" t="str">
        <f t="shared" si="1"/>
        <v>E1_11_1_24</v>
      </c>
      <c r="E15" t="str">
        <f t="shared" si="2"/>
        <v>E1_11_1_24_kcat : 13.7</v>
      </c>
      <c r="F15" t="str">
        <f t="shared" si="10"/>
        <v>E1_11_1_24_km : 1</v>
      </c>
      <c r="G15" t="str">
        <f t="shared" si="3"/>
        <v>E1_11_1_24_mRNA : E1_11_1_24_mRNA</v>
      </c>
      <c r="H15" t="str">
        <f t="shared" si="4"/>
        <v>E1_11_1_24 : E1_11_1_24</v>
      </c>
      <c r="I15" t="str">
        <f t="shared" si="11"/>
        <v>E1_11_1_24_mRNA : 0</v>
      </c>
      <c r="J15" t="str">
        <f t="shared" si="5"/>
        <v>E1_11_1_24 : 0</v>
      </c>
      <c r="K15" t="str">
        <f t="shared" si="6"/>
        <v>0.00292 - (0.0093 * E1_11_1_24_mRNA)</v>
      </c>
      <c r="L15" t="str">
        <f t="shared" si="7"/>
        <v>(0.278 * E1_11_1_24_mRNA) - (0.00000278 * E1_11_1_24)</v>
      </c>
      <c r="M15" t="str">
        <f t="shared" si="8"/>
        <v>mRNA14: -&gt; E1_11_1_24_mRNA | 0.00292 - (0.0093 * E1_11_1_24_mRNA)</v>
      </c>
      <c r="N15" t="str">
        <f t="shared" si="9"/>
        <v>Peptide14: E1_11_1_24_mRNA -&gt; E1_11_1_24 | (0.278 * E1_11_1_24_mRNA) - (0.000000278 * E1_11_1_24)</v>
      </c>
    </row>
    <row r="16" spans="1:14">
      <c r="A16">
        <v>15</v>
      </c>
      <c r="B16" s="1" t="s">
        <v>11443</v>
      </c>
      <c r="C16" t="str">
        <f t="shared" si="0"/>
        <v>E1_17_1_8_mRNA</v>
      </c>
      <c r="D16" t="str">
        <f t="shared" si="1"/>
        <v>E1_17_1_8</v>
      </c>
      <c r="E16" t="str">
        <f t="shared" si="2"/>
        <v>E1_17_1_8_kcat : 13.7</v>
      </c>
      <c r="F16" t="str">
        <f t="shared" si="10"/>
        <v>E1_17_1_8_km : 1</v>
      </c>
      <c r="G16" t="str">
        <f t="shared" si="3"/>
        <v>E1_17_1_8_mRNA : E1_17_1_8_mRNA</v>
      </c>
      <c r="H16" t="str">
        <f t="shared" si="4"/>
        <v>E1_17_1_8 : E1_17_1_8</v>
      </c>
      <c r="I16" t="str">
        <f t="shared" si="11"/>
        <v>E1_17_1_8_mRNA : 0</v>
      </c>
      <c r="J16" t="str">
        <f t="shared" si="5"/>
        <v>E1_17_1_8 : 0</v>
      </c>
      <c r="K16" t="str">
        <f t="shared" si="6"/>
        <v>0.00292 - (0.0093 * E1_17_1_8_mRNA)</v>
      </c>
      <c r="L16" t="str">
        <f t="shared" si="7"/>
        <v>(0.278 * E1_17_1_8_mRNA) - (0.00000278 * E1_17_1_8)</v>
      </c>
      <c r="M16" t="str">
        <f t="shared" si="8"/>
        <v>mRNA15: -&gt; E1_17_1_8_mRNA | 0.00292 - (0.0093 * E1_17_1_8_mRNA)</v>
      </c>
      <c r="N16" t="str">
        <f t="shared" si="9"/>
        <v>Peptide15: E1_17_1_8_mRNA -&gt; E1_17_1_8 | (0.278 * E1_17_1_8_mRNA) - (0.000000278 * E1_17_1_8)</v>
      </c>
    </row>
    <row r="17" spans="1:14">
      <c r="A17">
        <v>16</v>
      </c>
      <c r="B17" s="1" t="s">
        <v>11444</v>
      </c>
      <c r="C17" t="str">
        <f t="shared" si="0"/>
        <v>E1_17_4_1_mRNA</v>
      </c>
      <c r="D17" t="str">
        <f t="shared" si="1"/>
        <v>E1_17_4_1</v>
      </c>
      <c r="E17" t="str">
        <f t="shared" si="2"/>
        <v>E1_17_4_1_kcat : 13.7</v>
      </c>
      <c r="F17" t="str">
        <f t="shared" si="10"/>
        <v>E1_17_4_1_km : 1</v>
      </c>
      <c r="G17" t="str">
        <f t="shared" si="3"/>
        <v>E1_17_4_1_mRNA : E1_17_4_1_mRNA</v>
      </c>
      <c r="H17" t="str">
        <f t="shared" si="4"/>
        <v>E1_17_4_1 : E1_17_4_1</v>
      </c>
      <c r="I17" t="str">
        <f t="shared" si="11"/>
        <v>E1_17_4_1_mRNA : 0</v>
      </c>
      <c r="J17" t="str">
        <f t="shared" si="5"/>
        <v>E1_17_4_1 : 0</v>
      </c>
      <c r="K17" t="str">
        <f t="shared" si="6"/>
        <v>0.00292 - (0.0093 * E1_17_4_1_mRNA)</v>
      </c>
      <c r="L17" t="str">
        <f t="shared" si="7"/>
        <v>(0.278 * E1_17_4_1_mRNA) - (0.00000278 * E1_17_4_1)</v>
      </c>
      <c r="M17" t="str">
        <f t="shared" si="8"/>
        <v>mRNA16: -&gt; E1_17_4_1_mRNA | 0.00292 - (0.0093 * E1_17_4_1_mRNA)</v>
      </c>
      <c r="N17" t="str">
        <f t="shared" si="9"/>
        <v>Peptide16: E1_17_4_1_mRNA -&gt; E1_17_4_1 | (0.278 * E1_17_4_1_mRNA) - (0.000000278 * E1_17_4_1)</v>
      </c>
    </row>
    <row r="18" spans="1:14">
      <c r="A18">
        <v>17</v>
      </c>
      <c r="B18" s="25" t="s">
        <v>11445</v>
      </c>
      <c r="C18" t="str">
        <f t="shared" si="0"/>
        <v>E1_17_4_2_mRNA</v>
      </c>
      <c r="D18" t="str">
        <f t="shared" si="1"/>
        <v>E1_17_4_2</v>
      </c>
      <c r="E18" t="str">
        <f t="shared" si="2"/>
        <v>E1_17_4_2_kcat : 13.7</v>
      </c>
      <c r="F18" t="str">
        <f t="shared" si="10"/>
        <v>E1_17_4_2_km : 1</v>
      </c>
      <c r="G18" t="str">
        <f t="shared" si="3"/>
        <v>E1_17_4_2_mRNA : E1_17_4_2_mRNA</v>
      </c>
      <c r="H18" t="str">
        <f t="shared" si="4"/>
        <v>E1_17_4_2 : E1_17_4_2</v>
      </c>
      <c r="I18" t="str">
        <f t="shared" si="11"/>
        <v>E1_17_4_2_mRNA : 0</v>
      </c>
      <c r="J18" t="str">
        <f t="shared" si="5"/>
        <v>E1_17_4_2 : 0</v>
      </c>
      <c r="K18" t="str">
        <f t="shared" si="6"/>
        <v>0.00292 - (0.0093 * E1_17_4_2_mRNA)</v>
      </c>
      <c r="L18" t="str">
        <f t="shared" si="7"/>
        <v>(0.278 * E1_17_4_2_mRNA) - (0.00000278 * E1_17_4_2)</v>
      </c>
      <c r="M18" t="str">
        <f t="shared" si="8"/>
        <v>mRNA17: -&gt; E1_17_4_2_mRNA | 0.00292 - (0.0093 * E1_17_4_2_mRNA)</v>
      </c>
      <c r="N18" t="str">
        <f t="shared" si="9"/>
        <v>Peptide17: E1_17_4_2_mRNA -&gt; E1_17_4_2 | (0.278 * E1_17_4_2_mRNA) - (0.000000278 * E1_17_4_2)</v>
      </c>
    </row>
    <row r="19" spans="1:14">
      <c r="A19">
        <v>18</v>
      </c>
      <c r="B19" s="1" t="s">
        <v>11446</v>
      </c>
      <c r="C19" t="str">
        <f t="shared" si="0"/>
        <v>E1_17_7_4_mRNA</v>
      </c>
      <c r="D19" t="str">
        <f t="shared" si="1"/>
        <v>E1_17_7_4</v>
      </c>
      <c r="E19" t="str">
        <f t="shared" si="2"/>
        <v>E1_17_7_4_kcat : 13.7</v>
      </c>
      <c r="F19" t="str">
        <f t="shared" si="10"/>
        <v>E1_17_7_4_km : 1</v>
      </c>
      <c r="G19" t="str">
        <f t="shared" si="3"/>
        <v>E1_17_7_4_mRNA : E1_17_7_4_mRNA</v>
      </c>
      <c r="H19" t="str">
        <f t="shared" si="4"/>
        <v>E1_17_7_4 : E1_17_7_4</v>
      </c>
      <c r="I19" t="str">
        <f t="shared" si="11"/>
        <v>E1_17_7_4_mRNA : 0</v>
      </c>
      <c r="J19" t="str">
        <f t="shared" si="5"/>
        <v>E1_17_7_4 : 0</v>
      </c>
      <c r="K19" t="str">
        <f t="shared" si="6"/>
        <v>0.00292 - (0.0093 * E1_17_7_4_mRNA)</v>
      </c>
      <c r="L19" t="str">
        <f t="shared" si="7"/>
        <v>(0.278 * E1_17_7_4_mRNA) - (0.00000278 * E1_17_7_4)</v>
      </c>
      <c r="M19" t="str">
        <f t="shared" si="8"/>
        <v>mRNA18: -&gt; E1_17_7_4_mRNA | 0.00292 - (0.0093 * E1_17_7_4_mRNA)</v>
      </c>
      <c r="N19" t="str">
        <f t="shared" si="9"/>
        <v>Peptide18: E1_17_7_4_mRNA -&gt; E1_17_7_4 | (0.278 * E1_17_7_4_mRNA) - (0.000000278 * E1_17_7_4)</v>
      </c>
    </row>
    <row r="20" spans="1:14">
      <c r="A20">
        <v>19</v>
      </c>
      <c r="B20" s="1" t="s">
        <v>11447</v>
      </c>
      <c r="C20" t="str">
        <f t="shared" si="0"/>
        <v>E1_17_99_6_mRNA</v>
      </c>
      <c r="D20" t="str">
        <f t="shared" si="1"/>
        <v>E1_17_99_6</v>
      </c>
      <c r="E20" t="str">
        <f t="shared" si="2"/>
        <v>E1_17_99_6_kcat : 13.7</v>
      </c>
      <c r="F20" t="str">
        <f t="shared" si="10"/>
        <v>E1_17_99_6_km : 1</v>
      </c>
      <c r="G20" t="str">
        <f t="shared" si="3"/>
        <v>E1_17_99_6_mRNA : E1_17_99_6_mRNA</v>
      </c>
      <c r="H20" t="str">
        <f t="shared" si="4"/>
        <v>E1_17_99_6 : E1_17_99_6</v>
      </c>
      <c r="I20" t="str">
        <f t="shared" si="11"/>
        <v>E1_17_99_6_mRNA : 0</v>
      </c>
      <c r="J20" t="str">
        <f t="shared" si="5"/>
        <v>E1_17_99_6 : 0</v>
      </c>
      <c r="K20" t="str">
        <f t="shared" si="6"/>
        <v>0.00292 - (0.0093 * E1_17_99_6_mRNA)</v>
      </c>
      <c r="L20" t="str">
        <f t="shared" si="7"/>
        <v>(0.278 * E1_17_99_6_mRNA) - (0.00000278 * E1_17_99_6)</v>
      </c>
      <c r="M20" t="str">
        <f t="shared" si="8"/>
        <v>mRNA19: -&gt; E1_17_99_6_mRNA | 0.00292 - (0.0093 * E1_17_99_6_mRNA)</v>
      </c>
      <c r="N20" t="str">
        <f t="shared" si="9"/>
        <v>Peptide19: E1_17_99_6_mRNA -&gt; E1_17_99_6 | (0.278 * E1_17_99_6_mRNA) - (0.000000278 * E1_17_99_6)</v>
      </c>
    </row>
    <row r="21" spans="1:14">
      <c r="A21">
        <v>20</v>
      </c>
      <c r="B21" s="1" t="s">
        <v>11448</v>
      </c>
      <c r="C21" t="str">
        <f t="shared" si="0"/>
        <v>E1_2_1_11_mRNA</v>
      </c>
      <c r="D21" t="str">
        <f t="shared" si="1"/>
        <v>E1_2_1_11</v>
      </c>
      <c r="E21" t="str">
        <f t="shared" si="2"/>
        <v>E1_2_1_11_kcat : 13.7</v>
      </c>
      <c r="F21" t="str">
        <f t="shared" si="10"/>
        <v>E1_2_1_11_km : 1</v>
      </c>
      <c r="G21" t="str">
        <f t="shared" si="3"/>
        <v>E1_2_1_11_mRNA : E1_2_1_11_mRNA</v>
      </c>
      <c r="H21" t="str">
        <f t="shared" si="4"/>
        <v>E1_2_1_11 : E1_2_1_11</v>
      </c>
      <c r="I21" t="str">
        <f t="shared" si="11"/>
        <v>E1_2_1_11_mRNA : 0</v>
      </c>
      <c r="J21" t="str">
        <f t="shared" si="5"/>
        <v>E1_2_1_11 : 0</v>
      </c>
      <c r="K21" t="str">
        <f t="shared" si="6"/>
        <v>0.00292 - (0.0093 * E1_2_1_11_mRNA)</v>
      </c>
      <c r="L21" t="str">
        <f t="shared" si="7"/>
        <v>(0.278 * E1_2_1_11_mRNA) - (0.00000278 * E1_2_1_11)</v>
      </c>
      <c r="M21" t="str">
        <f t="shared" si="8"/>
        <v>mRNA20: -&gt; E1_2_1_11_mRNA | 0.00292 - (0.0093 * E1_2_1_11_mRNA)</v>
      </c>
      <c r="N21" t="str">
        <f t="shared" si="9"/>
        <v>Peptide20: E1_2_1_11_mRNA -&gt; E1_2_1_11 | (0.278 * E1_2_1_11_mRNA) - (0.000000278 * E1_2_1_11)</v>
      </c>
    </row>
    <row r="22" spans="1:14">
      <c r="A22">
        <v>21</v>
      </c>
      <c r="B22" s="1" t="s">
        <v>11449</v>
      </c>
      <c r="C22" t="str">
        <f t="shared" si="0"/>
        <v>E1_2_1_38_mRNA</v>
      </c>
      <c r="D22" t="str">
        <f t="shared" si="1"/>
        <v>E1_2_1_38</v>
      </c>
      <c r="E22" t="str">
        <f t="shared" si="2"/>
        <v>E1_2_1_38_kcat : 13.7</v>
      </c>
      <c r="F22" t="str">
        <f t="shared" si="10"/>
        <v>E1_2_1_38_km : 1</v>
      </c>
      <c r="G22" t="str">
        <f t="shared" si="3"/>
        <v>E1_2_1_38_mRNA : E1_2_1_38_mRNA</v>
      </c>
      <c r="H22" t="str">
        <f t="shared" si="4"/>
        <v>E1_2_1_38 : E1_2_1_38</v>
      </c>
      <c r="I22" t="str">
        <f t="shared" si="11"/>
        <v>E1_2_1_38_mRNA : 0</v>
      </c>
      <c r="J22" t="str">
        <f t="shared" si="5"/>
        <v>E1_2_1_38 : 0</v>
      </c>
      <c r="K22" t="str">
        <f t="shared" si="6"/>
        <v>0.00292 - (0.0093 * E1_2_1_38_mRNA)</v>
      </c>
      <c r="L22" t="str">
        <f t="shared" si="7"/>
        <v>(0.278 * E1_2_1_38_mRNA) - (0.00000278 * E1_2_1_38)</v>
      </c>
      <c r="M22" t="str">
        <f t="shared" si="8"/>
        <v>mRNA21: -&gt; E1_2_1_38_mRNA | 0.00292 - (0.0093 * E1_2_1_38_mRNA)</v>
      </c>
      <c r="N22" t="str">
        <f t="shared" si="9"/>
        <v>Peptide21: E1_2_1_38_mRNA -&gt; E1_2_1_38 | (0.278 * E1_2_1_38_mRNA) - (0.000000278 * E1_2_1_38)</v>
      </c>
    </row>
    <row r="23" spans="1:14">
      <c r="A23">
        <v>22</v>
      </c>
      <c r="B23" s="1" t="s">
        <v>11450</v>
      </c>
      <c r="C23" t="str">
        <f t="shared" si="0"/>
        <v>E1_2_1_41_mRNA</v>
      </c>
      <c r="D23" t="str">
        <f t="shared" si="1"/>
        <v>E1_2_1_41</v>
      </c>
      <c r="E23" t="str">
        <f t="shared" si="2"/>
        <v>E1_2_1_41_kcat : 13.7</v>
      </c>
      <c r="F23" t="str">
        <f t="shared" si="10"/>
        <v>E1_2_1_41_km : 1</v>
      </c>
      <c r="G23" t="str">
        <f t="shared" si="3"/>
        <v>E1_2_1_41_mRNA : E1_2_1_41_mRNA</v>
      </c>
      <c r="H23" t="str">
        <f t="shared" si="4"/>
        <v>E1_2_1_41 : E1_2_1_41</v>
      </c>
      <c r="I23" t="str">
        <f t="shared" si="11"/>
        <v>E1_2_1_41_mRNA : 0</v>
      </c>
      <c r="J23" t="str">
        <f t="shared" si="5"/>
        <v>E1_2_1_41 : 0</v>
      </c>
      <c r="K23" t="str">
        <f t="shared" si="6"/>
        <v>0.00292 - (0.0093 * E1_2_1_41_mRNA)</v>
      </c>
      <c r="L23" t="str">
        <f t="shared" si="7"/>
        <v>(0.278 * E1_2_1_41_mRNA) - (0.00000278 * E1_2_1_41)</v>
      </c>
      <c r="M23" t="str">
        <f t="shared" si="8"/>
        <v>mRNA22: -&gt; E1_2_1_41_mRNA | 0.00292 - (0.0093 * E1_2_1_41_mRNA)</v>
      </c>
      <c r="N23" t="str">
        <f t="shared" si="9"/>
        <v>Peptide22: E1_2_1_41_mRNA -&gt; E1_2_1_41 | (0.278 * E1_2_1_41_mRNA) - (0.000000278 * E1_2_1_41)</v>
      </c>
    </row>
    <row r="24" spans="1:14">
      <c r="A24">
        <v>23</v>
      </c>
      <c r="B24" s="1" t="s">
        <v>11451</v>
      </c>
      <c r="C24" t="str">
        <f t="shared" si="0"/>
        <v>E1_2_1_88_mRNA</v>
      </c>
      <c r="D24" t="str">
        <f t="shared" si="1"/>
        <v>E1_2_1_88</v>
      </c>
      <c r="E24" t="str">
        <f t="shared" si="2"/>
        <v>E1_2_1_88_kcat : 13.7</v>
      </c>
      <c r="F24" t="str">
        <f t="shared" si="10"/>
        <v>E1_2_1_88_km : 1</v>
      </c>
      <c r="G24" t="str">
        <f t="shared" si="3"/>
        <v>E1_2_1_88_mRNA : E1_2_1_88_mRNA</v>
      </c>
      <c r="H24" t="str">
        <f t="shared" si="4"/>
        <v>E1_2_1_88 : E1_2_1_88</v>
      </c>
      <c r="I24" t="str">
        <f t="shared" si="11"/>
        <v>E1_2_1_88_mRNA : 0</v>
      </c>
      <c r="J24" t="str">
        <f t="shared" si="5"/>
        <v>E1_2_1_88 : 0</v>
      </c>
      <c r="K24" t="str">
        <f t="shared" si="6"/>
        <v>0.00292 - (0.0093 * E1_2_1_88_mRNA)</v>
      </c>
      <c r="L24" t="str">
        <f t="shared" si="7"/>
        <v>(0.278 * E1_2_1_88_mRNA) - (0.00000278 * E1_2_1_88)</v>
      </c>
      <c r="M24" t="str">
        <f t="shared" si="8"/>
        <v>mRNA23: -&gt; E1_2_1_88_mRNA | 0.00292 - (0.0093 * E1_2_1_88_mRNA)</v>
      </c>
      <c r="N24" t="str">
        <f t="shared" si="9"/>
        <v>Peptide23: E1_2_1_88_mRNA -&gt; E1_2_1_88 | (0.278 * E1_2_1_88_mRNA) - (0.000000278 * E1_2_1_88)</v>
      </c>
    </row>
    <row r="25" spans="1:14">
      <c r="A25">
        <v>24</v>
      </c>
      <c r="B25" s="1" t="s">
        <v>11452</v>
      </c>
      <c r="C25" t="str">
        <f t="shared" si="0"/>
        <v>E1_3_1_1_mRNA</v>
      </c>
      <c r="D25" t="str">
        <f t="shared" si="1"/>
        <v>E1_3_1_1</v>
      </c>
      <c r="E25" t="str">
        <f t="shared" si="2"/>
        <v>E1_3_1_1_kcat : 13.7</v>
      </c>
      <c r="F25" t="str">
        <f t="shared" si="10"/>
        <v>E1_3_1_1_km : 1</v>
      </c>
      <c r="G25" t="str">
        <f t="shared" si="3"/>
        <v>E1_3_1_1_mRNA : E1_3_1_1_mRNA</v>
      </c>
      <c r="H25" t="str">
        <f t="shared" si="4"/>
        <v>E1_3_1_1 : E1_3_1_1</v>
      </c>
      <c r="I25" t="str">
        <f t="shared" si="11"/>
        <v>E1_3_1_1_mRNA : 0</v>
      </c>
      <c r="J25" t="str">
        <f t="shared" si="5"/>
        <v>E1_3_1_1 : 0</v>
      </c>
      <c r="K25" t="str">
        <f t="shared" si="6"/>
        <v>0.00292 - (0.0093 * E1_3_1_1_mRNA)</v>
      </c>
      <c r="L25" t="str">
        <f t="shared" si="7"/>
        <v>(0.278 * E1_3_1_1_mRNA) - (0.00000278 * E1_3_1_1)</v>
      </c>
      <c r="M25" t="str">
        <f t="shared" si="8"/>
        <v>mRNA24: -&gt; E1_3_1_1_mRNA | 0.00292 - (0.0093 * E1_3_1_1_mRNA)</v>
      </c>
      <c r="N25" t="str">
        <f t="shared" si="9"/>
        <v>Peptide24: E1_3_1_1_mRNA -&gt; E1_3_1_1 | (0.278 * E1_3_1_1_mRNA) - (0.000000278 * E1_3_1_1)</v>
      </c>
    </row>
    <row r="26" spans="1:14">
      <c r="A26">
        <v>25</v>
      </c>
      <c r="B26" s="1" t="s">
        <v>11453</v>
      </c>
      <c r="C26" t="str">
        <f t="shared" si="0"/>
        <v>E1_3_1_14_mRNA</v>
      </c>
      <c r="D26" t="str">
        <f t="shared" si="1"/>
        <v>E1_3_1_14</v>
      </c>
      <c r="E26" t="str">
        <f t="shared" si="2"/>
        <v>E1_3_1_14_kcat : 13.7</v>
      </c>
      <c r="F26" t="str">
        <f t="shared" si="10"/>
        <v>E1_3_1_14_km : 1</v>
      </c>
      <c r="G26" t="str">
        <f t="shared" si="3"/>
        <v>E1_3_1_14_mRNA : E1_3_1_14_mRNA</v>
      </c>
      <c r="H26" t="str">
        <f t="shared" si="4"/>
        <v>E1_3_1_14 : E1_3_1_14</v>
      </c>
      <c r="I26" t="str">
        <f t="shared" si="11"/>
        <v>E1_3_1_14_mRNA : 0</v>
      </c>
      <c r="J26" t="str">
        <f t="shared" si="5"/>
        <v>E1_3_1_14 : 0</v>
      </c>
      <c r="K26" t="str">
        <f t="shared" si="6"/>
        <v>0.00292 - (0.0093 * E1_3_1_14_mRNA)</v>
      </c>
      <c r="L26" t="str">
        <f t="shared" si="7"/>
        <v>(0.278 * E1_3_1_14_mRNA) - (0.00000278 * E1_3_1_14)</v>
      </c>
      <c r="M26" t="str">
        <f t="shared" si="8"/>
        <v>mRNA25: -&gt; E1_3_1_14_mRNA | 0.00292 - (0.0093 * E1_3_1_14_mRNA)</v>
      </c>
      <c r="N26" t="str">
        <f t="shared" si="9"/>
        <v>Peptide25: E1_3_1_14_mRNA -&gt; E1_3_1_14 | (0.278 * E1_3_1_14_mRNA) - (0.000000278 * E1_3_1_14)</v>
      </c>
    </row>
    <row r="27" spans="1:14">
      <c r="A27">
        <v>26</v>
      </c>
      <c r="B27" s="1" t="s">
        <v>11454</v>
      </c>
      <c r="C27" t="str">
        <f t="shared" si="0"/>
        <v>E1_3_1_98_mRNA</v>
      </c>
      <c r="D27" t="str">
        <f t="shared" si="1"/>
        <v>E1_3_1_98</v>
      </c>
      <c r="E27" t="str">
        <f t="shared" si="2"/>
        <v>E1_3_1_98_kcat : 13.7</v>
      </c>
      <c r="F27" t="str">
        <f t="shared" si="10"/>
        <v>E1_3_1_98_km : 1</v>
      </c>
      <c r="G27" t="str">
        <f t="shared" si="3"/>
        <v>E1_3_1_98_mRNA : E1_3_1_98_mRNA</v>
      </c>
      <c r="H27" t="str">
        <f t="shared" si="4"/>
        <v>E1_3_1_98 : E1_3_1_98</v>
      </c>
      <c r="I27" t="str">
        <f t="shared" si="11"/>
        <v>E1_3_1_98_mRNA : 0</v>
      </c>
      <c r="J27" t="str">
        <f t="shared" si="5"/>
        <v>E1_3_1_98 : 0</v>
      </c>
      <c r="K27" t="str">
        <f t="shared" si="6"/>
        <v>0.00292 - (0.0093 * E1_3_1_98_mRNA)</v>
      </c>
      <c r="L27" t="str">
        <f t="shared" si="7"/>
        <v>(0.278 * E1_3_1_98_mRNA) - (0.00000278 * E1_3_1_98)</v>
      </c>
      <c r="M27" t="str">
        <f t="shared" si="8"/>
        <v>mRNA26: -&gt; E1_3_1_98_mRNA | 0.00292 - (0.0093 * E1_3_1_98_mRNA)</v>
      </c>
      <c r="N27" t="str">
        <f t="shared" si="9"/>
        <v>Peptide26: E1_3_1_98_mRNA -&gt; E1_3_1_98 | (0.278 * E1_3_1_98_mRNA) - (0.000000278 * E1_3_1_98)</v>
      </c>
    </row>
    <row r="28" spans="1:14">
      <c r="A28">
        <v>27</v>
      </c>
      <c r="B28" s="1" t="s">
        <v>11455</v>
      </c>
      <c r="C28" t="str">
        <f t="shared" si="0"/>
        <v>E1_4_1_1_mRNA</v>
      </c>
      <c r="D28" t="str">
        <f t="shared" si="1"/>
        <v>E1_4_1_1</v>
      </c>
      <c r="E28" t="str">
        <f t="shared" si="2"/>
        <v>E1_4_1_1_kcat : 13.7</v>
      </c>
      <c r="F28" t="str">
        <f t="shared" si="10"/>
        <v>E1_4_1_1_km : 1</v>
      </c>
      <c r="G28" t="str">
        <f t="shared" si="3"/>
        <v>E1_4_1_1_mRNA : E1_4_1_1_mRNA</v>
      </c>
      <c r="H28" t="str">
        <f t="shared" si="4"/>
        <v>E1_4_1_1 : E1_4_1_1</v>
      </c>
      <c r="I28" t="str">
        <f t="shared" si="11"/>
        <v>E1_4_1_1_mRNA : 0</v>
      </c>
      <c r="J28" t="str">
        <f t="shared" si="5"/>
        <v>E1_4_1_1 : 0</v>
      </c>
      <c r="K28" t="str">
        <f t="shared" si="6"/>
        <v>0.00292 - (0.0093 * E1_4_1_1_mRNA)</v>
      </c>
      <c r="L28" t="str">
        <f t="shared" si="7"/>
        <v>(0.278 * E1_4_1_1_mRNA) - (0.00000278 * E1_4_1_1)</v>
      </c>
      <c r="M28" t="str">
        <f t="shared" si="8"/>
        <v>mRNA27: -&gt; E1_4_1_1_mRNA | 0.00292 - (0.0093 * E1_4_1_1_mRNA)</v>
      </c>
      <c r="N28" t="str">
        <f t="shared" si="9"/>
        <v>Peptide27: E1_4_1_1_mRNA -&gt; E1_4_1_1 | (0.278 * E1_4_1_1_mRNA) - (0.000000278 * E1_4_1_1)</v>
      </c>
    </row>
    <row r="29" spans="1:14">
      <c r="A29">
        <v>28</v>
      </c>
      <c r="B29" s="1" t="s">
        <v>11456</v>
      </c>
      <c r="C29" t="str">
        <f t="shared" si="0"/>
        <v>E1_4_1_13_mRNA</v>
      </c>
      <c r="D29" t="str">
        <f t="shared" si="1"/>
        <v>E1_4_1_13</v>
      </c>
      <c r="E29" t="str">
        <f t="shared" si="2"/>
        <v>E1_4_1_13_kcat : 13.7</v>
      </c>
      <c r="F29" t="str">
        <f t="shared" si="10"/>
        <v>E1_4_1_13_km : 1</v>
      </c>
      <c r="G29" t="str">
        <f t="shared" si="3"/>
        <v>E1_4_1_13_mRNA : E1_4_1_13_mRNA</v>
      </c>
      <c r="H29" t="str">
        <f t="shared" si="4"/>
        <v>E1_4_1_13 : E1_4_1_13</v>
      </c>
      <c r="I29" t="str">
        <f t="shared" si="11"/>
        <v>E1_4_1_13_mRNA : 0</v>
      </c>
      <c r="J29" t="str">
        <f t="shared" si="5"/>
        <v>E1_4_1_13 : 0</v>
      </c>
      <c r="K29" t="str">
        <f t="shared" si="6"/>
        <v>0.00292 - (0.0093 * E1_4_1_13_mRNA)</v>
      </c>
      <c r="L29" t="str">
        <f t="shared" si="7"/>
        <v>(0.278 * E1_4_1_13_mRNA) - (0.00000278 * E1_4_1_13)</v>
      </c>
      <c r="M29" t="str">
        <f t="shared" si="8"/>
        <v>mRNA28: -&gt; E1_4_1_13_mRNA | 0.00292 - (0.0093 * E1_4_1_13_mRNA)</v>
      </c>
      <c r="N29" t="str">
        <f t="shared" si="9"/>
        <v>Peptide28: E1_4_1_13_mRNA -&gt; E1_4_1_13 | (0.278 * E1_4_1_13_mRNA) - (0.000000278 * E1_4_1_13)</v>
      </c>
    </row>
    <row r="30" spans="1:14">
      <c r="A30">
        <v>29</v>
      </c>
      <c r="B30" s="1" t="s">
        <v>11457</v>
      </c>
      <c r="C30" t="str">
        <f t="shared" si="0"/>
        <v>E1_4_1_16_mRNA</v>
      </c>
      <c r="D30" t="str">
        <f t="shared" si="1"/>
        <v>E1_4_1_16</v>
      </c>
      <c r="E30" t="str">
        <f t="shared" si="2"/>
        <v>E1_4_1_16_kcat : 13.7</v>
      </c>
      <c r="F30" t="str">
        <f t="shared" si="10"/>
        <v>E1_4_1_16_km : 1</v>
      </c>
      <c r="G30" t="str">
        <f t="shared" si="3"/>
        <v>E1_4_1_16_mRNA : E1_4_1_16_mRNA</v>
      </c>
      <c r="H30" t="str">
        <f t="shared" si="4"/>
        <v>E1_4_1_16 : E1_4_1_16</v>
      </c>
      <c r="I30" t="str">
        <f t="shared" si="11"/>
        <v>E1_4_1_16_mRNA : 0</v>
      </c>
      <c r="J30" t="str">
        <f t="shared" si="5"/>
        <v>E1_4_1_16 : 0</v>
      </c>
      <c r="K30" t="str">
        <f t="shared" si="6"/>
        <v>0.00292 - (0.0093 * E1_4_1_16_mRNA)</v>
      </c>
      <c r="L30" t="str">
        <f t="shared" si="7"/>
        <v>(0.278 * E1_4_1_16_mRNA) - (0.00000278 * E1_4_1_16)</v>
      </c>
      <c r="M30" t="str">
        <f t="shared" si="8"/>
        <v>mRNA29: -&gt; E1_4_1_16_mRNA | 0.00292 - (0.0093 * E1_4_1_16_mRNA)</v>
      </c>
      <c r="N30" t="str">
        <f t="shared" si="9"/>
        <v>Peptide29: E1_4_1_16_mRNA -&gt; E1_4_1_16 | (0.278 * E1_4_1_16_mRNA) - (0.000000278 * E1_4_1_16)</v>
      </c>
    </row>
    <row r="31" spans="1:14">
      <c r="A31">
        <v>30</v>
      </c>
      <c r="B31" s="1" t="s">
        <v>11458</v>
      </c>
      <c r="C31" t="str">
        <f t="shared" si="0"/>
        <v>E1_4_1_4_mRNA</v>
      </c>
      <c r="D31" t="str">
        <f t="shared" si="1"/>
        <v>E1_4_1_4</v>
      </c>
      <c r="E31" t="str">
        <f t="shared" si="2"/>
        <v>E1_4_1_4_kcat : 13.7</v>
      </c>
      <c r="F31" t="str">
        <f t="shared" si="10"/>
        <v>E1_4_1_4_km : 1</v>
      </c>
      <c r="G31" t="str">
        <f t="shared" si="3"/>
        <v>E1_4_1_4_mRNA : E1_4_1_4_mRNA</v>
      </c>
      <c r="H31" t="str">
        <f t="shared" si="4"/>
        <v>E1_4_1_4 : E1_4_1_4</v>
      </c>
      <c r="I31" t="str">
        <f t="shared" si="11"/>
        <v>E1_4_1_4_mRNA : 0</v>
      </c>
      <c r="J31" t="str">
        <f t="shared" si="5"/>
        <v>E1_4_1_4 : 0</v>
      </c>
      <c r="K31" t="str">
        <f t="shared" si="6"/>
        <v>0.00292 - (0.0093 * E1_4_1_4_mRNA)</v>
      </c>
      <c r="L31" t="str">
        <f t="shared" si="7"/>
        <v>(0.278 * E1_4_1_4_mRNA) - (0.00000278 * E1_4_1_4)</v>
      </c>
      <c r="M31" t="str">
        <f t="shared" si="8"/>
        <v>mRNA30: -&gt; E1_4_1_4_mRNA | 0.00292 - (0.0093 * E1_4_1_4_mRNA)</v>
      </c>
      <c r="N31" t="str">
        <f t="shared" si="9"/>
        <v>Peptide30: E1_4_1_4_mRNA -&gt; E1_4_1_4 | (0.278 * E1_4_1_4_mRNA) - (0.000000278 * E1_4_1_4)</v>
      </c>
    </row>
    <row r="32" spans="1:14">
      <c r="A32">
        <v>31</v>
      </c>
      <c r="B32" s="1" t="s">
        <v>11459</v>
      </c>
      <c r="C32" t="str">
        <f t="shared" si="0"/>
        <v>E1_4_3_16_mRNA</v>
      </c>
      <c r="D32" t="str">
        <f t="shared" si="1"/>
        <v>E1_4_3_16</v>
      </c>
      <c r="E32" t="str">
        <f t="shared" si="2"/>
        <v>E1_4_3_16_kcat : 13.7</v>
      </c>
      <c r="F32" t="str">
        <f t="shared" si="10"/>
        <v>E1_4_3_16_km : 1</v>
      </c>
      <c r="G32" t="str">
        <f t="shared" si="3"/>
        <v>E1_4_3_16_mRNA : E1_4_3_16_mRNA</v>
      </c>
      <c r="H32" t="str">
        <f t="shared" si="4"/>
        <v>E1_4_3_16 : E1_4_3_16</v>
      </c>
      <c r="I32" t="str">
        <f t="shared" si="11"/>
        <v>E1_4_3_16_mRNA : 0</v>
      </c>
      <c r="J32" t="str">
        <f t="shared" si="5"/>
        <v>E1_4_3_16 : 0</v>
      </c>
      <c r="K32" t="str">
        <f t="shared" si="6"/>
        <v>0.00292 - (0.0093 * E1_4_3_16_mRNA)</v>
      </c>
      <c r="L32" t="str">
        <f t="shared" si="7"/>
        <v>(0.278 * E1_4_3_16_mRNA) - (0.00000278 * E1_4_3_16)</v>
      </c>
      <c r="M32" t="str">
        <f t="shared" si="8"/>
        <v>mRNA31: -&gt; E1_4_3_16_mRNA | 0.00292 - (0.0093 * E1_4_3_16_mRNA)</v>
      </c>
      <c r="N32" t="str">
        <f t="shared" si="9"/>
        <v>Peptide31: E1_4_3_16_mRNA -&gt; E1_4_3_16 | (0.278 * E1_4_3_16_mRNA) - (0.000000278 * E1_4_3_16)</v>
      </c>
    </row>
    <row r="33" spans="1:14">
      <c r="A33">
        <v>32</v>
      </c>
      <c r="B33" s="1" t="s">
        <v>11460</v>
      </c>
      <c r="C33" t="str">
        <f t="shared" si="0"/>
        <v>E1_4_4_2_mRNA</v>
      </c>
      <c r="D33" t="str">
        <f t="shared" si="1"/>
        <v>E1_4_4_2</v>
      </c>
      <c r="E33" t="str">
        <f t="shared" si="2"/>
        <v>E1_4_4_2_kcat : 13.7</v>
      </c>
      <c r="F33" t="str">
        <f t="shared" si="10"/>
        <v>E1_4_4_2_km : 1</v>
      </c>
      <c r="G33" t="str">
        <f t="shared" si="3"/>
        <v>E1_4_4_2_mRNA : E1_4_4_2_mRNA</v>
      </c>
      <c r="H33" t="str">
        <f t="shared" si="4"/>
        <v>E1_4_4_2 : E1_4_4_2</v>
      </c>
      <c r="I33" t="str">
        <f t="shared" si="11"/>
        <v>E1_4_4_2_mRNA : 0</v>
      </c>
      <c r="J33" t="str">
        <f t="shared" si="5"/>
        <v>E1_4_4_2 : 0</v>
      </c>
      <c r="K33" t="str">
        <f t="shared" si="6"/>
        <v>0.00292 - (0.0093 * E1_4_4_2_mRNA)</v>
      </c>
      <c r="L33" t="str">
        <f t="shared" si="7"/>
        <v>(0.278 * E1_4_4_2_mRNA) - (0.00000278 * E1_4_4_2)</v>
      </c>
      <c r="M33" t="str">
        <f t="shared" si="8"/>
        <v>mRNA32: -&gt; E1_4_4_2_mRNA | 0.00292 - (0.0093 * E1_4_4_2_mRNA)</v>
      </c>
      <c r="N33" t="str">
        <f t="shared" si="9"/>
        <v>Peptide32: E1_4_4_2_mRNA -&gt; E1_4_4_2 | (0.278 * E1_4_4_2_mRNA) - (0.000000278 * E1_4_4_2)</v>
      </c>
    </row>
    <row r="34" spans="1:14">
      <c r="A34">
        <v>33</v>
      </c>
      <c r="B34" s="1" t="s">
        <v>11461</v>
      </c>
      <c r="C34" t="str">
        <f t="shared" si="0"/>
        <v>E1_5_1_2_mRNA</v>
      </c>
      <c r="D34" t="str">
        <f t="shared" si="1"/>
        <v>E1_5_1_2</v>
      </c>
      <c r="E34" t="str">
        <f t="shared" si="2"/>
        <v>E1_5_1_2_kcat : 13.7</v>
      </c>
      <c r="F34" t="str">
        <f t="shared" si="10"/>
        <v>E1_5_1_2_km : 1</v>
      </c>
      <c r="G34" t="str">
        <f t="shared" si="3"/>
        <v>E1_5_1_2_mRNA : E1_5_1_2_mRNA</v>
      </c>
      <c r="H34" t="str">
        <f t="shared" si="4"/>
        <v>E1_5_1_2 : E1_5_1_2</v>
      </c>
      <c r="I34" t="str">
        <f t="shared" si="11"/>
        <v>E1_5_1_2_mRNA : 0</v>
      </c>
      <c r="J34" t="str">
        <f t="shared" si="5"/>
        <v>E1_5_1_2 : 0</v>
      </c>
      <c r="K34" t="str">
        <f t="shared" si="6"/>
        <v>0.00292 - (0.0093 * E1_5_1_2_mRNA)</v>
      </c>
      <c r="L34" t="str">
        <f t="shared" si="7"/>
        <v>(0.278 * E1_5_1_2_mRNA) - (0.00000278 * E1_5_1_2)</v>
      </c>
      <c r="M34" t="str">
        <f t="shared" si="8"/>
        <v>mRNA33: -&gt; E1_5_1_2_mRNA | 0.00292 - (0.0093 * E1_5_1_2_mRNA)</v>
      </c>
      <c r="N34" t="str">
        <f t="shared" si="9"/>
        <v>Peptide33: E1_5_1_2_mRNA -&gt; E1_5_1_2 | (0.278 * E1_5_1_2_mRNA) - (0.000000278 * E1_5_1_2)</v>
      </c>
    </row>
    <row r="35" spans="1:14">
      <c r="A35">
        <v>34</v>
      </c>
      <c r="B35" s="1" t="s">
        <v>11462</v>
      </c>
      <c r="C35" t="str">
        <f t="shared" si="0"/>
        <v>E1_5_1_20_mRNA</v>
      </c>
      <c r="D35" t="str">
        <f t="shared" si="1"/>
        <v>E1_5_1_20</v>
      </c>
      <c r="E35" t="str">
        <f t="shared" si="2"/>
        <v>E1_5_1_20_kcat : 13.7</v>
      </c>
      <c r="F35" t="str">
        <f t="shared" si="10"/>
        <v>E1_5_1_20_km : 1</v>
      </c>
      <c r="G35" t="str">
        <f t="shared" si="3"/>
        <v>E1_5_1_20_mRNA : E1_5_1_20_mRNA</v>
      </c>
      <c r="H35" t="str">
        <f t="shared" si="4"/>
        <v>E1_5_1_20 : E1_5_1_20</v>
      </c>
      <c r="I35" t="str">
        <f t="shared" si="11"/>
        <v>E1_5_1_20_mRNA : 0</v>
      </c>
      <c r="J35" t="str">
        <f t="shared" si="5"/>
        <v>E1_5_1_20 : 0</v>
      </c>
      <c r="K35" t="str">
        <f t="shared" si="6"/>
        <v>0.00292 - (0.0093 * E1_5_1_20_mRNA)</v>
      </c>
      <c r="L35" t="str">
        <f t="shared" si="7"/>
        <v>(0.278 * E1_5_1_20_mRNA) - (0.00000278 * E1_5_1_20)</v>
      </c>
      <c r="M35" t="str">
        <f t="shared" si="8"/>
        <v>mRNA34: -&gt; E1_5_1_20_mRNA | 0.00292 - (0.0093 * E1_5_1_20_mRNA)</v>
      </c>
      <c r="N35" t="str">
        <f t="shared" si="9"/>
        <v>Peptide34: E1_5_1_20_mRNA -&gt; E1_5_1_20 | (0.278 * E1_5_1_20_mRNA) - (0.000000278 * E1_5_1_20)</v>
      </c>
    </row>
    <row r="36" spans="1:14">
      <c r="A36">
        <v>35</v>
      </c>
      <c r="B36" s="1" t="s">
        <v>11463</v>
      </c>
      <c r="C36" t="str">
        <f t="shared" si="0"/>
        <v>E1_7_2_2_mRNA</v>
      </c>
      <c r="D36" t="str">
        <f t="shared" si="1"/>
        <v>E1_7_2_2</v>
      </c>
      <c r="E36" t="str">
        <f t="shared" si="2"/>
        <v>E1_7_2_2_kcat : 13.7</v>
      </c>
      <c r="F36" t="str">
        <f t="shared" si="10"/>
        <v>E1_7_2_2_km : 1</v>
      </c>
      <c r="G36" t="str">
        <f t="shared" si="3"/>
        <v>E1_7_2_2_mRNA : E1_7_2_2_mRNA</v>
      </c>
      <c r="H36" t="str">
        <f t="shared" si="4"/>
        <v>E1_7_2_2 : E1_7_2_2</v>
      </c>
      <c r="I36" t="str">
        <f t="shared" si="11"/>
        <v>E1_7_2_2_mRNA : 0</v>
      </c>
      <c r="J36" t="str">
        <f t="shared" si="5"/>
        <v>E1_7_2_2 : 0</v>
      </c>
      <c r="K36" t="str">
        <f t="shared" si="6"/>
        <v>0.00292 - (0.0093 * E1_7_2_2_mRNA)</v>
      </c>
      <c r="L36" t="str">
        <f t="shared" si="7"/>
        <v>(0.278 * E1_7_2_2_mRNA) - (0.00000278 * E1_7_2_2)</v>
      </c>
      <c r="M36" t="str">
        <f t="shared" si="8"/>
        <v>mRNA35: -&gt; E1_7_2_2_mRNA | 0.00292 - (0.0093 * E1_7_2_2_mRNA)</v>
      </c>
      <c r="N36" t="str">
        <f t="shared" si="9"/>
        <v>Peptide35: E1_7_2_2_mRNA -&gt; E1_7_2_2 | (0.278 * E1_7_2_2_mRNA) - (0.000000278 * E1_7_2_2)</v>
      </c>
    </row>
    <row r="37" spans="1:14">
      <c r="A37">
        <v>36</v>
      </c>
      <c r="B37" s="1" t="s">
        <v>11464</v>
      </c>
      <c r="C37" t="str">
        <f t="shared" si="0"/>
        <v>E1_7_99_1_mRNA</v>
      </c>
      <c r="D37" t="str">
        <f t="shared" si="1"/>
        <v>E1_7_99_1</v>
      </c>
      <c r="E37" t="str">
        <f t="shared" si="2"/>
        <v>E1_7_99_1_kcat : 13.7</v>
      </c>
      <c r="F37" t="str">
        <f t="shared" si="10"/>
        <v>E1_7_99_1_km : 1</v>
      </c>
      <c r="G37" t="str">
        <f t="shared" si="3"/>
        <v>E1_7_99_1_mRNA : E1_7_99_1_mRNA</v>
      </c>
      <c r="H37" t="str">
        <f t="shared" si="4"/>
        <v>E1_7_99_1 : E1_7_99_1</v>
      </c>
      <c r="I37" t="str">
        <f t="shared" si="11"/>
        <v>E1_7_99_1_mRNA : 0</v>
      </c>
      <c r="J37" t="str">
        <f t="shared" si="5"/>
        <v>E1_7_99_1 : 0</v>
      </c>
      <c r="K37" t="str">
        <f t="shared" si="6"/>
        <v>0.00292 - (0.0093 * E1_7_99_1_mRNA)</v>
      </c>
      <c r="L37" t="str">
        <f t="shared" si="7"/>
        <v>(0.278 * E1_7_99_1_mRNA) - (0.00000278 * E1_7_99_1)</v>
      </c>
      <c r="M37" t="str">
        <f t="shared" si="8"/>
        <v>mRNA36: -&gt; E1_7_99_1_mRNA | 0.00292 - (0.0093 * E1_7_99_1_mRNA)</v>
      </c>
      <c r="N37" t="str">
        <f t="shared" si="9"/>
        <v>Peptide36: E1_7_99_1_mRNA -&gt; E1_7_99_1 | (0.278 * E1_7_99_1_mRNA) - (0.000000278 * E1_7_99_1)</v>
      </c>
    </row>
    <row r="38" spans="1:14">
      <c r="A38">
        <v>37</v>
      </c>
      <c r="B38" s="1" t="s">
        <v>11465</v>
      </c>
      <c r="C38" t="str">
        <f t="shared" si="0"/>
        <v>E1_8_1_4_mRNA</v>
      </c>
      <c r="D38" t="str">
        <f t="shared" si="1"/>
        <v>E1_8_1_4</v>
      </c>
      <c r="E38" t="str">
        <f t="shared" si="2"/>
        <v>E1_8_1_4_kcat : 13.7</v>
      </c>
      <c r="F38" t="str">
        <f t="shared" si="10"/>
        <v>E1_8_1_4_km : 1</v>
      </c>
      <c r="G38" t="str">
        <f t="shared" si="3"/>
        <v>E1_8_1_4_mRNA : E1_8_1_4_mRNA</v>
      </c>
      <c r="H38" t="str">
        <f t="shared" si="4"/>
        <v>E1_8_1_4 : E1_8_1_4</v>
      </c>
      <c r="I38" t="str">
        <f t="shared" si="11"/>
        <v>E1_8_1_4_mRNA : 0</v>
      </c>
      <c r="J38" t="str">
        <f t="shared" si="5"/>
        <v>E1_8_1_4 : 0</v>
      </c>
      <c r="K38" t="str">
        <f t="shared" si="6"/>
        <v>0.00292 - (0.0093 * E1_8_1_4_mRNA)</v>
      </c>
      <c r="L38" t="str">
        <f t="shared" si="7"/>
        <v>(0.278 * E1_8_1_4_mRNA) - (0.00000278 * E1_8_1_4)</v>
      </c>
      <c r="M38" t="str">
        <f t="shared" si="8"/>
        <v>mRNA37: -&gt; E1_8_1_4_mRNA | 0.00292 - (0.0093 * E1_8_1_4_mRNA)</v>
      </c>
      <c r="N38" t="str">
        <f t="shared" si="9"/>
        <v>Peptide37: E1_8_1_4_mRNA -&gt; E1_8_1_4 | (0.278 * E1_8_1_4_mRNA) - (0.000000278 * E1_8_1_4)</v>
      </c>
    </row>
    <row r="39" spans="1:14">
      <c r="A39">
        <v>38</v>
      </c>
      <c r="B39" s="1" t="s">
        <v>11466</v>
      </c>
      <c r="C39" t="str">
        <f t="shared" si="0"/>
        <v>E1_8_1_9_mRNA</v>
      </c>
      <c r="D39" t="str">
        <f t="shared" si="1"/>
        <v>E1_8_1_9</v>
      </c>
      <c r="E39" t="str">
        <f t="shared" si="2"/>
        <v>E1_8_1_9_kcat : 13.7</v>
      </c>
      <c r="F39" t="str">
        <f t="shared" si="10"/>
        <v>E1_8_1_9_km : 1</v>
      </c>
      <c r="G39" t="str">
        <f t="shared" si="3"/>
        <v>E1_8_1_9_mRNA : E1_8_1_9_mRNA</v>
      </c>
      <c r="H39" t="str">
        <f t="shared" si="4"/>
        <v>E1_8_1_9 : E1_8_1_9</v>
      </c>
      <c r="I39" t="str">
        <f t="shared" si="11"/>
        <v>E1_8_1_9_mRNA : 0</v>
      </c>
      <c r="J39" t="str">
        <f t="shared" si="5"/>
        <v>E1_8_1_9 : 0</v>
      </c>
      <c r="K39" t="str">
        <f t="shared" si="6"/>
        <v>0.00292 - (0.0093 * E1_8_1_9_mRNA)</v>
      </c>
      <c r="L39" t="str">
        <f t="shared" si="7"/>
        <v>(0.278 * E1_8_1_9_mRNA) - (0.00000278 * E1_8_1_9)</v>
      </c>
      <c r="M39" t="str">
        <f t="shared" si="8"/>
        <v>mRNA38: -&gt; E1_8_1_9_mRNA | 0.00292 - (0.0093 * E1_8_1_9_mRNA)</v>
      </c>
      <c r="N39" t="str">
        <f t="shared" si="9"/>
        <v>Peptide38: E1_8_1_9_mRNA -&gt; E1_8_1_9 | (0.278 * E1_8_1_9_mRNA) - (0.000000278 * E1_8_1_9)</v>
      </c>
    </row>
    <row r="40" spans="1:14">
      <c r="A40">
        <v>39</v>
      </c>
      <c r="B40" s="1" t="s">
        <v>11467</v>
      </c>
      <c r="C40" t="str">
        <f t="shared" si="0"/>
        <v>E1_8_4_12_mRNA</v>
      </c>
      <c r="D40" t="str">
        <f t="shared" si="1"/>
        <v>E1_8_4_12</v>
      </c>
      <c r="E40" t="str">
        <f t="shared" si="2"/>
        <v>E1_8_4_12_kcat : 13.7</v>
      </c>
      <c r="F40" t="str">
        <f t="shared" si="10"/>
        <v>E1_8_4_12_km : 1</v>
      </c>
      <c r="G40" t="str">
        <f t="shared" si="3"/>
        <v>E1_8_4_12_mRNA : E1_8_4_12_mRNA</v>
      </c>
      <c r="H40" t="str">
        <f t="shared" si="4"/>
        <v>E1_8_4_12 : E1_8_4_12</v>
      </c>
      <c r="I40" t="str">
        <f t="shared" si="11"/>
        <v>E1_8_4_12_mRNA : 0</v>
      </c>
      <c r="J40" t="str">
        <f t="shared" si="5"/>
        <v>E1_8_4_12 : 0</v>
      </c>
      <c r="K40" t="str">
        <f t="shared" si="6"/>
        <v>0.00292 - (0.0093 * E1_8_4_12_mRNA)</v>
      </c>
      <c r="L40" t="str">
        <f t="shared" si="7"/>
        <v>(0.278 * E1_8_4_12_mRNA) - (0.00000278 * E1_8_4_12)</v>
      </c>
      <c r="M40" t="str">
        <f t="shared" si="8"/>
        <v>mRNA39: -&gt; E1_8_4_12_mRNA | 0.00292 - (0.0093 * E1_8_4_12_mRNA)</v>
      </c>
      <c r="N40" t="str">
        <f t="shared" si="9"/>
        <v>Peptide39: E1_8_4_12_mRNA -&gt; E1_8_4_12 | (0.278 * E1_8_4_12_mRNA) - (0.000000278 * E1_8_4_12)</v>
      </c>
    </row>
    <row r="41" spans="1:14">
      <c r="A41">
        <v>40</v>
      </c>
      <c r="B41" s="1" t="s">
        <v>11468</v>
      </c>
      <c r="C41" t="str">
        <f t="shared" si="0"/>
        <v>E1_97_1_4_mRNA</v>
      </c>
      <c r="D41" t="str">
        <f t="shared" si="1"/>
        <v>E1_97_1_4</v>
      </c>
      <c r="E41" t="str">
        <f t="shared" si="2"/>
        <v>E1_97_1_4_kcat : 13.7</v>
      </c>
      <c r="F41" t="str">
        <f t="shared" si="10"/>
        <v>E1_97_1_4_km : 1</v>
      </c>
      <c r="G41" t="str">
        <f t="shared" si="3"/>
        <v>E1_97_1_4_mRNA : E1_97_1_4_mRNA</v>
      </c>
      <c r="H41" t="str">
        <f t="shared" si="4"/>
        <v>E1_97_1_4 : E1_97_1_4</v>
      </c>
      <c r="I41" t="str">
        <f t="shared" si="11"/>
        <v>E1_97_1_4_mRNA : 0</v>
      </c>
      <c r="J41" t="str">
        <f t="shared" si="5"/>
        <v>E1_97_1_4 : 0</v>
      </c>
      <c r="K41" t="str">
        <f t="shared" si="6"/>
        <v>0.00292 - (0.0093 * E1_97_1_4_mRNA)</v>
      </c>
      <c r="L41" t="str">
        <f t="shared" si="7"/>
        <v>(0.278 * E1_97_1_4_mRNA) - (0.00000278 * E1_97_1_4)</v>
      </c>
      <c r="M41" t="str">
        <f t="shared" si="8"/>
        <v>mRNA40: -&gt; E1_97_1_4_mRNA | 0.00292 - (0.0093 * E1_97_1_4_mRNA)</v>
      </c>
      <c r="N41" t="str">
        <f t="shared" si="9"/>
        <v>Peptide40: E1_97_1_4_mRNA -&gt; E1_97_1_4 | (0.278 * E1_97_1_4_mRNA) - (0.000000278 * E1_97_1_4)</v>
      </c>
    </row>
    <row r="42" spans="1:14">
      <c r="A42">
        <v>41</v>
      </c>
      <c r="B42" s="1" t="s">
        <v>11469</v>
      </c>
      <c r="C42" t="str">
        <f t="shared" si="0"/>
        <v>E2_1_1_13_mRNA</v>
      </c>
      <c r="D42" t="str">
        <f t="shared" si="1"/>
        <v>E2_1_1_13</v>
      </c>
      <c r="E42" t="str">
        <f t="shared" si="2"/>
        <v>E2_1_1_13_kcat : 13.7</v>
      </c>
      <c r="F42" t="str">
        <f t="shared" si="10"/>
        <v>E2_1_1_13_km : 1</v>
      </c>
      <c r="G42" t="str">
        <f t="shared" si="3"/>
        <v>E2_1_1_13_mRNA : E2_1_1_13_mRNA</v>
      </c>
      <c r="H42" t="str">
        <f t="shared" si="4"/>
        <v>E2_1_1_13 : E2_1_1_13</v>
      </c>
      <c r="I42" t="str">
        <f t="shared" si="11"/>
        <v>E2_1_1_13_mRNA : 0</v>
      </c>
      <c r="J42" t="str">
        <f t="shared" si="5"/>
        <v>E2_1_1_13 : 0</v>
      </c>
      <c r="K42" t="str">
        <f t="shared" si="6"/>
        <v>0.00292 - (0.0093 * E2_1_1_13_mRNA)</v>
      </c>
      <c r="L42" t="str">
        <f t="shared" si="7"/>
        <v>(0.278 * E2_1_1_13_mRNA) - (0.00000278 * E2_1_1_13)</v>
      </c>
      <c r="M42" t="str">
        <f t="shared" si="8"/>
        <v>mRNA41: -&gt; E2_1_1_13_mRNA | 0.00292 - (0.0093 * E2_1_1_13_mRNA)</v>
      </c>
      <c r="N42" t="str">
        <f t="shared" si="9"/>
        <v>Peptide41: E2_1_1_13_mRNA -&gt; E2_1_1_13 | (0.278 * E2_1_1_13_mRNA) - (0.000000278 * E2_1_1_13)</v>
      </c>
    </row>
    <row r="43" spans="1:14">
      <c r="A43">
        <v>42</v>
      </c>
      <c r="B43" s="1" t="s">
        <v>11470</v>
      </c>
      <c r="C43" t="str">
        <f t="shared" si="0"/>
        <v>E2_1_1_131_mRNA</v>
      </c>
      <c r="D43" t="str">
        <f t="shared" si="1"/>
        <v>E2_1_1_131</v>
      </c>
      <c r="E43" t="str">
        <f t="shared" si="2"/>
        <v>E2_1_1_131_kcat : 13.7</v>
      </c>
      <c r="F43" t="str">
        <f t="shared" si="10"/>
        <v>E2_1_1_131_km : 1</v>
      </c>
      <c r="G43" t="str">
        <f t="shared" si="3"/>
        <v>E2_1_1_131_mRNA : E2_1_1_131_mRNA</v>
      </c>
      <c r="H43" t="str">
        <f t="shared" si="4"/>
        <v>E2_1_1_131 : E2_1_1_131</v>
      </c>
      <c r="I43" t="str">
        <f t="shared" si="11"/>
        <v>E2_1_1_131_mRNA : 0</v>
      </c>
      <c r="J43" t="str">
        <f t="shared" si="5"/>
        <v>E2_1_1_131 : 0</v>
      </c>
      <c r="K43" t="str">
        <f t="shared" si="6"/>
        <v>0.00292 - (0.0093 * E2_1_1_131_mRNA)</v>
      </c>
      <c r="L43" t="str">
        <f t="shared" si="7"/>
        <v>(0.278 * E2_1_1_131_mRNA) - (0.00000278 * E2_1_1_131)</v>
      </c>
      <c r="M43" t="str">
        <f t="shared" si="8"/>
        <v>mRNA42: -&gt; E2_1_1_131_mRNA | 0.00292 - (0.0093 * E2_1_1_131_mRNA)</v>
      </c>
      <c r="N43" t="str">
        <f t="shared" si="9"/>
        <v>Peptide42: E2_1_1_131_mRNA -&gt; E2_1_1_131 | (0.278 * E2_1_1_131_mRNA) - (0.000000278 * E2_1_1_131)</v>
      </c>
    </row>
    <row r="44" spans="1:14">
      <c r="A44">
        <v>43</v>
      </c>
      <c r="B44" s="1" t="s">
        <v>11471</v>
      </c>
      <c r="C44" t="str">
        <f t="shared" si="0"/>
        <v>E2_1_1_133_mRNA</v>
      </c>
      <c r="D44" t="str">
        <f t="shared" si="1"/>
        <v>E2_1_1_133</v>
      </c>
      <c r="E44" t="str">
        <f t="shared" si="2"/>
        <v>E2_1_1_133_kcat : 13.7</v>
      </c>
      <c r="F44" t="str">
        <f t="shared" si="10"/>
        <v>E2_1_1_133_km : 1</v>
      </c>
      <c r="G44" t="str">
        <f t="shared" si="3"/>
        <v>E2_1_1_133_mRNA : E2_1_1_133_mRNA</v>
      </c>
      <c r="H44" t="str">
        <f t="shared" si="4"/>
        <v>E2_1_1_133 : E2_1_1_133</v>
      </c>
      <c r="I44" t="str">
        <f t="shared" si="11"/>
        <v>E2_1_1_133_mRNA : 0</v>
      </c>
      <c r="J44" t="str">
        <f t="shared" si="5"/>
        <v>E2_1_1_133 : 0</v>
      </c>
      <c r="K44" t="str">
        <f t="shared" si="6"/>
        <v>0.00292 - (0.0093 * E2_1_1_133_mRNA)</v>
      </c>
      <c r="L44" t="str">
        <f t="shared" si="7"/>
        <v>(0.278 * E2_1_1_133_mRNA) - (0.00000278 * E2_1_1_133)</v>
      </c>
      <c r="M44" t="str">
        <f t="shared" si="8"/>
        <v>mRNA43: -&gt; E2_1_1_133_mRNA | 0.00292 - (0.0093 * E2_1_1_133_mRNA)</v>
      </c>
      <c r="N44" t="str">
        <f t="shared" si="9"/>
        <v>Peptide43: E2_1_1_133_mRNA -&gt; E2_1_1_133 | (0.278 * E2_1_1_133_mRNA) - (0.000000278 * E2_1_1_133)</v>
      </c>
    </row>
    <row r="45" spans="1:14">
      <c r="A45">
        <v>44</v>
      </c>
      <c r="B45" s="1" t="s">
        <v>11472</v>
      </c>
      <c r="C45" t="str">
        <f t="shared" si="0"/>
        <v>E2_1_1_182_mRNA</v>
      </c>
      <c r="D45" t="str">
        <f t="shared" si="1"/>
        <v>E2_1_1_182</v>
      </c>
      <c r="E45" t="str">
        <f t="shared" si="2"/>
        <v>E2_1_1_182_kcat : 13.7</v>
      </c>
      <c r="F45" t="str">
        <f t="shared" si="10"/>
        <v>E2_1_1_182_km : 1</v>
      </c>
      <c r="G45" t="str">
        <f t="shared" si="3"/>
        <v>E2_1_1_182_mRNA : E2_1_1_182_mRNA</v>
      </c>
      <c r="H45" t="str">
        <f t="shared" si="4"/>
        <v>E2_1_1_182 : E2_1_1_182</v>
      </c>
      <c r="I45" t="str">
        <f t="shared" si="11"/>
        <v>E2_1_1_182_mRNA : 0</v>
      </c>
      <c r="J45" t="str">
        <f t="shared" si="5"/>
        <v>E2_1_1_182 : 0</v>
      </c>
      <c r="K45" t="str">
        <f t="shared" si="6"/>
        <v>0.00292 - (0.0093 * E2_1_1_182_mRNA)</v>
      </c>
      <c r="L45" t="str">
        <f t="shared" si="7"/>
        <v>(0.278 * E2_1_1_182_mRNA) - (0.00000278 * E2_1_1_182)</v>
      </c>
      <c r="M45" t="str">
        <f t="shared" si="8"/>
        <v>mRNA44: -&gt; E2_1_1_182_mRNA | 0.00292 - (0.0093 * E2_1_1_182_mRNA)</v>
      </c>
      <c r="N45" t="str">
        <f t="shared" si="9"/>
        <v>Peptide44: E2_1_1_182_mRNA -&gt; E2_1_1_182 | (0.278 * E2_1_1_182_mRNA) - (0.000000278 * E2_1_1_182)</v>
      </c>
    </row>
    <row r="46" spans="1:14">
      <c r="A46">
        <v>45</v>
      </c>
      <c r="B46" s="1" t="s">
        <v>11473</v>
      </c>
      <c r="C46" t="str">
        <f t="shared" si="0"/>
        <v>E2_1_1_197_mRNA</v>
      </c>
      <c r="D46" t="str">
        <f t="shared" si="1"/>
        <v>E2_1_1_197</v>
      </c>
      <c r="E46" t="str">
        <f t="shared" si="2"/>
        <v>E2_1_1_197_kcat : 13.7</v>
      </c>
      <c r="F46" t="str">
        <f t="shared" si="10"/>
        <v>E2_1_1_197_km : 1</v>
      </c>
      <c r="G46" t="str">
        <f t="shared" si="3"/>
        <v>E2_1_1_197_mRNA : E2_1_1_197_mRNA</v>
      </c>
      <c r="H46" t="str">
        <f t="shared" si="4"/>
        <v>E2_1_1_197 : E2_1_1_197</v>
      </c>
      <c r="I46" t="str">
        <f t="shared" si="11"/>
        <v>E2_1_1_197_mRNA : 0</v>
      </c>
      <c r="J46" t="str">
        <f t="shared" si="5"/>
        <v>E2_1_1_197 : 0</v>
      </c>
      <c r="K46" t="str">
        <f t="shared" si="6"/>
        <v>0.00292 - (0.0093 * E2_1_1_197_mRNA)</v>
      </c>
      <c r="L46" t="str">
        <f t="shared" si="7"/>
        <v>(0.278 * E2_1_1_197_mRNA) - (0.00000278 * E2_1_1_197)</v>
      </c>
      <c r="M46" t="str">
        <f t="shared" si="8"/>
        <v>mRNA45: -&gt; E2_1_1_197_mRNA | 0.00292 - (0.0093 * E2_1_1_197_mRNA)</v>
      </c>
      <c r="N46" t="str">
        <f t="shared" si="9"/>
        <v>Peptide45: E2_1_1_197_mRNA -&gt; E2_1_1_197 | (0.278 * E2_1_1_197_mRNA) - (0.000000278 * E2_1_1_197)</v>
      </c>
    </row>
    <row r="47" spans="1:14">
      <c r="A47">
        <v>46</v>
      </c>
      <c r="B47" s="1" t="s">
        <v>11474</v>
      </c>
      <c r="C47" t="str">
        <f t="shared" si="0"/>
        <v>E2_1_1_228_mRNA</v>
      </c>
      <c r="D47" t="str">
        <f t="shared" si="1"/>
        <v>E2_1_1_228</v>
      </c>
      <c r="E47" t="str">
        <f t="shared" si="2"/>
        <v>E2_1_1_228_kcat : 13.7</v>
      </c>
      <c r="F47" t="str">
        <f t="shared" si="10"/>
        <v>E2_1_1_228_km : 1</v>
      </c>
      <c r="G47" t="str">
        <f t="shared" si="3"/>
        <v>E2_1_1_228_mRNA : E2_1_1_228_mRNA</v>
      </c>
      <c r="H47" t="str">
        <f t="shared" si="4"/>
        <v>E2_1_1_228 : E2_1_1_228</v>
      </c>
      <c r="I47" t="str">
        <f t="shared" si="11"/>
        <v>E2_1_1_228_mRNA : 0</v>
      </c>
      <c r="J47" t="str">
        <f t="shared" si="5"/>
        <v>E2_1_1_228 : 0</v>
      </c>
      <c r="K47" t="str">
        <f t="shared" si="6"/>
        <v>0.00292 - (0.0093 * E2_1_1_228_mRNA)</v>
      </c>
      <c r="L47" t="str">
        <f t="shared" si="7"/>
        <v>(0.278 * E2_1_1_228_mRNA) - (0.00000278 * E2_1_1_228)</v>
      </c>
      <c r="M47" t="str">
        <f t="shared" si="8"/>
        <v>mRNA46: -&gt; E2_1_1_228_mRNA | 0.00292 - (0.0093 * E2_1_1_228_mRNA)</v>
      </c>
      <c r="N47" t="str">
        <f t="shared" si="9"/>
        <v>Peptide46: E2_1_1_228_mRNA -&gt; E2_1_1_228 | (0.278 * E2_1_1_228_mRNA) - (0.000000278 * E2_1_1_228)</v>
      </c>
    </row>
    <row r="48" spans="1:14">
      <c r="A48">
        <v>47</v>
      </c>
      <c r="B48" s="1" t="s">
        <v>11475</v>
      </c>
      <c r="C48" t="str">
        <f t="shared" si="0"/>
        <v>E2_1_1_33_mRNA</v>
      </c>
      <c r="D48" t="str">
        <f t="shared" si="1"/>
        <v>E2_1_1_33</v>
      </c>
      <c r="E48" t="str">
        <f t="shared" si="2"/>
        <v>E2_1_1_33_kcat : 13.7</v>
      </c>
      <c r="F48" t="str">
        <f t="shared" si="10"/>
        <v>E2_1_1_33_km : 1</v>
      </c>
      <c r="G48" t="str">
        <f t="shared" si="3"/>
        <v>E2_1_1_33_mRNA : E2_1_1_33_mRNA</v>
      </c>
      <c r="H48" t="str">
        <f t="shared" si="4"/>
        <v>E2_1_1_33 : E2_1_1_33</v>
      </c>
      <c r="I48" t="str">
        <f t="shared" si="11"/>
        <v>E2_1_1_33_mRNA : 0</v>
      </c>
      <c r="J48" t="str">
        <f t="shared" si="5"/>
        <v>E2_1_1_33 : 0</v>
      </c>
      <c r="K48" t="str">
        <f t="shared" si="6"/>
        <v>0.00292 - (0.0093 * E2_1_1_33_mRNA)</v>
      </c>
      <c r="L48" t="str">
        <f t="shared" si="7"/>
        <v>(0.278 * E2_1_1_33_mRNA) - (0.00000278 * E2_1_1_33)</v>
      </c>
      <c r="M48" t="str">
        <f t="shared" si="8"/>
        <v>mRNA47: -&gt; E2_1_1_33_mRNA | 0.00292 - (0.0093 * E2_1_1_33_mRNA)</v>
      </c>
      <c r="N48" t="str">
        <f t="shared" si="9"/>
        <v>Peptide47: E2_1_1_33_mRNA -&gt; E2_1_1_33 | (0.278 * E2_1_1_33_mRNA) - (0.000000278 * E2_1_1_33)</v>
      </c>
    </row>
    <row r="49" spans="1:14">
      <c r="A49">
        <v>48</v>
      </c>
      <c r="B49" s="1" t="s">
        <v>11476</v>
      </c>
      <c r="C49" t="str">
        <f t="shared" si="0"/>
        <v>E2_1_1_37_mRNA</v>
      </c>
      <c r="D49" t="str">
        <f t="shared" si="1"/>
        <v>E2_1_1_37</v>
      </c>
      <c r="E49" t="str">
        <f t="shared" si="2"/>
        <v>E2_1_1_37_kcat : 13.7</v>
      </c>
      <c r="F49" t="str">
        <f t="shared" si="10"/>
        <v>E2_1_1_37_km : 1</v>
      </c>
      <c r="G49" t="str">
        <f t="shared" si="3"/>
        <v>E2_1_1_37_mRNA : E2_1_1_37_mRNA</v>
      </c>
      <c r="H49" t="str">
        <f t="shared" si="4"/>
        <v>E2_1_1_37 : E2_1_1_37</v>
      </c>
      <c r="I49" t="str">
        <f t="shared" si="11"/>
        <v>E2_1_1_37_mRNA : 0</v>
      </c>
      <c r="J49" t="str">
        <f t="shared" si="5"/>
        <v>E2_1_1_37 : 0</v>
      </c>
      <c r="K49" t="str">
        <f t="shared" si="6"/>
        <v>0.00292 - (0.0093 * E2_1_1_37_mRNA)</v>
      </c>
      <c r="L49" t="str">
        <f t="shared" si="7"/>
        <v>(0.278 * E2_1_1_37_mRNA) - (0.00000278 * E2_1_1_37)</v>
      </c>
      <c r="M49" t="str">
        <f t="shared" si="8"/>
        <v>mRNA48: -&gt; E2_1_1_37_mRNA | 0.00292 - (0.0093 * E2_1_1_37_mRNA)</v>
      </c>
      <c r="N49" t="str">
        <f t="shared" si="9"/>
        <v>Peptide48: E2_1_1_37_mRNA -&gt; E2_1_1_37 | (0.278 * E2_1_1_37_mRNA) - (0.000000278 * E2_1_1_37)</v>
      </c>
    </row>
    <row r="50" spans="1:14">
      <c r="A50">
        <v>49</v>
      </c>
      <c r="B50" s="1" t="s">
        <v>11477</v>
      </c>
      <c r="C50" t="str">
        <f t="shared" si="0"/>
        <v>E2_1_1_45_mRNA</v>
      </c>
      <c r="D50" t="str">
        <f t="shared" si="1"/>
        <v>E2_1_1_45</v>
      </c>
      <c r="E50" t="str">
        <f t="shared" si="2"/>
        <v>E2_1_1_45_kcat : 13.7</v>
      </c>
      <c r="F50" t="str">
        <f t="shared" si="10"/>
        <v>E2_1_1_45_km : 1</v>
      </c>
      <c r="G50" t="str">
        <f t="shared" si="3"/>
        <v>E2_1_1_45_mRNA : E2_1_1_45_mRNA</v>
      </c>
      <c r="H50" t="str">
        <f t="shared" si="4"/>
        <v>E2_1_1_45 : E2_1_1_45</v>
      </c>
      <c r="I50" t="str">
        <f t="shared" si="11"/>
        <v>E2_1_1_45_mRNA : 0</v>
      </c>
      <c r="J50" t="str">
        <f t="shared" si="5"/>
        <v>E2_1_1_45 : 0</v>
      </c>
      <c r="K50" t="str">
        <f t="shared" si="6"/>
        <v>0.00292 - (0.0093 * E2_1_1_45_mRNA)</v>
      </c>
      <c r="L50" t="str">
        <f t="shared" si="7"/>
        <v>(0.278 * E2_1_1_45_mRNA) - (0.00000278 * E2_1_1_45)</v>
      </c>
      <c r="M50" t="str">
        <f t="shared" si="8"/>
        <v>mRNA49: -&gt; E2_1_1_45_mRNA | 0.00292 - (0.0093 * E2_1_1_45_mRNA)</v>
      </c>
      <c r="N50" t="str">
        <f t="shared" si="9"/>
        <v>Peptide49: E2_1_1_45_mRNA -&gt; E2_1_1_45 | (0.278 * E2_1_1_45_mRNA) - (0.000000278 * E2_1_1_45)</v>
      </c>
    </row>
    <row r="51" spans="1:14">
      <c r="A51">
        <v>50</v>
      </c>
      <c r="B51" s="1" t="s">
        <v>11478</v>
      </c>
      <c r="C51" t="str">
        <f t="shared" si="0"/>
        <v>E2_1_1_63_mRNA</v>
      </c>
      <c r="D51" t="str">
        <f t="shared" si="1"/>
        <v>E2_1_1_63</v>
      </c>
      <c r="E51" t="str">
        <f t="shared" si="2"/>
        <v>E2_1_1_63_kcat : 13.7</v>
      </c>
      <c r="F51" t="str">
        <f t="shared" si="10"/>
        <v>E2_1_1_63_km : 1</v>
      </c>
      <c r="G51" t="str">
        <f t="shared" si="3"/>
        <v>E2_1_1_63_mRNA : E2_1_1_63_mRNA</v>
      </c>
      <c r="H51" t="str">
        <f t="shared" si="4"/>
        <v>E2_1_1_63 : E2_1_1_63</v>
      </c>
      <c r="I51" t="str">
        <f t="shared" si="11"/>
        <v>E2_1_1_63_mRNA : 0</v>
      </c>
      <c r="J51" t="str">
        <f t="shared" si="5"/>
        <v>E2_1_1_63 : 0</v>
      </c>
      <c r="K51" t="str">
        <f t="shared" si="6"/>
        <v>0.00292 - (0.0093 * E2_1_1_63_mRNA)</v>
      </c>
      <c r="L51" t="str">
        <f t="shared" si="7"/>
        <v>(0.278 * E2_1_1_63_mRNA) - (0.00000278 * E2_1_1_63)</v>
      </c>
      <c r="M51" t="str">
        <f t="shared" si="8"/>
        <v>mRNA50: -&gt; E2_1_1_63_mRNA | 0.00292 - (0.0093 * E2_1_1_63_mRNA)</v>
      </c>
      <c r="N51" t="str">
        <f t="shared" si="9"/>
        <v>Peptide50: E2_1_1_63_mRNA -&gt; E2_1_1_63 | (0.278 * E2_1_1_63_mRNA) - (0.000000278 * E2_1_1_63)</v>
      </c>
    </row>
    <row r="52" spans="1:14">
      <c r="A52">
        <v>51</v>
      </c>
      <c r="B52" s="1" t="s">
        <v>11479</v>
      </c>
      <c r="C52" t="str">
        <f t="shared" si="0"/>
        <v>E2_1_1_72_mRNA</v>
      </c>
      <c r="D52" t="str">
        <f t="shared" si="1"/>
        <v>E2_1_1_72</v>
      </c>
      <c r="E52" t="str">
        <f t="shared" si="2"/>
        <v>E2_1_1_72_kcat : 13.7</v>
      </c>
      <c r="F52" t="str">
        <f t="shared" si="10"/>
        <v>E2_1_1_72_km : 1</v>
      </c>
      <c r="G52" t="str">
        <f t="shared" si="3"/>
        <v>E2_1_1_72_mRNA : E2_1_1_72_mRNA</v>
      </c>
      <c r="H52" t="str">
        <f t="shared" si="4"/>
        <v>E2_1_1_72 : E2_1_1_72</v>
      </c>
      <c r="I52" t="str">
        <f t="shared" si="11"/>
        <v>E2_1_1_72_mRNA : 0</v>
      </c>
      <c r="J52" t="str">
        <f t="shared" si="5"/>
        <v>E2_1_1_72 : 0</v>
      </c>
      <c r="K52" t="str">
        <f t="shared" si="6"/>
        <v>0.00292 - (0.0093 * E2_1_1_72_mRNA)</v>
      </c>
      <c r="L52" t="str">
        <f t="shared" si="7"/>
        <v>(0.278 * E2_1_1_72_mRNA) - (0.00000278 * E2_1_1_72)</v>
      </c>
      <c r="M52" t="str">
        <f t="shared" si="8"/>
        <v>mRNA51: -&gt; E2_1_1_72_mRNA | 0.00292 - (0.0093 * E2_1_1_72_mRNA)</v>
      </c>
      <c r="N52" t="str">
        <f t="shared" si="9"/>
        <v>Peptide51: E2_1_1_72_mRNA -&gt; E2_1_1_72 | (0.278 * E2_1_1_72_mRNA) - (0.000000278 * E2_1_1_72)</v>
      </c>
    </row>
    <row r="53" spans="1:14">
      <c r="A53">
        <v>52</v>
      </c>
      <c r="B53" s="1" t="s">
        <v>11480</v>
      </c>
      <c r="C53" t="str">
        <f t="shared" si="0"/>
        <v>E2_1_2_10_mRNA</v>
      </c>
      <c r="D53" t="str">
        <f t="shared" si="1"/>
        <v>E2_1_2_10</v>
      </c>
      <c r="E53" t="str">
        <f t="shared" si="2"/>
        <v>E2_1_2_10_kcat : 13.7</v>
      </c>
      <c r="F53" t="str">
        <f t="shared" si="10"/>
        <v>E2_1_2_10_km : 1</v>
      </c>
      <c r="G53" t="str">
        <f t="shared" si="3"/>
        <v>E2_1_2_10_mRNA : E2_1_2_10_mRNA</v>
      </c>
      <c r="H53" t="str">
        <f t="shared" si="4"/>
        <v>E2_1_2_10 : E2_1_2_10</v>
      </c>
      <c r="I53" t="str">
        <f t="shared" si="11"/>
        <v>E2_1_2_10_mRNA : 0</v>
      </c>
      <c r="J53" t="str">
        <f t="shared" si="5"/>
        <v>E2_1_2_10 : 0</v>
      </c>
      <c r="K53" t="str">
        <f t="shared" si="6"/>
        <v>0.00292 - (0.0093 * E2_1_2_10_mRNA)</v>
      </c>
      <c r="L53" t="str">
        <f t="shared" si="7"/>
        <v>(0.278 * E2_1_2_10_mRNA) - (0.00000278 * E2_1_2_10)</v>
      </c>
      <c r="M53" t="str">
        <f t="shared" si="8"/>
        <v>mRNA52: -&gt; E2_1_2_10_mRNA | 0.00292 - (0.0093 * E2_1_2_10_mRNA)</v>
      </c>
      <c r="N53" t="str">
        <f t="shared" si="9"/>
        <v>Peptide52: E2_1_2_10_mRNA -&gt; E2_1_2_10 | (0.278 * E2_1_2_10_mRNA) - (0.000000278 * E2_1_2_10)</v>
      </c>
    </row>
    <row r="54" spans="1:14">
      <c r="A54">
        <v>53</v>
      </c>
      <c r="B54" s="1" t="s">
        <v>11481</v>
      </c>
      <c r="C54" t="str">
        <f t="shared" si="0"/>
        <v>E2_1_2_11_mRNA</v>
      </c>
      <c r="D54" t="str">
        <f t="shared" si="1"/>
        <v>E2_1_2_11</v>
      </c>
      <c r="E54" t="str">
        <f t="shared" si="2"/>
        <v>E2_1_2_11_kcat : 13.7</v>
      </c>
      <c r="F54" t="str">
        <f t="shared" si="10"/>
        <v>E2_1_2_11_km : 1</v>
      </c>
      <c r="G54" t="str">
        <f t="shared" si="3"/>
        <v>E2_1_2_11_mRNA : E2_1_2_11_mRNA</v>
      </c>
      <c r="H54" t="str">
        <f t="shared" si="4"/>
        <v>E2_1_2_11 : E2_1_2_11</v>
      </c>
      <c r="I54" t="str">
        <f t="shared" si="11"/>
        <v>E2_1_2_11_mRNA : 0</v>
      </c>
      <c r="J54" t="str">
        <f t="shared" si="5"/>
        <v>E2_1_2_11 : 0</v>
      </c>
      <c r="K54" t="str">
        <f t="shared" si="6"/>
        <v>0.00292 - (0.0093 * E2_1_2_11_mRNA)</v>
      </c>
      <c r="L54" t="str">
        <f t="shared" si="7"/>
        <v>(0.278 * E2_1_2_11_mRNA) - (0.00000278 * E2_1_2_11)</v>
      </c>
      <c r="M54" t="str">
        <f t="shared" si="8"/>
        <v>mRNA53: -&gt; E2_1_2_11_mRNA | 0.00292 - (0.0093 * E2_1_2_11_mRNA)</v>
      </c>
      <c r="N54" t="str">
        <f t="shared" si="9"/>
        <v>Peptide53: E2_1_2_11_mRNA -&gt; E2_1_2_11 | (0.278 * E2_1_2_11_mRNA) - (0.000000278 * E2_1_2_11)</v>
      </c>
    </row>
    <row r="55" spans="1:14">
      <c r="A55">
        <v>54</v>
      </c>
      <c r="B55" s="1" t="s">
        <v>11482</v>
      </c>
      <c r="C55" t="str">
        <f t="shared" si="0"/>
        <v>E2_1_2_3_mRNA</v>
      </c>
      <c r="D55" t="str">
        <f t="shared" si="1"/>
        <v>E2_1_2_3</v>
      </c>
      <c r="E55" t="str">
        <f t="shared" si="2"/>
        <v>E2_1_2_3_kcat : 13.7</v>
      </c>
      <c r="F55" t="str">
        <f t="shared" si="10"/>
        <v>E2_1_2_3_km : 1</v>
      </c>
      <c r="G55" t="str">
        <f t="shared" si="3"/>
        <v>E2_1_2_3_mRNA : E2_1_2_3_mRNA</v>
      </c>
      <c r="H55" t="str">
        <f t="shared" si="4"/>
        <v>E2_1_2_3 : E2_1_2_3</v>
      </c>
      <c r="I55" t="str">
        <f t="shared" si="11"/>
        <v>E2_1_2_3_mRNA : 0</v>
      </c>
      <c r="J55" t="str">
        <f t="shared" si="5"/>
        <v>E2_1_2_3 : 0</v>
      </c>
      <c r="K55" t="str">
        <f t="shared" si="6"/>
        <v>0.00292 - (0.0093 * E2_1_2_3_mRNA)</v>
      </c>
      <c r="L55" t="str">
        <f t="shared" si="7"/>
        <v>(0.278 * E2_1_2_3_mRNA) - (0.00000278 * E2_1_2_3)</v>
      </c>
      <c r="M55" t="str">
        <f t="shared" si="8"/>
        <v>mRNA54: -&gt; E2_1_2_3_mRNA | 0.00292 - (0.0093 * E2_1_2_3_mRNA)</v>
      </c>
      <c r="N55" t="str">
        <f t="shared" si="9"/>
        <v>Peptide54: E2_1_2_3_mRNA -&gt; E2_1_2_3 | (0.278 * E2_1_2_3_mRNA) - (0.000000278 * E2_1_2_3)</v>
      </c>
    </row>
    <row r="56" spans="1:14">
      <c r="A56">
        <v>55</v>
      </c>
      <c r="B56" s="1" t="s">
        <v>11483</v>
      </c>
      <c r="C56" t="str">
        <f t="shared" si="0"/>
        <v>E2_1_2_5_mRNA</v>
      </c>
      <c r="D56" t="str">
        <f t="shared" si="1"/>
        <v>E2_1_2_5</v>
      </c>
      <c r="E56" t="str">
        <f t="shared" si="2"/>
        <v>E2_1_2_5_kcat : 13.7</v>
      </c>
      <c r="F56" t="str">
        <f t="shared" si="10"/>
        <v>E2_1_2_5_km : 1</v>
      </c>
      <c r="G56" t="str">
        <f t="shared" si="3"/>
        <v>E2_1_2_5_mRNA : E2_1_2_5_mRNA</v>
      </c>
      <c r="H56" t="str">
        <f t="shared" si="4"/>
        <v>E2_1_2_5 : E2_1_2_5</v>
      </c>
      <c r="I56" t="str">
        <f t="shared" si="11"/>
        <v>E2_1_2_5_mRNA : 0</v>
      </c>
      <c r="J56" t="str">
        <f t="shared" si="5"/>
        <v>E2_1_2_5 : 0</v>
      </c>
      <c r="K56" t="str">
        <f t="shared" si="6"/>
        <v>0.00292 - (0.0093 * E2_1_2_5_mRNA)</v>
      </c>
      <c r="L56" t="str">
        <f t="shared" si="7"/>
        <v>(0.278 * E2_1_2_5_mRNA) - (0.00000278 * E2_1_2_5)</v>
      </c>
      <c r="M56" t="str">
        <f t="shared" si="8"/>
        <v>mRNA55: -&gt; E2_1_2_5_mRNA | 0.00292 - (0.0093 * E2_1_2_5_mRNA)</v>
      </c>
      <c r="N56" t="str">
        <f t="shared" si="9"/>
        <v>Peptide55: E2_1_2_5_mRNA -&gt; E2_1_2_5 | (0.278 * E2_1_2_5_mRNA) - (0.000000278 * E2_1_2_5)</v>
      </c>
    </row>
    <row r="57" spans="1:14">
      <c r="A57">
        <v>56</v>
      </c>
      <c r="B57" s="1" t="s">
        <v>11484</v>
      </c>
      <c r="C57" t="str">
        <f t="shared" si="0"/>
        <v>E2_1_2_9_mRNA</v>
      </c>
      <c r="D57" t="str">
        <f t="shared" si="1"/>
        <v>E2_1_2_9</v>
      </c>
      <c r="E57" t="str">
        <f t="shared" si="2"/>
        <v>E2_1_2_9_kcat : 13.7</v>
      </c>
      <c r="F57" t="str">
        <f t="shared" si="10"/>
        <v>E2_1_2_9_km : 1</v>
      </c>
      <c r="G57" t="str">
        <f t="shared" si="3"/>
        <v>E2_1_2_9_mRNA : E2_1_2_9_mRNA</v>
      </c>
      <c r="H57" t="str">
        <f t="shared" si="4"/>
        <v>E2_1_2_9 : E2_1_2_9</v>
      </c>
      <c r="I57" t="str">
        <f t="shared" si="11"/>
        <v>E2_1_2_9_mRNA : 0</v>
      </c>
      <c r="J57" t="str">
        <f t="shared" si="5"/>
        <v>E2_1_2_9 : 0</v>
      </c>
      <c r="K57" t="str">
        <f t="shared" si="6"/>
        <v>0.00292 - (0.0093 * E2_1_2_9_mRNA)</v>
      </c>
      <c r="L57" t="str">
        <f t="shared" si="7"/>
        <v>(0.278 * E2_1_2_9_mRNA) - (0.00000278 * E2_1_2_9)</v>
      </c>
      <c r="M57" t="str">
        <f t="shared" si="8"/>
        <v>mRNA56: -&gt; E2_1_2_9_mRNA | 0.00292 - (0.0093 * E2_1_2_9_mRNA)</v>
      </c>
      <c r="N57" t="str">
        <f t="shared" si="9"/>
        <v>Peptide56: E2_1_2_9_mRNA -&gt; E2_1_2_9 | (0.278 * E2_1_2_9_mRNA) - (0.000000278 * E2_1_2_9)</v>
      </c>
    </row>
    <row r="58" spans="1:14">
      <c r="A58">
        <v>57</v>
      </c>
      <c r="B58" s="1" t="s">
        <v>11485</v>
      </c>
      <c r="C58" t="str">
        <f t="shared" si="0"/>
        <v>E2_1_3_2_mRNA</v>
      </c>
      <c r="D58" t="str">
        <f t="shared" si="1"/>
        <v>E2_1_3_2</v>
      </c>
      <c r="E58" t="str">
        <f t="shared" si="2"/>
        <v>E2_1_3_2_kcat : 13.7</v>
      </c>
      <c r="F58" t="str">
        <f t="shared" si="10"/>
        <v>E2_1_3_2_km : 1</v>
      </c>
      <c r="G58" t="str">
        <f t="shared" si="3"/>
        <v>E2_1_3_2_mRNA : E2_1_3_2_mRNA</v>
      </c>
      <c r="H58" t="str">
        <f t="shared" si="4"/>
        <v>E2_1_3_2 : E2_1_3_2</v>
      </c>
      <c r="I58" t="str">
        <f t="shared" si="11"/>
        <v>E2_1_3_2_mRNA : 0</v>
      </c>
      <c r="J58" t="str">
        <f t="shared" si="5"/>
        <v>E2_1_3_2 : 0</v>
      </c>
      <c r="K58" t="str">
        <f t="shared" si="6"/>
        <v>0.00292 - (0.0093 * E2_1_3_2_mRNA)</v>
      </c>
      <c r="L58" t="str">
        <f t="shared" si="7"/>
        <v>(0.278 * E2_1_3_2_mRNA) - (0.00000278 * E2_1_3_2)</v>
      </c>
      <c r="M58" t="str">
        <f t="shared" si="8"/>
        <v>mRNA57: -&gt; E2_1_3_2_mRNA | 0.00292 - (0.0093 * E2_1_3_2_mRNA)</v>
      </c>
      <c r="N58" t="str">
        <f t="shared" si="9"/>
        <v>Peptide57: E2_1_3_2_mRNA -&gt; E2_1_3_2 | (0.278 * E2_1_3_2_mRNA) - (0.000000278 * E2_1_3_2)</v>
      </c>
    </row>
    <row r="59" spans="1:14">
      <c r="A59">
        <v>58</v>
      </c>
      <c r="B59" s="1" t="s">
        <v>11486</v>
      </c>
      <c r="C59" t="str">
        <f t="shared" si="0"/>
        <v>E2_1_3_9_mRNA</v>
      </c>
      <c r="D59" t="str">
        <f t="shared" si="1"/>
        <v>E2_1_3_9</v>
      </c>
      <c r="E59" t="str">
        <f t="shared" si="2"/>
        <v>E2_1_3_9_kcat : 13.7</v>
      </c>
      <c r="F59" t="str">
        <f t="shared" si="10"/>
        <v>E2_1_3_9_km : 1</v>
      </c>
      <c r="G59" t="str">
        <f t="shared" si="3"/>
        <v>E2_1_3_9_mRNA : E2_1_3_9_mRNA</v>
      </c>
      <c r="H59" t="str">
        <f t="shared" si="4"/>
        <v>E2_1_3_9 : E2_1_3_9</v>
      </c>
      <c r="I59" t="str">
        <f t="shared" si="11"/>
        <v>E2_1_3_9_mRNA : 0</v>
      </c>
      <c r="J59" t="str">
        <f t="shared" si="5"/>
        <v>E2_1_3_9 : 0</v>
      </c>
      <c r="K59" t="str">
        <f t="shared" si="6"/>
        <v>0.00292 - (0.0093 * E2_1_3_9_mRNA)</v>
      </c>
      <c r="L59" t="str">
        <f t="shared" si="7"/>
        <v>(0.278 * E2_1_3_9_mRNA) - (0.00000278 * E2_1_3_9)</v>
      </c>
      <c r="M59" t="str">
        <f t="shared" si="8"/>
        <v>mRNA58: -&gt; E2_1_3_9_mRNA | 0.00292 - (0.0093 * E2_1_3_9_mRNA)</v>
      </c>
      <c r="N59" t="str">
        <f t="shared" si="9"/>
        <v>Peptide58: E2_1_3_9_mRNA -&gt; E2_1_3_9 | (0.278 * E2_1_3_9_mRNA) - (0.000000278 * E2_1_3_9)</v>
      </c>
    </row>
    <row r="60" spans="1:14">
      <c r="A60">
        <v>59</v>
      </c>
      <c r="B60" s="1" t="s">
        <v>11487</v>
      </c>
      <c r="C60" t="str">
        <f t="shared" si="0"/>
        <v>E2_2_1_6_mRNA</v>
      </c>
      <c r="D60" t="str">
        <f t="shared" si="1"/>
        <v>E2_2_1_6</v>
      </c>
      <c r="E60" t="str">
        <f t="shared" si="2"/>
        <v>E2_2_1_6_kcat : 13.7</v>
      </c>
      <c r="F60" t="str">
        <f t="shared" si="10"/>
        <v>E2_2_1_6_km : 1</v>
      </c>
      <c r="G60" t="str">
        <f t="shared" si="3"/>
        <v>E2_2_1_6_mRNA : E2_2_1_6_mRNA</v>
      </c>
      <c r="H60" t="str">
        <f t="shared" si="4"/>
        <v>E2_2_1_6 : E2_2_1_6</v>
      </c>
      <c r="I60" t="str">
        <f t="shared" si="11"/>
        <v>E2_2_1_6_mRNA : 0</v>
      </c>
      <c r="J60" t="str">
        <f t="shared" si="5"/>
        <v>E2_2_1_6 : 0</v>
      </c>
      <c r="K60" t="str">
        <f t="shared" si="6"/>
        <v>0.00292 - (0.0093 * E2_2_1_6_mRNA)</v>
      </c>
      <c r="L60" t="str">
        <f t="shared" si="7"/>
        <v>(0.278 * E2_2_1_6_mRNA) - (0.00000278 * E2_2_1_6)</v>
      </c>
      <c r="M60" t="str">
        <f t="shared" si="8"/>
        <v>mRNA59: -&gt; E2_2_1_6_mRNA | 0.00292 - (0.0093 * E2_2_1_6_mRNA)</v>
      </c>
      <c r="N60" t="str">
        <f t="shared" si="9"/>
        <v>Peptide59: E2_2_1_6_mRNA -&gt; E2_2_1_6 | (0.278 * E2_2_1_6_mRNA) - (0.000000278 * E2_2_1_6)</v>
      </c>
    </row>
    <row r="61" spans="1:14">
      <c r="A61">
        <v>60</v>
      </c>
      <c r="B61" s="1" t="s">
        <v>11488</v>
      </c>
      <c r="C61" t="str">
        <f t="shared" si="0"/>
        <v>E2_2_1_7_mRNA</v>
      </c>
      <c r="D61" t="str">
        <f t="shared" si="1"/>
        <v>E2_2_1_7</v>
      </c>
      <c r="E61" t="str">
        <f t="shared" si="2"/>
        <v>E2_2_1_7_kcat : 13.7</v>
      </c>
      <c r="F61" t="str">
        <f t="shared" si="10"/>
        <v>E2_2_1_7_km : 1</v>
      </c>
      <c r="G61" t="str">
        <f t="shared" si="3"/>
        <v>E2_2_1_7_mRNA : E2_2_1_7_mRNA</v>
      </c>
      <c r="H61" t="str">
        <f t="shared" si="4"/>
        <v>E2_2_1_7 : E2_2_1_7</v>
      </c>
      <c r="I61" t="str">
        <f t="shared" si="11"/>
        <v>E2_2_1_7_mRNA : 0</v>
      </c>
      <c r="J61" t="str">
        <f t="shared" si="5"/>
        <v>E2_2_1_7 : 0</v>
      </c>
      <c r="K61" t="str">
        <f t="shared" si="6"/>
        <v>0.00292 - (0.0093 * E2_2_1_7_mRNA)</v>
      </c>
      <c r="L61" t="str">
        <f t="shared" si="7"/>
        <v>(0.278 * E2_2_1_7_mRNA) - (0.00000278 * E2_2_1_7)</v>
      </c>
      <c r="M61" t="str">
        <f t="shared" si="8"/>
        <v>mRNA60: -&gt; E2_2_1_7_mRNA | 0.00292 - (0.0093 * E2_2_1_7_mRNA)</v>
      </c>
      <c r="N61" t="str">
        <f t="shared" si="9"/>
        <v>Peptide60: E2_2_1_7_mRNA -&gt; E2_2_1_7 | (0.278 * E2_2_1_7_mRNA) - (0.000000278 * E2_2_1_7)</v>
      </c>
    </row>
    <row r="62" spans="1:14">
      <c r="A62">
        <v>61</v>
      </c>
      <c r="B62" s="1" t="s">
        <v>11489</v>
      </c>
      <c r="C62" t="str">
        <f t="shared" si="0"/>
        <v>E2_2_1_9_mRNA</v>
      </c>
      <c r="D62" t="str">
        <f t="shared" si="1"/>
        <v>E2_2_1_9</v>
      </c>
      <c r="E62" t="str">
        <f t="shared" si="2"/>
        <v>E2_2_1_9_kcat : 13.7</v>
      </c>
      <c r="F62" t="str">
        <f t="shared" si="10"/>
        <v>E2_2_1_9_km : 1</v>
      </c>
      <c r="G62" t="str">
        <f t="shared" si="3"/>
        <v>E2_2_1_9_mRNA : E2_2_1_9_mRNA</v>
      </c>
      <c r="H62" t="str">
        <f t="shared" si="4"/>
        <v>E2_2_1_9 : E2_2_1_9</v>
      </c>
      <c r="I62" t="str">
        <f t="shared" si="11"/>
        <v>E2_2_1_9_mRNA : 0</v>
      </c>
      <c r="J62" t="str">
        <f t="shared" si="5"/>
        <v>E2_2_1_9 : 0</v>
      </c>
      <c r="K62" t="str">
        <f t="shared" si="6"/>
        <v>0.00292 - (0.0093 * E2_2_1_9_mRNA)</v>
      </c>
      <c r="L62" t="str">
        <f t="shared" si="7"/>
        <v>(0.278 * E2_2_1_9_mRNA) - (0.00000278 * E2_2_1_9)</v>
      </c>
      <c r="M62" t="str">
        <f t="shared" si="8"/>
        <v>mRNA61: -&gt; E2_2_1_9_mRNA | 0.00292 - (0.0093 * E2_2_1_9_mRNA)</v>
      </c>
      <c r="N62" t="str">
        <f t="shared" si="9"/>
        <v>Peptide61: E2_2_1_9_mRNA -&gt; E2_2_1_9 | (0.278 * E2_2_1_9_mRNA) - (0.000000278 * E2_2_1_9)</v>
      </c>
    </row>
    <row r="63" spans="1:14">
      <c r="A63">
        <v>62</v>
      </c>
      <c r="B63" s="1" t="s">
        <v>11490</v>
      </c>
      <c r="C63" t="str">
        <f t="shared" si="0"/>
        <v>E2_3_1_129_mRNA</v>
      </c>
      <c r="D63" t="str">
        <f t="shared" si="1"/>
        <v>E2_3_1_129</v>
      </c>
      <c r="E63" t="str">
        <f t="shared" si="2"/>
        <v>E2_3_1_129_kcat : 13.7</v>
      </c>
      <c r="F63" t="str">
        <f t="shared" si="10"/>
        <v>E2_3_1_129_km : 1</v>
      </c>
      <c r="G63" t="str">
        <f t="shared" si="3"/>
        <v>E2_3_1_129_mRNA : E2_3_1_129_mRNA</v>
      </c>
      <c r="H63" t="str">
        <f t="shared" si="4"/>
        <v>E2_3_1_129 : E2_3_1_129</v>
      </c>
      <c r="I63" t="str">
        <f t="shared" si="11"/>
        <v>E2_3_1_129_mRNA : 0</v>
      </c>
      <c r="J63" t="str">
        <f t="shared" si="5"/>
        <v>E2_3_1_129 : 0</v>
      </c>
      <c r="K63" t="str">
        <f t="shared" si="6"/>
        <v>0.00292 - (0.0093 * E2_3_1_129_mRNA)</v>
      </c>
      <c r="L63" t="str">
        <f t="shared" si="7"/>
        <v>(0.278 * E2_3_1_129_mRNA) - (0.00000278 * E2_3_1_129)</v>
      </c>
      <c r="M63" t="str">
        <f t="shared" si="8"/>
        <v>mRNA62: -&gt; E2_3_1_129_mRNA | 0.00292 - (0.0093 * E2_3_1_129_mRNA)</v>
      </c>
      <c r="N63" t="str">
        <f t="shared" si="9"/>
        <v>Peptide62: E2_3_1_129_mRNA -&gt; E2_3_1_129 | (0.278 * E2_3_1_129_mRNA) - (0.000000278 * E2_3_1_129)</v>
      </c>
    </row>
    <row r="64" spans="1:14">
      <c r="A64">
        <v>63</v>
      </c>
      <c r="B64" s="25" t="s">
        <v>11491</v>
      </c>
      <c r="C64" t="str">
        <f t="shared" si="0"/>
        <v>E2_3_1_179_mRNA</v>
      </c>
      <c r="D64" t="str">
        <f t="shared" si="1"/>
        <v>E2_3_1_179</v>
      </c>
      <c r="E64" t="str">
        <f t="shared" si="2"/>
        <v>E2_3_1_179_kcat : 13.7</v>
      </c>
      <c r="F64" t="str">
        <f t="shared" si="10"/>
        <v>E2_3_1_179_km : 1</v>
      </c>
      <c r="G64" t="str">
        <f t="shared" si="3"/>
        <v>E2_3_1_179_mRNA : E2_3_1_179_mRNA</v>
      </c>
      <c r="H64" t="str">
        <f t="shared" si="4"/>
        <v>E2_3_1_179 : E2_3_1_179</v>
      </c>
      <c r="I64" t="str">
        <f t="shared" si="11"/>
        <v>E2_3_1_179_mRNA : 0</v>
      </c>
      <c r="J64" t="str">
        <f t="shared" si="5"/>
        <v>E2_3_1_179 : 0</v>
      </c>
      <c r="K64" t="str">
        <f t="shared" si="6"/>
        <v>0.00292 - (0.0093 * E2_3_1_179_mRNA)</v>
      </c>
      <c r="L64" t="str">
        <f t="shared" si="7"/>
        <v>(0.278 * E2_3_1_179_mRNA) - (0.00000278 * E2_3_1_179)</v>
      </c>
      <c r="M64" t="str">
        <f t="shared" si="8"/>
        <v>mRNA63: -&gt; E2_3_1_179_mRNA | 0.00292 - (0.0093 * E2_3_1_179_mRNA)</v>
      </c>
      <c r="N64" t="str">
        <f t="shared" si="9"/>
        <v>Peptide63: E2_3_1_179_mRNA -&gt; E2_3_1_179 | (0.278 * E2_3_1_179_mRNA) - (0.000000278 * E2_3_1_179)</v>
      </c>
    </row>
    <row r="65" spans="1:14">
      <c r="A65">
        <v>64</v>
      </c>
      <c r="B65" s="1" t="s">
        <v>11492</v>
      </c>
      <c r="C65" t="str">
        <f t="shared" si="0"/>
        <v>E2_3_1_191_mRNA</v>
      </c>
      <c r="D65" t="str">
        <f t="shared" si="1"/>
        <v>E2_3_1_191</v>
      </c>
      <c r="E65" t="str">
        <f t="shared" si="2"/>
        <v>E2_3_1_191_kcat : 13.7</v>
      </c>
      <c r="F65" t="str">
        <f t="shared" si="10"/>
        <v>E2_3_1_191_km : 1</v>
      </c>
      <c r="G65" t="str">
        <f t="shared" si="3"/>
        <v>E2_3_1_191_mRNA : E2_3_1_191_mRNA</v>
      </c>
      <c r="H65" t="str">
        <f t="shared" si="4"/>
        <v>E2_3_1_191 : E2_3_1_191</v>
      </c>
      <c r="I65" t="str">
        <f t="shared" si="11"/>
        <v>E2_3_1_191_mRNA : 0</v>
      </c>
      <c r="J65" t="str">
        <f t="shared" si="5"/>
        <v>E2_3_1_191 : 0</v>
      </c>
      <c r="K65" t="str">
        <f t="shared" si="6"/>
        <v>0.00292 - (0.0093 * E2_3_1_191_mRNA)</v>
      </c>
      <c r="L65" t="str">
        <f t="shared" si="7"/>
        <v>(0.278 * E2_3_1_191_mRNA) - (0.00000278 * E2_3_1_191)</v>
      </c>
      <c r="M65" t="str">
        <f t="shared" si="8"/>
        <v>mRNA64: -&gt; E2_3_1_191_mRNA | 0.00292 - (0.0093 * E2_3_1_191_mRNA)</v>
      </c>
      <c r="N65" t="str">
        <f t="shared" si="9"/>
        <v>Peptide64: E2_3_1_191_mRNA -&gt; E2_3_1_191 | (0.278 * E2_3_1_191_mRNA) - (0.000000278 * E2_3_1_191)</v>
      </c>
    </row>
    <row r="66" spans="1:14">
      <c r="A66">
        <v>65</v>
      </c>
      <c r="B66" s="1" t="s">
        <v>11493</v>
      </c>
      <c r="C66" t="str">
        <f t="shared" si="0"/>
        <v>E2_3_1_234_mRNA</v>
      </c>
      <c r="D66" t="str">
        <f t="shared" si="1"/>
        <v>E2_3_1_234</v>
      </c>
      <c r="E66" t="str">
        <f t="shared" si="2"/>
        <v>E2_3_1_234_kcat : 13.7</v>
      </c>
      <c r="F66" t="str">
        <f t="shared" si="10"/>
        <v>E2_3_1_234_km : 1</v>
      </c>
      <c r="G66" t="str">
        <f t="shared" si="3"/>
        <v>E2_3_1_234_mRNA : E2_3_1_234_mRNA</v>
      </c>
      <c r="H66" t="str">
        <f t="shared" si="4"/>
        <v>E2_3_1_234 : E2_3_1_234</v>
      </c>
      <c r="I66" t="str">
        <f t="shared" si="11"/>
        <v>E2_3_1_234_mRNA : 0</v>
      </c>
      <c r="J66" t="str">
        <f t="shared" si="5"/>
        <v>E2_3_1_234 : 0</v>
      </c>
      <c r="K66" t="str">
        <f t="shared" si="6"/>
        <v>0.00292 - (0.0093 * E2_3_1_234_mRNA)</v>
      </c>
      <c r="L66" t="str">
        <f t="shared" si="7"/>
        <v>(0.278 * E2_3_1_234_mRNA) - (0.00000278 * E2_3_1_234)</v>
      </c>
      <c r="M66" t="str">
        <f t="shared" si="8"/>
        <v>mRNA65: -&gt; E2_3_1_234_mRNA | 0.00292 - (0.0093 * E2_3_1_234_mRNA)</v>
      </c>
      <c r="N66" t="str">
        <f t="shared" si="9"/>
        <v>Peptide65: E2_3_1_234_mRNA -&gt; E2_3_1_234 | (0.278 * E2_3_1_234_mRNA) - (0.000000278 * E2_3_1_234)</v>
      </c>
    </row>
    <row r="67" spans="1:14">
      <c r="A67">
        <v>66</v>
      </c>
      <c r="B67" s="1" t="s">
        <v>11494</v>
      </c>
      <c r="C67" t="str">
        <f t="shared" ref="C67:C130" si="12">CONCATENATE(D67,"_mRNA")</f>
        <v>E2_3_1_245_mRNA</v>
      </c>
      <c r="D67" t="str">
        <f t="shared" ref="D67:D130" si="13">CONCATENATE("E",B67)</f>
        <v>E2_3_1_245</v>
      </c>
      <c r="E67" t="str">
        <f t="shared" ref="E67:E130" si="14">CONCATENATE("E",B67,"_kcat : 13.7")</f>
        <v>E2_3_1_245_kcat : 13.7</v>
      </c>
      <c r="F67" t="str">
        <f t="shared" si="10"/>
        <v>E2_3_1_245_km : 1</v>
      </c>
      <c r="G67" t="str">
        <f t="shared" ref="G67:G130" si="15">CONCATENATE(C67," : ",C67)</f>
        <v>E2_3_1_245_mRNA : E2_3_1_245_mRNA</v>
      </c>
      <c r="H67" t="str">
        <f t="shared" ref="H67:H130" si="16">CONCATENATE(D67," : ",D67)</f>
        <v>E2_3_1_245 : E2_3_1_245</v>
      </c>
      <c r="I67" t="str">
        <f t="shared" si="11"/>
        <v>E2_3_1_245_mRNA : 0</v>
      </c>
      <c r="J67" t="str">
        <f t="shared" ref="J67:J130" si="17">CONCATENATE(D67," : ","0")</f>
        <v>E2_3_1_245 : 0</v>
      </c>
      <c r="K67" t="str">
        <f t="shared" ref="K67:K130" si="18">CONCATENATE("0.00292 - (0.0093 * ",C67,")")</f>
        <v>0.00292 - (0.0093 * E2_3_1_245_mRNA)</v>
      </c>
      <c r="L67" t="str">
        <f t="shared" ref="L67:L130" si="19">CONCATENATE("(0.278 * ",C67,")"," - (0.00000278 * ",D67,")")</f>
        <v>(0.278 * E2_3_1_245_mRNA) - (0.00000278 * E2_3_1_245)</v>
      </c>
      <c r="M67" t="str">
        <f t="shared" ref="M67:M130" si="20">CONCATENATE("mRNA",A67,": -&gt; ",C67," | ","0.00292"," - ","(","0.0093"," * ",C67,")")</f>
        <v>mRNA66: -&gt; E2_3_1_245_mRNA | 0.00292 - (0.0093 * E2_3_1_245_mRNA)</v>
      </c>
      <c r="N67" t="str">
        <f t="shared" ref="N67:N130" si="21">CONCATENATE("Peptide",A67,": ",C67," -&gt; ",D67," | ","(","0.278"," * ",C67,")"," - ","(","0.000000278"," * ",D67,")")</f>
        <v>Peptide66: E2_3_1_245_mRNA -&gt; E2_3_1_245 | (0.278 * E2_3_1_245_mRNA) - (0.000000278 * E2_3_1_245)</v>
      </c>
    </row>
    <row r="68" spans="1:14">
      <c r="A68">
        <v>67</v>
      </c>
      <c r="B68" s="1" t="s">
        <v>11495</v>
      </c>
      <c r="C68" t="str">
        <f t="shared" si="12"/>
        <v>E2_3_1_29_mRNA</v>
      </c>
      <c r="D68" t="str">
        <f t="shared" si="13"/>
        <v>E2_3_1_29</v>
      </c>
      <c r="E68" t="str">
        <f t="shared" si="14"/>
        <v>E2_3_1_29_kcat : 13.7</v>
      </c>
      <c r="F68" t="str">
        <f t="shared" ref="F68:F131" si="22">CONCATENATE("E",B68,"_km : 1")</f>
        <v>E2_3_1_29_km : 1</v>
      </c>
      <c r="G68" t="str">
        <f t="shared" si="15"/>
        <v>E2_3_1_29_mRNA : E2_3_1_29_mRNA</v>
      </c>
      <c r="H68" t="str">
        <f t="shared" si="16"/>
        <v>E2_3_1_29 : E2_3_1_29</v>
      </c>
      <c r="I68" t="str">
        <f t="shared" ref="I68:I131" si="23">CONCATENATE(C68," : ","0")</f>
        <v>E2_3_1_29_mRNA : 0</v>
      </c>
      <c r="J68" t="str">
        <f t="shared" si="17"/>
        <v>E2_3_1_29 : 0</v>
      </c>
      <c r="K68" t="str">
        <f t="shared" si="18"/>
        <v>0.00292 - (0.0093 * E2_3_1_29_mRNA)</v>
      </c>
      <c r="L68" t="str">
        <f t="shared" si="19"/>
        <v>(0.278 * E2_3_1_29_mRNA) - (0.00000278 * E2_3_1_29)</v>
      </c>
      <c r="M68" t="str">
        <f t="shared" si="20"/>
        <v>mRNA67: -&gt; E2_3_1_29_mRNA | 0.00292 - (0.0093 * E2_3_1_29_mRNA)</v>
      </c>
      <c r="N68" t="str">
        <f t="shared" si="21"/>
        <v>Peptide67: E2_3_1_29_mRNA -&gt; E2_3_1_29 | (0.278 * E2_3_1_29_mRNA) - (0.000000278 * E2_3_1_29)</v>
      </c>
    </row>
    <row r="69" spans="1:14">
      <c r="A69">
        <v>68</v>
      </c>
      <c r="B69" s="1" t="s">
        <v>11496</v>
      </c>
      <c r="C69" t="str">
        <f t="shared" si="12"/>
        <v>E2_3_1_39_mRNA</v>
      </c>
      <c r="D69" t="str">
        <f t="shared" si="13"/>
        <v>E2_3_1_39</v>
      </c>
      <c r="E69" t="str">
        <f t="shared" si="14"/>
        <v>E2_3_1_39_kcat : 13.7</v>
      </c>
      <c r="F69" t="str">
        <f t="shared" si="22"/>
        <v>E2_3_1_39_km : 1</v>
      </c>
      <c r="G69" t="str">
        <f t="shared" si="15"/>
        <v>E2_3_1_39_mRNA : E2_3_1_39_mRNA</v>
      </c>
      <c r="H69" t="str">
        <f t="shared" si="16"/>
        <v>E2_3_1_39 : E2_3_1_39</v>
      </c>
      <c r="I69" t="str">
        <f t="shared" si="23"/>
        <v>E2_3_1_39_mRNA : 0</v>
      </c>
      <c r="J69" t="str">
        <f t="shared" si="17"/>
        <v>E2_3_1_39 : 0</v>
      </c>
      <c r="K69" t="str">
        <f t="shared" si="18"/>
        <v>0.00292 - (0.0093 * E2_3_1_39_mRNA)</v>
      </c>
      <c r="L69" t="str">
        <f t="shared" si="19"/>
        <v>(0.278 * E2_3_1_39_mRNA) - (0.00000278 * E2_3_1_39)</v>
      </c>
      <c r="M69" t="str">
        <f t="shared" si="20"/>
        <v>mRNA68: -&gt; E2_3_1_39_mRNA | 0.00292 - (0.0093 * E2_3_1_39_mRNA)</v>
      </c>
      <c r="N69" t="str">
        <f t="shared" si="21"/>
        <v>Peptide68: E2_3_1_39_mRNA -&gt; E2_3_1_39 | (0.278 * E2_3_1_39_mRNA) - (0.000000278 * E2_3_1_39)</v>
      </c>
    </row>
    <row r="70" spans="1:14">
      <c r="A70">
        <v>69</v>
      </c>
      <c r="B70" s="1" t="s">
        <v>11497</v>
      </c>
      <c r="C70" t="str">
        <f t="shared" si="12"/>
        <v>E2_3_1_46_mRNA</v>
      </c>
      <c r="D70" t="str">
        <f t="shared" si="13"/>
        <v>E2_3_1_46</v>
      </c>
      <c r="E70" t="str">
        <f t="shared" si="14"/>
        <v>E2_3_1_46_kcat : 13.7</v>
      </c>
      <c r="F70" t="str">
        <f t="shared" si="22"/>
        <v>E2_3_1_46_km : 1</v>
      </c>
      <c r="G70" t="str">
        <f t="shared" si="15"/>
        <v>E2_3_1_46_mRNA : E2_3_1_46_mRNA</v>
      </c>
      <c r="H70" t="str">
        <f t="shared" si="16"/>
        <v>E2_3_1_46 : E2_3_1_46</v>
      </c>
      <c r="I70" t="str">
        <f t="shared" si="23"/>
        <v>E2_3_1_46_mRNA : 0</v>
      </c>
      <c r="J70" t="str">
        <f t="shared" si="17"/>
        <v>E2_3_1_46 : 0</v>
      </c>
      <c r="K70" t="str">
        <f t="shared" si="18"/>
        <v>0.00292 - (0.0093 * E2_3_1_46_mRNA)</v>
      </c>
      <c r="L70" t="str">
        <f t="shared" si="19"/>
        <v>(0.278 * E2_3_1_46_mRNA) - (0.00000278 * E2_3_1_46)</v>
      </c>
      <c r="M70" t="str">
        <f t="shared" si="20"/>
        <v>mRNA69: -&gt; E2_3_1_46_mRNA | 0.00292 - (0.0093 * E2_3_1_46_mRNA)</v>
      </c>
      <c r="N70" t="str">
        <f t="shared" si="21"/>
        <v>Peptide69: E2_3_1_46_mRNA -&gt; E2_3_1_46 | (0.278 * E2_3_1_46_mRNA) - (0.000000278 * E2_3_1_46)</v>
      </c>
    </row>
    <row r="71" spans="1:14">
      <c r="A71">
        <v>70</v>
      </c>
      <c r="B71" s="1" t="s">
        <v>11498</v>
      </c>
      <c r="C71" t="str">
        <f t="shared" si="12"/>
        <v>E2_3_1_54_mRNA</v>
      </c>
      <c r="D71" t="str">
        <f t="shared" si="13"/>
        <v>E2_3_1_54</v>
      </c>
      <c r="E71" t="str">
        <f t="shared" si="14"/>
        <v>E2_3_1_54_kcat : 13.7</v>
      </c>
      <c r="F71" t="str">
        <f t="shared" si="22"/>
        <v>E2_3_1_54_km : 1</v>
      </c>
      <c r="G71" t="str">
        <f t="shared" si="15"/>
        <v>E2_3_1_54_mRNA : E2_3_1_54_mRNA</v>
      </c>
      <c r="H71" t="str">
        <f t="shared" si="16"/>
        <v>E2_3_1_54 : E2_3_1_54</v>
      </c>
      <c r="I71" t="str">
        <f t="shared" si="23"/>
        <v>E2_3_1_54_mRNA : 0</v>
      </c>
      <c r="J71" t="str">
        <f t="shared" si="17"/>
        <v>E2_3_1_54 : 0</v>
      </c>
      <c r="K71" t="str">
        <f t="shared" si="18"/>
        <v>0.00292 - (0.0093 * E2_3_1_54_mRNA)</v>
      </c>
      <c r="L71" t="str">
        <f t="shared" si="19"/>
        <v>(0.278 * E2_3_1_54_mRNA) - (0.00000278 * E2_3_1_54)</v>
      </c>
      <c r="M71" t="str">
        <f t="shared" si="20"/>
        <v>mRNA70: -&gt; E2_3_1_54_mRNA | 0.00292 - (0.0093 * E2_3_1_54_mRNA)</v>
      </c>
      <c r="N71" t="str">
        <f t="shared" si="21"/>
        <v>Peptide70: E2_3_1_54_mRNA -&gt; E2_3_1_54 | (0.278 * E2_3_1_54_mRNA) - (0.000000278 * E2_3_1_54)</v>
      </c>
    </row>
    <row r="72" spans="1:14">
      <c r="A72">
        <v>71</v>
      </c>
      <c r="B72" s="1" t="s">
        <v>11499</v>
      </c>
      <c r="C72" t="str">
        <f t="shared" si="12"/>
        <v>E2_3_1_8_mRNA</v>
      </c>
      <c r="D72" t="str">
        <f t="shared" si="13"/>
        <v>E2_3_1_8</v>
      </c>
      <c r="E72" t="str">
        <f t="shared" si="14"/>
        <v>E2_3_1_8_kcat : 13.7</v>
      </c>
      <c r="F72" t="str">
        <f t="shared" si="22"/>
        <v>E2_3_1_8_km : 1</v>
      </c>
      <c r="G72" t="str">
        <f t="shared" si="15"/>
        <v>E2_3_1_8_mRNA : E2_3_1_8_mRNA</v>
      </c>
      <c r="H72" t="str">
        <f t="shared" si="16"/>
        <v>E2_3_1_8 : E2_3_1_8</v>
      </c>
      <c r="I72" t="str">
        <f t="shared" si="23"/>
        <v>E2_3_1_8_mRNA : 0</v>
      </c>
      <c r="J72" t="str">
        <f t="shared" si="17"/>
        <v>E2_3_1_8 : 0</v>
      </c>
      <c r="K72" t="str">
        <f t="shared" si="18"/>
        <v>0.00292 - (0.0093 * E2_3_1_8_mRNA)</v>
      </c>
      <c r="L72" t="str">
        <f t="shared" si="19"/>
        <v>(0.278 * E2_3_1_8_mRNA) - (0.00000278 * E2_3_1_8)</v>
      </c>
      <c r="M72" t="str">
        <f t="shared" si="20"/>
        <v>mRNA71: -&gt; E2_3_1_8_mRNA | 0.00292 - (0.0093 * E2_3_1_8_mRNA)</v>
      </c>
      <c r="N72" t="str">
        <f t="shared" si="21"/>
        <v>Peptide71: E2_3_1_8_mRNA -&gt; E2_3_1_8 | (0.278 * E2_3_1_8_mRNA) - (0.000000278 * E2_3_1_8)</v>
      </c>
    </row>
    <row r="73" spans="1:14">
      <c r="A73">
        <v>72</v>
      </c>
      <c r="B73" s="1" t="s">
        <v>11500</v>
      </c>
      <c r="C73" t="str">
        <f t="shared" si="12"/>
        <v>E2_3_3_13_mRNA</v>
      </c>
      <c r="D73" t="str">
        <f t="shared" si="13"/>
        <v>E2_3_3_13</v>
      </c>
      <c r="E73" t="str">
        <f t="shared" si="14"/>
        <v>E2_3_3_13_kcat : 13.7</v>
      </c>
      <c r="F73" t="str">
        <f t="shared" si="22"/>
        <v>E2_3_3_13_km : 1</v>
      </c>
      <c r="G73" t="str">
        <f t="shared" si="15"/>
        <v>E2_3_3_13_mRNA : E2_3_3_13_mRNA</v>
      </c>
      <c r="H73" t="str">
        <f t="shared" si="16"/>
        <v>E2_3_3_13 : E2_3_3_13</v>
      </c>
      <c r="I73" t="str">
        <f t="shared" si="23"/>
        <v>E2_3_3_13_mRNA : 0</v>
      </c>
      <c r="J73" t="str">
        <f t="shared" si="17"/>
        <v>E2_3_3_13 : 0</v>
      </c>
      <c r="K73" t="str">
        <f t="shared" si="18"/>
        <v>0.00292 - (0.0093 * E2_3_3_13_mRNA)</v>
      </c>
      <c r="L73" t="str">
        <f t="shared" si="19"/>
        <v>(0.278 * E2_3_3_13_mRNA) - (0.00000278 * E2_3_3_13)</v>
      </c>
      <c r="M73" t="str">
        <f t="shared" si="20"/>
        <v>mRNA72: -&gt; E2_3_3_13_mRNA | 0.00292 - (0.0093 * E2_3_3_13_mRNA)</v>
      </c>
      <c r="N73" t="str">
        <f t="shared" si="21"/>
        <v>Peptide72: E2_3_3_13_mRNA -&gt; E2_3_3_13 | (0.278 * E2_3_3_13_mRNA) - (0.000000278 * E2_3_3_13)</v>
      </c>
    </row>
    <row r="74" spans="1:14">
      <c r="A74">
        <v>73</v>
      </c>
      <c r="B74" s="1" t="s">
        <v>11501</v>
      </c>
      <c r="C74" t="str">
        <f t="shared" si="12"/>
        <v>E2_4_1_182_mRNA</v>
      </c>
      <c r="D74" t="str">
        <f t="shared" si="13"/>
        <v>E2_4_1_182</v>
      </c>
      <c r="E74" t="str">
        <f t="shared" si="14"/>
        <v>E2_4_1_182_kcat : 13.7</v>
      </c>
      <c r="F74" t="str">
        <f t="shared" si="22"/>
        <v>E2_4_1_182_km : 1</v>
      </c>
      <c r="G74" t="str">
        <f t="shared" si="15"/>
        <v>E2_4_1_182_mRNA : E2_4_1_182_mRNA</v>
      </c>
      <c r="H74" t="str">
        <f t="shared" si="16"/>
        <v>E2_4_1_182 : E2_4_1_182</v>
      </c>
      <c r="I74" t="str">
        <f t="shared" si="23"/>
        <v>E2_4_1_182_mRNA : 0</v>
      </c>
      <c r="J74" t="str">
        <f t="shared" si="17"/>
        <v>E2_4_1_182 : 0</v>
      </c>
      <c r="K74" t="str">
        <f t="shared" si="18"/>
        <v>0.00292 - (0.0093 * E2_4_1_182_mRNA)</v>
      </c>
      <c r="L74" t="str">
        <f t="shared" si="19"/>
        <v>(0.278 * E2_4_1_182_mRNA) - (0.00000278 * E2_4_1_182)</v>
      </c>
      <c r="M74" t="str">
        <f t="shared" si="20"/>
        <v>mRNA73: -&gt; E2_4_1_182_mRNA | 0.00292 - (0.0093 * E2_4_1_182_mRNA)</v>
      </c>
      <c r="N74" t="str">
        <f t="shared" si="21"/>
        <v>Peptide73: E2_4_1_182_mRNA -&gt; E2_4_1_182 | (0.278 * E2_4_1_182_mRNA) - (0.000000278 * E2_4_1_182)</v>
      </c>
    </row>
    <row r="75" spans="1:14">
      <c r="A75">
        <v>74</v>
      </c>
      <c r="B75" s="1" t="s">
        <v>11502</v>
      </c>
      <c r="C75" t="str">
        <f t="shared" si="12"/>
        <v>E2_4_1_227_mRNA</v>
      </c>
      <c r="D75" t="str">
        <f t="shared" si="13"/>
        <v>E2_4_1_227</v>
      </c>
      <c r="E75" t="str">
        <f t="shared" si="14"/>
        <v>E2_4_1_227_kcat : 13.7</v>
      </c>
      <c r="F75" t="str">
        <f t="shared" si="22"/>
        <v>E2_4_1_227_km : 1</v>
      </c>
      <c r="G75" t="str">
        <f t="shared" si="15"/>
        <v>E2_4_1_227_mRNA : E2_4_1_227_mRNA</v>
      </c>
      <c r="H75" t="str">
        <f t="shared" si="16"/>
        <v>E2_4_1_227 : E2_4_1_227</v>
      </c>
      <c r="I75" t="str">
        <f t="shared" si="23"/>
        <v>E2_4_1_227_mRNA : 0</v>
      </c>
      <c r="J75" t="str">
        <f t="shared" si="17"/>
        <v>E2_4_1_227 : 0</v>
      </c>
      <c r="K75" t="str">
        <f t="shared" si="18"/>
        <v>0.00292 - (0.0093 * E2_4_1_227_mRNA)</v>
      </c>
      <c r="L75" t="str">
        <f t="shared" si="19"/>
        <v>(0.278 * E2_4_1_227_mRNA) - (0.00000278 * E2_4_1_227)</v>
      </c>
      <c r="M75" t="str">
        <f t="shared" si="20"/>
        <v>mRNA74: -&gt; E2_4_1_227_mRNA | 0.00292 - (0.0093 * E2_4_1_227_mRNA)</v>
      </c>
      <c r="N75" t="str">
        <f t="shared" si="21"/>
        <v>Peptide74: E2_4_1_227_mRNA -&gt; E2_4_1_227 | (0.278 * E2_4_1_227_mRNA) - (0.000000278 * E2_4_1_227)</v>
      </c>
    </row>
    <row r="76" spans="1:14">
      <c r="A76">
        <v>75</v>
      </c>
      <c r="B76" s="1" t="s">
        <v>11503</v>
      </c>
      <c r="C76" t="str">
        <f t="shared" si="12"/>
        <v>E2_4_2_10_mRNA</v>
      </c>
      <c r="D76" t="str">
        <f t="shared" si="13"/>
        <v>E2_4_2_10</v>
      </c>
      <c r="E76" t="str">
        <f t="shared" si="14"/>
        <v>E2_4_2_10_kcat : 13.7</v>
      </c>
      <c r="F76" t="str">
        <f t="shared" si="22"/>
        <v>E2_4_2_10_km : 1</v>
      </c>
      <c r="G76" t="str">
        <f t="shared" si="15"/>
        <v>E2_4_2_10_mRNA : E2_4_2_10_mRNA</v>
      </c>
      <c r="H76" t="str">
        <f t="shared" si="16"/>
        <v>E2_4_2_10 : E2_4_2_10</v>
      </c>
      <c r="I76" t="str">
        <f t="shared" si="23"/>
        <v>E2_4_2_10_mRNA : 0</v>
      </c>
      <c r="J76" t="str">
        <f t="shared" si="17"/>
        <v>E2_4_2_10 : 0</v>
      </c>
      <c r="K76" t="str">
        <f t="shared" si="18"/>
        <v>0.00292 - (0.0093 * E2_4_2_10_mRNA)</v>
      </c>
      <c r="L76" t="str">
        <f t="shared" si="19"/>
        <v>(0.278 * E2_4_2_10_mRNA) - (0.00000278 * E2_4_2_10)</v>
      </c>
      <c r="M76" t="str">
        <f t="shared" si="20"/>
        <v>mRNA75: -&gt; E2_4_2_10_mRNA | 0.00292 - (0.0093 * E2_4_2_10_mRNA)</v>
      </c>
      <c r="N76" t="str">
        <f t="shared" si="21"/>
        <v>Peptide75: E2_4_2_10_mRNA -&gt; E2_4_2_10 | (0.278 * E2_4_2_10_mRNA) - (0.000000278 * E2_4_2_10)</v>
      </c>
    </row>
    <row r="77" spans="1:14">
      <c r="A77">
        <v>76</v>
      </c>
      <c r="B77" s="1" t="s">
        <v>11504</v>
      </c>
      <c r="C77" t="str">
        <f t="shared" si="12"/>
        <v>E2_4_2_17_mRNA</v>
      </c>
      <c r="D77" t="str">
        <f t="shared" si="13"/>
        <v>E2_4_2_17</v>
      </c>
      <c r="E77" t="str">
        <f t="shared" si="14"/>
        <v>E2_4_2_17_kcat : 13.7</v>
      </c>
      <c r="F77" t="str">
        <f t="shared" si="22"/>
        <v>E2_4_2_17_km : 1</v>
      </c>
      <c r="G77" t="str">
        <f t="shared" si="15"/>
        <v>E2_4_2_17_mRNA : E2_4_2_17_mRNA</v>
      </c>
      <c r="H77" t="str">
        <f t="shared" si="16"/>
        <v>E2_4_2_17 : E2_4_2_17</v>
      </c>
      <c r="I77" t="str">
        <f t="shared" si="23"/>
        <v>E2_4_2_17_mRNA : 0</v>
      </c>
      <c r="J77" t="str">
        <f t="shared" si="17"/>
        <v>E2_4_2_17 : 0</v>
      </c>
      <c r="K77" t="str">
        <f t="shared" si="18"/>
        <v>0.00292 - (0.0093 * E2_4_2_17_mRNA)</v>
      </c>
      <c r="L77" t="str">
        <f t="shared" si="19"/>
        <v>(0.278 * E2_4_2_17_mRNA) - (0.00000278 * E2_4_2_17)</v>
      </c>
      <c r="M77" t="str">
        <f t="shared" si="20"/>
        <v>mRNA76: -&gt; E2_4_2_17_mRNA | 0.00292 - (0.0093 * E2_4_2_17_mRNA)</v>
      </c>
      <c r="N77" t="str">
        <f t="shared" si="21"/>
        <v>Peptide76: E2_4_2_17_mRNA -&gt; E2_4_2_17 | (0.278 * E2_4_2_17_mRNA) - (0.000000278 * E2_4_2_17)</v>
      </c>
    </row>
    <row r="78" spans="1:14">
      <c r="A78">
        <v>77</v>
      </c>
      <c r="B78" s="1" t="s">
        <v>11505</v>
      </c>
      <c r="C78" t="str">
        <f t="shared" si="12"/>
        <v>E2_4_2_18_mRNA</v>
      </c>
      <c r="D78" t="str">
        <f t="shared" si="13"/>
        <v>E2_4_2_18</v>
      </c>
      <c r="E78" t="str">
        <f t="shared" si="14"/>
        <v>E2_4_2_18_kcat : 13.7</v>
      </c>
      <c r="F78" t="str">
        <f t="shared" si="22"/>
        <v>E2_4_2_18_km : 1</v>
      </c>
      <c r="G78" t="str">
        <f t="shared" si="15"/>
        <v>E2_4_2_18_mRNA : E2_4_2_18_mRNA</v>
      </c>
      <c r="H78" t="str">
        <f t="shared" si="16"/>
        <v>E2_4_2_18 : E2_4_2_18</v>
      </c>
      <c r="I78" t="str">
        <f t="shared" si="23"/>
        <v>E2_4_2_18_mRNA : 0</v>
      </c>
      <c r="J78" t="str">
        <f t="shared" si="17"/>
        <v>E2_4_2_18 : 0</v>
      </c>
      <c r="K78" t="str">
        <f t="shared" si="18"/>
        <v>0.00292 - (0.0093 * E2_4_2_18_mRNA)</v>
      </c>
      <c r="L78" t="str">
        <f t="shared" si="19"/>
        <v>(0.278 * E2_4_2_18_mRNA) - (0.00000278 * E2_4_2_18)</v>
      </c>
      <c r="M78" t="str">
        <f t="shared" si="20"/>
        <v>mRNA77: -&gt; E2_4_2_18_mRNA | 0.00292 - (0.0093 * E2_4_2_18_mRNA)</v>
      </c>
      <c r="N78" t="str">
        <f t="shared" si="21"/>
        <v>Peptide77: E2_4_2_18_mRNA -&gt; E2_4_2_18 | (0.278 * E2_4_2_18_mRNA) - (0.000000278 * E2_4_2_18)</v>
      </c>
    </row>
    <row r="79" spans="1:14">
      <c r="A79">
        <v>78</v>
      </c>
      <c r="B79" s="1" t="s">
        <v>11506</v>
      </c>
      <c r="C79" t="str">
        <f t="shared" si="12"/>
        <v>E2_4_2_19_mRNA</v>
      </c>
      <c r="D79" t="str">
        <f t="shared" si="13"/>
        <v>E2_4_2_19</v>
      </c>
      <c r="E79" t="str">
        <f t="shared" si="14"/>
        <v>E2_4_2_19_kcat : 13.7</v>
      </c>
      <c r="F79" t="str">
        <f t="shared" si="22"/>
        <v>E2_4_2_19_km : 1</v>
      </c>
      <c r="G79" t="str">
        <f t="shared" si="15"/>
        <v>E2_4_2_19_mRNA : E2_4_2_19_mRNA</v>
      </c>
      <c r="H79" t="str">
        <f t="shared" si="16"/>
        <v>E2_4_2_19 : E2_4_2_19</v>
      </c>
      <c r="I79" t="str">
        <f t="shared" si="23"/>
        <v>E2_4_2_19_mRNA : 0</v>
      </c>
      <c r="J79" t="str">
        <f t="shared" si="17"/>
        <v>E2_4_2_19 : 0</v>
      </c>
      <c r="K79" t="str">
        <f t="shared" si="18"/>
        <v>0.00292 - (0.0093 * E2_4_2_19_mRNA)</v>
      </c>
      <c r="L79" t="str">
        <f t="shared" si="19"/>
        <v>(0.278 * E2_4_2_19_mRNA) - (0.00000278 * E2_4_2_19)</v>
      </c>
      <c r="M79" t="str">
        <f t="shared" si="20"/>
        <v>mRNA78: -&gt; E2_4_2_19_mRNA | 0.00292 - (0.0093 * E2_4_2_19_mRNA)</v>
      </c>
      <c r="N79" t="str">
        <f t="shared" si="21"/>
        <v>Peptide78: E2_4_2_19_mRNA -&gt; E2_4_2_19 | (0.278 * E2_4_2_19_mRNA) - (0.000000278 * E2_4_2_19)</v>
      </c>
    </row>
    <row r="80" spans="1:14">
      <c r="A80">
        <v>79</v>
      </c>
      <c r="B80" s="1" t="s">
        <v>11507</v>
      </c>
      <c r="C80" t="str">
        <f t="shared" si="12"/>
        <v>E2_4_2_21_mRNA</v>
      </c>
      <c r="D80" t="str">
        <f t="shared" si="13"/>
        <v>E2_4_2_21</v>
      </c>
      <c r="E80" t="str">
        <f t="shared" si="14"/>
        <v>E2_4_2_21_kcat : 13.7</v>
      </c>
      <c r="F80" t="str">
        <f t="shared" si="22"/>
        <v>E2_4_2_21_km : 1</v>
      </c>
      <c r="G80" t="str">
        <f t="shared" si="15"/>
        <v>E2_4_2_21_mRNA : E2_4_2_21_mRNA</v>
      </c>
      <c r="H80" t="str">
        <f t="shared" si="16"/>
        <v>E2_4_2_21 : E2_4_2_21</v>
      </c>
      <c r="I80" t="str">
        <f t="shared" si="23"/>
        <v>E2_4_2_21_mRNA : 0</v>
      </c>
      <c r="J80" t="str">
        <f t="shared" si="17"/>
        <v>E2_4_2_21 : 0</v>
      </c>
      <c r="K80" t="str">
        <f t="shared" si="18"/>
        <v>0.00292 - (0.0093 * E2_4_2_21_mRNA)</v>
      </c>
      <c r="L80" t="str">
        <f t="shared" si="19"/>
        <v>(0.278 * E2_4_2_21_mRNA) - (0.00000278 * E2_4_2_21)</v>
      </c>
      <c r="M80" t="str">
        <f t="shared" si="20"/>
        <v>mRNA79: -&gt; E2_4_2_21_mRNA | 0.00292 - (0.0093 * E2_4_2_21_mRNA)</v>
      </c>
      <c r="N80" t="str">
        <f t="shared" si="21"/>
        <v>Peptide79: E2_4_2_21_mRNA -&gt; E2_4_2_21 | (0.278 * E2_4_2_21_mRNA) - (0.000000278 * E2_4_2_21)</v>
      </c>
    </row>
    <row r="81" spans="1:14">
      <c r="A81">
        <v>80</v>
      </c>
      <c r="B81" s="1" t="s">
        <v>11508</v>
      </c>
      <c r="C81" t="str">
        <f t="shared" si="12"/>
        <v>E2_4_2_22_mRNA</v>
      </c>
      <c r="D81" t="str">
        <f t="shared" si="13"/>
        <v>E2_4_2_22</v>
      </c>
      <c r="E81" t="str">
        <f t="shared" si="14"/>
        <v>E2_4_2_22_kcat : 13.7</v>
      </c>
      <c r="F81" t="str">
        <f t="shared" si="22"/>
        <v>E2_4_2_22_km : 1</v>
      </c>
      <c r="G81" t="str">
        <f t="shared" si="15"/>
        <v>E2_4_2_22_mRNA : E2_4_2_22_mRNA</v>
      </c>
      <c r="H81" t="str">
        <f t="shared" si="16"/>
        <v>E2_4_2_22 : E2_4_2_22</v>
      </c>
      <c r="I81" t="str">
        <f t="shared" si="23"/>
        <v>E2_4_2_22_mRNA : 0</v>
      </c>
      <c r="J81" t="str">
        <f t="shared" si="17"/>
        <v>E2_4_2_22 : 0</v>
      </c>
      <c r="K81" t="str">
        <f t="shared" si="18"/>
        <v>0.00292 - (0.0093 * E2_4_2_22_mRNA)</v>
      </c>
      <c r="L81" t="str">
        <f t="shared" si="19"/>
        <v>(0.278 * E2_4_2_22_mRNA) - (0.00000278 * E2_4_2_22)</v>
      </c>
      <c r="M81" t="str">
        <f t="shared" si="20"/>
        <v>mRNA80: -&gt; E2_4_2_22_mRNA | 0.00292 - (0.0093 * E2_4_2_22_mRNA)</v>
      </c>
      <c r="N81" t="str">
        <f t="shared" si="21"/>
        <v>Peptide80: E2_4_2_22_mRNA -&gt; E2_4_2_22 | (0.278 * E2_4_2_22_mRNA) - (0.000000278 * E2_4_2_22)</v>
      </c>
    </row>
    <row r="82" spans="1:14">
      <c r="A82">
        <v>81</v>
      </c>
      <c r="B82" s="1" t="s">
        <v>11509</v>
      </c>
      <c r="C82" t="str">
        <f t="shared" si="12"/>
        <v>E2_4_2_29_mRNA</v>
      </c>
      <c r="D82" t="str">
        <f t="shared" si="13"/>
        <v>E2_4_2_29</v>
      </c>
      <c r="E82" t="str">
        <f t="shared" si="14"/>
        <v>E2_4_2_29_kcat : 13.7</v>
      </c>
      <c r="F82" t="str">
        <f t="shared" si="22"/>
        <v>E2_4_2_29_km : 1</v>
      </c>
      <c r="G82" t="str">
        <f t="shared" si="15"/>
        <v>E2_4_2_29_mRNA : E2_4_2_29_mRNA</v>
      </c>
      <c r="H82" t="str">
        <f t="shared" si="16"/>
        <v>E2_4_2_29 : E2_4_2_29</v>
      </c>
      <c r="I82" t="str">
        <f t="shared" si="23"/>
        <v>E2_4_2_29_mRNA : 0</v>
      </c>
      <c r="J82" t="str">
        <f t="shared" si="17"/>
        <v>E2_4_2_29 : 0</v>
      </c>
      <c r="K82" t="str">
        <f t="shared" si="18"/>
        <v>0.00292 - (0.0093 * E2_4_2_29_mRNA)</v>
      </c>
      <c r="L82" t="str">
        <f t="shared" si="19"/>
        <v>(0.278 * E2_4_2_29_mRNA) - (0.00000278 * E2_4_2_29)</v>
      </c>
      <c r="M82" t="str">
        <f t="shared" si="20"/>
        <v>mRNA81: -&gt; E2_4_2_29_mRNA | 0.00292 - (0.0093 * E2_4_2_29_mRNA)</v>
      </c>
      <c r="N82" t="str">
        <f t="shared" si="21"/>
        <v>Peptide81: E2_4_2_29_mRNA -&gt; E2_4_2_29 | (0.278 * E2_4_2_29_mRNA) - (0.000000278 * E2_4_2_29)</v>
      </c>
    </row>
    <row r="83" spans="1:14">
      <c r="A83">
        <v>82</v>
      </c>
      <c r="B83" s="1" t="s">
        <v>11510</v>
      </c>
      <c r="C83" t="str">
        <f t="shared" si="12"/>
        <v>E2_4_2_8_mRNA</v>
      </c>
      <c r="D83" t="str">
        <f t="shared" si="13"/>
        <v>E2_4_2_8</v>
      </c>
      <c r="E83" t="str">
        <f t="shared" si="14"/>
        <v>E2_4_2_8_kcat : 13.7</v>
      </c>
      <c r="F83" t="str">
        <f t="shared" si="22"/>
        <v>E2_4_2_8_km : 1</v>
      </c>
      <c r="G83" t="str">
        <f t="shared" si="15"/>
        <v>E2_4_2_8_mRNA : E2_4_2_8_mRNA</v>
      </c>
      <c r="H83" t="str">
        <f t="shared" si="16"/>
        <v>E2_4_2_8 : E2_4_2_8</v>
      </c>
      <c r="I83" t="str">
        <f t="shared" si="23"/>
        <v>E2_4_2_8_mRNA : 0</v>
      </c>
      <c r="J83" t="str">
        <f t="shared" si="17"/>
        <v>E2_4_2_8 : 0</v>
      </c>
      <c r="K83" t="str">
        <f t="shared" si="18"/>
        <v>0.00292 - (0.0093 * E2_4_2_8_mRNA)</v>
      </c>
      <c r="L83" t="str">
        <f t="shared" si="19"/>
        <v>(0.278 * E2_4_2_8_mRNA) - (0.00000278 * E2_4_2_8)</v>
      </c>
      <c r="M83" t="str">
        <f t="shared" si="20"/>
        <v>mRNA82: -&gt; E2_4_2_8_mRNA | 0.00292 - (0.0093 * E2_4_2_8_mRNA)</v>
      </c>
      <c r="N83" t="str">
        <f t="shared" si="21"/>
        <v>Peptide82: E2_4_2_8_mRNA -&gt; E2_4_2_8 | (0.278 * E2_4_2_8_mRNA) - (0.000000278 * E2_4_2_8)</v>
      </c>
    </row>
    <row r="84" spans="1:14">
      <c r="A84">
        <v>83</v>
      </c>
      <c r="B84" s="1" t="s">
        <v>11511</v>
      </c>
      <c r="C84" t="str">
        <f t="shared" si="12"/>
        <v>E2_4_2_9_mRNA</v>
      </c>
      <c r="D84" t="str">
        <f t="shared" si="13"/>
        <v>E2_4_2_9</v>
      </c>
      <c r="E84" t="str">
        <f t="shared" si="14"/>
        <v>E2_4_2_9_kcat : 13.7</v>
      </c>
      <c r="F84" t="str">
        <f t="shared" si="22"/>
        <v>E2_4_2_9_km : 1</v>
      </c>
      <c r="G84" t="str">
        <f t="shared" si="15"/>
        <v>E2_4_2_9_mRNA : E2_4_2_9_mRNA</v>
      </c>
      <c r="H84" t="str">
        <f t="shared" si="16"/>
        <v>E2_4_2_9 : E2_4_2_9</v>
      </c>
      <c r="I84" t="str">
        <f t="shared" si="23"/>
        <v>E2_4_2_9_mRNA : 0</v>
      </c>
      <c r="J84" t="str">
        <f t="shared" si="17"/>
        <v>E2_4_2_9 : 0</v>
      </c>
      <c r="K84" t="str">
        <f t="shared" si="18"/>
        <v>0.00292 - (0.0093 * E2_4_2_9_mRNA)</v>
      </c>
      <c r="L84" t="str">
        <f t="shared" si="19"/>
        <v>(0.278 * E2_4_2_9_mRNA) - (0.00000278 * E2_4_2_9)</v>
      </c>
      <c r="M84" t="str">
        <f t="shared" si="20"/>
        <v>mRNA83: -&gt; E2_4_2_9_mRNA | 0.00292 - (0.0093 * E2_4_2_9_mRNA)</v>
      </c>
      <c r="N84" t="str">
        <f t="shared" si="21"/>
        <v>Peptide83: E2_4_2_9_mRNA -&gt; E2_4_2_9 | (0.278 * E2_4_2_9_mRNA) - (0.000000278 * E2_4_2_9)</v>
      </c>
    </row>
    <row r="85" spans="1:14">
      <c r="A85">
        <v>84</v>
      </c>
      <c r="B85" s="1" t="s">
        <v>11512</v>
      </c>
      <c r="C85" t="str">
        <f t="shared" si="12"/>
        <v>E2_4_99_17_mRNA</v>
      </c>
      <c r="D85" t="str">
        <f t="shared" si="13"/>
        <v>E2_4_99_17</v>
      </c>
      <c r="E85" t="str">
        <f t="shared" si="14"/>
        <v>E2_4_99_17_kcat : 13.7</v>
      </c>
      <c r="F85" t="str">
        <f t="shared" si="22"/>
        <v>E2_4_99_17_km : 1</v>
      </c>
      <c r="G85" t="str">
        <f t="shared" si="15"/>
        <v>E2_4_99_17_mRNA : E2_4_99_17_mRNA</v>
      </c>
      <c r="H85" t="str">
        <f t="shared" si="16"/>
        <v>E2_4_99_17 : E2_4_99_17</v>
      </c>
      <c r="I85" t="str">
        <f t="shared" si="23"/>
        <v>E2_4_99_17_mRNA : 0</v>
      </c>
      <c r="J85" t="str">
        <f t="shared" si="17"/>
        <v>E2_4_99_17 : 0</v>
      </c>
      <c r="K85" t="str">
        <f t="shared" si="18"/>
        <v>0.00292 - (0.0093 * E2_4_99_17_mRNA)</v>
      </c>
      <c r="L85" t="str">
        <f t="shared" si="19"/>
        <v>(0.278 * E2_4_99_17_mRNA) - (0.00000278 * E2_4_99_17)</v>
      </c>
      <c r="M85" t="str">
        <f t="shared" si="20"/>
        <v>mRNA84: -&gt; E2_4_99_17_mRNA | 0.00292 - (0.0093 * E2_4_99_17_mRNA)</v>
      </c>
      <c r="N85" t="str">
        <f t="shared" si="21"/>
        <v>Peptide84: E2_4_99_17_mRNA -&gt; E2_4_99_17 | (0.278 * E2_4_99_17_mRNA) - (0.000000278 * E2_4_99_17)</v>
      </c>
    </row>
    <row r="86" spans="1:14">
      <c r="A86">
        <v>85</v>
      </c>
      <c r="B86" s="1" t="s">
        <v>11513</v>
      </c>
      <c r="C86" t="str">
        <f t="shared" si="12"/>
        <v>E2_5_1_15_mRNA</v>
      </c>
      <c r="D86" t="str">
        <f t="shared" si="13"/>
        <v>E2_5_1_15</v>
      </c>
      <c r="E86" t="str">
        <f t="shared" si="14"/>
        <v>E2_5_1_15_kcat : 13.7</v>
      </c>
      <c r="F86" t="str">
        <f t="shared" si="22"/>
        <v>E2_5_1_15_km : 1</v>
      </c>
      <c r="G86" t="str">
        <f t="shared" si="15"/>
        <v>E2_5_1_15_mRNA : E2_5_1_15_mRNA</v>
      </c>
      <c r="H86" t="str">
        <f t="shared" si="16"/>
        <v>E2_5_1_15 : E2_5_1_15</v>
      </c>
      <c r="I86" t="str">
        <f t="shared" si="23"/>
        <v>E2_5_1_15_mRNA : 0</v>
      </c>
      <c r="J86" t="str">
        <f t="shared" si="17"/>
        <v>E2_5_1_15 : 0</v>
      </c>
      <c r="K86" t="str">
        <f t="shared" si="18"/>
        <v>0.00292 - (0.0093 * E2_5_1_15_mRNA)</v>
      </c>
      <c r="L86" t="str">
        <f t="shared" si="19"/>
        <v>(0.278 * E2_5_1_15_mRNA) - (0.00000278 * E2_5_1_15)</v>
      </c>
      <c r="M86" t="str">
        <f t="shared" si="20"/>
        <v>mRNA85: -&gt; E2_5_1_15_mRNA | 0.00292 - (0.0093 * E2_5_1_15_mRNA)</v>
      </c>
      <c r="N86" t="str">
        <f t="shared" si="21"/>
        <v>Peptide85: E2_5_1_15_mRNA -&gt; E2_5_1_15 | (0.278 * E2_5_1_15_mRNA) - (0.000000278 * E2_5_1_15)</v>
      </c>
    </row>
    <row r="87" spans="1:14">
      <c r="A87">
        <v>86</v>
      </c>
      <c r="B87" s="25" t="s">
        <v>11514</v>
      </c>
      <c r="C87" t="str">
        <f t="shared" si="12"/>
        <v>E2_5_1_17_mRNA</v>
      </c>
      <c r="D87" t="str">
        <f t="shared" si="13"/>
        <v>E2_5_1_17</v>
      </c>
      <c r="E87" t="str">
        <f t="shared" si="14"/>
        <v>E2_5_1_17_kcat : 13.7</v>
      </c>
      <c r="F87" t="str">
        <f t="shared" si="22"/>
        <v>E2_5_1_17_km : 1</v>
      </c>
      <c r="G87" t="str">
        <f t="shared" si="15"/>
        <v>E2_5_1_17_mRNA : E2_5_1_17_mRNA</v>
      </c>
      <c r="H87" t="str">
        <f t="shared" si="16"/>
        <v>E2_5_1_17 : E2_5_1_17</v>
      </c>
      <c r="I87" t="str">
        <f t="shared" si="23"/>
        <v>E2_5_1_17_mRNA : 0</v>
      </c>
      <c r="J87" t="str">
        <f t="shared" si="17"/>
        <v>E2_5_1_17 : 0</v>
      </c>
      <c r="K87" t="str">
        <f t="shared" si="18"/>
        <v>0.00292 - (0.0093 * E2_5_1_17_mRNA)</v>
      </c>
      <c r="L87" t="str">
        <f t="shared" si="19"/>
        <v>(0.278 * E2_5_1_17_mRNA) - (0.00000278 * E2_5_1_17)</v>
      </c>
      <c r="M87" t="str">
        <f t="shared" si="20"/>
        <v>mRNA86: -&gt; E2_5_1_17_mRNA | 0.00292 - (0.0093 * E2_5_1_17_mRNA)</v>
      </c>
      <c r="N87" t="str">
        <f t="shared" si="21"/>
        <v>Peptide86: E2_5_1_17_mRNA -&gt; E2_5_1_17 | (0.278 * E2_5_1_17_mRNA) - (0.000000278 * E2_5_1_17)</v>
      </c>
    </row>
    <row r="88" spans="1:14">
      <c r="A88">
        <v>87</v>
      </c>
      <c r="B88" s="1" t="s">
        <v>11515</v>
      </c>
      <c r="C88" t="str">
        <f t="shared" si="12"/>
        <v>E2_5_1_47_mRNA</v>
      </c>
      <c r="D88" t="str">
        <f t="shared" si="13"/>
        <v>E2_5_1_47</v>
      </c>
      <c r="E88" t="str">
        <f t="shared" si="14"/>
        <v>E2_5_1_47_kcat : 13.7</v>
      </c>
      <c r="F88" t="str">
        <f t="shared" si="22"/>
        <v>E2_5_1_47_km : 1</v>
      </c>
      <c r="G88" t="str">
        <f t="shared" si="15"/>
        <v>E2_5_1_47_mRNA : E2_5_1_47_mRNA</v>
      </c>
      <c r="H88" t="str">
        <f t="shared" si="16"/>
        <v>E2_5_1_47 : E2_5_1_47</v>
      </c>
      <c r="I88" t="str">
        <f t="shared" si="23"/>
        <v>E2_5_1_47_mRNA : 0</v>
      </c>
      <c r="J88" t="str">
        <f t="shared" si="17"/>
        <v>E2_5_1_47 : 0</v>
      </c>
      <c r="K88" t="str">
        <f t="shared" si="18"/>
        <v>0.00292 - (0.0093 * E2_5_1_47_mRNA)</v>
      </c>
      <c r="L88" t="str">
        <f t="shared" si="19"/>
        <v>(0.278 * E2_5_1_47_mRNA) - (0.00000278 * E2_5_1_47)</v>
      </c>
      <c r="M88" t="str">
        <f t="shared" si="20"/>
        <v>mRNA87: -&gt; E2_5_1_47_mRNA | 0.00292 - (0.0093 * E2_5_1_47_mRNA)</v>
      </c>
      <c r="N88" t="str">
        <f t="shared" si="21"/>
        <v>Peptide87: E2_5_1_47_mRNA -&gt; E2_5_1_47 | (0.278 * E2_5_1_47_mRNA) - (0.000000278 * E2_5_1_47)</v>
      </c>
    </row>
    <row r="89" spans="1:14">
      <c r="A89">
        <v>88</v>
      </c>
      <c r="B89" s="25" t="s">
        <v>11516</v>
      </c>
      <c r="C89" t="str">
        <f t="shared" si="12"/>
        <v>E2_5_1_55_mRNA</v>
      </c>
      <c r="D89" t="str">
        <f t="shared" si="13"/>
        <v>E2_5_1_55</v>
      </c>
      <c r="E89" t="str">
        <f t="shared" si="14"/>
        <v>E2_5_1_55_kcat : 13.7</v>
      </c>
      <c r="F89" t="str">
        <f t="shared" si="22"/>
        <v>E2_5_1_55_km : 1</v>
      </c>
      <c r="G89" t="str">
        <f t="shared" si="15"/>
        <v>E2_5_1_55_mRNA : E2_5_1_55_mRNA</v>
      </c>
      <c r="H89" t="str">
        <f t="shared" si="16"/>
        <v>E2_5_1_55 : E2_5_1_55</v>
      </c>
      <c r="I89" t="str">
        <f t="shared" si="23"/>
        <v>E2_5_1_55_mRNA : 0</v>
      </c>
      <c r="J89" t="str">
        <f t="shared" si="17"/>
        <v>E2_5_1_55 : 0</v>
      </c>
      <c r="K89" t="str">
        <f t="shared" si="18"/>
        <v>0.00292 - (0.0093 * E2_5_1_55_mRNA)</v>
      </c>
      <c r="L89" t="str">
        <f t="shared" si="19"/>
        <v>(0.278 * E2_5_1_55_mRNA) - (0.00000278 * E2_5_1_55)</v>
      </c>
      <c r="M89" t="str">
        <f t="shared" si="20"/>
        <v>mRNA88: -&gt; E2_5_1_55_mRNA | 0.00292 - (0.0093 * E2_5_1_55_mRNA)</v>
      </c>
      <c r="N89" t="str">
        <f t="shared" si="21"/>
        <v>Peptide88: E2_5_1_55_mRNA -&gt; E2_5_1_55 | (0.278 * E2_5_1_55_mRNA) - (0.000000278 * E2_5_1_55)</v>
      </c>
    </row>
    <row r="90" spans="1:14">
      <c r="A90">
        <v>89</v>
      </c>
      <c r="B90" s="1" t="s">
        <v>11517</v>
      </c>
      <c r="C90" t="str">
        <f t="shared" si="12"/>
        <v>E2_5_1_6_mRNA</v>
      </c>
      <c r="D90" t="str">
        <f t="shared" si="13"/>
        <v>E2_5_1_6</v>
      </c>
      <c r="E90" t="str">
        <f t="shared" si="14"/>
        <v>E2_5_1_6_kcat : 13.7</v>
      </c>
      <c r="F90" t="str">
        <f t="shared" si="22"/>
        <v>E2_5_1_6_km : 1</v>
      </c>
      <c r="G90" t="str">
        <f t="shared" si="15"/>
        <v>E2_5_1_6_mRNA : E2_5_1_6_mRNA</v>
      </c>
      <c r="H90" t="str">
        <f t="shared" si="16"/>
        <v>E2_5_1_6 : E2_5_1_6</v>
      </c>
      <c r="I90" t="str">
        <f t="shared" si="23"/>
        <v>E2_5_1_6_mRNA : 0</v>
      </c>
      <c r="J90" t="str">
        <f t="shared" si="17"/>
        <v>E2_5_1_6 : 0</v>
      </c>
      <c r="K90" t="str">
        <f t="shared" si="18"/>
        <v>0.00292 - (0.0093 * E2_5_1_6_mRNA)</v>
      </c>
      <c r="L90" t="str">
        <f t="shared" si="19"/>
        <v>(0.278 * E2_5_1_6_mRNA) - (0.00000278 * E2_5_1_6)</v>
      </c>
      <c r="M90" t="str">
        <f t="shared" si="20"/>
        <v>mRNA89: -&gt; E2_5_1_6_mRNA | 0.00292 - (0.0093 * E2_5_1_6_mRNA)</v>
      </c>
      <c r="N90" t="str">
        <f t="shared" si="21"/>
        <v>Peptide89: E2_5_1_6_mRNA -&gt; E2_5_1_6 | (0.278 * E2_5_1_6_mRNA) - (0.000000278 * E2_5_1_6)</v>
      </c>
    </row>
    <row r="91" spans="1:14">
      <c r="A91">
        <v>90</v>
      </c>
      <c r="B91" s="1" t="s">
        <v>11518</v>
      </c>
      <c r="C91" t="str">
        <f t="shared" si="12"/>
        <v>E2_5_1_7_mRNA</v>
      </c>
      <c r="D91" t="str">
        <f t="shared" si="13"/>
        <v>E2_5_1_7</v>
      </c>
      <c r="E91" t="str">
        <f t="shared" si="14"/>
        <v>E2_5_1_7_kcat : 13.7</v>
      </c>
      <c r="F91" t="str">
        <f t="shared" si="22"/>
        <v>E2_5_1_7_km : 1</v>
      </c>
      <c r="G91" t="str">
        <f t="shared" si="15"/>
        <v>E2_5_1_7_mRNA : E2_5_1_7_mRNA</v>
      </c>
      <c r="H91" t="str">
        <f t="shared" si="16"/>
        <v>E2_5_1_7 : E2_5_1_7</v>
      </c>
      <c r="I91" t="str">
        <f t="shared" si="23"/>
        <v>E2_5_1_7_mRNA : 0</v>
      </c>
      <c r="J91" t="str">
        <f t="shared" si="17"/>
        <v>E2_5_1_7 : 0</v>
      </c>
      <c r="K91" t="str">
        <f t="shared" si="18"/>
        <v>0.00292 - (0.0093 * E2_5_1_7_mRNA)</v>
      </c>
      <c r="L91" t="str">
        <f t="shared" si="19"/>
        <v>(0.278 * E2_5_1_7_mRNA) - (0.00000278 * E2_5_1_7)</v>
      </c>
      <c r="M91" t="str">
        <f t="shared" si="20"/>
        <v>mRNA90: -&gt; E2_5_1_7_mRNA | 0.00292 - (0.0093 * E2_5_1_7_mRNA)</v>
      </c>
      <c r="N91" t="str">
        <f t="shared" si="21"/>
        <v>Peptide90: E2_5_1_7_mRNA -&gt; E2_5_1_7 | (0.278 * E2_5_1_7_mRNA) - (0.000000278 * E2_5_1_7)</v>
      </c>
    </row>
    <row r="92" spans="1:14">
      <c r="A92">
        <v>91</v>
      </c>
      <c r="B92" s="1" t="s">
        <v>11519</v>
      </c>
      <c r="C92" t="str">
        <f t="shared" si="12"/>
        <v>E2_5_1_74_mRNA</v>
      </c>
      <c r="D92" t="str">
        <f t="shared" si="13"/>
        <v>E2_5_1_74</v>
      </c>
      <c r="E92" t="str">
        <f t="shared" si="14"/>
        <v>E2_5_1_74_kcat : 13.7</v>
      </c>
      <c r="F92" t="str">
        <f t="shared" si="22"/>
        <v>E2_5_1_74_km : 1</v>
      </c>
      <c r="G92" t="str">
        <f t="shared" si="15"/>
        <v>E2_5_1_74_mRNA : E2_5_1_74_mRNA</v>
      </c>
      <c r="H92" t="str">
        <f t="shared" si="16"/>
        <v>E2_5_1_74 : E2_5_1_74</v>
      </c>
      <c r="I92" t="str">
        <f t="shared" si="23"/>
        <v>E2_5_1_74_mRNA : 0</v>
      </c>
      <c r="J92" t="str">
        <f t="shared" si="17"/>
        <v>E2_5_1_74 : 0</v>
      </c>
      <c r="K92" t="str">
        <f t="shared" si="18"/>
        <v>0.00292 - (0.0093 * E2_5_1_74_mRNA)</v>
      </c>
      <c r="L92" t="str">
        <f t="shared" si="19"/>
        <v>(0.278 * E2_5_1_74_mRNA) - (0.00000278 * E2_5_1_74)</v>
      </c>
      <c r="M92" t="str">
        <f t="shared" si="20"/>
        <v>mRNA91: -&gt; E2_5_1_74_mRNA | 0.00292 - (0.0093 * E2_5_1_74_mRNA)</v>
      </c>
      <c r="N92" t="str">
        <f t="shared" si="21"/>
        <v>Peptide91: E2_5_1_74_mRNA -&gt; E2_5_1_74 | (0.278 * E2_5_1_74_mRNA) - (0.000000278 * E2_5_1_74)</v>
      </c>
    </row>
    <row r="93" spans="1:14">
      <c r="A93">
        <v>92</v>
      </c>
      <c r="B93" s="1" t="s">
        <v>11520</v>
      </c>
      <c r="C93" t="str">
        <f t="shared" si="12"/>
        <v>E2_5_1_75_mRNA</v>
      </c>
      <c r="D93" t="str">
        <f t="shared" si="13"/>
        <v>E2_5_1_75</v>
      </c>
      <c r="E93" t="str">
        <f t="shared" si="14"/>
        <v>E2_5_1_75_kcat : 13.7</v>
      </c>
      <c r="F93" t="str">
        <f t="shared" si="22"/>
        <v>E2_5_1_75_km : 1</v>
      </c>
      <c r="G93" t="str">
        <f t="shared" si="15"/>
        <v>E2_5_1_75_mRNA : E2_5_1_75_mRNA</v>
      </c>
      <c r="H93" t="str">
        <f t="shared" si="16"/>
        <v>E2_5_1_75 : E2_5_1_75</v>
      </c>
      <c r="I93" t="str">
        <f t="shared" si="23"/>
        <v>E2_5_1_75_mRNA : 0</v>
      </c>
      <c r="J93" t="str">
        <f t="shared" si="17"/>
        <v>E2_5_1_75 : 0</v>
      </c>
      <c r="K93" t="str">
        <f t="shared" si="18"/>
        <v>0.00292 - (0.0093 * E2_5_1_75_mRNA)</v>
      </c>
      <c r="L93" t="str">
        <f t="shared" si="19"/>
        <v>(0.278 * E2_5_1_75_mRNA) - (0.00000278 * E2_5_1_75)</v>
      </c>
      <c r="M93" t="str">
        <f t="shared" si="20"/>
        <v>mRNA92: -&gt; E2_5_1_75_mRNA | 0.00292 - (0.0093 * E2_5_1_75_mRNA)</v>
      </c>
      <c r="N93" t="str">
        <f t="shared" si="21"/>
        <v>Peptide92: E2_5_1_75_mRNA -&gt; E2_5_1_75 | (0.278 * E2_5_1_75_mRNA) - (0.000000278 * E2_5_1_75)</v>
      </c>
    </row>
    <row r="94" spans="1:14">
      <c r="A94">
        <v>93</v>
      </c>
      <c r="B94" s="1" t="s">
        <v>11521</v>
      </c>
      <c r="C94" t="str">
        <f t="shared" si="12"/>
        <v>E2_5_1_78_mRNA</v>
      </c>
      <c r="D94" t="str">
        <f t="shared" si="13"/>
        <v>E2_5_1_78</v>
      </c>
      <c r="E94" t="str">
        <f t="shared" si="14"/>
        <v>E2_5_1_78_kcat : 13.7</v>
      </c>
      <c r="F94" t="str">
        <f t="shared" si="22"/>
        <v>E2_5_1_78_km : 1</v>
      </c>
      <c r="G94" t="str">
        <f t="shared" si="15"/>
        <v>E2_5_1_78_mRNA : E2_5_1_78_mRNA</v>
      </c>
      <c r="H94" t="str">
        <f t="shared" si="16"/>
        <v>E2_5_1_78 : E2_5_1_78</v>
      </c>
      <c r="I94" t="str">
        <f t="shared" si="23"/>
        <v>E2_5_1_78_mRNA : 0</v>
      </c>
      <c r="J94" t="str">
        <f t="shared" si="17"/>
        <v>E2_5_1_78 : 0</v>
      </c>
      <c r="K94" t="str">
        <f t="shared" si="18"/>
        <v>0.00292 - (0.0093 * E2_5_1_78_mRNA)</v>
      </c>
      <c r="L94" t="str">
        <f t="shared" si="19"/>
        <v>(0.278 * E2_5_1_78_mRNA) - (0.00000278 * E2_5_1_78)</v>
      </c>
      <c r="M94" t="str">
        <f t="shared" si="20"/>
        <v>mRNA93: -&gt; E2_5_1_78_mRNA | 0.00292 - (0.0093 * E2_5_1_78_mRNA)</v>
      </c>
      <c r="N94" t="str">
        <f t="shared" si="21"/>
        <v>Peptide93: E2_5_1_78_mRNA -&gt; E2_5_1_78 | (0.278 * E2_5_1_78_mRNA) - (0.000000278 * E2_5_1_78)</v>
      </c>
    </row>
    <row r="95" spans="1:14">
      <c r="A95">
        <v>94</v>
      </c>
      <c r="B95" s="1" t="s">
        <v>11522</v>
      </c>
      <c r="C95" t="str">
        <f t="shared" si="12"/>
        <v>E2_5_1_9_mRNA</v>
      </c>
      <c r="D95" t="str">
        <f t="shared" si="13"/>
        <v>E2_5_1_9</v>
      </c>
      <c r="E95" t="str">
        <f t="shared" si="14"/>
        <v>E2_5_1_9_kcat : 13.7</v>
      </c>
      <c r="F95" t="str">
        <f t="shared" si="22"/>
        <v>E2_5_1_9_km : 1</v>
      </c>
      <c r="G95" t="str">
        <f t="shared" si="15"/>
        <v>E2_5_1_9_mRNA : E2_5_1_9_mRNA</v>
      </c>
      <c r="H95" t="str">
        <f t="shared" si="16"/>
        <v>E2_5_1_9 : E2_5_1_9</v>
      </c>
      <c r="I95" t="str">
        <f t="shared" si="23"/>
        <v>E2_5_1_9_mRNA : 0</v>
      </c>
      <c r="J95" t="str">
        <f t="shared" si="17"/>
        <v>E2_5_1_9 : 0</v>
      </c>
      <c r="K95" t="str">
        <f t="shared" si="18"/>
        <v>0.00292 - (0.0093 * E2_5_1_9_mRNA)</v>
      </c>
      <c r="L95" t="str">
        <f t="shared" si="19"/>
        <v>(0.278 * E2_5_1_9_mRNA) - (0.00000278 * E2_5_1_9)</v>
      </c>
      <c r="M95" t="str">
        <f t="shared" si="20"/>
        <v>mRNA94: -&gt; E2_5_1_9_mRNA | 0.00292 - (0.0093 * E2_5_1_9_mRNA)</v>
      </c>
      <c r="N95" t="str">
        <f t="shared" si="21"/>
        <v>Peptide94: E2_5_1_9_mRNA -&gt; E2_5_1_9 | (0.278 * E2_5_1_9_mRNA) - (0.000000278 * E2_5_1_9)</v>
      </c>
    </row>
    <row r="96" spans="1:14">
      <c r="A96">
        <v>95</v>
      </c>
      <c r="B96" s="1" t="s">
        <v>11523</v>
      </c>
      <c r="C96" t="str">
        <f t="shared" si="12"/>
        <v>E2_6_1_1_mRNA</v>
      </c>
      <c r="D96" t="str">
        <f t="shared" si="13"/>
        <v>E2_6_1_1</v>
      </c>
      <c r="E96" t="str">
        <f t="shared" si="14"/>
        <v>E2_6_1_1_kcat : 13.7</v>
      </c>
      <c r="F96" t="str">
        <f t="shared" si="22"/>
        <v>E2_6_1_1_km : 1</v>
      </c>
      <c r="G96" t="str">
        <f t="shared" si="15"/>
        <v>E2_6_1_1_mRNA : E2_6_1_1_mRNA</v>
      </c>
      <c r="H96" t="str">
        <f t="shared" si="16"/>
        <v>E2_6_1_1 : E2_6_1_1</v>
      </c>
      <c r="I96" t="str">
        <f t="shared" si="23"/>
        <v>E2_6_1_1_mRNA : 0</v>
      </c>
      <c r="J96" t="str">
        <f t="shared" si="17"/>
        <v>E2_6_1_1 : 0</v>
      </c>
      <c r="K96" t="str">
        <f t="shared" si="18"/>
        <v>0.00292 - (0.0093 * E2_6_1_1_mRNA)</v>
      </c>
      <c r="L96" t="str">
        <f t="shared" si="19"/>
        <v>(0.278 * E2_6_1_1_mRNA) - (0.00000278 * E2_6_1_1)</v>
      </c>
      <c r="M96" t="str">
        <f t="shared" si="20"/>
        <v>mRNA95: -&gt; E2_6_1_1_mRNA | 0.00292 - (0.0093 * E2_6_1_1_mRNA)</v>
      </c>
      <c r="N96" t="str">
        <f t="shared" si="21"/>
        <v>Peptide95: E2_6_1_1_mRNA -&gt; E2_6_1_1 | (0.278 * E2_6_1_1_mRNA) - (0.000000278 * E2_6_1_1)</v>
      </c>
    </row>
    <row r="97" spans="1:14">
      <c r="A97">
        <v>96</v>
      </c>
      <c r="B97" s="1" t="s">
        <v>11524</v>
      </c>
      <c r="C97" t="str">
        <f t="shared" si="12"/>
        <v>E2_6_1_13_mRNA</v>
      </c>
      <c r="D97" t="str">
        <f t="shared" si="13"/>
        <v>E2_6_1_13</v>
      </c>
      <c r="E97" t="str">
        <f t="shared" si="14"/>
        <v>E2_6_1_13_kcat : 13.7</v>
      </c>
      <c r="F97" t="str">
        <f t="shared" si="22"/>
        <v>E2_6_1_13_km : 1</v>
      </c>
      <c r="G97" t="str">
        <f t="shared" si="15"/>
        <v>E2_6_1_13_mRNA : E2_6_1_13_mRNA</v>
      </c>
      <c r="H97" t="str">
        <f t="shared" si="16"/>
        <v>E2_6_1_13 : E2_6_1_13</v>
      </c>
      <c r="I97" t="str">
        <f t="shared" si="23"/>
        <v>E2_6_1_13_mRNA : 0</v>
      </c>
      <c r="J97" t="str">
        <f t="shared" si="17"/>
        <v>E2_6_1_13 : 0</v>
      </c>
      <c r="K97" t="str">
        <f t="shared" si="18"/>
        <v>0.00292 - (0.0093 * E2_6_1_13_mRNA)</v>
      </c>
      <c r="L97" t="str">
        <f t="shared" si="19"/>
        <v>(0.278 * E2_6_1_13_mRNA) - (0.00000278 * E2_6_1_13)</v>
      </c>
      <c r="M97" t="str">
        <f t="shared" si="20"/>
        <v>mRNA96: -&gt; E2_6_1_13_mRNA | 0.00292 - (0.0093 * E2_6_1_13_mRNA)</v>
      </c>
      <c r="N97" t="str">
        <f t="shared" si="21"/>
        <v>Peptide96: E2_6_1_13_mRNA -&gt; E2_6_1_13 | (0.278 * E2_6_1_13_mRNA) - (0.000000278 * E2_6_1_13)</v>
      </c>
    </row>
    <row r="98" spans="1:14">
      <c r="A98">
        <v>97</v>
      </c>
      <c r="B98" s="1" t="s">
        <v>11525</v>
      </c>
      <c r="C98" t="str">
        <f t="shared" si="12"/>
        <v>E2_6_1_37_mRNA</v>
      </c>
      <c r="D98" t="str">
        <f t="shared" si="13"/>
        <v>E2_6_1_37</v>
      </c>
      <c r="E98" t="str">
        <f t="shared" si="14"/>
        <v>E2_6_1_37_kcat : 13.7</v>
      </c>
      <c r="F98" t="str">
        <f t="shared" si="22"/>
        <v>E2_6_1_37_km : 1</v>
      </c>
      <c r="G98" t="str">
        <f t="shared" si="15"/>
        <v>E2_6_1_37_mRNA : E2_6_1_37_mRNA</v>
      </c>
      <c r="H98" t="str">
        <f t="shared" si="16"/>
        <v>E2_6_1_37 : E2_6_1_37</v>
      </c>
      <c r="I98" t="str">
        <f t="shared" si="23"/>
        <v>E2_6_1_37_mRNA : 0</v>
      </c>
      <c r="J98" t="str">
        <f t="shared" si="17"/>
        <v>E2_6_1_37 : 0</v>
      </c>
      <c r="K98" t="str">
        <f t="shared" si="18"/>
        <v>0.00292 - (0.0093 * E2_6_1_37_mRNA)</v>
      </c>
      <c r="L98" t="str">
        <f t="shared" si="19"/>
        <v>(0.278 * E2_6_1_37_mRNA) - (0.00000278 * E2_6_1_37)</v>
      </c>
      <c r="M98" t="str">
        <f t="shared" si="20"/>
        <v>mRNA97: -&gt; E2_6_1_37_mRNA | 0.00292 - (0.0093 * E2_6_1_37_mRNA)</v>
      </c>
      <c r="N98" t="str">
        <f t="shared" si="21"/>
        <v>Peptide97: E2_6_1_37_mRNA -&gt; E2_6_1_37 | (0.278 * E2_6_1_37_mRNA) - (0.000000278 * E2_6_1_37)</v>
      </c>
    </row>
    <row r="99" spans="1:14">
      <c r="A99">
        <v>98</v>
      </c>
      <c r="B99" s="1" t="s">
        <v>11526</v>
      </c>
      <c r="C99" t="str">
        <f t="shared" si="12"/>
        <v>E2_6_1_42_mRNA</v>
      </c>
      <c r="D99" t="str">
        <f t="shared" si="13"/>
        <v>E2_6_1_42</v>
      </c>
      <c r="E99" t="str">
        <f t="shared" si="14"/>
        <v>E2_6_1_42_kcat : 13.7</v>
      </c>
      <c r="F99" t="str">
        <f t="shared" si="22"/>
        <v>E2_6_1_42_km : 1</v>
      </c>
      <c r="G99" t="str">
        <f t="shared" si="15"/>
        <v>E2_6_1_42_mRNA : E2_6_1_42_mRNA</v>
      </c>
      <c r="H99" t="str">
        <f t="shared" si="16"/>
        <v>E2_6_1_42 : E2_6_1_42</v>
      </c>
      <c r="I99" t="str">
        <f t="shared" si="23"/>
        <v>E2_6_1_42_mRNA : 0</v>
      </c>
      <c r="J99" t="str">
        <f t="shared" si="17"/>
        <v>E2_6_1_42 : 0</v>
      </c>
      <c r="K99" t="str">
        <f t="shared" si="18"/>
        <v>0.00292 - (0.0093 * E2_6_1_42_mRNA)</v>
      </c>
      <c r="L99" t="str">
        <f t="shared" si="19"/>
        <v>(0.278 * E2_6_1_42_mRNA) - (0.00000278 * E2_6_1_42)</v>
      </c>
      <c r="M99" t="str">
        <f t="shared" si="20"/>
        <v>mRNA98: -&gt; E2_6_1_42_mRNA | 0.00292 - (0.0093 * E2_6_1_42_mRNA)</v>
      </c>
      <c r="N99" t="str">
        <f t="shared" si="21"/>
        <v>Peptide98: E2_6_1_42_mRNA -&gt; E2_6_1_42 | (0.278 * E2_6_1_42_mRNA) - (0.000000278 * E2_6_1_42)</v>
      </c>
    </row>
    <row r="100" spans="1:14">
      <c r="A100">
        <v>99</v>
      </c>
      <c r="B100" s="1" t="s">
        <v>11527</v>
      </c>
      <c r="C100" t="str">
        <f t="shared" si="12"/>
        <v>E2_6_1_52_mRNA</v>
      </c>
      <c r="D100" t="str">
        <f t="shared" si="13"/>
        <v>E2_6_1_52</v>
      </c>
      <c r="E100" t="str">
        <f t="shared" si="14"/>
        <v>E2_6_1_52_kcat : 13.7</v>
      </c>
      <c r="F100" t="str">
        <f t="shared" si="22"/>
        <v>E2_6_1_52_km : 1</v>
      </c>
      <c r="G100" t="str">
        <f t="shared" si="15"/>
        <v>E2_6_1_52_mRNA : E2_6_1_52_mRNA</v>
      </c>
      <c r="H100" t="str">
        <f t="shared" si="16"/>
        <v>E2_6_1_52 : E2_6_1_52</v>
      </c>
      <c r="I100" t="str">
        <f t="shared" si="23"/>
        <v>E2_6_1_52_mRNA : 0</v>
      </c>
      <c r="J100" t="str">
        <f t="shared" si="17"/>
        <v>E2_6_1_52 : 0</v>
      </c>
      <c r="K100" t="str">
        <f t="shared" si="18"/>
        <v>0.00292 - (0.0093 * E2_6_1_52_mRNA)</v>
      </c>
      <c r="L100" t="str">
        <f t="shared" si="19"/>
        <v>(0.278 * E2_6_1_52_mRNA) - (0.00000278 * E2_6_1_52)</v>
      </c>
      <c r="M100" t="str">
        <f t="shared" si="20"/>
        <v>mRNA99: -&gt; E2_6_1_52_mRNA | 0.00292 - (0.0093 * E2_6_1_52_mRNA)</v>
      </c>
      <c r="N100" t="str">
        <f t="shared" si="21"/>
        <v>Peptide99: E2_6_1_52_mRNA -&gt; E2_6_1_52 | (0.278 * E2_6_1_52_mRNA) - (0.000000278 * E2_6_1_52)</v>
      </c>
    </row>
    <row r="101" spans="1:14">
      <c r="A101">
        <v>100</v>
      </c>
      <c r="B101" s="1" t="s">
        <v>11528</v>
      </c>
      <c r="C101" t="str">
        <f t="shared" si="12"/>
        <v>E2_6_1_62_mRNA</v>
      </c>
      <c r="D101" t="str">
        <f t="shared" si="13"/>
        <v>E2_6_1_62</v>
      </c>
      <c r="E101" t="str">
        <f t="shared" si="14"/>
        <v>E2_6_1_62_kcat : 13.7</v>
      </c>
      <c r="F101" t="str">
        <f t="shared" si="22"/>
        <v>E2_6_1_62_km : 1</v>
      </c>
      <c r="G101" t="str">
        <f t="shared" si="15"/>
        <v>E2_6_1_62_mRNA : E2_6_1_62_mRNA</v>
      </c>
      <c r="H101" t="str">
        <f t="shared" si="16"/>
        <v>E2_6_1_62 : E2_6_1_62</v>
      </c>
      <c r="I101" t="str">
        <f t="shared" si="23"/>
        <v>E2_6_1_62_mRNA : 0</v>
      </c>
      <c r="J101" t="str">
        <f t="shared" si="17"/>
        <v>E2_6_1_62 : 0</v>
      </c>
      <c r="K101" t="str">
        <f t="shared" si="18"/>
        <v>0.00292 - (0.0093 * E2_6_1_62_mRNA)</v>
      </c>
      <c r="L101" t="str">
        <f t="shared" si="19"/>
        <v>(0.278 * E2_6_1_62_mRNA) - (0.00000278 * E2_6_1_62)</v>
      </c>
      <c r="M101" t="str">
        <f t="shared" si="20"/>
        <v>mRNA100: -&gt; E2_6_1_62_mRNA | 0.00292 - (0.0093 * E2_6_1_62_mRNA)</v>
      </c>
      <c r="N101" t="str">
        <f t="shared" si="21"/>
        <v>Peptide100: E2_6_1_62_mRNA -&gt; E2_6_1_62 | (0.278 * E2_6_1_62_mRNA) - (0.000000278 * E2_6_1_62)</v>
      </c>
    </row>
    <row r="102" spans="1:14">
      <c r="A102">
        <v>101</v>
      </c>
      <c r="B102" s="1" t="s">
        <v>11529</v>
      </c>
      <c r="C102" t="str">
        <f t="shared" si="12"/>
        <v>E2_6_1_83_mRNA</v>
      </c>
      <c r="D102" t="str">
        <f t="shared" si="13"/>
        <v>E2_6_1_83</v>
      </c>
      <c r="E102" t="str">
        <f t="shared" si="14"/>
        <v>E2_6_1_83_kcat : 13.7</v>
      </c>
      <c r="F102" t="str">
        <f t="shared" si="22"/>
        <v>E2_6_1_83_km : 1</v>
      </c>
      <c r="G102" t="str">
        <f t="shared" si="15"/>
        <v>E2_6_1_83_mRNA : E2_6_1_83_mRNA</v>
      </c>
      <c r="H102" t="str">
        <f t="shared" si="16"/>
        <v>E2_6_1_83 : E2_6_1_83</v>
      </c>
      <c r="I102" t="str">
        <f t="shared" si="23"/>
        <v>E2_6_1_83_mRNA : 0</v>
      </c>
      <c r="J102" t="str">
        <f t="shared" si="17"/>
        <v>E2_6_1_83 : 0</v>
      </c>
      <c r="K102" t="str">
        <f t="shared" si="18"/>
        <v>0.00292 - (0.0093 * E2_6_1_83_mRNA)</v>
      </c>
      <c r="L102" t="str">
        <f t="shared" si="19"/>
        <v>(0.278 * E2_6_1_83_mRNA) - (0.00000278 * E2_6_1_83)</v>
      </c>
      <c r="M102" t="str">
        <f t="shared" si="20"/>
        <v>mRNA101: -&gt; E2_6_1_83_mRNA | 0.00292 - (0.0093 * E2_6_1_83_mRNA)</v>
      </c>
      <c r="N102" t="str">
        <f t="shared" si="21"/>
        <v>Peptide101: E2_6_1_83_mRNA -&gt; E2_6_1_83 | (0.278 * E2_6_1_83_mRNA) - (0.000000278 * E2_6_1_83)</v>
      </c>
    </row>
    <row r="103" spans="1:14">
      <c r="A103">
        <v>102</v>
      </c>
      <c r="B103" s="1" t="s">
        <v>11530</v>
      </c>
      <c r="C103" t="str">
        <f t="shared" si="12"/>
        <v>E2_6_1_85_mRNA</v>
      </c>
      <c r="D103" t="str">
        <f t="shared" si="13"/>
        <v>E2_6_1_85</v>
      </c>
      <c r="E103" t="str">
        <f t="shared" si="14"/>
        <v>E2_6_1_85_kcat : 13.7</v>
      </c>
      <c r="F103" t="str">
        <f t="shared" si="22"/>
        <v>E2_6_1_85_km : 1</v>
      </c>
      <c r="G103" t="str">
        <f t="shared" si="15"/>
        <v>E2_6_1_85_mRNA : E2_6_1_85_mRNA</v>
      </c>
      <c r="H103" t="str">
        <f t="shared" si="16"/>
        <v>E2_6_1_85 : E2_6_1_85</v>
      </c>
      <c r="I103" t="str">
        <f t="shared" si="23"/>
        <v>E2_6_1_85_mRNA : 0</v>
      </c>
      <c r="J103" t="str">
        <f t="shared" si="17"/>
        <v>E2_6_1_85 : 0</v>
      </c>
      <c r="K103" t="str">
        <f t="shared" si="18"/>
        <v>0.00292 - (0.0093 * E2_6_1_85_mRNA)</v>
      </c>
      <c r="L103" t="str">
        <f t="shared" si="19"/>
        <v>(0.278 * E2_6_1_85_mRNA) - (0.00000278 * E2_6_1_85)</v>
      </c>
      <c r="M103" t="str">
        <f t="shared" si="20"/>
        <v>mRNA102: -&gt; E2_6_1_85_mRNA | 0.00292 - (0.0093 * E2_6_1_85_mRNA)</v>
      </c>
      <c r="N103" t="str">
        <f t="shared" si="21"/>
        <v>Peptide102: E2_6_1_85_mRNA -&gt; E2_6_1_85 | (0.278 * E2_6_1_85_mRNA) - (0.000000278 * E2_6_1_85)</v>
      </c>
    </row>
    <row r="104" spans="1:14">
      <c r="A104">
        <v>103</v>
      </c>
      <c r="B104" s="1" t="s">
        <v>11531</v>
      </c>
      <c r="C104" t="str">
        <f t="shared" si="12"/>
        <v>E2_6_1_9_mRNA</v>
      </c>
      <c r="D104" t="str">
        <f t="shared" si="13"/>
        <v>E2_6_1_9</v>
      </c>
      <c r="E104" t="str">
        <f t="shared" si="14"/>
        <v>E2_6_1_9_kcat : 13.7</v>
      </c>
      <c r="F104" t="str">
        <f t="shared" si="22"/>
        <v>E2_6_1_9_km : 1</v>
      </c>
      <c r="G104" t="str">
        <f t="shared" si="15"/>
        <v>E2_6_1_9_mRNA : E2_6_1_9_mRNA</v>
      </c>
      <c r="H104" t="str">
        <f t="shared" si="16"/>
        <v>E2_6_1_9 : E2_6_1_9</v>
      </c>
      <c r="I104" t="str">
        <f t="shared" si="23"/>
        <v>E2_6_1_9_mRNA : 0</v>
      </c>
      <c r="J104" t="str">
        <f t="shared" si="17"/>
        <v>E2_6_1_9 : 0</v>
      </c>
      <c r="K104" t="str">
        <f t="shared" si="18"/>
        <v>0.00292 - (0.0093 * E2_6_1_9_mRNA)</v>
      </c>
      <c r="L104" t="str">
        <f t="shared" si="19"/>
        <v>(0.278 * E2_6_1_9_mRNA) - (0.00000278 * E2_6_1_9)</v>
      </c>
      <c r="M104" t="str">
        <f t="shared" si="20"/>
        <v>mRNA103: -&gt; E2_6_1_9_mRNA | 0.00292 - (0.0093 * E2_6_1_9_mRNA)</v>
      </c>
      <c r="N104" t="str">
        <f t="shared" si="21"/>
        <v>Peptide103: E2_6_1_9_mRNA -&gt; E2_6_1_9 | (0.278 * E2_6_1_9_mRNA) - (0.000000278 * E2_6_1_9)</v>
      </c>
    </row>
    <row r="105" spans="1:14">
      <c r="A105">
        <v>104</v>
      </c>
      <c r="B105" s="1" t="s">
        <v>11532</v>
      </c>
      <c r="C105" t="str">
        <f t="shared" si="12"/>
        <v>E2_6_99_2_mRNA</v>
      </c>
      <c r="D105" t="str">
        <f t="shared" si="13"/>
        <v>E2_6_99_2</v>
      </c>
      <c r="E105" t="str">
        <f t="shared" si="14"/>
        <v>E2_6_99_2_kcat : 13.7</v>
      </c>
      <c r="F105" t="str">
        <f t="shared" si="22"/>
        <v>E2_6_99_2_km : 1</v>
      </c>
      <c r="G105" t="str">
        <f t="shared" si="15"/>
        <v>E2_6_99_2_mRNA : E2_6_99_2_mRNA</v>
      </c>
      <c r="H105" t="str">
        <f t="shared" si="16"/>
        <v>E2_6_99_2 : E2_6_99_2</v>
      </c>
      <c r="I105" t="str">
        <f t="shared" si="23"/>
        <v>E2_6_99_2_mRNA : 0</v>
      </c>
      <c r="J105" t="str">
        <f t="shared" si="17"/>
        <v>E2_6_99_2 : 0</v>
      </c>
      <c r="K105" t="str">
        <f t="shared" si="18"/>
        <v>0.00292 - (0.0093 * E2_6_99_2_mRNA)</v>
      </c>
      <c r="L105" t="str">
        <f t="shared" si="19"/>
        <v>(0.278 * E2_6_99_2_mRNA) - (0.00000278 * E2_6_99_2)</v>
      </c>
      <c r="M105" t="str">
        <f t="shared" si="20"/>
        <v>mRNA104: -&gt; E2_6_99_2_mRNA | 0.00292 - (0.0093 * E2_6_99_2_mRNA)</v>
      </c>
      <c r="N105" t="str">
        <f t="shared" si="21"/>
        <v>Peptide104: E2_6_99_2_mRNA -&gt; E2_6_99_2 | (0.278 * E2_6_99_2_mRNA) - (0.000000278 * E2_6_99_2)</v>
      </c>
    </row>
    <row r="106" spans="1:14">
      <c r="A106">
        <v>105</v>
      </c>
      <c r="B106" s="1" t="s">
        <v>11533</v>
      </c>
      <c r="C106" t="str">
        <f t="shared" si="12"/>
        <v>E2_7_1_11_mRNA</v>
      </c>
      <c r="D106" t="str">
        <f t="shared" si="13"/>
        <v>E2_7_1_11</v>
      </c>
      <c r="E106" t="str">
        <f t="shared" si="14"/>
        <v>E2_7_1_11_kcat : 13.7</v>
      </c>
      <c r="F106" t="str">
        <f t="shared" si="22"/>
        <v>E2_7_1_11_km : 1</v>
      </c>
      <c r="G106" t="str">
        <f t="shared" si="15"/>
        <v>E2_7_1_11_mRNA : E2_7_1_11_mRNA</v>
      </c>
      <c r="H106" t="str">
        <f t="shared" si="16"/>
        <v>E2_7_1_11 : E2_7_1_11</v>
      </c>
      <c r="I106" t="str">
        <f t="shared" si="23"/>
        <v>E2_7_1_11_mRNA : 0</v>
      </c>
      <c r="J106" t="str">
        <f t="shared" si="17"/>
        <v>E2_7_1_11 : 0</v>
      </c>
      <c r="K106" t="str">
        <f t="shared" si="18"/>
        <v>0.00292 - (0.0093 * E2_7_1_11_mRNA)</v>
      </c>
      <c r="L106" t="str">
        <f t="shared" si="19"/>
        <v>(0.278 * E2_7_1_11_mRNA) - (0.00000278 * E2_7_1_11)</v>
      </c>
      <c r="M106" t="str">
        <f t="shared" si="20"/>
        <v>mRNA105: -&gt; E2_7_1_11_mRNA | 0.00292 - (0.0093 * E2_7_1_11_mRNA)</v>
      </c>
      <c r="N106" t="str">
        <f t="shared" si="21"/>
        <v>Peptide105: E2_7_1_11_mRNA -&gt; E2_7_1_11 | (0.278 * E2_7_1_11_mRNA) - (0.000000278 * E2_7_1_11)</v>
      </c>
    </row>
    <row r="107" spans="1:14">
      <c r="A107">
        <v>106</v>
      </c>
      <c r="B107" s="1" t="s">
        <v>11534</v>
      </c>
      <c r="C107" t="str">
        <f t="shared" si="12"/>
        <v>E2_7_1_130_mRNA</v>
      </c>
      <c r="D107" t="str">
        <f t="shared" si="13"/>
        <v>E2_7_1_130</v>
      </c>
      <c r="E107" t="str">
        <f t="shared" si="14"/>
        <v>E2_7_1_130_kcat : 13.7</v>
      </c>
      <c r="F107" t="str">
        <f t="shared" si="22"/>
        <v>E2_7_1_130_km : 1</v>
      </c>
      <c r="G107" t="str">
        <f t="shared" si="15"/>
        <v>E2_7_1_130_mRNA : E2_7_1_130_mRNA</v>
      </c>
      <c r="H107" t="str">
        <f t="shared" si="16"/>
        <v>E2_7_1_130 : E2_7_1_130</v>
      </c>
      <c r="I107" t="str">
        <f t="shared" si="23"/>
        <v>E2_7_1_130_mRNA : 0</v>
      </c>
      <c r="J107" t="str">
        <f t="shared" si="17"/>
        <v>E2_7_1_130 : 0</v>
      </c>
      <c r="K107" t="str">
        <f t="shared" si="18"/>
        <v>0.00292 - (0.0093 * E2_7_1_130_mRNA)</v>
      </c>
      <c r="L107" t="str">
        <f t="shared" si="19"/>
        <v>(0.278 * E2_7_1_130_mRNA) - (0.00000278 * E2_7_1_130)</v>
      </c>
      <c r="M107" t="str">
        <f t="shared" si="20"/>
        <v>mRNA106: -&gt; E2_7_1_130_mRNA | 0.00292 - (0.0093 * E2_7_1_130_mRNA)</v>
      </c>
      <c r="N107" t="str">
        <f t="shared" si="21"/>
        <v>Peptide106: E2_7_1_130_mRNA -&gt; E2_7_1_130 | (0.278 * E2_7_1_130_mRNA) - (0.000000278 * E2_7_1_130)</v>
      </c>
    </row>
    <row r="108" spans="1:14">
      <c r="A108">
        <v>107</v>
      </c>
      <c r="B108" s="1" t="s">
        <v>11535</v>
      </c>
      <c r="C108" t="str">
        <f t="shared" si="12"/>
        <v>E2_7_1_148_mRNA</v>
      </c>
      <c r="D108" t="str">
        <f t="shared" si="13"/>
        <v>E2_7_1_148</v>
      </c>
      <c r="E108" t="str">
        <f t="shared" si="14"/>
        <v>E2_7_1_148_kcat : 13.7</v>
      </c>
      <c r="F108" t="str">
        <f t="shared" si="22"/>
        <v>E2_7_1_148_km : 1</v>
      </c>
      <c r="G108" t="str">
        <f t="shared" si="15"/>
        <v>E2_7_1_148_mRNA : E2_7_1_148_mRNA</v>
      </c>
      <c r="H108" t="str">
        <f t="shared" si="16"/>
        <v>E2_7_1_148 : E2_7_1_148</v>
      </c>
      <c r="I108" t="str">
        <f t="shared" si="23"/>
        <v>E2_7_1_148_mRNA : 0</v>
      </c>
      <c r="J108" t="str">
        <f t="shared" si="17"/>
        <v>E2_7_1_148 : 0</v>
      </c>
      <c r="K108" t="str">
        <f t="shared" si="18"/>
        <v>0.00292 - (0.0093 * E2_7_1_148_mRNA)</v>
      </c>
      <c r="L108" t="str">
        <f t="shared" si="19"/>
        <v>(0.278 * E2_7_1_148_mRNA) - (0.00000278 * E2_7_1_148)</v>
      </c>
      <c r="M108" t="str">
        <f t="shared" si="20"/>
        <v>mRNA107: -&gt; E2_7_1_148_mRNA | 0.00292 - (0.0093 * E2_7_1_148_mRNA)</v>
      </c>
      <c r="N108" t="str">
        <f t="shared" si="21"/>
        <v>Peptide107: E2_7_1_148_mRNA -&gt; E2_7_1_148 | (0.278 * E2_7_1_148_mRNA) - (0.000000278 * E2_7_1_148)</v>
      </c>
    </row>
    <row r="109" spans="1:14">
      <c r="A109">
        <v>108</v>
      </c>
      <c r="B109" s="1" t="s">
        <v>11536</v>
      </c>
      <c r="C109" t="str">
        <f t="shared" si="12"/>
        <v>E2_7_1_15_mRNA</v>
      </c>
      <c r="D109" t="str">
        <f t="shared" si="13"/>
        <v>E2_7_1_15</v>
      </c>
      <c r="E109" t="str">
        <f t="shared" si="14"/>
        <v>E2_7_1_15_kcat : 13.7</v>
      </c>
      <c r="F109" t="str">
        <f t="shared" si="22"/>
        <v>E2_7_1_15_km : 1</v>
      </c>
      <c r="G109" t="str">
        <f t="shared" si="15"/>
        <v>E2_7_1_15_mRNA : E2_7_1_15_mRNA</v>
      </c>
      <c r="H109" t="str">
        <f t="shared" si="16"/>
        <v>E2_7_1_15 : E2_7_1_15</v>
      </c>
      <c r="I109" t="str">
        <f t="shared" si="23"/>
        <v>E2_7_1_15_mRNA : 0</v>
      </c>
      <c r="J109" t="str">
        <f t="shared" si="17"/>
        <v>E2_7_1_15 : 0</v>
      </c>
      <c r="K109" t="str">
        <f t="shared" si="18"/>
        <v>0.00292 - (0.0093 * E2_7_1_15_mRNA)</v>
      </c>
      <c r="L109" t="str">
        <f t="shared" si="19"/>
        <v>(0.278 * E2_7_1_15_mRNA) - (0.00000278 * E2_7_1_15)</v>
      </c>
      <c r="M109" t="str">
        <f t="shared" si="20"/>
        <v>mRNA108: -&gt; E2_7_1_15_mRNA | 0.00292 - (0.0093 * E2_7_1_15_mRNA)</v>
      </c>
      <c r="N109" t="str">
        <f t="shared" si="21"/>
        <v>Peptide108: E2_7_1_15_mRNA -&gt; E2_7_1_15 | (0.278 * E2_7_1_15_mRNA) - (0.000000278 * E2_7_1_15)</v>
      </c>
    </row>
    <row r="110" spans="1:14">
      <c r="A110">
        <v>109</v>
      </c>
      <c r="B110" s="1" t="s">
        <v>11537</v>
      </c>
      <c r="C110" t="str">
        <f t="shared" si="12"/>
        <v>E2_7_1_21_mRNA</v>
      </c>
      <c r="D110" t="str">
        <f t="shared" si="13"/>
        <v>E2_7_1_21</v>
      </c>
      <c r="E110" t="str">
        <f t="shared" si="14"/>
        <v>E2_7_1_21_kcat : 13.7</v>
      </c>
      <c r="F110" t="str">
        <f t="shared" si="22"/>
        <v>E2_7_1_21_km : 1</v>
      </c>
      <c r="G110" t="str">
        <f t="shared" si="15"/>
        <v>E2_7_1_21_mRNA : E2_7_1_21_mRNA</v>
      </c>
      <c r="H110" t="str">
        <f t="shared" si="16"/>
        <v>E2_7_1_21 : E2_7_1_21</v>
      </c>
      <c r="I110" t="str">
        <f t="shared" si="23"/>
        <v>E2_7_1_21_mRNA : 0</v>
      </c>
      <c r="J110" t="str">
        <f t="shared" si="17"/>
        <v>E2_7_1_21 : 0</v>
      </c>
      <c r="K110" t="str">
        <f t="shared" si="18"/>
        <v>0.00292 - (0.0093 * E2_7_1_21_mRNA)</v>
      </c>
      <c r="L110" t="str">
        <f t="shared" si="19"/>
        <v>(0.278 * E2_7_1_21_mRNA) - (0.00000278 * E2_7_1_21)</v>
      </c>
      <c r="M110" t="str">
        <f t="shared" si="20"/>
        <v>mRNA109: -&gt; E2_7_1_21_mRNA | 0.00292 - (0.0093 * E2_7_1_21_mRNA)</v>
      </c>
      <c r="N110" t="str">
        <f t="shared" si="21"/>
        <v>Peptide109: E2_7_1_21_mRNA -&gt; E2_7_1_21 | (0.278 * E2_7_1_21_mRNA) - (0.000000278 * E2_7_1_21)</v>
      </c>
    </row>
    <row r="111" spans="1:14">
      <c r="A111">
        <v>110</v>
      </c>
      <c r="B111" s="1" t="s">
        <v>11538</v>
      </c>
      <c r="C111" t="str">
        <f t="shared" si="12"/>
        <v>E2_7_1_23_mRNA</v>
      </c>
      <c r="D111" t="str">
        <f t="shared" si="13"/>
        <v>E2_7_1_23</v>
      </c>
      <c r="E111" t="str">
        <f t="shared" si="14"/>
        <v>E2_7_1_23_kcat : 13.7</v>
      </c>
      <c r="F111" t="str">
        <f t="shared" si="22"/>
        <v>E2_7_1_23_km : 1</v>
      </c>
      <c r="G111" t="str">
        <f t="shared" si="15"/>
        <v>E2_7_1_23_mRNA : E2_7_1_23_mRNA</v>
      </c>
      <c r="H111" t="str">
        <f t="shared" si="16"/>
        <v>E2_7_1_23 : E2_7_1_23</v>
      </c>
      <c r="I111" t="str">
        <f t="shared" si="23"/>
        <v>E2_7_1_23_mRNA : 0</v>
      </c>
      <c r="J111" t="str">
        <f t="shared" si="17"/>
        <v>E2_7_1_23 : 0</v>
      </c>
      <c r="K111" t="str">
        <f t="shared" si="18"/>
        <v>0.00292 - (0.0093 * E2_7_1_23_mRNA)</v>
      </c>
      <c r="L111" t="str">
        <f t="shared" si="19"/>
        <v>(0.278 * E2_7_1_23_mRNA) - (0.00000278 * E2_7_1_23)</v>
      </c>
      <c r="M111" t="str">
        <f t="shared" si="20"/>
        <v>mRNA110: -&gt; E2_7_1_23_mRNA | 0.00292 - (0.0093 * E2_7_1_23_mRNA)</v>
      </c>
      <c r="N111" t="str">
        <f t="shared" si="21"/>
        <v>Peptide110: E2_7_1_23_mRNA -&gt; E2_7_1_23 | (0.278 * E2_7_1_23_mRNA) - (0.000000278 * E2_7_1_23)</v>
      </c>
    </row>
    <row r="112" spans="1:14">
      <c r="A112">
        <v>111</v>
      </c>
      <c r="B112" s="1" t="s">
        <v>11539</v>
      </c>
      <c r="C112" t="str">
        <f t="shared" si="12"/>
        <v>E2_7_1_24_mRNA</v>
      </c>
      <c r="D112" t="str">
        <f t="shared" si="13"/>
        <v>E2_7_1_24</v>
      </c>
      <c r="E112" t="str">
        <f t="shared" si="14"/>
        <v>E2_7_1_24_kcat : 13.7</v>
      </c>
      <c r="F112" t="str">
        <f t="shared" si="22"/>
        <v>E2_7_1_24_km : 1</v>
      </c>
      <c r="G112" t="str">
        <f t="shared" si="15"/>
        <v>E2_7_1_24_mRNA : E2_7_1_24_mRNA</v>
      </c>
      <c r="H112" t="str">
        <f t="shared" si="16"/>
        <v>E2_7_1_24 : E2_7_1_24</v>
      </c>
      <c r="I112" t="str">
        <f t="shared" si="23"/>
        <v>E2_7_1_24_mRNA : 0</v>
      </c>
      <c r="J112" t="str">
        <f t="shared" si="17"/>
        <v>E2_7_1_24 : 0</v>
      </c>
      <c r="K112" t="str">
        <f t="shared" si="18"/>
        <v>0.00292 - (0.0093 * E2_7_1_24_mRNA)</v>
      </c>
      <c r="L112" t="str">
        <f t="shared" si="19"/>
        <v>(0.278 * E2_7_1_24_mRNA) - (0.00000278 * E2_7_1_24)</v>
      </c>
      <c r="M112" t="str">
        <f t="shared" si="20"/>
        <v>mRNA111: -&gt; E2_7_1_24_mRNA | 0.00292 - (0.0093 * E2_7_1_24_mRNA)</v>
      </c>
      <c r="N112" t="str">
        <f t="shared" si="21"/>
        <v>Peptide111: E2_7_1_24_mRNA -&gt; E2_7_1_24 | (0.278 * E2_7_1_24_mRNA) - (0.000000278 * E2_7_1_24)</v>
      </c>
    </row>
    <row r="113" spans="1:14">
      <c r="A113">
        <v>112</v>
      </c>
      <c r="B113" s="1" t="s">
        <v>11540</v>
      </c>
      <c r="C113" t="str">
        <f t="shared" si="12"/>
        <v>E2_7_1_25_mRNA</v>
      </c>
      <c r="D113" t="str">
        <f t="shared" si="13"/>
        <v>E2_7_1_25</v>
      </c>
      <c r="E113" t="str">
        <f t="shared" si="14"/>
        <v>E2_7_1_25_kcat : 13.7</v>
      </c>
      <c r="F113" t="str">
        <f t="shared" si="22"/>
        <v>E2_7_1_25_km : 1</v>
      </c>
      <c r="G113" t="str">
        <f t="shared" si="15"/>
        <v>E2_7_1_25_mRNA : E2_7_1_25_mRNA</v>
      </c>
      <c r="H113" t="str">
        <f t="shared" si="16"/>
        <v>E2_7_1_25 : E2_7_1_25</v>
      </c>
      <c r="I113" t="str">
        <f t="shared" si="23"/>
        <v>E2_7_1_25_mRNA : 0</v>
      </c>
      <c r="J113" t="str">
        <f t="shared" si="17"/>
        <v>E2_7_1_25 : 0</v>
      </c>
      <c r="K113" t="str">
        <f t="shared" si="18"/>
        <v>0.00292 - (0.0093 * E2_7_1_25_mRNA)</v>
      </c>
      <c r="L113" t="str">
        <f t="shared" si="19"/>
        <v>(0.278 * E2_7_1_25_mRNA) - (0.00000278 * E2_7_1_25)</v>
      </c>
      <c r="M113" t="str">
        <f t="shared" si="20"/>
        <v>mRNA112: -&gt; E2_7_1_25_mRNA | 0.00292 - (0.0093 * E2_7_1_25_mRNA)</v>
      </c>
      <c r="N113" t="str">
        <f t="shared" si="21"/>
        <v>Peptide112: E2_7_1_25_mRNA -&gt; E2_7_1_25 | (0.278 * E2_7_1_25_mRNA) - (0.000000278 * E2_7_1_25)</v>
      </c>
    </row>
    <row r="114" spans="1:14">
      <c r="A114">
        <v>113</v>
      </c>
      <c r="B114" s="1" t="s">
        <v>11541</v>
      </c>
      <c r="C114" t="str">
        <f t="shared" si="12"/>
        <v>E2_7_1_26_mRNA</v>
      </c>
      <c r="D114" t="str">
        <f t="shared" si="13"/>
        <v>E2_7_1_26</v>
      </c>
      <c r="E114" t="str">
        <f t="shared" si="14"/>
        <v>E2_7_1_26_kcat : 13.7</v>
      </c>
      <c r="F114" t="str">
        <f t="shared" si="22"/>
        <v>E2_7_1_26_km : 1</v>
      </c>
      <c r="G114" t="str">
        <f t="shared" si="15"/>
        <v>E2_7_1_26_mRNA : E2_7_1_26_mRNA</v>
      </c>
      <c r="H114" t="str">
        <f t="shared" si="16"/>
        <v>E2_7_1_26 : E2_7_1_26</v>
      </c>
      <c r="I114" t="str">
        <f t="shared" si="23"/>
        <v>E2_7_1_26_mRNA : 0</v>
      </c>
      <c r="J114" t="str">
        <f t="shared" si="17"/>
        <v>E2_7_1_26 : 0</v>
      </c>
      <c r="K114" t="str">
        <f t="shared" si="18"/>
        <v>0.00292 - (0.0093 * E2_7_1_26_mRNA)</v>
      </c>
      <c r="L114" t="str">
        <f t="shared" si="19"/>
        <v>(0.278 * E2_7_1_26_mRNA) - (0.00000278 * E2_7_1_26)</v>
      </c>
      <c r="M114" t="str">
        <f t="shared" si="20"/>
        <v>mRNA113: -&gt; E2_7_1_26_mRNA | 0.00292 - (0.0093 * E2_7_1_26_mRNA)</v>
      </c>
      <c r="N114" t="str">
        <f t="shared" si="21"/>
        <v>Peptide113: E2_7_1_26_mRNA -&gt; E2_7_1_26 | (0.278 * E2_7_1_26_mRNA) - (0.000000278 * E2_7_1_26)</v>
      </c>
    </row>
    <row r="115" spans="1:14">
      <c r="A115">
        <v>114</v>
      </c>
      <c r="B115" s="1" t="s">
        <v>11542</v>
      </c>
      <c r="C115" t="str">
        <f t="shared" si="12"/>
        <v>E2_7_1_30_mRNA</v>
      </c>
      <c r="D115" t="str">
        <f t="shared" si="13"/>
        <v>E2_7_1_30</v>
      </c>
      <c r="E115" t="str">
        <f t="shared" si="14"/>
        <v>E2_7_1_30_kcat : 13.7</v>
      </c>
      <c r="F115" t="str">
        <f t="shared" si="22"/>
        <v>E2_7_1_30_km : 1</v>
      </c>
      <c r="G115" t="str">
        <f t="shared" si="15"/>
        <v>E2_7_1_30_mRNA : E2_7_1_30_mRNA</v>
      </c>
      <c r="H115" t="str">
        <f t="shared" si="16"/>
        <v>E2_7_1_30 : E2_7_1_30</v>
      </c>
      <c r="I115" t="str">
        <f t="shared" si="23"/>
        <v>E2_7_1_30_mRNA : 0</v>
      </c>
      <c r="J115" t="str">
        <f t="shared" si="17"/>
        <v>E2_7_1_30 : 0</v>
      </c>
      <c r="K115" t="str">
        <f t="shared" si="18"/>
        <v>0.00292 - (0.0093 * E2_7_1_30_mRNA)</v>
      </c>
      <c r="L115" t="str">
        <f t="shared" si="19"/>
        <v>(0.278 * E2_7_1_30_mRNA) - (0.00000278 * E2_7_1_30)</v>
      </c>
      <c r="M115" t="str">
        <f t="shared" si="20"/>
        <v>mRNA114: -&gt; E2_7_1_30_mRNA | 0.00292 - (0.0093 * E2_7_1_30_mRNA)</v>
      </c>
      <c r="N115" t="str">
        <f t="shared" si="21"/>
        <v>Peptide114: E2_7_1_30_mRNA -&gt; E2_7_1_30 | (0.278 * E2_7_1_30_mRNA) - (0.000000278 * E2_7_1_30)</v>
      </c>
    </row>
    <row r="116" spans="1:14">
      <c r="A116">
        <v>115</v>
      </c>
      <c r="B116" s="1" t="s">
        <v>11543</v>
      </c>
      <c r="C116" t="str">
        <f t="shared" si="12"/>
        <v>E2_7_1_33_mRNA</v>
      </c>
      <c r="D116" t="str">
        <f t="shared" si="13"/>
        <v>E2_7_1_33</v>
      </c>
      <c r="E116" t="str">
        <f t="shared" si="14"/>
        <v>E2_7_1_33_kcat : 13.7</v>
      </c>
      <c r="F116" t="str">
        <f t="shared" si="22"/>
        <v>E2_7_1_33_km : 1</v>
      </c>
      <c r="G116" t="str">
        <f t="shared" si="15"/>
        <v>E2_7_1_33_mRNA : E2_7_1_33_mRNA</v>
      </c>
      <c r="H116" t="str">
        <f t="shared" si="16"/>
        <v>E2_7_1_33 : E2_7_1_33</v>
      </c>
      <c r="I116" t="str">
        <f t="shared" si="23"/>
        <v>E2_7_1_33_mRNA : 0</v>
      </c>
      <c r="J116" t="str">
        <f t="shared" si="17"/>
        <v>E2_7_1_33 : 0</v>
      </c>
      <c r="K116" t="str">
        <f t="shared" si="18"/>
        <v>0.00292 - (0.0093 * E2_7_1_33_mRNA)</v>
      </c>
      <c r="L116" t="str">
        <f t="shared" si="19"/>
        <v>(0.278 * E2_7_1_33_mRNA) - (0.00000278 * E2_7_1_33)</v>
      </c>
      <c r="M116" t="str">
        <f t="shared" si="20"/>
        <v>mRNA115: -&gt; E2_7_1_33_mRNA | 0.00292 - (0.0093 * E2_7_1_33_mRNA)</v>
      </c>
      <c r="N116" t="str">
        <f t="shared" si="21"/>
        <v>Peptide115: E2_7_1_33_mRNA -&gt; E2_7_1_33 | (0.278 * E2_7_1_33_mRNA) - (0.000000278 * E2_7_1_33)</v>
      </c>
    </row>
    <row r="117" spans="1:14">
      <c r="A117">
        <v>116</v>
      </c>
      <c r="B117" s="1" t="s">
        <v>11544</v>
      </c>
      <c r="C117" t="str">
        <f t="shared" si="12"/>
        <v>E2_7_1_35_mRNA</v>
      </c>
      <c r="D117" t="str">
        <f t="shared" si="13"/>
        <v>E2_7_1_35</v>
      </c>
      <c r="E117" t="str">
        <f t="shared" si="14"/>
        <v>E2_7_1_35_kcat : 13.7</v>
      </c>
      <c r="F117" t="str">
        <f t="shared" si="22"/>
        <v>E2_7_1_35_km : 1</v>
      </c>
      <c r="G117" t="str">
        <f t="shared" si="15"/>
        <v>E2_7_1_35_mRNA : E2_7_1_35_mRNA</v>
      </c>
      <c r="H117" t="str">
        <f t="shared" si="16"/>
        <v>E2_7_1_35 : E2_7_1_35</v>
      </c>
      <c r="I117" t="str">
        <f t="shared" si="23"/>
        <v>E2_7_1_35_mRNA : 0</v>
      </c>
      <c r="J117" t="str">
        <f t="shared" si="17"/>
        <v>E2_7_1_35 : 0</v>
      </c>
      <c r="K117" t="str">
        <f t="shared" si="18"/>
        <v>0.00292 - (0.0093 * E2_7_1_35_mRNA)</v>
      </c>
      <c r="L117" t="str">
        <f t="shared" si="19"/>
        <v>(0.278 * E2_7_1_35_mRNA) - (0.00000278 * E2_7_1_35)</v>
      </c>
      <c r="M117" t="str">
        <f t="shared" si="20"/>
        <v>mRNA116: -&gt; E2_7_1_35_mRNA | 0.00292 - (0.0093 * E2_7_1_35_mRNA)</v>
      </c>
      <c r="N117" t="str">
        <f t="shared" si="21"/>
        <v>Peptide116: E2_7_1_35_mRNA -&gt; E2_7_1_35 | (0.278 * E2_7_1_35_mRNA) - (0.000000278 * E2_7_1_35)</v>
      </c>
    </row>
    <row r="118" spans="1:14">
      <c r="A118">
        <v>117</v>
      </c>
      <c r="B118" s="25" t="s">
        <v>11545</v>
      </c>
      <c r="C118" t="str">
        <f t="shared" si="12"/>
        <v>E2_7_1_40_mRNA</v>
      </c>
      <c r="D118" t="str">
        <f t="shared" si="13"/>
        <v>E2_7_1_40</v>
      </c>
      <c r="E118" t="str">
        <f t="shared" si="14"/>
        <v>E2_7_1_40_kcat : 13.7</v>
      </c>
      <c r="F118" t="str">
        <f t="shared" si="22"/>
        <v>E2_7_1_40_km : 1</v>
      </c>
      <c r="G118" t="str">
        <f t="shared" si="15"/>
        <v>E2_7_1_40_mRNA : E2_7_1_40_mRNA</v>
      </c>
      <c r="H118" t="str">
        <f t="shared" si="16"/>
        <v>E2_7_1_40 : E2_7_1_40</v>
      </c>
      <c r="I118" t="str">
        <f t="shared" si="23"/>
        <v>E2_7_1_40_mRNA : 0</v>
      </c>
      <c r="J118" t="str">
        <f t="shared" si="17"/>
        <v>E2_7_1_40 : 0</v>
      </c>
      <c r="K118" t="str">
        <f t="shared" si="18"/>
        <v>0.00292 - (0.0093 * E2_7_1_40_mRNA)</v>
      </c>
      <c r="L118" t="str">
        <f t="shared" si="19"/>
        <v>(0.278 * E2_7_1_40_mRNA) - (0.00000278 * E2_7_1_40)</v>
      </c>
      <c r="M118" t="str">
        <f t="shared" si="20"/>
        <v>mRNA117: -&gt; E2_7_1_40_mRNA | 0.00292 - (0.0093 * E2_7_1_40_mRNA)</v>
      </c>
      <c r="N118" t="str">
        <f t="shared" si="21"/>
        <v>Peptide117: E2_7_1_40_mRNA -&gt; E2_7_1_40 | (0.278 * E2_7_1_40_mRNA) - (0.000000278 * E2_7_1_40)</v>
      </c>
    </row>
    <row r="119" spans="1:14">
      <c r="A119">
        <v>118</v>
      </c>
      <c r="B119" s="1" t="s">
        <v>11546</v>
      </c>
      <c r="C119" t="str">
        <f t="shared" si="12"/>
        <v>E2_7_1_48_mRNA</v>
      </c>
      <c r="D119" t="str">
        <f t="shared" si="13"/>
        <v>E2_7_1_48</v>
      </c>
      <c r="E119" t="str">
        <f t="shared" si="14"/>
        <v>E2_7_1_48_kcat : 13.7</v>
      </c>
      <c r="F119" t="str">
        <f t="shared" si="22"/>
        <v>E2_7_1_48_km : 1</v>
      </c>
      <c r="G119" t="str">
        <f t="shared" si="15"/>
        <v>E2_7_1_48_mRNA : E2_7_1_48_mRNA</v>
      </c>
      <c r="H119" t="str">
        <f t="shared" si="16"/>
        <v>E2_7_1_48 : E2_7_1_48</v>
      </c>
      <c r="I119" t="str">
        <f t="shared" si="23"/>
        <v>E2_7_1_48_mRNA : 0</v>
      </c>
      <c r="J119" t="str">
        <f t="shared" si="17"/>
        <v>E2_7_1_48 : 0</v>
      </c>
      <c r="K119" t="str">
        <f t="shared" si="18"/>
        <v>0.00292 - (0.0093 * E2_7_1_48_mRNA)</v>
      </c>
      <c r="L119" t="str">
        <f t="shared" si="19"/>
        <v>(0.278 * E2_7_1_48_mRNA) - (0.00000278 * E2_7_1_48)</v>
      </c>
      <c r="M119" t="str">
        <f t="shared" si="20"/>
        <v>mRNA118: -&gt; E2_7_1_48_mRNA | 0.00292 - (0.0093 * E2_7_1_48_mRNA)</v>
      </c>
      <c r="N119" t="str">
        <f t="shared" si="21"/>
        <v>Peptide118: E2_7_1_48_mRNA -&gt; E2_7_1_48 | (0.278 * E2_7_1_48_mRNA) - (0.000000278 * E2_7_1_48)</v>
      </c>
    </row>
    <row r="120" spans="1:14">
      <c r="A120">
        <v>119</v>
      </c>
      <c r="B120" s="1" t="s">
        <v>11547</v>
      </c>
      <c r="C120" t="str">
        <f t="shared" si="12"/>
        <v>E2_7_1_49_mRNA</v>
      </c>
      <c r="D120" t="str">
        <f t="shared" si="13"/>
        <v>E2_7_1_49</v>
      </c>
      <c r="E120" t="str">
        <f t="shared" si="14"/>
        <v>E2_7_1_49_kcat : 13.7</v>
      </c>
      <c r="F120" t="str">
        <f t="shared" si="22"/>
        <v>E2_7_1_49_km : 1</v>
      </c>
      <c r="G120" t="str">
        <f t="shared" si="15"/>
        <v>E2_7_1_49_mRNA : E2_7_1_49_mRNA</v>
      </c>
      <c r="H120" t="str">
        <f t="shared" si="16"/>
        <v>E2_7_1_49 : E2_7_1_49</v>
      </c>
      <c r="I120" t="str">
        <f t="shared" si="23"/>
        <v>E2_7_1_49_mRNA : 0</v>
      </c>
      <c r="J120" t="str">
        <f t="shared" si="17"/>
        <v>E2_7_1_49 : 0</v>
      </c>
      <c r="K120" t="str">
        <f t="shared" si="18"/>
        <v>0.00292 - (0.0093 * E2_7_1_49_mRNA)</v>
      </c>
      <c r="L120" t="str">
        <f t="shared" si="19"/>
        <v>(0.278 * E2_7_1_49_mRNA) - (0.00000278 * E2_7_1_49)</v>
      </c>
      <c r="M120" t="str">
        <f t="shared" si="20"/>
        <v>mRNA119: -&gt; E2_7_1_49_mRNA | 0.00292 - (0.0093 * E2_7_1_49_mRNA)</v>
      </c>
      <c r="N120" t="str">
        <f t="shared" si="21"/>
        <v>Peptide119: E2_7_1_49_mRNA -&gt; E2_7_1_49 | (0.278 * E2_7_1_49_mRNA) - (0.000000278 * E2_7_1_49)</v>
      </c>
    </row>
    <row r="121" spans="1:14">
      <c r="A121">
        <v>120</v>
      </c>
      <c r="B121" s="1" t="s">
        <v>11548</v>
      </c>
      <c r="C121" t="str">
        <f t="shared" si="12"/>
        <v>E2_7_1_6_mRNA</v>
      </c>
      <c r="D121" t="str">
        <f t="shared" si="13"/>
        <v>E2_7_1_6</v>
      </c>
      <c r="E121" t="str">
        <f t="shared" si="14"/>
        <v>E2_7_1_6_kcat : 13.7</v>
      </c>
      <c r="F121" t="str">
        <f t="shared" si="22"/>
        <v>E2_7_1_6_km : 1</v>
      </c>
      <c r="G121" t="str">
        <f t="shared" si="15"/>
        <v>E2_7_1_6_mRNA : E2_7_1_6_mRNA</v>
      </c>
      <c r="H121" t="str">
        <f t="shared" si="16"/>
        <v>E2_7_1_6 : E2_7_1_6</v>
      </c>
      <c r="I121" t="str">
        <f t="shared" si="23"/>
        <v>E2_7_1_6_mRNA : 0</v>
      </c>
      <c r="J121" t="str">
        <f t="shared" si="17"/>
        <v>E2_7_1_6 : 0</v>
      </c>
      <c r="K121" t="str">
        <f t="shared" si="18"/>
        <v>0.00292 - (0.0093 * E2_7_1_6_mRNA)</v>
      </c>
      <c r="L121" t="str">
        <f t="shared" si="19"/>
        <v>(0.278 * E2_7_1_6_mRNA) - (0.00000278 * E2_7_1_6)</v>
      </c>
      <c r="M121" t="str">
        <f t="shared" si="20"/>
        <v>mRNA120: -&gt; E2_7_1_6_mRNA | 0.00292 - (0.0093 * E2_7_1_6_mRNA)</v>
      </c>
      <c r="N121" t="str">
        <f t="shared" si="21"/>
        <v>Peptide120: E2_7_1_6_mRNA -&gt; E2_7_1_6 | (0.278 * E2_7_1_6_mRNA) - (0.000000278 * E2_7_1_6)</v>
      </c>
    </row>
    <row r="122" spans="1:14">
      <c r="A122">
        <v>121</v>
      </c>
      <c r="B122" s="1" t="s">
        <v>11549</v>
      </c>
      <c r="C122" t="str">
        <f t="shared" si="12"/>
        <v>E2_7_1_71_mRNA</v>
      </c>
      <c r="D122" t="str">
        <f t="shared" si="13"/>
        <v>E2_7_1_71</v>
      </c>
      <c r="E122" t="str">
        <f t="shared" si="14"/>
        <v>E2_7_1_71_kcat : 13.7</v>
      </c>
      <c r="F122" t="str">
        <f t="shared" si="22"/>
        <v>E2_7_1_71_km : 1</v>
      </c>
      <c r="G122" t="str">
        <f t="shared" si="15"/>
        <v>E2_7_1_71_mRNA : E2_7_1_71_mRNA</v>
      </c>
      <c r="H122" t="str">
        <f t="shared" si="16"/>
        <v>E2_7_1_71 : E2_7_1_71</v>
      </c>
      <c r="I122" t="str">
        <f t="shared" si="23"/>
        <v>E2_7_1_71_mRNA : 0</v>
      </c>
      <c r="J122" t="str">
        <f t="shared" si="17"/>
        <v>E2_7_1_71 : 0</v>
      </c>
      <c r="K122" t="str">
        <f t="shared" si="18"/>
        <v>0.00292 - (0.0093 * E2_7_1_71_mRNA)</v>
      </c>
      <c r="L122" t="str">
        <f t="shared" si="19"/>
        <v>(0.278 * E2_7_1_71_mRNA) - (0.00000278 * E2_7_1_71)</v>
      </c>
      <c r="M122" t="str">
        <f t="shared" si="20"/>
        <v>mRNA121: -&gt; E2_7_1_71_mRNA | 0.00292 - (0.0093 * E2_7_1_71_mRNA)</v>
      </c>
      <c r="N122" t="str">
        <f t="shared" si="21"/>
        <v>Peptide121: E2_7_1_71_mRNA -&gt; E2_7_1_71 | (0.278 * E2_7_1_71_mRNA) - (0.000000278 * E2_7_1_71)</v>
      </c>
    </row>
    <row r="123" spans="1:14">
      <c r="A123">
        <v>122</v>
      </c>
      <c r="B123" s="1" t="s">
        <v>11550</v>
      </c>
      <c r="C123" t="str">
        <f t="shared" si="12"/>
        <v>E2_7_1_90_mRNA</v>
      </c>
      <c r="D123" t="str">
        <f t="shared" si="13"/>
        <v>E2_7_1_90</v>
      </c>
      <c r="E123" t="str">
        <f t="shared" si="14"/>
        <v>E2_7_1_90_kcat : 13.7</v>
      </c>
      <c r="F123" t="str">
        <f t="shared" si="22"/>
        <v>E2_7_1_90_km : 1</v>
      </c>
      <c r="G123" t="str">
        <f t="shared" si="15"/>
        <v>E2_7_1_90_mRNA : E2_7_1_90_mRNA</v>
      </c>
      <c r="H123" t="str">
        <f t="shared" si="16"/>
        <v>E2_7_1_90 : E2_7_1_90</v>
      </c>
      <c r="I123" t="str">
        <f t="shared" si="23"/>
        <v>E2_7_1_90_mRNA : 0</v>
      </c>
      <c r="J123" t="str">
        <f t="shared" si="17"/>
        <v>E2_7_1_90 : 0</v>
      </c>
      <c r="K123" t="str">
        <f t="shared" si="18"/>
        <v>0.00292 - (0.0093 * E2_7_1_90_mRNA)</v>
      </c>
      <c r="L123" t="str">
        <f t="shared" si="19"/>
        <v>(0.278 * E2_7_1_90_mRNA) - (0.00000278 * E2_7_1_90)</v>
      </c>
      <c r="M123" t="str">
        <f t="shared" si="20"/>
        <v>mRNA122: -&gt; E2_7_1_90_mRNA | 0.00292 - (0.0093 * E2_7_1_90_mRNA)</v>
      </c>
      <c r="N123" t="str">
        <f t="shared" si="21"/>
        <v>Peptide122: E2_7_1_90_mRNA -&gt; E2_7_1_90 | (0.278 * E2_7_1_90_mRNA) - (0.000000278 * E2_7_1_90)</v>
      </c>
    </row>
    <row r="124" spans="1:14">
      <c r="A124">
        <v>123</v>
      </c>
      <c r="B124" s="1" t="s">
        <v>11551</v>
      </c>
      <c r="C124" t="str">
        <f t="shared" si="12"/>
        <v>E2_7_10_2_mRNA</v>
      </c>
      <c r="D124" t="str">
        <f t="shared" si="13"/>
        <v>E2_7_10_2</v>
      </c>
      <c r="E124" t="str">
        <f t="shared" si="14"/>
        <v>E2_7_10_2_kcat : 13.7</v>
      </c>
      <c r="F124" t="str">
        <f t="shared" si="22"/>
        <v>E2_7_10_2_km : 1</v>
      </c>
      <c r="G124" t="str">
        <f t="shared" si="15"/>
        <v>E2_7_10_2_mRNA : E2_7_10_2_mRNA</v>
      </c>
      <c r="H124" t="str">
        <f t="shared" si="16"/>
        <v>E2_7_10_2 : E2_7_10_2</v>
      </c>
      <c r="I124" t="str">
        <f t="shared" si="23"/>
        <v>E2_7_10_2_mRNA : 0</v>
      </c>
      <c r="J124" t="str">
        <f t="shared" si="17"/>
        <v>E2_7_10_2 : 0</v>
      </c>
      <c r="K124" t="str">
        <f t="shared" si="18"/>
        <v>0.00292 - (0.0093 * E2_7_10_2_mRNA)</v>
      </c>
      <c r="L124" t="str">
        <f t="shared" si="19"/>
        <v>(0.278 * E2_7_10_2_mRNA) - (0.00000278 * E2_7_10_2)</v>
      </c>
      <c r="M124" t="str">
        <f t="shared" si="20"/>
        <v>mRNA123: -&gt; E2_7_10_2_mRNA | 0.00292 - (0.0093 * E2_7_10_2_mRNA)</v>
      </c>
      <c r="N124" t="str">
        <f t="shared" si="21"/>
        <v>Peptide123: E2_7_10_2_mRNA -&gt; E2_7_10_2 | (0.278 * E2_7_10_2_mRNA) - (0.000000278 * E2_7_10_2)</v>
      </c>
    </row>
    <row r="125" spans="1:14">
      <c r="A125">
        <v>124</v>
      </c>
      <c r="B125" s="1" t="s">
        <v>11552</v>
      </c>
      <c r="C125" t="str">
        <f t="shared" si="12"/>
        <v>E2_7_2_11_mRNA</v>
      </c>
      <c r="D125" t="str">
        <f t="shared" si="13"/>
        <v>E2_7_2_11</v>
      </c>
      <c r="E125" t="str">
        <f t="shared" si="14"/>
        <v>E2_7_2_11_kcat : 13.7</v>
      </c>
      <c r="F125" t="str">
        <f t="shared" si="22"/>
        <v>E2_7_2_11_km : 1</v>
      </c>
      <c r="G125" t="str">
        <f t="shared" si="15"/>
        <v>E2_7_2_11_mRNA : E2_7_2_11_mRNA</v>
      </c>
      <c r="H125" t="str">
        <f t="shared" si="16"/>
        <v>E2_7_2_11 : E2_7_2_11</v>
      </c>
      <c r="I125" t="str">
        <f t="shared" si="23"/>
        <v>E2_7_2_11_mRNA : 0</v>
      </c>
      <c r="J125" t="str">
        <f t="shared" si="17"/>
        <v>E2_7_2_11 : 0</v>
      </c>
      <c r="K125" t="str">
        <f t="shared" si="18"/>
        <v>0.00292 - (0.0093 * E2_7_2_11_mRNA)</v>
      </c>
      <c r="L125" t="str">
        <f t="shared" si="19"/>
        <v>(0.278 * E2_7_2_11_mRNA) - (0.00000278 * E2_7_2_11)</v>
      </c>
      <c r="M125" t="str">
        <f t="shared" si="20"/>
        <v>mRNA124: -&gt; E2_7_2_11_mRNA | 0.00292 - (0.0093 * E2_7_2_11_mRNA)</v>
      </c>
      <c r="N125" t="str">
        <f t="shared" si="21"/>
        <v>Peptide124: E2_7_2_11_mRNA -&gt; E2_7_2_11 | (0.278 * E2_7_2_11_mRNA) - (0.000000278 * E2_7_2_11)</v>
      </c>
    </row>
    <row r="126" spans="1:14">
      <c r="A126">
        <v>125</v>
      </c>
      <c r="B126" s="1" t="s">
        <v>11553</v>
      </c>
      <c r="C126" t="str">
        <f t="shared" si="12"/>
        <v>E2_7_2_4_mRNA</v>
      </c>
      <c r="D126" t="str">
        <f t="shared" si="13"/>
        <v>E2_7_2_4</v>
      </c>
      <c r="E126" t="str">
        <f t="shared" si="14"/>
        <v>E2_7_2_4_kcat : 13.7</v>
      </c>
      <c r="F126" t="str">
        <f t="shared" si="22"/>
        <v>E2_7_2_4_km : 1</v>
      </c>
      <c r="G126" t="str">
        <f t="shared" si="15"/>
        <v>E2_7_2_4_mRNA : E2_7_2_4_mRNA</v>
      </c>
      <c r="H126" t="str">
        <f t="shared" si="16"/>
        <v>E2_7_2_4 : E2_7_2_4</v>
      </c>
      <c r="I126" t="str">
        <f t="shared" si="23"/>
        <v>E2_7_2_4_mRNA : 0</v>
      </c>
      <c r="J126" t="str">
        <f t="shared" si="17"/>
        <v>E2_7_2_4 : 0</v>
      </c>
      <c r="K126" t="str">
        <f t="shared" si="18"/>
        <v>0.00292 - (0.0093 * E2_7_2_4_mRNA)</v>
      </c>
      <c r="L126" t="str">
        <f t="shared" si="19"/>
        <v>(0.278 * E2_7_2_4_mRNA) - (0.00000278 * E2_7_2_4)</v>
      </c>
      <c r="M126" t="str">
        <f t="shared" si="20"/>
        <v>mRNA125: -&gt; E2_7_2_4_mRNA | 0.00292 - (0.0093 * E2_7_2_4_mRNA)</v>
      </c>
      <c r="N126" t="str">
        <f t="shared" si="21"/>
        <v>Peptide125: E2_7_2_4_mRNA -&gt; E2_7_2_4 | (0.278 * E2_7_2_4_mRNA) - (0.000000278 * E2_7_2_4)</v>
      </c>
    </row>
    <row r="127" spans="1:14">
      <c r="A127">
        <v>126</v>
      </c>
      <c r="B127" s="1" t="s">
        <v>11554</v>
      </c>
      <c r="C127" t="str">
        <f t="shared" si="12"/>
        <v>E2_7_2_8_mRNA</v>
      </c>
      <c r="D127" t="str">
        <f t="shared" si="13"/>
        <v>E2_7_2_8</v>
      </c>
      <c r="E127" t="str">
        <f t="shared" si="14"/>
        <v>E2_7_2_8_kcat : 13.7</v>
      </c>
      <c r="F127" t="str">
        <f t="shared" si="22"/>
        <v>E2_7_2_8_km : 1</v>
      </c>
      <c r="G127" t="str">
        <f t="shared" si="15"/>
        <v>E2_7_2_8_mRNA : E2_7_2_8_mRNA</v>
      </c>
      <c r="H127" t="str">
        <f t="shared" si="16"/>
        <v>E2_7_2_8 : E2_7_2_8</v>
      </c>
      <c r="I127" t="str">
        <f t="shared" si="23"/>
        <v>E2_7_2_8_mRNA : 0</v>
      </c>
      <c r="J127" t="str">
        <f t="shared" si="17"/>
        <v>E2_7_2_8 : 0</v>
      </c>
      <c r="K127" t="str">
        <f t="shared" si="18"/>
        <v>0.00292 - (0.0093 * E2_7_2_8_mRNA)</v>
      </c>
      <c r="L127" t="str">
        <f t="shared" si="19"/>
        <v>(0.278 * E2_7_2_8_mRNA) - (0.00000278 * E2_7_2_8)</v>
      </c>
      <c r="M127" t="str">
        <f t="shared" si="20"/>
        <v>mRNA126: -&gt; E2_7_2_8_mRNA | 0.00292 - (0.0093 * E2_7_2_8_mRNA)</v>
      </c>
      <c r="N127" t="str">
        <f t="shared" si="21"/>
        <v>Peptide126: E2_7_2_8_mRNA -&gt; E2_7_2_8 | (0.278 * E2_7_2_8_mRNA) - (0.000000278 * E2_7_2_8)</v>
      </c>
    </row>
    <row r="128" spans="1:14">
      <c r="A128">
        <v>127</v>
      </c>
      <c r="B128" s="1" t="s">
        <v>11555</v>
      </c>
      <c r="C128" t="str">
        <f t="shared" si="12"/>
        <v>E2_7_4_1_mRNA</v>
      </c>
      <c r="D128" t="str">
        <f t="shared" si="13"/>
        <v>E2_7_4_1</v>
      </c>
      <c r="E128" t="str">
        <f t="shared" si="14"/>
        <v>E2_7_4_1_kcat : 13.7</v>
      </c>
      <c r="F128" t="str">
        <f t="shared" si="22"/>
        <v>E2_7_4_1_km : 1</v>
      </c>
      <c r="G128" t="str">
        <f t="shared" si="15"/>
        <v>E2_7_4_1_mRNA : E2_7_4_1_mRNA</v>
      </c>
      <c r="H128" t="str">
        <f t="shared" si="16"/>
        <v>E2_7_4_1 : E2_7_4_1</v>
      </c>
      <c r="I128" t="str">
        <f t="shared" si="23"/>
        <v>E2_7_4_1_mRNA : 0</v>
      </c>
      <c r="J128" t="str">
        <f t="shared" si="17"/>
        <v>E2_7_4_1 : 0</v>
      </c>
      <c r="K128" t="str">
        <f t="shared" si="18"/>
        <v>0.00292 - (0.0093 * E2_7_4_1_mRNA)</v>
      </c>
      <c r="L128" t="str">
        <f t="shared" si="19"/>
        <v>(0.278 * E2_7_4_1_mRNA) - (0.00000278 * E2_7_4_1)</v>
      </c>
      <c r="M128" t="str">
        <f t="shared" si="20"/>
        <v>mRNA127: -&gt; E2_7_4_1_mRNA | 0.00292 - (0.0093 * E2_7_4_1_mRNA)</v>
      </c>
      <c r="N128" t="str">
        <f t="shared" si="21"/>
        <v>Peptide127: E2_7_4_1_mRNA -&gt; E2_7_4_1 | (0.278 * E2_7_4_1_mRNA) - (0.000000278 * E2_7_4_1)</v>
      </c>
    </row>
    <row r="129" spans="1:14">
      <c r="A129">
        <v>128</v>
      </c>
      <c r="B129" s="1" t="s">
        <v>11556</v>
      </c>
      <c r="C129" t="str">
        <f t="shared" si="12"/>
        <v>E2_7_4_16_mRNA</v>
      </c>
      <c r="D129" t="str">
        <f t="shared" si="13"/>
        <v>E2_7_4_16</v>
      </c>
      <c r="E129" t="str">
        <f t="shared" si="14"/>
        <v>E2_7_4_16_kcat : 13.7</v>
      </c>
      <c r="F129" t="str">
        <f t="shared" si="22"/>
        <v>E2_7_4_16_km : 1</v>
      </c>
      <c r="G129" t="str">
        <f t="shared" si="15"/>
        <v>E2_7_4_16_mRNA : E2_7_4_16_mRNA</v>
      </c>
      <c r="H129" t="str">
        <f t="shared" si="16"/>
        <v>E2_7_4_16 : E2_7_4_16</v>
      </c>
      <c r="I129" t="str">
        <f t="shared" si="23"/>
        <v>E2_7_4_16_mRNA : 0</v>
      </c>
      <c r="J129" t="str">
        <f t="shared" si="17"/>
        <v>E2_7_4_16 : 0</v>
      </c>
      <c r="K129" t="str">
        <f t="shared" si="18"/>
        <v>0.00292 - (0.0093 * E2_7_4_16_mRNA)</v>
      </c>
      <c r="L129" t="str">
        <f t="shared" si="19"/>
        <v>(0.278 * E2_7_4_16_mRNA) - (0.00000278 * E2_7_4_16)</v>
      </c>
      <c r="M129" t="str">
        <f t="shared" si="20"/>
        <v>mRNA128: -&gt; E2_7_4_16_mRNA | 0.00292 - (0.0093 * E2_7_4_16_mRNA)</v>
      </c>
      <c r="N129" t="str">
        <f t="shared" si="21"/>
        <v>Peptide128: E2_7_4_16_mRNA -&gt; E2_7_4_16 | (0.278 * E2_7_4_16_mRNA) - (0.000000278 * E2_7_4_16)</v>
      </c>
    </row>
    <row r="130" spans="1:14">
      <c r="A130">
        <v>129</v>
      </c>
      <c r="B130" s="1" t="s">
        <v>11557</v>
      </c>
      <c r="C130" t="str">
        <f t="shared" si="12"/>
        <v>E2_7_4_22_mRNA</v>
      </c>
      <c r="D130" t="str">
        <f t="shared" si="13"/>
        <v>E2_7_4_22</v>
      </c>
      <c r="E130" t="str">
        <f t="shared" si="14"/>
        <v>E2_7_4_22_kcat : 13.7</v>
      </c>
      <c r="F130" t="str">
        <f t="shared" si="22"/>
        <v>E2_7_4_22_km : 1</v>
      </c>
      <c r="G130" t="str">
        <f t="shared" si="15"/>
        <v>E2_7_4_22_mRNA : E2_7_4_22_mRNA</v>
      </c>
      <c r="H130" t="str">
        <f t="shared" si="16"/>
        <v>E2_7_4_22 : E2_7_4_22</v>
      </c>
      <c r="I130" t="str">
        <f t="shared" si="23"/>
        <v>E2_7_4_22_mRNA : 0</v>
      </c>
      <c r="J130" t="str">
        <f t="shared" si="17"/>
        <v>E2_7_4_22 : 0</v>
      </c>
      <c r="K130" t="str">
        <f t="shared" si="18"/>
        <v>0.00292 - (0.0093 * E2_7_4_22_mRNA)</v>
      </c>
      <c r="L130" t="str">
        <f t="shared" si="19"/>
        <v>(0.278 * E2_7_4_22_mRNA) - (0.00000278 * E2_7_4_22)</v>
      </c>
      <c r="M130" t="str">
        <f t="shared" si="20"/>
        <v>mRNA129: -&gt; E2_7_4_22_mRNA | 0.00292 - (0.0093 * E2_7_4_22_mRNA)</v>
      </c>
      <c r="N130" t="str">
        <f t="shared" si="21"/>
        <v>Peptide129: E2_7_4_22_mRNA -&gt; E2_7_4_22 | (0.278 * E2_7_4_22_mRNA) - (0.000000278 * E2_7_4_22)</v>
      </c>
    </row>
    <row r="131" spans="1:14">
      <c r="A131">
        <v>130</v>
      </c>
      <c r="B131" s="1" t="s">
        <v>11558</v>
      </c>
      <c r="C131" t="str">
        <f t="shared" ref="C131:C194" si="24">CONCATENATE(D131,"_mRNA")</f>
        <v>E2_7_4_25_mRNA</v>
      </c>
      <c r="D131" t="str">
        <f t="shared" ref="D131:D194" si="25">CONCATENATE("E",B131)</f>
        <v>E2_7_4_25</v>
      </c>
      <c r="E131" t="str">
        <f t="shared" ref="E131:E194" si="26">CONCATENATE("E",B131,"_kcat : 13.7")</f>
        <v>E2_7_4_25_kcat : 13.7</v>
      </c>
      <c r="F131" t="str">
        <f t="shared" si="22"/>
        <v>E2_7_4_25_km : 1</v>
      </c>
      <c r="G131" t="str">
        <f t="shared" ref="G131:G194" si="27">CONCATENATE(C131," : ",C131)</f>
        <v>E2_7_4_25_mRNA : E2_7_4_25_mRNA</v>
      </c>
      <c r="H131" t="str">
        <f t="shared" ref="H131:H194" si="28">CONCATENATE(D131," : ",D131)</f>
        <v>E2_7_4_25 : E2_7_4_25</v>
      </c>
      <c r="I131" t="str">
        <f t="shared" si="23"/>
        <v>E2_7_4_25_mRNA : 0</v>
      </c>
      <c r="J131" t="str">
        <f t="shared" ref="J131:J194" si="29">CONCATENATE(D131," : ","0")</f>
        <v>E2_7_4_25 : 0</v>
      </c>
      <c r="K131" t="str">
        <f t="shared" ref="K131:K194" si="30">CONCATENATE("0.00292 - (0.0093 * ",C131,")")</f>
        <v>0.00292 - (0.0093 * E2_7_4_25_mRNA)</v>
      </c>
      <c r="L131" t="str">
        <f t="shared" ref="L131:L194" si="31">CONCATENATE("(0.278 * ",C131,")"," - (0.00000278 * ",D131,")")</f>
        <v>(0.278 * E2_7_4_25_mRNA) - (0.00000278 * E2_7_4_25)</v>
      </c>
      <c r="M131" t="str">
        <f t="shared" ref="M131:M194" si="32">CONCATENATE("mRNA",A131,": -&gt; ",C131," | ","0.00292"," - ","(","0.0093"," * ",C131,")")</f>
        <v>mRNA130: -&gt; E2_7_4_25_mRNA | 0.00292 - (0.0093 * E2_7_4_25_mRNA)</v>
      </c>
      <c r="N131" t="str">
        <f t="shared" ref="N131:N194" si="33">CONCATENATE("Peptide",A131,": ",C131," -&gt; ",D131," | ","(","0.278"," * ",C131,")"," - ","(","0.000000278"," * ",D131,")")</f>
        <v>Peptide130: E2_7_4_25_mRNA -&gt; E2_7_4_25 | (0.278 * E2_7_4_25_mRNA) - (0.000000278 * E2_7_4_25)</v>
      </c>
    </row>
    <row r="132" spans="1:14">
      <c r="A132">
        <v>131</v>
      </c>
      <c r="B132" s="1" t="s">
        <v>11559</v>
      </c>
      <c r="C132" t="str">
        <f t="shared" si="24"/>
        <v>E2_7_4_3_mRNA</v>
      </c>
      <c r="D132" t="str">
        <f t="shared" si="25"/>
        <v>E2_7_4_3</v>
      </c>
      <c r="E132" t="str">
        <f t="shared" si="26"/>
        <v>E2_7_4_3_kcat : 13.7</v>
      </c>
      <c r="F132" t="str">
        <f t="shared" ref="F132:F195" si="34">CONCATENATE("E",B132,"_km : 1")</f>
        <v>E2_7_4_3_km : 1</v>
      </c>
      <c r="G132" t="str">
        <f t="shared" si="27"/>
        <v>E2_7_4_3_mRNA : E2_7_4_3_mRNA</v>
      </c>
      <c r="H132" t="str">
        <f t="shared" si="28"/>
        <v>E2_7_4_3 : E2_7_4_3</v>
      </c>
      <c r="I132" t="str">
        <f t="shared" ref="I132:I195" si="35">CONCATENATE(C132," : ","0")</f>
        <v>E2_7_4_3_mRNA : 0</v>
      </c>
      <c r="J132" t="str">
        <f t="shared" si="29"/>
        <v>E2_7_4_3 : 0</v>
      </c>
      <c r="K132" t="str">
        <f t="shared" si="30"/>
        <v>0.00292 - (0.0093 * E2_7_4_3_mRNA)</v>
      </c>
      <c r="L132" t="str">
        <f t="shared" si="31"/>
        <v>(0.278 * E2_7_4_3_mRNA) - (0.00000278 * E2_7_4_3)</v>
      </c>
      <c r="M132" t="str">
        <f t="shared" si="32"/>
        <v>mRNA131: -&gt; E2_7_4_3_mRNA | 0.00292 - (0.0093 * E2_7_4_3_mRNA)</v>
      </c>
      <c r="N132" t="str">
        <f t="shared" si="33"/>
        <v>Peptide131: E2_7_4_3_mRNA -&gt; E2_7_4_3 | (0.278 * E2_7_4_3_mRNA) - (0.000000278 * E2_7_4_3)</v>
      </c>
    </row>
    <row r="133" spans="1:14">
      <c r="A133">
        <v>132</v>
      </c>
      <c r="B133" s="1" t="s">
        <v>11560</v>
      </c>
      <c r="C133" t="str">
        <f t="shared" si="24"/>
        <v>E2_7_4_6_mRNA</v>
      </c>
      <c r="D133" t="str">
        <f t="shared" si="25"/>
        <v>E2_7_4_6</v>
      </c>
      <c r="E133" t="str">
        <f t="shared" si="26"/>
        <v>E2_7_4_6_kcat : 13.7</v>
      </c>
      <c r="F133" t="str">
        <f t="shared" si="34"/>
        <v>E2_7_4_6_km : 1</v>
      </c>
      <c r="G133" t="str">
        <f t="shared" si="27"/>
        <v>E2_7_4_6_mRNA : E2_7_4_6_mRNA</v>
      </c>
      <c r="H133" t="str">
        <f t="shared" si="28"/>
        <v>E2_7_4_6 : E2_7_4_6</v>
      </c>
      <c r="I133" t="str">
        <f t="shared" si="35"/>
        <v>E2_7_4_6_mRNA : 0</v>
      </c>
      <c r="J133" t="str">
        <f t="shared" si="29"/>
        <v>E2_7_4_6 : 0</v>
      </c>
      <c r="K133" t="str">
        <f t="shared" si="30"/>
        <v>0.00292 - (0.0093 * E2_7_4_6_mRNA)</v>
      </c>
      <c r="L133" t="str">
        <f t="shared" si="31"/>
        <v>(0.278 * E2_7_4_6_mRNA) - (0.00000278 * E2_7_4_6)</v>
      </c>
      <c r="M133" t="str">
        <f t="shared" si="32"/>
        <v>mRNA132: -&gt; E2_7_4_6_mRNA | 0.00292 - (0.0093 * E2_7_4_6_mRNA)</v>
      </c>
      <c r="N133" t="str">
        <f t="shared" si="33"/>
        <v>Peptide132: E2_7_4_6_mRNA -&gt; E2_7_4_6 | (0.278 * E2_7_4_6_mRNA) - (0.000000278 * E2_7_4_6)</v>
      </c>
    </row>
    <row r="134" spans="1:14">
      <c r="A134">
        <v>133</v>
      </c>
      <c r="B134" s="1" t="s">
        <v>11561</v>
      </c>
      <c r="C134" t="str">
        <f t="shared" si="24"/>
        <v>E2_7_4_7_mRNA</v>
      </c>
      <c r="D134" t="str">
        <f t="shared" si="25"/>
        <v>E2_7_4_7</v>
      </c>
      <c r="E134" t="str">
        <f t="shared" si="26"/>
        <v>E2_7_4_7_kcat : 13.7</v>
      </c>
      <c r="F134" t="str">
        <f t="shared" si="34"/>
        <v>E2_7_4_7_km : 1</v>
      </c>
      <c r="G134" t="str">
        <f t="shared" si="27"/>
        <v>E2_7_4_7_mRNA : E2_7_4_7_mRNA</v>
      </c>
      <c r="H134" t="str">
        <f t="shared" si="28"/>
        <v>E2_7_4_7 : E2_7_4_7</v>
      </c>
      <c r="I134" t="str">
        <f t="shared" si="35"/>
        <v>E2_7_4_7_mRNA : 0</v>
      </c>
      <c r="J134" t="str">
        <f t="shared" si="29"/>
        <v>E2_7_4_7 : 0</v>
      </c>
      <c r="K134" t="str">
        <f t="shared" si="30"/>
        <v>0.00292 - (0.0093 * E2_7_4_7_mRNA)</v>
      </c>
      <c r="L134" t="str">
        <f t="shared" si="31"/>
        <v>(0.278 * E2_7_4_7_mRNA) - (0.00000278 * E2_7_4_7)</v>
      </c>
      <c r="M134" t="str">
        <f t="shared" si="32"/>
        <v>mRNA133: -&gt; E2_7_4_7_mRNA | 0.00292 - (0.0093 * E2_7_4_7_mRNA)</v>
      </c>
      <c r="N134" t="str">
        <f t="shared" si="33"/>
        <v>Peptide133: E2_7_4_7_mRNA -&gt; E2_7_4_7 | (0.278 * E2_7_4_7_mRNA) - (0.000000278 * E2_7_4_7)</v>
      </c>
    </row>
    <row r="135" spans="1:14">
      <c r="A135">
        <v>134</v>
      </c>
      <c r="B135" s="1" t="s">
        <v>11562</v>
      </c>
      <c r="C135" t="str">
        <f t="shared" si="24"/>
        <v>E2_7_4_8_mRNA</v>
      </c>
      <c r="D135" t="str">
        <f t="shared" si="25"/>
        <v>E2_7_4_8</v>
      </c>
      <c r="E135" t="str">
        <f t="shared" si="26"/>
        <v>E2_7_4_8_kcat : 13.7</v>
      </c>
      <c r="F135" t="str">
        <f t="shared" si="34"/>
        <v>E2_7_4_8_km : 1</v>
      </c>
      <c r="G135" t="str">
        <f t="shared" si="27"/>
        <v>E2_7_4_8_mRNA : E2_7_4_8_mRNA</v>
      </c>
      <c r="H135" t="str">
        <f t="shared" si="28"/>
        <v>E2_7_4_8 : E2_7_4_8</v>
      </c>
      <c r="I135" t="str">
        <f t="shared" si="35"/>
        <v>E2_7_4_8_mRNA : 0</v>
      </c>
      <c r="J135" t="str">
        <f t="shared" si="29"/>
        <v>E2_7_4_8 : 0</v>
      </c>
      <c r="K135" t="str">
        <f t="shared" si="30"/>
        <v>0.00292 - (0.0093 * E2_7_4_8_mRNA)</v>
      </c>
      <c r="L135" t="str">
        <f t="shared" si="31"/>
        <v>(0.278 * E2_7_4_8_mRNA) - (0.00000278 * E2_7_4_8)</v>
      </c>
      <c r="M135" t="str">
        <f t="shared" si="32"/>
        <v>mRNA134: -&gt; E2_7_4_8_mRNA | 0.00292 - (0.0093 * E2_7_4_8_mRNA)</v>
      </c>
      <c r="N135" t="str">
        <f t="shared" si="33"/>
        <v>Peptide134: E2_7_4_8_mRNA -&gt; E2_7_4_8 | (0.278 * E2_7_4_8_mRNA) - (0.000000278 * E2_7_4_8)</v>
      </c>
    </row>
    <row r="136" spans="1:14">
      <c r="A136">
        <v>135</v>
      </c>
      <c r="B136" s="28" t="s">
        <v>11563</v>
      </c>
      <c r="C136" t="str">
        <f t="shared" si="24"/>
        <v>E2_7_6_2_mRNA</v>
      </c>
      <c r="D136" t="str">
        <f t="shared" si="25"/>
        <v>E2_7_6_2</v>
      </c>
      <c r="E136" t="str">
        <f t="shared" si="26"/>
        <v>E2_7_6_2_kcat : 13.7</v>
      </c>
      <c r="F136" t="str">
        <f t="shared" si="34"/>
        <v>E2_7_6_2_km : 1</v>
      </c>
      <c r="G136" t="str">
        <f t="shared" si="27"/>
        <v>E2_7_6_2_mRNA : E2_7_6_2_mRNA</v>
      </c>
      <c r="H136" t="str">
        <f t="shared" si="28"/>
        <v>E2_7_6_2 : E2_7_6_2</v>
      </c>
      <c r="I136" t="str">
        <f t="shared" si="35"/>
        <v>E2_7_6_2_mRNA : 0</v>
      </c>
      <c r="J136" t="str">
        <f t="shared" si="29"/>
        <v>E2_7_6_2 : 0</v>
      </c>
      <c r="K136" t="str">
        <f t="shared" si="30"/>
        <v>0.00292 - (0.0093 * E2_7_6_2_mRNA)</v>
      </c>
      <c r="L136" t="str">
        <f t="shared" si="31"/>
        <v>(0.278 * E2_7_6_2_mRNA) - (0.00000278 * E2_7_6_2)</v>
      </c>
      <c r="M136" t="str">
        <f t="shared" si="32"/>
        <v>mRNA135: -&gt; E2_7_6_2_mRNA | 0.00292 - (0.0093 * E2_7_6_2_mRNA)</v>
      </c>
      <c r="N136" t="str">
        <f t="shared" si="33"/>
        <v>Peptide135: E2_7_6_2_mRNA -&gt; E2_7_6_2 | (0.278 * E2_7_6_2_mRNA) - (0.000000278 * E2_7_6_2)</v>
      </c>
    </row>
    <row r="137" spans="1:14">
      <c r="A137">
        <v>136</v>
      </c>
      <c r="B137" s="1" t="s">
        <v>11564</v>
      </c>
      <c r="C137" t="str">
        <f t="shared" si="24"/>
        <v>E2_7_6_3_mRNA</v>
      </c>
      <c r="D137" t="str">
        <f t="shared" si="25"/>
        <v>E2_7_6_3</v>
      </c>
      <c r="E137" t="str">
        <f t="shared" si="26"/>
        <v>E2_7_6_3_kcat : 13.7</v>
      </c>
      <c r="F137" t="str">
        <f t="shared" si="34"/>
        <v>E2_7_6_3_km : 1</v>
      </c>
      <c r="G137" t="str">
        <f t="shared" si="27"/>
        <v>E2_7_6_3_mRNA : E2_7_6_3_mRNA</v>
      </c>
      <c r="H137" t="str">
        <f t="shared" si="28"/>
        <v>E2_7_6_3 : E2_7_6_3</v>
      </c>
      <c r="I137" t="str">
        <f t="shared" si="35"/>
        <v>E2_7_6_3_mRNA : 0</v>
      </c>
      <c r="J137" t="str">
        <f t="shared" si="29"/>
        <v>E2_7_6_3 : 0</v>
      </c>
      <c r="K137" t="str">
        <f t="shared" si="30"/>
        <v>0.00292 - (0.0093 * E2_7_6_3_mRNA)</v>
      </c>
      <c r="L137" t="str">
        <f t="shared" si="31"/>
        <v>(0.278 * E2_7_6_3_mRNA) - (0.00000278 * E2_7_6_3)</v>
      </c>
      <c r="M137" t="str">
        <f t="shared" si="32"/>
        <v>mRNA136: -&gt; E2_7_6_3_mRNA | 0.00292 - (0.0093 * E2_7_6_3_mRNA)</v>
      </c>
      <c r="N137" t="str">
        <f t="shared" si="33"/>
        <v>Peptide136: E2_7_6_3_mRNA -&gt; E2_7_6_3 | (0.278 * E2_7_6_3_mRNA) - (0.000000278 * E2_7_6_3)</v>
      </c>
    </row>
    <row r="138" spans="1:14">
      <c r="A138">
        <v>137</v>
      </c>
      <c r="B138" s="1" t="s">
        <v>11565</v>
      </c>
      <c r="C138" t="str">
        <f t="shared" si="24"/>
        <v>E2_7_7_18_mRNA</v>
      </c>
      <c r="D138" t="str">
        <f t="shared" si="25"/>
        <v>E2_7_7_18</v>
      </c>
      <c r="E138" t="str">
        <f t="shared" si="26"/>
        <v>E2_7_7_18_kcat : 13.7</v>
      </c>
      <c r="F138" t="str">
        <f t="shared" si="34"/>
        <v>E2_7_7_18_km : 1</v>
      </c>
      <c r="G138" t="str">
        <f t="shared" si="27"/>
        <v>E2_7_7_18_mRNA : E2_7_7_18_mRNA</v>
      </c>
      <c r="H138" t="str">
        <f t="shared" si="28"/>
        <v>E2_7_7_18 : E2_7_7_18</v>
      </c>
      <c r="I138" t="str">
        <f t="shared" si="35"/>
        <v>E2_7_7_18_mRNA : 0</v>
      </c>
      <c r="J138" t="str">
        <f t="shared" si="29"/>
        <v>E2_7_7_18 : 0</v>
      </c>
      <c r="K138" t="str">
        <f t="shared" si="30"/>
        <v>0.00292 - (0.0093 * E2_7_7_18_mRNA)</v>
      </c>
      <c r="L138" t="str">
        <f t="shared" si="31"/>
        <v>(0.278 * E2_7_7_18_mRNA) - (0.00000278 * E2_7_7_18)</v>
      </c>
      <c r="M138" t="str">
        <f t="shared" si="32"/>
        <v>mRNA137: -&gt; E2_7_7_18_mRNA | 0.00292 - (0.0093 * E2_7_7_18_mRNA)</v>
      </c>
      <c r="N138" t="str">
        <f t="shared" si="33"/>
        <v>Peptide137: E2_7_7_18_mRNA -&gt; E2_7_7_18 | (0.278 * E2_7_7_18_mRNA) - (0.000000278 * E2_7_7_18)</v>
      </c>
    </row>
    <row r="139" spans="1:14">
      <c r="A139">
        <v>138</v>
      </c>
      <c r="B139" s="1" t="s">
        <v>11566</v>
      </c>
      <c r="C139" t="str">
        <f t="shared" si="24"/>
        <v>E2_7_7_2_mRNA</v>
      </c>
      <c r="D139" t="str">
        <f t="shared" si="25"/>
        <v>E2_7_7_2</v>
      </c>
      <c r="E139" t="str">
        <f t="shared" si="26"/>
        <v>E2_7_7_2_kcat : 13.7</v>
      </c>
      <c r="F139" t="str">
        <f t="shared" si="34"/>
        <v>E2_7_7_2_km : 1</v>
      </c>
      <c r="G139" t="str">
        <f t="shared" si="27"/>
        <v>E2_7_7_2_mRNA : E2_7_7_2_mRNA</v>
      </c>
      <c r="H139" t="str">
        <f t="shared" si="28"/>
        <v>E2_7_7_2 : E2_7_7_2</v>
      </c>
      <c r="I139" t="str">
        <f t="shared" si="35"/>
        <v>E2_7_7_2_mRNA : 0</v>
      </c>
      <c r="J139" t="str">
        <f t="shared" si="29"/>
        <v>E2_7_7_2 : 0</v>
      </c>
      <c r="K139" t="str">
        <f t="shared" si="30"/>
        <v>0.00292 - (0.0093 * E2_7_7_2_mRNA)</v>
      </c>
      <c r="L139" t="str">
        <f t="shared" si="31"/>
        <v>(0.278 * E2_7_7_2_mRNA) - (0.00000278 * E2_7_7_2)</v>
      </c>
      <c r="M139" t="str">
        <f t="shared" si="32"/>
        <v>mRNA138: -&gt; E2_7_7_2_mRNA | 0.00292 - (0.0093 * E2_7_7_2_mRNA)</v>
      </c>
      <c r="N139" t="str">
        <f t="shared" si="33"/>
        <v>Peptide138: E2_7_7_2_mRNA -&gt; E2_7_7_2 | (0.278 * E2_7_7_2_mRNA) - (0.000000278 * E2_7_7_2)</v>
      </c>
    </row>
    <row r="140" spans="1:14">
      <c r="A140">
        <v>139</v>
      </c>
      <c r="B140" s="1" t="s">
        <v>11567</v>
      </c>
      <c r="C140" t="str">
        <f t="shared" si="24"/>
        <v>E2_7_7_24_mRNA</v>
      </c>
      <c r="D140" t="str">
        <f t="shared" si="25"/>
        <v>E2_7_7_24</v>
      </c>
      <c r="E140" t="str">
        <f t="shared" si="26"/>
        <v>E2_7_7_24_kcat : 13.7</v>
      </c>
      <c r="F140" t="str">
        <f t="shared" si="34"/>
        <v>E2_7_7_24_km : 1</v>
      </c>
      <c r="G140" t="str">
        <f t="shared" si="27"/>
        <v>E2_7_7_24_mRNA : E2_7_7_24_mRNA</v>
      </c>
      <c r="H140" t="str">
        <f t="shared" si="28"/>
        <v>E2_7_7_24 : E2_7_7_24</v>
      </c>
      <c r="I140" t="str">
        <f t="shared" si="35"/>
        <v>E2_7_7_24_mRNA : 0</v>
      </c>
      <c r="J140" t="str">
        <f t="shared" si="29"/>
        <v>E2_7_7_24 : 0</v>
      </c>
      <c r="K140" t="str">
        <f t="shared" si="30"/>
        <v>0.00292 - (0.0093 * E2_7_7_24_mRNA)</v>
      </c>
      <c r="L140" t="str">
        <f t="shared" si="31"/>
        <v>(0.278 * E2_7_7_24_mRNA) - (0.00000278 * E2_7_7_24)</v>
      </c>
      <c r="M140" t="str">
        <f t="shared" si="32"/>
        <v>mRNA139: -&gt; E2_7_7_24_mRNA | 0.00292 - (0.0093 * E2_7_7_24_mRNA)</v>
      </c>
      <c r="N140" t="str">
        <f t="shared" si="33"/>
        <v>Peptide139: E2_7_7_24_mRNA -&gt; E2_7_7_24 | (0.278 * E2_7_7_24_mRNA) - (0.000000278 * E2_7_7_24)</v>
      </c>
    </row>
    <row r="141" spans="1:14">
      <c r="A141">
        <v>140</v>
      </c>
      <c r="B141" s="1" t="s">
        <v>11568</v>
      </c>
      <c r="C141" t="str">
        <f t="shared" si="24"/>
        <v>E2_7_7_3_mRNA</v>
      </c>
      <c r="D141" t="str">
        <f t="shared" si="25"/>
        <v>E2_7_7_3</v>
      </c>
      <c r="E141" t="str">
        <f t="shared" si="26"/>
        <v>E2_7_7_3_kcat : 13.7</v>
      </c>
      <c r="F141" t="str">
        <f t="shared" si="34"/>
        <v>E2_7_7_3_km : 1</v>
      </c>
      <c r="G141" t="str">
        <f t="shared" si="27"/>
        <v>E2_7_7_3_mRNA : E2_7_7_3_mRNA</v>
      </c>
      <c r="H141" t="str">
        <f t="shared" si="28"/>
        <v>E2_7_7_3 : E2_7_7_3</v>
      </c>
      <c r="I141" t="str">
        <f t="shared" si="35"/>
        <v>E2_7_7_3_mRNA : 0</v>
      </c>
      <c r="J141" t="str">
        <f t="shared" si="29"/>
        <v>E2_7_7_3 : 0</v>
      </c>
      <c r="K141" t="str">
        <f t="shared" si="30"/>
        <v>0.00292 - (0.0093 * E2_7_7_3_mRNA)</v>
      </c>
      <c r="L141" t="str">
        <f t="shared" si="31"/>
        <v>(0.278 * E2_7_7_3_mRNA) - (0.00000278 * E2_7_7_3)</v>
      </c>
      <c r="M141" t="str">
        <f t="shared" si="32"/>
        <v>mRNA140: -&gt; E2_7_7_3_mRNA | 0.00292 - (0.0093 * E2_7_7_3_mRNA)</v>
      </c>
      <c r="N141" t="str">
        <f t="shared" si="33"/>
        <v>Peptide140: E2_7_7_3_mRNA -&gt; E2_7_7_3 | (0.278 * E2_7_7_3_mRNA) - (0.000000278 * E2_7_7_3)</v>
      </c>
    </row>
    <row r="142" spans="1:14">
      <c r="A142">
        <v>141</v>
      </c>
      <c r="B142" s="1" t="s">
        <v>11569</v>
      </c>
      <c r="C142" t="str">
        <f t="shared" si="24"/>
        <v>E2_7_7_38_mRNA</v>
      </c>
      <c r="D142" t="str">
        <f t="shared" si="25"/>
        <v>E2_7_7_38</v>
      </c>
      <c r="E142" t="str">
        <f t="shared" si="26"/>
        <v>E2_7_7_38_kcat : 13.7</v>
      </c>
      <c r="F142" t="str">
        <f t="shared" si="34"/>
        <v>E2_7_7_38_km : 1</v>
      </c>
      <c r="G142" t="str">
        <f t="shared" si="27"/>
        <v>E2_7_7_38_mRNA : E2_7_7_38_mRNA</v>
      </c>
      <c r="H142" t="str">
        <f t="shared" si="28"/>
        <v>E2_7_7_38 : E2_7_7_38</v>
      </c>
      <c r="I142" t="str">
        <f t="shared" si="35"/>
        <v>E2_7_7_38_mRNA : 0</v>
      </c>
      <c r="J142" t="str">
        <f t="shared" si="29"/>
        <v>E2_7_7_38 : 0</v>
      </c>
      <c r="K142" t="str">
        <f t="shared" si="30"/>
        <v>0.00292 - (0.0093 * E2_7_7_38_mRNA)</v>
      </c>
      <c r="L142" t="str">
        <f t="shared" si="31"/>
        <v>(0.278 * E2_7_7_38_mRNA) - (0.00000278 * E2_7_7_38)</v>
      </c>
      <c r="M142" t="str">
        <f t="shared" si="32"/>
        <v>mRNA141: -&gt; E2_7_7_38_mRNA | 0.00292 - (0.0093 * E2_7_7_38_mRNA)</v>
      </c>
      <c r="N142" t="str">
        <f t="shared" si="33"/>
        <v>Peptide141: E2_7_7_38_mRNA -&gt; E2_7_7_38 | (0.278 * E2_7_7_38_mRNA) - (0.000000278 * E2_7_7_38)</v>
      </c>
    </row>
    <row r="143" spans="1:14">
      <c r="A143">
        <v>142</v>
      </c>
      <c r="B143" s="1" t="s">
        <v>11570</v>
      </c>
      <c r="C143" t="str">
        <f t="shared" si="24"/>
        <v>E2_7_7_4_mRNA</v>
      </c>
      <c r="D143" t="str">
        <f t="shared" si="25"/>
        <v>E2_7_7_4</v>
      </c>
      <c r="E143" t="str">
        <f t="shared" si="26"/>
        <v>E2_7_7_4_kcat : 13.7</v>
      </c>
      <c r="F143" t="str">
        <f t="shared" si="34"/>
        <v>E2_7_7_4_km : 1</v>
      </c>
      <c r="G143" t="str">
        <f t="shared" si="27"/>
        <v>E2_7_7_4_mRNA : E2_7_7_4_mRNA</v>
      </c>
      <c r="H143" t="str">
        <f t="shared" si="28"/>
        <v>E2_7_7_4 : E2_7_7_4</v>
      </c>
      <c r="I143" t="str">
        <f t="shared" si="35"/>
        <v>E2_7_7_4_mRNA : 0</v>
      </c>
      <c r="J143" t="str">
        <f t="shared" si="29"/>
        <v>E2_7_7_4 : 0</v>
      </c>
      <c r="K143" t="str">
        <f t="shared" si="30"/>
        <v>0.00292 - (0.0093 * E2_7_7_4_mRNA)</v>
      </c>
      <c r="L143" t="str">
        <f t="shared" si="31"/>
        <v>(0.278 * E2_7_7_4_mRNA) - (0.00000278 * E2_7_7_4)</v>
      </c>
      <c r="M143" t="str">
        <f t="shared" si="32"/>
        <v>mRNA142: -&gt; E2_7_7_4_mRNA | 0.00292 - (0.0093 * E2_7_7_4_mRNA)</v>
      </c>
      <c r="N143" t="str">
        <f t="shared" si="33"/>
        <v>Peptide142: E2_7_7_4_mRNA -&gt; E2_7_7_4 | (0.278 * E2_7_7_4_mRNA) - (0.000000278 * E2_7_7_4)</v>
      </c>
    </row>
    <row r="144" spans="1:14">
      <c r="A144">
        <v>143</v>
      </c>
      <c r="B144" s="1" t="s">
        <v>11571</v>
      </c>
      <c r="C144" t="str">
        <f t="shared" si="24"/>
        <v>E2_7_7_6_mRNA</v>
      </c>
      <c r="D144" t="str">
        <f t="shared" si="25"/>
        <v>E2_7_7_6</v>
      </c>
      <c r="E144" t="str">
        <f t="shared" si="26"/>
        <v>E2_7_7_6_kcat : 13.7</v>
      </c>
      <c r="F144" t="str">
        <f t="shared" si="34"/>
        <v>E2_7_7_6_km : 1</v>
      </c>
      <c r="G144" t="str">
        <f t="shared" si="27"/>
        <v>E2_7_7_6_mRNA : E2_7_7_6_mRNA</v>
      </c>
      <c r="H144" t="str">
        <f t="shared" si="28"/>
        <v>E2_7_7_6 : E2_7_7_6</v>
      </c>
      <c r="I144" t="str">
        <f t="shared" si="35"/>
        <v>E2_7_7_6_mRNA : 0</v>
      </c>
      <c r="J144" t="str">
        <f t="shared" si="29"/>
        <v>E2_7_7_6 : 0</v>
      </c>
      <c r="K144" t="str">
        <f t="shared" si="30"/>
        <v>0.00292 - (0.0093 * E2_7_7_6_mRNA)</v>
      </c>
      <c r="L144" t="str">
        <f t="shared" si="31"/>
        <v>(0.278 * E2_7_7_6_mRNA) - (0.00000278 * E2_7_7_6)</v>
      </c>
      <c r="M144" t="str">
        <f t="shared" si="32"/>
        <v>mRNA143: -&gt; E2_7_7_6_mRNA | 0.00292 - (0.0093 * E2_7_7_6_mRNA)</v>
      </c>
      <c r="N144" t="str">
        <f t="shared" si="33"/>
        <v>Peptide143: E2_7_7_6_mRNA -&gt; E2_7_7_6 | (0.278 * E2_7_7_6_mRNA) - (0.000000278 * E2_7_7_6)</v>
      </c>
    </row>
    <row r="145" spans="1:14">
      <c r="A145">
        <v>144</v>
      </c>
      <c r="B145" s="1" t="s">
        <v>11572</v>
      </c>
      <c r="C145" t="str">
        <f t="shared" si="24"/>
        <v>E2_7_7_60_mRNA</v>
      </c>
      <c r="D145" t="str">
        <f t="shared" si="25"/>
        <v>E2_7_7_60</v>
      </c>
      <c r="E145" t="str">
        <f t="shared" si="26"/>
        <v>E2_7_7_60_kcat : 13.7</v>
      </c>
      <c r="F145" t="str">
        <f t="shared" si="34"/>
        <v>E2_7_7_60_km : 1</v>
      </c>
      <c r="G145" t="str">
        <f t="shared" si="27"/>
        <v>E2_7_7_60_mRNA : E2_7_7_60_mRNA</v>
      </c>
      <c r="H145" t="str">
        <f t="shared" si="28"/>
        <v>E2_7_7_60 : E2_7_7_60</v>
      </c>
      <c r="I145" t="str">
        <f t="shared" si="35"/>
        <v>E2_7_7_60_mRNA : 0</v>
      </c>
      <c r="J145" t="str">
        <f t="shared" si="29"/>
        <v>E2_7_7_60 : 0</v>
      </c>
      <c r="K145" t="str">
        <f t="shared" si="30"/>
        <v>0.00292 - (0.0093 * E2_7_7_60_mRNA)</v>
      </c>
      <c r="L145" t="str">
        <f t="shared" si="31"/>
        <v>(0.278 * E2_7_7_60_mRNA) - (0.00000278 * E2_7_7_60)</v>
      </c>
      <c r="M145" t="str">
        <f t="shared" si="32"/>
        <v>mRNA144: -&gt; E2_7_7_60_mRNA | 0.00292 - (0.0093 * E2_7_7_60_mRNA)</v>
      </c>
      <c r="N145" t="str">
        <f t="shared" si="33"/>
        <v>Peptide144: E2_7_7_60_mRNA -&gt; E2_7_7_60 | (0.278 * E2_7_7_60_mRNA) - (0.000000278 * E2_7_7_60)</v>
      </c>
    </row>
    <row r="146" spans="1:14">
      <c r="A146">
        <v>145</v>
      </c>
      <c r="B146" s="1" t="s">
        <v>11573</v>
      </c>
      <c r="C146" t="str">
        <f t="shared" si="24"/>
        <v>E2_7_7_7_mRNA</v>
      </c>
      <c r="D146" t="str">
        <f t="shared" si="25"/>
        <v>E2_7_7_7</v>
      </c>
      <c r="E146" t="str">
        <f t="shared" si="26"/>
        <v>E2_7_7_7_kcat : 13.7</v>
      </c>
      <c r="F146" t="str">
        <f t="shared" si="34"/>
        <v>E2_7_7_7_km : 1</v>
      </c>
      <c r="G146" t="str">
        <f t="shared" si="27"/>
        <v>E2_7_7_7_mRNA : E2_7_7_7_mRNA</v>
      </c>
      <c r="H146" t="str">
        <f t="shared" si="28"/>
        <v>E2_7_7_7 : E2_7_7_7</v>
      </c>
      <c r="I146" t="str">
        <f t="shared" si="35"/>
        <v>E2_7_7_7_mRNA : 0</v>
      </c>
      <c r="J146" t="str">
        <f t="shared" si="29"/>
        <v>E2_7_7_7 : 0</v>
      </c>
      <c r="K146" t="str">
        <f t="shared" si="30"/>
        <v>0.00292 - (0.0093 * E2_7_7_7_mRNA)</v>
      </c>
      <c r="L146" t="str">
        <f t="shared" si="31"/>
        <v>(0.278 * E2_7_7_7_mRNA) - (0.00000278 * E2_7_7_7)</v>
      </c>
      <c r="M146" t="str">
        <f t="shared" si="32"/>
        <v>mRNA145: -&gt; E2_7_7_7_mRNA | 0.00292 - (0.0093 * E2_7_7_7_mRNA)</v>
      </c>
      <c r="N146" t="str">
        <f t="shared" si="33"/>
        <v>Peptide145: E2_7_7_7_mRNA -&gt; E2_7_7_7 | (0.278 * E2_7_7_7_mRNA) - (0.000000278 * E2_7_7_7)</v>
      </c>
    </row>
    <row r="147" spans="1:14">
      <c r="A147">
        <v>146</v>
      </c>
      <c r="B147" s="1" t="s">
        <v>11574</v>
      </c>
      <c r="C147" t="str">
        <f t="shared" si="24"/>
        <v>E2_7_7_8_mRNA</v>
      </c>
      <c r="D147" t="str">
        <f t="shared" si="25"/>
        <v>E2_7_7_8</v>
      </c>
      <c r="E147" t="str">
        <f t="shared" si="26"/>
        <v>E2_7_7_8_kcat : 13.7</v>
      </c>
      <c r="F147" t="str">
        <f t="shared" si="34"/>
        <v>E2_7_7_8_km : 1</v>
      </c>
      <c r="G147" t="str">
        <f t="shared" si="27"/>
        <v>E2_7_7_8_mRNA : E2_7_7_8_mRNA</v>
      </c>
      <c r="H147" t="str">
        <f t="shared" si="28"/>
        <v>E2_7_7_8 : E2_7_7_8</v>
      </c>
      <c r="I147" t="str">
        <f t="shared" si="35"/>
        <v>E2_7_7_8_mRNA : 0</v>
      </c>
      <c r="J147" t="str">
        <f t="shared" si="29"/>
        <v>E2_7_7_8 : 0</v>
      </c>
      <c r="K147" t="str">
        <f t="shared" si="30"/>
        <v>0.00292 - (0.0093 * E2_7_7_8_mRNA)</v>
      </c>
      <c r="L147" t="str">
        <f t="shared" si="31"/>
        <v>(0.278 * E2_7_7_8_mRNA) - (0.00000278 * E2_7_7_8)</v>
      </c>
      <c r="M147" t="str">
        <f t="shared" si="32"/>
        <v>mRNA146: -&gt; E2_7_7_8_mRNA | 0.00292 - (0.0093 * E2_7_7_8_mRNA)</v>
      </c>
      <c r="N147" t="str">
        <f t="shared" si="33"/>
        <v>Peptide146: E2_7_7_8_mRNA -&gt; E2_7_7_8 | (0.278 * E2_7_7_8_mRNA) - (0.000000278 * E2_7_7_8)</v>
      </c>
    </row>
    <row r="148" spans="1:14">
      <c r="A148">
        <v>147</v>
      </c>
      <c r="B148" s="1" t="s">
        <v>11575</v>
      </c>
      <c r="C148" t="str">
        <f t="shared" si="24"/>
        <v>E2_7_8_13_mRNA</v>
      </c>
      <c r="D148" t="str">
        <f t="shared" si="25"/>
        <v>E2_7_8_13</v>
      </c>
      <c r="E148" t="str">
        <f t="shared" si="26"/>
        <v>E2_7_8_13_kcat : 13.7</v>
      </c>
      <c r="F148" t="str">
        <f t="shared" si="34"/>
        <v>E2_7_8_13_km : 1</v>
      </c>
      <c r="G148" t="str">
        <f t="shared" si="27"/>
        <v>E2_7_8_13_mRNA : E2_7_8_13_mRNA</v>
      </c>
      <c r="H148" t="str">
        <f t="shared" si="28"/>
        <v>E2_7_8_13 : E2_7_8_13</v>
      </c>
      <c r="I148" t="str">
        <f t="shared" si="35"/>
        <v>E2_7_8_13_mRNA : 0</v>
      </c>
      <c r="J148" t="str">
        <f t="shared" si="29"/>
        <v>E2_7_8_13 : 0</v>
      </c>
      <c r="K148" t="str">
        <f t="shared" si="30"/>
        <v>0.00292 - (0.0093 * E2_7_8_13_mRNA)</v>
      </c>
      <c r="L148" t="str">
        <f t="shared" si="31"/>
        <v>(0.278 * E2_7_8_13_mRNA) - (0.00000278 * E2_7_8_13)</v>
      </c>
      <c r="M148" t="str">
        <f t="shared" si="32"/>
        <v>mRNA147: -&gt; E2_7_8_13_mRNA | 0.00292 - (0.0093 * E2_7_8_13_mRNA)</v>
      </c>
      <c r="N148" t="str">
        <f t="shared" si="33"/>
        <v>Peptide147: E2_7_8_13_mRNA -&gt; E2_7_8_13 | (0.278 * E2_7_8_13_mRNA) - (0.000000278 * E2_7_8_13)</v>
      </c>
    </row>
    <row r="149" spans="1:14">
      <c r="A149">
        <v>148</v>
      </c>
      <c r="B149" s="1" t="s">
        <v>11576</v>
      </c>
      <c r="C149" t="str">
        <f t="shared" si="24"/>
        <v>E2_7_8_31_mRNA</v>
      </c>
      <c r="D149" t="str">
        <f t="shared" si="25"/>
        <v>E2_7_8_31</v>
      </c>
      <c r="E149" t="str">
        <f t="shared" si="26"/>
        <v>E2_7_8_31_kcat : 13.7</v>
      </c>
      <c r="F149" t="str">
        <f t="shared" si="34"/>
        <v>E2_7_8_31_km : 1</v>
      </c>
      <c r="G149" t="str">
        <f t="shared" si="27"/>
        <v>E2_7_8_31_mRNA : E2_7_8_31_mRNA</v>
      </c>
      <c r="H149" t="str">
        <f t="shared" si="28"/>
        <v>E2_7_8_31 : E2_7_8_31</v>
      </c>
      <c r="I149" t="str">
        <f t="shared" si="35"/>
        <v>E2_7_8_31_mRNA : 0</v>
      </c>
      <c r="J149" t="str">
        <f t="shared" si="29"/>
        <v>E2_7_8_31 : 0</v>
      </c>
      <c r="K149" t="str">
        <f t="shared" si="30"/>
        <v>0.00292 - (0.0093 * E2_7_8_31_mRNA)</v>
      </c>
      <c r="L149" t="str">
        <f t="shared" si="31"/>
        <v>(0.278 * E2_7_8_31_mRNA) - (0.00000278 * E2_7_8_31)</v>
      </c>
      <c r="M149" t="str">
        <f t="shared" si="32"/>
        <v>mRNA148: -&gt; E2_7_8_31_mRNA | 0.00292 - (0.0093 * E2_7_8_31_mRNA)</v>
      </c>
      <c r="N149" t="str">
        <f t="shared" si="33"/>
        <v>Peptide148: E2_7_8_31_mRNA -&gt; E2_7_8_31 | (0.278 * E2_7_8_31_mRNA) - (0.000000278 * E2_7_8_31)</v>
      </c>
    </row>
    <row r="150" spans="1:14">
      <c r="A150">
        <v>149</v>
      </c>
      <c r="B150" s="1" t="s">
        <v>11577</v>
      </c>
      <c r="C150" t="str">
        <f t="shared" si="24"/>
        <v>E2_7_9_1_mRNA</v>
      </c>
      <c r="D150" t="str">
        <f t="shared" si="25"/>
        <v>E2_7_9_1</v>
      </c>
      <c r="E150" t="str">
        <f t="shared" si="26"/>
        <v>E2_7_9_1_kcat : 13.7</v>
      </c>
      <c r="F150" t="str">
        <f t="shared" si="34"/>
        <v>E2_7_9_1_km : 1</v>
      </c>
      <c r="G150" t="str">
        <f t="shared" si="27"/>
        <v>E2_7_9_1_mRNA : E2_7_9_1_mRNA</v>
      </c>
      <c r="H150" t="str">
        <f t="shared" si="28"/>
        <v>E2_7_9_1 : E2_7_9_1</v>
      </c>
      <c r="I150" t="str">
        <f t="shared" si="35"/>
        <v>E2_7_9_1_mRNA : 0</v>
      </c>
      <c r="J150" t="str">
        <f t="shared" si="29"/>
        <v>E2_7_9_1 : 0</v>
      </c>
      <c r="K150" t="str">
        <f t="shared" si="30"/>
        <v>0.00292 - (0.0093 * E2_7_9_1_mRNA)</v>
      </c>
      <c r="L150" t="str">
        <f t="shared" si="31"/>
        <v>(0.278 * E2_7_9_1_mRNA) - (0.00000278 * E2_7_9_1)</v>
      </c>
      <c r="M150" t="str">
        <f t="shared" si="32"/>
        <v>mRNA149: -&gt; E2_7_9_1_mRNA | 0.00292 - (0.0093 * E2_7_9_1_mRNA)</v>
      </c>
      <c r="N150" t="str">
        <f t="shared" si="33"/>
        <v>Peptide149: E2_7_9_1_mRNA -&gt; E2_7_9_1 | (0.278 * E2_7_9_1_mRNA) - (0.000000278 * E2_7_9_1)</v>
      </c>
    </row>
    <row r="151" spans="1:14">
      <c r="A151">
        <v>150</v>
      </c>
      <c r="B151" s="1" t="s">
        <v>11578</v>
      </c>
      <c r="C151" t="str">
        <f t="shared" si="24"/>
        <v>E2_8_1_13_mRNA</v>
      </c>
      <c r="D151" t="str">
        <f t="shared" si="25"/>
        <v>E2_8_1_13</v>
      </c>
      <c r="E151" t="str">
        <f t="shared" si="26"/>
        <v>E2_8_1_13_kcat : 13.7</v>
      </c>
      <c r="F151" t="str">
        <f t="shared" si="34"/>
        <v>E2_8_1_13_km : 1</v>
      </c>
      <c r="G151" t="str">
        <f t="shared" si="27"/>
        <v>E2_8_1_13_mRNA : E2_8_1_13_mRNA</v>
      </c>
      <c r="H151" t="str">
        <f t="shared" si="28"/>
        <v>E2_8_1_13 : E2_8_1_13</v>
      </c>
      <c r="I151" t="str">
        <f t="shared" si="35"/>
        <v>E2_8_1_13_mRNA : 0</v>
      </c>
      <c r="J151" t="str">
        <f t="shared" si="29"/>
        <v>E2_8_1_13 : 0</v>
      </c>
      <c r="K151" t="str">
        <f t="shared" si="30"/>
        <v>0.00292 - (0.0093 * E2_8_1_13_mRNA)</v>
      </c>
      <c r="L151" t="str">
        <f t="shared" si="31"/>
        <v>(0.278 * E2_8_1_13_mRNA) - (0.00000278 * E2_8_1_13)</v>
      </c>
      <c r="M151" t="str">
        <f t="shared" si="32"/>
        <v>mRNA150: -&gt; E2_8_1_13_mRNA | 0.00292 - (0.0093 * E2_8_1_13_mRNA)</v>
      </c>
      <c r="N151" t="str">
        <f t="shared" si="33"/>
        <v>Peptide150: E2_8_1_13_mRNA -&gt; E2_8_1_13 | (0.278 * E2_8_1_13_mRNA) - (0.000000278 * E2_8_1_13)</v>
      </c>
    </row>
    <row r="152" spans="1:14">
      <c r="A152">
        <v>151</v>
      </c>
      <c r="B152" s="1" t="s">
        <v>11579</v>
      </c>
      <c r="C152" t="str">
        <f t="shared" si="24"/>
        <v>E2_8_1_6_mRNA</v>
      </c>
      <c r="D152" t="str">
        <f t="shared" si="25"/>
        <v>E2_8_1_6</v>
      </c>
      <c r="E152" t="str">
        <f t="shared" si="26"/>
        <v>E2_8_1_6_kcat : 13.7</v>
      </c>
      <c r="F152" t="str">
        <f t="shared" si="34"/>
        <v>E2_8_1_6_km : 1</v>
      </c>
      <c r="G152" t="str">
        <f t="shared" si="27"/>
        <v>E2_8_1_6_mRNA : E2_8_1_6_mRNA</v>
      </c>
      <c r="H152" t="str">
        <f t="shared" si="28"/>
        <v>E2_8_1_6 : E2_8_1_6</v>
      </c>
      <c r="I152" t="str">
        <f t="shared" si="35"/>
        <v>E2_8_1_6_mRNA : 0</v>
      </c>
      <c r="J152" t="str">
        <f t="shared" si="29"/>
        <v>E2_8_1_6 : 0</v>
      </c>
      <c r="K152" t="str">
        <f t="shared" si="30"/>
        <v>0.00292 - (0.0093 * E2_8_1_6_mRNA)</v>
      </c>
      <c r="L152" t="str">
        <f t="shared" si="31"/>
        <v>(0.278 * E2_8_1_6_mRNA) - (0.00000278 * E2_8_1_6)</v>
      </c>
      <c r="M152" t="str">
        <f t="shared" si="32"/>
        <v>mRNA151: -&gt; E2_8_1_6_mRNA | 0.00292 - (0.0093 * E2_8_1_6_mRNA)</v>
      </c>
      <c r="N152" t="str">
        <f t="shared" si="33"/>
        <v>Peptide151: E2_8_1_6_mRNA -&gt; E2_8_1_6 | (0.278 * E2_8_1_6_mRNA) - (0.000000278 * E2_8_1_6)</v>
      </c>
    </row>
    <row r="153" spans="1:14">
      <c r="A153">
        <v>152</v>
      </c>
      <c r="B153" s="1" t="s">
        <v>11580</v>
      </c>
      <c r="C153" t="str">
        <f t="shared" si="24"/>
        <v>E2_8_1_8_mRNA</v>
      </c>
      <c r="D153" t="str">
        <f t="shared" si="25"/>
        <v>E2_8_1_8</v>
      </c>
      <c r="E153" t="str">
        <f t="shared" si="26"/>
        <v>E2_8_1_8_kcat : 13.7</v>
      </c>
      <c r="F153" t="str">
        <f t="shared" si="34"/>
        <v>E2_8_1_8_km : 1</v>
      </c>
      <c r="G153" t="str">
        <f t="shared" si="27"/>
        <v>E2_8_1_8_mRNA : E2_8_1_8_mRNA</v>
      </c>
      <c r="H153" t="str">
        <f t="shared" si="28"/>
        <v>E2_8_1_8 : E2_8_1_8</v>
      </c>
      <c r="I153" t="str">
        <f t="shared" si="35"/>
        <v>E2_8_1_8_mRNA : 0</v>
      </c>
      <c r="J153" t="str">
        <f t="shared" si="29"/>
        <v>E2_8_1_8 : 0</v>
      </c>
      <c r="K153" t="str">
        <f t="shared" si="30"/>
        <v>0.00292 - (0.0093 * E2_8_1_8_mRNA)</v>
      </c>
      <c r="L153" t="str">
        <f t="shared" si="31"/>
        <v>(0.278 * E2_8_1_8_mRNA) - (0.00000278 * E2_8_1_8)</v>
      </c>
      <c r="M153" t="str">
        <f t="shared" si="32"/>
        <v>mRNA152: -&gt; E2_8_1_8_mRNA | 0.00292 - (0.0093 * E2_8_1_8_mRNA)</v>
      </c>
      <c r="N153" t="str">
        <f t="shared" si="33"/>
        <v>Peptide152: E2_8_1_8_mRNA -&gt; E2_8_1_8 | (0.278 * E2_8_1_8_mRNA) - (0.000000278 * E2_8_1_8)</v>
      </c>
    </row>
    <row r="154" spans="1:14">
      <c r="A154">
        <v>153</v>
      </c>
      <c r="B154" s="1" t="s">
        <v>11581</v>
      </c>
      <c r="C154" t="str">
        <f t="shared" si="24"/>
        <v>E2_8_4_4_mRNA</v>
      </c>
      <c r="D154" t="str">
        <f t="shared" si="25"/>
        <v>E2_8_4_4</v>
      </c>
      <c r="E154" t="str">
        <f t="shared" si="26"/>
        <v>E2_8_4_4_kcat : 13.7</v>
      </c>
      <c r="F154" t="str">
        <f t="shared" si="34"/>
        <v>E2_8_4_4_km : 1</v>
      </c>
      <c r="G154" t="str">
        <f t="shared" si="27"/>
        <v>E2_8_4_4_mRNA : E2_8_4_4_mRNA</v>
      </c>
      <c r="H154" t="str">
        <f t="shared" si="28"/>
        <v>E2_8_4_4 : E2_8_4_4</v>
      </c>
      <c r="I154" t="str">
        <f t="shared" si="35"/>
        <v>E2_8_4_4_mRNA : 0</v>
      </c>
      <c r="J154" t="str">
        <f t="shared" si="29"/>
        <v>E2_8_4_4 : 0</v>
      </c>
      <c r="K154" t="str">
        <f t="shared" si="30"/>
        <v>0.00292 - (0.0093 * E2_8_4_4_mRNA)</v>
      </c>
      <c r="L154" t="str">
        <f t="shared" si="31"/>
        <v>(0.278 * E2_8_4_4_mRNA) - (0.00000278 * E2_8_4_4)</v>
      </c>
      <c r="M154" t="str">
        <f t="shared" si="32"/>
        <v>mRNA153: -&gt; E2_8_4_4_mRNA | 0.00292 - (0.0093 * E2_8_4_4_mRNA)</v>
      </c>
      <c r="N154" t="str">
        <f t="shared" si="33"/>
        <v>Peptide153: E2_8_4_4_mRNA -&gt; E2_8_4_4 | (0.278 * E2_8_4_4_mRNA) - (0.000000278 * E2_8_4_4)</v>
      </c>
    </row>
    <row r="155" spans="1:14">
      <c r="A155">
        <v>154</v>
      </c>
      <c r="B155" s="1" t="s">
        <v>11582</v>
      </c>
      <c r="C155" t="str">
        <f t="shared" si="24"/>
        <v>E3_1_1_29_mRNA</v>
      </c>
      <c r="D155" t="str">
        <f t="shared" si="25"/>
        <v>E3_1_1_29</v>
      </c>
      <c r="E155" t="str">
        <f t="shared" si="26"/>
        <v>E3_1_1_29_kcat : 13.7</v>
      </c>
      <c r="F155" t="str">
        <f t="shared" si="34"/>
        <v>E3_1_1_29_km : 1</v>
      </c>
      <c r="G155" t="str">
        <f t="shared" si="27"/>
        <v>E3_1_1_29_mRNA : E3_1_1_29_mRNA</v>
      </c>
      <c r="H155" t="str">
        <f t="shared" si="28"/>
        <v>E3_1_1_29 : E3_1_1_29</v>
      </c>
      <c r="I155" t="str">
        <f t="shared" si="35"/>
        <v>E3_1_1_29_mRNA : 0</v>
      </c>
      <c r="J155" t="str">
        <f t="shared" si="29"/>
        <v>E3_1_1_29 : 0</v>
      </c>
      <c r="K155" t="str">
        <f t="shared" si="30"/>
        <v>0.00292 - (0.0093 * E3_1_1_29_mRNA)</v>
      </c>
      <c r="L155" t="str">
        <f t="shared" si="31"/>
        <v>(0.278 * E3_1_1_29_mRNA) - (0.00000278 * E3_1_1_29)</v>
      </c>
      <c r="M155" t="str">
        <f t="shared" si="32"/>
        <v>mRNA154: -&gt; E3_1_1_29_mRNA | 0.00292 - (0.0093 * E3_1_1_29_mRNA)</v>
      </c>
      <c r="N155" t="str">
        <f t="shared" si="33"/>
        <v>Peptide154: E3_1_1_29_mRNA -&gt; E3_1_1_29 | (0.278 * E3_1_1_29_mRNA) - (0.000000278 * E3_1_1_29)</v>
      </c>
    </row>
    <row r="156" spans="1:14">
      <c r="A156">
        <v>155</v>
      </c>
      <c r="B156" s="1" t="s">
        <v>11583</v>
      </c>
      <c r="C156" t="str">
        <f t="shared" si="24"/>
        <v>E3_1_1_31_mRNA</v>
      </c>
      <c r="D156" t="str">
        <f t="shared" si="25"/>
        <v>E3_1_1_31</v>
      </c>
      <c r="E156" t="str">
        <f t="shared" si="26"/>
        <v>E3_1_1_31_kcat : 13.7</v>
      </c>
      <c r="F156" t="str">
        <f t="shared" si="34"/>
        <v>E3_1_1_31_km : 1</v>
      </c>
      <c r="G156" t="str">
        <f t="shared" si="27"/>
        <v>E3_1_1_31_mRNA : E3_1_1_31_mRNA</v>
      </c>
      <c r="H156" t="str">
        <f t="shared" si="28"/>
        <v>E3_1_1_31 : E3_1_1_31</v>
      </c>
      <c r="I156" t="str">
        <f t="shared" si="35"/>
        <v>E3_1_1_31_mRNA : 0</v>
      </c>
      <c r="J156" t="str">
        <f t="shared" si="29"/>
        <v>E3_1_1_31 : 0</v>
      </c>
      <c r="K156" t="str">
        <f t="shared" si="30"/>
        <v>0.00292 - (0.0093 * E3_1_1_31_mRNA)</v>
      </c>
      <c r="L156" t="str">
        <f t="shared" si="31"/>
        <v>(0.278 * E3_1_1_31_mRNA) - (0.00000278 * E3_1_1_31)</v>
      </c>
      <c r="M156" t="str">
        <f t="shared" si="32"/>
        <v>mRNA155: -&gt; E3_1_1_31_mRNA | 0.00292 - (0.0093 * E3_1_1_31_mRNA)</v>
      </c>
      <c r="N156" t="str">
        <f t="shared" si="33"/>
        <v>Peptide155: E3_1_1_31_mRNA -&gt; E3_1_1_31 | (0.278 * E3_1_1_31_mRNA) - (0.000000278 * E3_1_1_31)</v>
      </c>
    </row>
    <row r="157" spans="1:14">
      <c r="A157">
        <v>156</v>
      </c>
      <c r="B157" s="1" t="s">
        <v>11584</v>
      </c>
      <c r="C157" t="str">
        <f t="shared" si="24"/>
        <v>E3_1_3_15_mRNA</v>
      </c>
      <c r="D157" t="str">
        <f t="shared" si="25"/>
        <v>E3_1_3_15</v>
      </c>
      <c r="E157" t="str">
        <f t="shared" si="26"/>
        <v>E3_1_3_15_kcat : 13.7</v>
      </c>
      <c r="F157" t="str">
        <f t="shared" si="34"/>
        <v>E3_1_3_15_km : 1</v>
      </c>
      <c r="G157" t="str">
        <f t="shared" si="27"/>
        <v>E3_1_3_15_mRNA : E3_1_3_15_mRNA</v>
      </c>
      <c r="H157" t="str">
        <f t="shared" si="28"/>
        <v>E3_1_3_15 : E3_1_3_15</v>
      </c>
      <c r="I157" t="str">
        <f t="shared" si="35"/>
        <v>E3_1_3_15_mRNA : 0</v>
      </c>
      <c r="J157" t="str">
        <f t="shared" si="29"/>
        <v>E3_1_3_15 : 0</v>
      </c>
      <c r="K157" t="str">
        <f t="shared" si="30"/>
        <v>0.00292 - (0.0093 * E3_1_3_15_mRNA)</v>
      </c>
      <c r="L157" t="str">
        <f t="shared" si="31"/>
        <v>(0.278 * E3_1_3_15_mRNA) - (0.00000278 * E3_1_3_15)</v>
      </c>
      <c r="M157" t="str">
        <f t="shared" si="32"/>
        <v>mRNA156: -&gt; E3_1_3_15_mRNA | 0.00292 - (0.0093 * E3_1_3_15_mRNA)</v>
      </c>
      <c r="N157" t="str">
        <f t="shared" si="33"/>
        <v>Peptide156: E3_1_3_15_mRNA -&gt; E3_1_3_15 | (0.278 * E3_1_3_15_mRNA) - (0.000000278 * E3_1_3_15)</v>
      </c>
    </row>
    <row r="158" spans="1:14">
      <c r="A158">
        <v>157</v>
      </c>
      <c r="B158" s="1" t="s">
        <v>11585</v>
      </c>
      <c r="C158" t="str">
        <f t="shared" si="24"/>
        <v>E3_1_3_3_mRNA</v>
      </c>
      <c r="D158" t="str">
        <f t="shared" si="25"/>
        <v>E3_1_3_3</v>
      </c>
      <c r="E158" t="str">
        <f t="shared" si="26"/>
        <v>E3_1_3_3_kcat : 13.7</v>
      </c>
      <c r="F158" t="str">
        <f t="shared" si="34"/>
        <v>E3_1_3_3_km : 1</v>
      </c>
      <c r="G158" t="str">
        <f t="shared" si="27"/>
        <v>E3_1_3_3_mRNA : E3_1_3_3_mRNA</v>
      </c>
      <c r="H158" t="str">
        <f t="shared" si="28"/>
        <v>E3_1_3_3 : E3_1_3_3</v>
      </c>
      <c r="I158" t="str">
        <f t="shared" si="35"/>
        <v>E3_1_3_3_mRNA : 0</v>
      </c>
      <c r="J158" t="str">
        <f t="shared" si="29"/>
        <v>E3_1_3_3 : 0</v>
      </c>
      <c r="K158" t="str">
        <f t="shared" si="30"/>
        <v>0.00292 - (0.0093 * E3_1_3_3_mRNA)</v>
      </c>
      <c r="L158" t="str">
        <f t="shared" si="31"/>
        <v>(0.278 * E3_1_3_3_mRNA) - (0.00000278 * E3_1_3_3)</v>
      </c>
      <c r="M158" t="str">
        <f t="shared" si="32"/>
        <v>mRNA157: -&gt; E3_1_3_3_mRNA | 0.00292 - (0.0093 * E3_1_3_3_mRNA)</v>
      </c>
      <c r="N158" t="str">
        <f t="shared" si="33"/>
        <v>Peptide157: E3_1_3_3_mRNA -&gt; E3_1_3_3 | (0.278 * E3_1_3_3_mRNA) - (0.000000278 * E3_1_3_3)</v>
      </c>
    </row>
    <row r="159" spans="1:14">
      <c r="A159">
        <v>158</v>
      </c>
      <c r="B159" s="1" t="s">
        <v>11586</v>
      </c>
      <c r="C159" t="str">
        <f t="shared" si="24"/>
        <v>E3_1_3_7_mRNA</v>
      </c>
      <c r="D159" t="str">
        <f t="shared" si="25"/>
        <v>E3_1_3_7</v>
      </c>
      <c r="E159" t="str">
        <f t="shared" si="26"/>
        <v>E3_1_3_7_kcat : 13.7</v>
      </c>
      <c r="F159" t="str">
        <f t="shared" si="34"/>
        <v>E3_1_3_7_km : 1</v>
      </c>
      <c r="G159" t="str">
        <f t="shared" si="27"/>
        <v>E3_1_3_7_mRNA : E3_1_3_7_mRNA</v>
      </c>
      <c r="H159" t="str">
        <f t="shared" si="28"/>
        <v>E3_1_3_7 : E3_1_3_7</v>
      </c>
      <c r="I159" t="str">
        <f t="shared" si="35"/>
        <v>E3_1_3_7_mRNA : 0</v>
      </c>
      <c r="J159" t="str">
        <f t="shared" si="29"/>
        <v>E3_1_3_7 : 0</v>
      </c>
      <c r="K159" t="str">
        <f t="shared" si="30"/>
        <v>0.00292 - (0.0093 * E3_1_3_7_mRNA)</v>
      </c>
      <c r="L159" t="str">
        <f t="shared" si="31"/>
        <v>(0.278 * E3_1_3_7_mRNA) - (0.00000278 * E3_1_3_7)</v>
      </c>
      <c r="M159" t="str">
        <f t="shared" si="32"/>
        <v>mRNA158: -&gt; E3_1_3_7_mRNA | 0.00292 - (0.0093 * E3_1_3_7_mRNA)</v>
      </c>
      <c r="N159" t="str">
        <f t="shared" si="33"/>
        <v>Peptide158: E3_1_3_7_mRNA -&gt; E3_1_3_7 | (0.278 * E3_1_3_7_mRNA) - (0.000000278 * E3_1_3_7)</v>
      </c>
    </row>
    <row r="160" spans="1:14">
      <c r="A160">
        <v>159</v>
      </c>
      <c r="B160" s="1" t="s">
        <v>11587</v>
      </c>
      <c r="C160" t="str">
        <f t="shared" si="24"/>
        <v>E3_1_6_1_mRNA</v>
      </c>
      <c r="D160" t="str">
        <f t="shared" si="25"/>
        <v>E3_1_6_1</v>
      </c>
      <c r="E160" t="str">
        <f t="shared" si="26"/>
        <v>E3_1_6_1_kcat : 13.7</v>
      </c>
      <c r="F160" t="str">
        <f t="shared" si="34"/>
        <v>E3_1_6_1_km : 1</v>
      </c>
      <c r="G160" t="str">
        <f t="shared" si="27"/>
        <v>E3_1_6_1_mRNA : E3_1_6_1_mRNA</v>
      </c>
      <c r="H160" t="str">
        <f t="shared" si="28"/>
        <v>E3_1_6_1 : E3_1_6_1</v>
      </c>
      <c r="I160" t="str">
        <f t="shared" si="35"/>
        <v>E3_1_6_1_mRNA : 0</v>
      </c>
      <c r="J160" t="str">
        <f t="shared" si="29"/>
        <v>E3_1_6_1 : 0</v>
      </c>
      <c r="K160" t="str">
        <f t="shared" si="30"/>
        <v>0.00292 - (0.0093 * E3_1_6_1_mRNA)</v>
      </c>
      <c r="L160" t="str">
        <f t="shared" si="31"/>
        <v>(0.278 * E3_1_6_1_mRNA) - (0.00000278 * E3_1_6_1)</v>
      </c>
      <c r="M160" t="str">
        <f t="shared" si="32"/>
        <v>mRNA159: -&gt; E3_1_6_1_mRNA | 0.00292 - (0.0093 * E3_1_6_1_mRNA)</v>
      </c>
      <c r="N160" t="str">
        <f t="shared" si="33"/>
        <v>Peptide159: E3_1_6_1_mRNA -&gt; E3_1_6_1 | (0.278 * E3_1_6_1_mRNA) - (0.000000278 * E3_1_6_1)</v>
      </c>
    </row>
    <row r="161" spans="1:14">
      <c r="A161">
        <v>160</v>
      </c>
      <c r="B161" s="1" t="s">
        <v>11588</v>
      </c>
      <c r="C161" t="str">
        <f t="shared" si="24"/>
        <v>E3_11_1_1_mRNA</v>
      </c>
      <c r="D161" t="str">
        <f t="shared" si="25"/>
        <v>E3_11_1_1</v>
      </c>
      <c r="E161" t="str">
        <f t="shared" si="26"/>
        <v>E3_11_1_1_kcat : 13.7</v>
      </c>
      <c r="F161" t="str">
        <f t="shared" si="34"/>
        <v>E3_11_1_1_km : 1</v>
      </c>
      <c r="G161" t="str">
        <f t="shared" si="27"/>
        <v>E3_11_1_1_mRNA : E3_11_1_1_mRNA</v>
      </c>
      <c r="H161" t="str">
        <f t="shared" si="28"/>
        <v>E3_11_1_1 : E3_11_1_1</v>
      </c>
      <c r="I161" t="str">
        <f t="shared" si="35"/>
        <v>E3_11_1_1_mRNA : 0</v>
      </c>
      <c r="J161" t="str">
        <f t="shared" si="29"/>
        <v>E3_11_1_1 : 0</v>
      </c>
      <c r="K161" t="str">
        <f t="shared" si="30"/>
        <v>0.00292 - (0.0093 * E3_11_1_1_mRNA)</v>
      </c>
      <c r="L161" t="str">
        <f t="shared" si="31"/>
        <v>(0.278 * E3_11_1_1_mRNA) - (0.00000278 * E3_11_1_1)</v>
      </c>
      <c r="M161" t="str">
        <f t="shared" si="32"/>
        <v>mRNA160: -&gt; E3_11_1_1_mRNA | 0.00292 - (0.0093 * E3_11_1_1_mRNA)</v>
      </c>
      <c r="N161" t="str">
        <f t="shared" si="33"/>
        <v>Peptide160: E3_11_1_1_mRNA -&gt; E3_11_1_1 | (0.278 * E3_11_1_1_mRNA) - (0.000000278 * E3_11_1_1)</v>
      </c>
    </row>
    <row r="162" spans="1:14">
      <c r="A162">
        <v>161</v>
      </c>
      <c r="B162" s="1" t="s">
        <v>11589</v>
      </c>
      <c r="C162" t="str">
        <f t="shared" si="24"/>
        <v>E3_2_1_1_mRNA</v>
      </c>
      <c r="D162" t="str">
        <f t="shared" si="25"/>
        <v>E3_2_1_1</v>
      </c>
      <c r="E162" t="str">
        <f t="shared" si="26"/>
        <v>E3_2_1_1_kcat : 13.7</v>
      </c>
      <c r="F162" t="str">
        <f t="shared" si="34"/>
        <v>E3_2_1_1_km : 1</v>
      </c>
      <c r="G162" t="str">
        <f t="shared" si="27"/>
        <v>E3_2_1_1_mRNA : E3_2_1_1_mRNA</v>
      </c>
      <c r="H162" t="str">
        <f t="shared" si="28"/>
        <v>E3_2_1_1 : E3_2_1_1</v>
      </c>
      <c r="I162" t="str">
        <f t="shared" si="35"/>
        <v>E3_2_1_1_mRNA : 0</v>
      </c>
      <c r="J162" t="str">
        <f t="shared" si="29"/>
        <v>E3_2_1_1 : 0</v>
      </c>
      <c r="K162" t="str">
        <f t="shared" si="30"/>
        <v>0.00292 - (0.0093 * E3_2_1_1_mRNA)</v>
      </c>
      <c r="L162" t="str">
        <f t="shared" si="31"/>
        <v>(0.278 * E3_2_1_1_mRNA) - (0.00000278 * E3_2_1_1)</v>
      </c>
      <c r="M162" t="str">
        <f t="shared" si="32"/>
        <v>mRNA161: -&gt; E3_2_1_1_mRNA | 0.00292 - (0.0093 * E3_2_1_1_mRNA)</v>
      </c>
      <c r="N162" t="str">
        <f t="shared" si="33"/>
        <v>Peptide161: E3_2_1_1_mRNA -&gt; E3_2_1_1 | (0.278 * E3_2_1_1_mRNA) - (0.000000278 * E3_2_1_1)</v>
      </c>
    </row>
    <row r="163" spans="1:14">
      <c r="A163">
        <v>162</v>
      </c>
      <c r="B163" s="1" t="s">
        <v>11590</v>
      </c>
      <c r="C163" t="str">
        <f t="shared" si="24"/>
        <v>E3_2_1_21_mRNA</v>
      </c>
      <c r="D163" t="str">
        <f t="shared" si="25"/>
        <v>E3_2_1_21</v>
      </c>
      <c r="E163" t="str">
        <f t="shared" si="26"/>
        <v>E3_2_1_21_kcat : 13.7</v>
      </c>
      <c r="F163" t="str">
        <f t="shared" si="34"/>
        <v>E3_2_1_21_km : 1</v>
      </c>
      <c r="G163" t="str">
        <f t="shared" si="27"/>
        <v>E3_2_1_21_mRNA : E3_2_1_21_mRNA</v>
      </c>
      <c r="H163" t="str">
        <f t="shared" si="28"/>
        <v>E3_2_1_21 : E3_2_1_21</v>
      </c>
      <c r="I163" t="str">
        <f t="shared" si="35"/>
        <v>E3_2_1_21_mRNA : 0</v>
      </c>
      <c r="J163" t="str">
        <f t="shared" si="29"/>
        <v>E3_2_1_21 : 0</v>
      </c>
      <c r="K163" t="str">
        <f t="shared" si="30"/>
        <v>0.00292 - (0.0093 * E3_2_1_21_mRNA)</v>
      </c>
      <c r="L163" t="str">
        <f t="shared" si="31"/>
        <v>(0.278 * E3_2_1_21_mRNA) - (0.00000278 * E3_2_1_21)</v>
      </c>
      <c r="M163" t="str">
        <f t="shared" si="32"/>
        <v>mRNA162: -&gt; E3_2_1_21_mRNA | 0.00292 - (0.0093 * E3_2_1_21_mRNA)</v>
      </c>
      <c r="N163" t="str">
        <f t="shared" si="33"/>
        <v>Peptide162: E3_2_1_21_mRNA -&gt; E3_2_1_21 | (0.278 * E3_2_1_21_mRNA) - (0.000000278 * E3_2_1_21)</v>
      </c>
    </row>
    <row r="164" spans="1:14">
      <c r="A164">
        <v>163</v>
      </c>
      <c r="B164" s="1" t="s">
        <v>11591</v>
      </c>
      <c r="C164" t="str">
        <f t="shared" si="24"/>
        <v>E3_2_2_4_mRNA</v>
      </c>
      <c r="D164" t="str">
        <f t="shared" si="25"/>
        <v>E3_2_2_4</v>
      </c>
      <c r="E164" t="str">
        <f t="shared" si="26"/>
        <v>E3_2_2_4_kcat : 13.7</v>
      </c>
      <c r="F164" t="str">
        <f t="shared" si="34"/>
        <v>E3_2_2_4_km : 1</v>
      </c>
      <c r="G164" t="str">
        <f t="shared" si="27"/>
        <v>E3_2_2_4_mRNA : E3_2_2_4_mRNA</v>
      </c>
      <c r="H164" t="str">
        <f t="shared" si="28"/>
        <v>E3_2_2_4 : E3_2_2_4</v>
      </c>
      <c r="I164" t="str">
        <f t="shared" si="35"/>
        <v>E3_2_2_4_mRNA : 0</v>
      </c>
      <c r="J164" t="str">
        <f t="shared" si="29"/>
        <v>E3_2_2_4 : 0</v>
      </c>
      <c r="K164" t="str">
        <f t="shared" si="30"/>
        <v>0.00292 - (0.0093 * E3_2_2_4_mRNA)</v>
      </c>
      <c r="L164" t="str">
        <f t="shared" si="31"/>
        <v>(0.278 * E3_2_2_4_mRNA) - (0.00000278 * E3_2_2_4)</v>
      </c>
      <c r="M164" t="str">
        <f t="shared" si="32"/>
        <v>mRNA163: -&gt; E3_2_2_4_mRNA | 0.00292 - (0.0093 * E3_2_2_4_mRNA)</v>
      </c>
      <c r="N164" t="str">
        <f t="shared" si="33"/>
        <v>Peptide163: E3_2_2_4_mRNA -&gt; E3_2_2_4 | (0.278 * E3_2_2_4_mRNA) - (0.000000278 * E3_2_2_4)</v>
      </c>
    </row>
    <row r="165" spans="1:14">
      <c r="A165">
        <v>164</v>
      </c>
      <c r="B165" s="1" t="s">
        <v>11592</v>
      </c>
      <c r="C165" t="str">
        <f t="shared" si="24"/>
        <v>E3_5_1_1_mRNA</v>
      </c>
      <c r="D165" t="str">
        <f t="shared" si="25"/>
        <v>E3_5_1_1</v>
      </c>
      <c r="E165" t="str">
        <f t="shared" si="26"/>
        <v>E3_5_1_1_kcat : 13.7</v>
      </c>
      <c r="F165" t="str">
        <f t="shared" si="34"/>
        <v>E3_5_1_1_km : 1</v>
      </c>
      <c r="G165" t="str">
        <f t="shared" si="27"/>
        <v>E3_5_1_1_mRNA : E3_5_1_1_mRNA</v>
      </c>
      <c r="H165" t="str">
        <f t="shared" si="28"/>
        <v>E3_5_1_1 : E3_5_1_1</v>
      </c>
      <c r="I165" t="str">
        <f t="shared" si="35"/>
        <v>E3_5_1_1_mRNA : 0</v>
      </c>
      <c r="J165" t="str">
        <f t="shared" si="29"/>
        <v>E3_5_1_1 : 0</v>
      </c>
      <c r="K165" t="str">
        <f t="shared" si="30"/>
        <v>0.00292 - (0.0093 * E3_5_1_1_mRNA)</v>
      </c>
      <c r="L165" t="str">
        <f t="shared" si="31"/>
        <v>(0.278 * E3_5_1_1_mRNA) - (0.00000278 * E3_5_1_1)</v>
      </c>
      <c r="M165" t="str">
        <f t="shared" si="32"/>
        <v>mRNA164: -&gt; E3_5_1_1_mRNA | 0.00292 - (0.0093 * E3_5_1_1_mRNA)</v>
      </c>
      <c r="N165" t="str">
        <f t="shared" si="33"/>
        <v>Peptide164: E3_5_1_1_mRNA -&gt; E3_5_1_1 | (0.278 * E3_5_1_1_mRNA) - (0.000000278 * E3_5_1_1)</v>
      </c>
    </row>
    <row r="166" spans="1:14">
      <c r="A166">
        <v>165</v>
      </c>
      <c r="B166" s="1" t="s">
        <v>11593</v>
      </c>
      <c r="C166" t="str">
        <f t="shared" si="24"/>
        <v>E3_5_1_25_mRNA</v>
      </c>
      <c r="D166" t="str">
        <f t="shared" si="25"/>
        <v>E3_5_1_25</v>
      </c>
      <c r="E166" t="str">
        <f t="shared" si="26"/>
        <v>E3_5_1_25_kcat : 13.7</v>
      </c>
      <c r="F166" t="str">
        <f t="shared" si="34"/>
        <v>E3_5_1_25_km : 1</v>
      </c>
      <c r="G166" t="str">
        <f t="shared" si="27"/>
        <v>E3_5_1_25_mRNA : E3_5_1_25_mRNA</v>
      </c>
      <c r="H166" t="str">
        <f t="shared" si="28"/>
        <v>E3_5_1_25 : E3_5_1_25</v>
      </c>
      <c r="I166" t="str">
        <f t="shared" si="35"/>
        <v>E3_5_1_25_mRNA : 0</v>
      </c>
      <c r="J166" t="str">
        <f t="shared" si="29"/>
        <v>E3_5_1_25 : 0</v>
      </c>
      <c r="K166" t="str">
        <f t="shared" si="30"/>
        <v>0.00292 - (0.0093 * E3_5_1_25_mRNA)</v>
      </c>
      <c r="L166" t="str">
        <f t="shared" si="31"/>
        <v>(0.278 * E3_5_1_25_mRNA) - (0.00000278 * E3_5_1_25)</v>
      </c>
      <c r="M166" t="str">
        <f t="shared" si="32"/>
        <v>mRNA165: -&gt; E3_5_1_25_mRNA | 0.00292 - (0.0093 * E3_5_1_25_mRNA)</v>
      </c>
      <c r="N166" t="str">
        <f t="shared" si="33"/>
        <v>Peptide165: E3_5_1_25_mRNA -&gt; E3_5_1_25 | (0.278 * E3_5_1_25_mRNA) - (0.000000278 * E3_5_1_25)</v>
      </c>
    </row>
    <row r="167" spans="1:14">
      <c r="A167">
        <v>166</v>
      </c>
      <c r="B167" s="1" t="s">
        <v>11594</v>
      </c>
      <c r="C167" t="str">
        <f t="shared" si="24"/>
        <v>E3_5_1_88_mRNA</v>
      </c>
      <c r="D167" t="str">
        <f t="shared" si="25"/>
        <v>E3_5_1_88</v>
      </c>
      <c r="E167" t="str">
        <f t="shared" si="26"/>
        <v>E3_5_1_88_kcat : 13.7</v>
      </c>
      <c r="F167" t="str">
        <f t="shared" si="34"/>
        <v>E3_5_1_88_km : 1</v>
      </c>
      <c r="G167" t="str">
        <f t="shared" si="27"/>
        <v>E3_5_1_88_mRNA : E3_5_1_88_mRNA</v>
      </c>
      <c r="H167" t="str">
        <f t="shared" si="28"/>
        <v>E3_5_1_88 : E3_5_1_88</v>
      </c>
      <c r="I167" t="str">
        <f t="shared" si="35"/>
        <v>E3_5_1_88_mRNA : 0</v>
      </c>
      <c r="J167" t="str">
        <f t="shared" si="29"/>
        <v>E3_5_1_88 : 0</v>
      </c>
      <c r="K167" t="str">
        <f t="shared" si="30"/>
        <v>0.00292 - (0.0093 * E3_5_1_88_mRNA)</v>
      </c>
      <c r="L167" t="str">
        <f t="shared" si="31"/>
        <v>(0.278 * E3_5_1_88_mRNA) - (0.00000278 * E3_5_1_88)</v>
      </c>
      <c r="M167" t="str">
        <f t="shared" si="32"/>
        <v>mRNA166: -&gt; E3_5_1_88_mRNA | 0.00292 - (0.0093 * E3_5_1_88_mRNA)</v>
      </c>
      <c r="N167" t="str">
        <f t="shared" si="33"/>
        <v>Peptide166: E3_5_1_88_mRNA -&gt; E3_5_1_88 | (0.278 * E3_5_1_88_mRNA) - (0.000000278 * E3_5_1_88)</v>
      </c>
    </row>
    <row r="168" spans="1:14">
      <c r="A168">
        <v>167</v>
      </c>
      <c r="B168" s="1" t="s">
        <v>11595</v>
      </c>
      <c r="C168" t="str">
        <f t="shared" si="24"/>
        <v>E3_5_2_3_mRNA</v>
      </c>
      <c r="D168" t="str">
        <f t="shared" si="25"/>
        <v>E3_5_2_3</v>
      </c>
      <c r="E168" t="str">
        <f t="shared" si="26"/>
        <v>E3_5_2_3_kcat : 13.7</v>
      </c>
      <c r="F168" t="str">
        <f t="shared" si="34"/>
        <v>E3_5_2_3_km : 1</v>
      </c>
      <c r="G168" t="str">
        <f t="shared" si="27"/>
        <v>E3_5_2_3_mRNA : E3_5_2_3_mRNA</v>
      </c>
      <c r="H168" t="str">
        <f t="shared" si="28"/>
        <v>E3_5_2_3 : E3_5_2_3</v>
      </c>
      <c r="I168" t="str">
        <f t="shared" si="35"/>
        <v>E3_5_2_3_mRNA : 0</v>
      </c>
      <c r="J168" t="str">
        <f t="shared" si="29"/>
        <v>E3_5_2_3 : 0</v>
      </c>
      <c r="K168" t="str">
        <f t="shared" si="30"/>
        <v>0.00292 - (0.0093 * E3_5_2_3_mRNA)</v>
      </c>
      <c r="L168" t="str">
        <f t="shared" si="31"/>
        <v>(0.278 * E3_5_2_3_mRNA) - (0.00000278 * E3_5_2_3)</v>
      </c>
      <c r="M168" t="str">
        <f t="shared" si="32"/>
        <v>mRNA167: -&gt; E3_5_2_3_mRNA | 0.00292 - (0.0093 * E3_5_2_3_mRNA)</v>
      </c>
      <c r="N168" t="str">
        <f t="shared" si="33"/>
        <v>Peptide167: E3_5_2_3_mRNA -&gt; E3_5_2_3 | (0.278 * E3_5_2_3_mRNA) - (0.000000278 * E3_5_2_3)</v>
      </c>
    </row>
    <row r="169" spans="1:14">
      <c r="A169">
        <v>168</v>
      </c>
      <c r="B169" s="1" t="s">
        <v>11596</v>
      </c>
      <c r="C169" t="str">
        <f t="shared" si="24"/>
        <v>E3_5_2_7_mRNA</v>
      </c>
      <c r="D169" t="str">
        <f t="shared" si="25"/>
        <v>E3_5_2_7</v>
      </c>
      <c r="E169" t="str">
        <f t="shared" si="26"/>
        <v>E3_5_2_7_kcat : 13.7</v>
      </c>
      <c r="F169" t="str">
        <f t="shared" si="34"/>
        <v>E3_5_2_7_km : 1</v>
      </c>
      <c r="G169" t="str">
        <f t="shared" si="27"/>
        <v>E3_5_2_7_mRNA : E3_5_2_7_mRNA</v>
      </c>
      <c r="H169" t="str">
        <f t="shared" si="28"/>
        <v>E3_5_2_7 : E3_5_2_7</v>
      </c>
      <c r="I169" t="str">
        <f t="shared" si="35"/>
        <v>E3_5_2_7_mRNA : 0</v>
      </c>
      <c r="J169" t="str">
        <f t="shared" si="29"/>
        <v>E3_5_2_7 : 0</v>
      </c>
      <c r="K169" t="str">
        <f t="shared" si="30"/>
        <v>0.00292 - (0.0093 * E3_5_2_7_mRNA)</v>
      </c>
      <c r="L169" t="str">
        <f t="shared" si="31"/>
        <v>(0.278 * E3_5_2_7_mRNA) - (0.00000278 * E3_5_2_7)</v>
      </c>
      <c r="M169" t="str">
        <f t="shared" si="32"/>
        <v>mRNA168: -&gt; E3_5_2_7_mRNA | 0.00292 - (0.0093 * E3_5_2_7_mRNA)</v>
      </c>
      <c r="N169" t="str">
        <f t="shared" si="33"/>
        <v>Peptide168: E3_5_2_7_mRNA -&gt; E3_5_2_7 | (0.278 * E3_5_2_7_mRNA) - (0.000000278 * E3_5_2_7)</v>
      </c>
    </row>
    <row r="170" spans="1:14">
      <c r="A170">
        <v>169</v>
      </c>
      <c r="B170" s="1" t="s">
        <v>11597</v>
      </c>
      <c r="C170" t="str">
        <f t="shared" si="24"/>
        <v>E3_5_3_1_mRNA</v>
      </c>
      <c r="D170" t="str">
        <f t="shared" si="25"/>
        <v>E3_5_3_1</v>
      </c>
      <c r="E170" t="str">
        <f t="shared" si="26"/>
        <v>E3_5_3_1_kcat : 13.7</v>
      </c>
      <c r="F170" t="str">
        <f t="shared" si="34"/>
        <v>E3_5_3_1_km : 1</v>
      </c>
      <c r="G170" t="str">
        <f t="shared" si="27"/>
        <v>E3_5_3_1_mRNA : E3_5_3_1_mRNA</v>
      </c>
      <c r="H170" t="str">
        <f t="shared" si="28"/>
        <v>E3_5_3_1 : E3_5_3_1</v>
      </c>
      <c r="I170" t="str">
        <f t="shared" si="35"/>
        <v>E3_5_3_1_mRNA : 0</v>
      </c>
      <c r="J170" t="str">
        <f t="shared" si="29"/>
        <v>E3_5_3_1 : 0</v>
      </c>
      <c r="K170" t="str">
        <f t="shared" si="30"/>
        <v>0.00292 - (0.0093 * E3_5_3_1_mRNA)</v>
      </c>
      <c r="L170" t="str">
        <f t="shared" si="31"/>
        <v>(0.278 * E3_5_3_1_mRNA) - (0.00000278 * E3_5_3_1)</v>
      </c>
      <c r="M170" t="str">
        <f t="shared" si="32"/>
        <v>mRNA169: -&gt; E3_5_3_1_mRNA | 0.00292 - (0.0093 * E3_5_3_1_mRNA)</v>
      </c>
      <c r="N170" t="str">
        <f t="shared" si="33"/>
        <v>Peptide169: E3_5_3_1_mRNA -&gt; E3_5_3_1 | (0.278 * E3_5_3_1_mRNA) - (0.000000278 * E3_5_3_1)</v>
      </c>
    </row>
    <row r="171" spans="1:14">
      <c r="A171">
        <v>170</v>
      </c>
      <c r="B171" s="1" t="s">
        <v>11598</v>
      </c>
      <c r="C171" t="str">
        <f t="shared" si="24"/>
        <v>E3_5_4_10_mRNA</v>
      </c>
      <c r="D171" t="str">
        <f t="shared" si="25"/>
        <v>E3_5_4_10</v>
      </c>
      <c r="E171" t="str">
        <f t="shared" si="26"/>
        <v>E3_5_4_10_kcat : 13.7</v>
      </c>
      <c r="F171" t="str">
        <f t="shared" si="34"/>
        <v>E3_5_4_10_km : 1</v>
      </c>
      <c r="G171" t="str">
        <f t="shared" si="27"/>
        <v>E3_5_4_10_mRNA : E3_5_4_10_mRNA</v>
      </c>
      <c r="H171" t="str">
        <f t="shared" si="28"/>
        <v>E3_5_4_10 : E3_5_4_10</v>
      </c>
      <c r="I171" t="str">
        <f t="shared" si="35"/>
        <v>E3_5_4_10_mRNA : 0</v>
      </c>
      <c r="J171" t="str">
        <f t="shared" si="29"/>
        <v>E3_5_4_10 : 0</v>
      </c>
      <c r="K171" t="str">
        <f t="shared" si="30"/>
        <v>0.00292 - (0.0093 * E3_5_4_10_mRNA)</v>
      </c>
      <c r="L171" t="str">
        <f t="shared" si="31"/>
        <v>(0.278 * E3_5_4_10_mRNA) - (0.00000278 * E3_5_4_10)</v>
      </c>
      <c r="M171" t="str">
        <f t="shared" si="32"/>
        <v>mRNA170: -&gt; E3_5_4_10_mRNA | 0.00292 - (0.0093 * E3_5_4_10_mRNA)</v>
      </c>
      <c r="N171" t="str">
        <f t="shared" si="33"/>
        <v>Peptide170: E3_5_4_10_mRNA -&gt; E3_5_4_10 | (0.278 * E3_5_4_10_mRNA) - (0.000000278 * E3_5_4_10)</v>
      </c>
    </row>
    <row r="172" spans="1:14">
      <c r="A172">
        <v>171</v>
      </c>
      <c r="B172" s="1" t="s">
        <v>11599</v>
      </c>
      <c r="C172" t="str">
        <f t="shared" si="24"/>
        <v>E3_5_4_16_mRNA</v>
      </c>
      <c r="D172" t="str">
        <f t="shared" si="25"/>
        <v>E3_5_4_16</v>
      </c>
      <c r="E172" t="str">
        <f t="shared" si="26"/>
        <v>E3_5_4_16_kcat : 13.7</v>
      </c>
      <c r="F172" t="str">
        <f t="shared" si="34"/>
        <v>E3_5_4_16_km : 1</v>
      </c>
      <c r="G172" t="str">
        <f t="shared" si="27"/>
        <v>E3_5_4_16_mRNA : E3_5_4_16_mRNA</v>
      </c>
      <c r="H172" t="str">
        <f t="shared" si="28"/>
        <v>E3_5_4_16 : E3_5_4_16</v>
      </c>
      <c r="I172" t="str">
        <f t="shared" si="35"/>
        <v>E3_5_4_16_mRNA : 0</v>
      </c>
      <c r="J172" t="str">
        <f t="shared" si="29"/>
        <v>E3_5_4_16 : 0</v>
      </c>
      <c r="K172" t="str">
        <f t="shared" si="30"/>
        <v>0.00292 - (0.0093 * E3_5_4_16_mRNA)</v>
      </c>
      <c r="L172" t="str">
        <f t="shared" si="31"/>
        <v>(0.278 * E3_5_4_16_mRNA) - (0.00000278 * E3_5_4_16)</v>
      </c>
      <c r="M172" t="str">
        <f t="shared" si="32"/>
        <v>mRNA171: -&gt; E3_5_4_16_mRNA | 0.00292 - (0.0093 * E3_5_4_16_mRNA)</v>
      </c>
      <c r="N172" t="str">
        <f t="shared" si="33"/>
        <v>Peptide171: E3_5_4_16_mRNA -&gt; E3_5_4_16 | (0.278 * E3_5_4_16_mRNA) - (0.000000278 * E3_5_4_16)</v>
      </c>
    </row>
    <row r="173" spans="1:14">
      <c r="A173">
        <v>172</v>
      </c>
      <c r="B173" s="1" t="s">
        <v>11600</v>
      </c>
      <c r="C173" t="str">
        <f t="shared" si="24"/>
        <v>E3_5_4_19_mRNA</v>
      </c>
      <c r="D173" t="str">
        <f t="shared" si="25"/>
        <v>E3_5_4_19</v>
      </c>
      <c r="E173" t="str">
        <f t="shared" si="26"/>
        <v>E3_5_4_19_kcat : 13.7</v>
      </c>
      <c r="F173" t="str">
        <f t="shared" si="34"/>
        <v>E3_5_4_19_km : 1</v>
      </c>
      <c r="G173" t="str">
        <f t="shared" si="27"/>
        <v>E3_5_4_19_mRNA : E3_5_4_19_mRNA</v>
      </c>
      <c r="H173" t="str">
        <f t="shared" si="28"/>
        <v>E3_5_4_19 : E3_5_4_19</v>
      </c>
      <c r="I173" t="str">
        <f t="shared" si="35"/>
        <v>E3_5_4_19_mRNA : 0</v>
      </c>
      <c r="J173" t="str">
        <f t="shared" si="29"/>
        <v>E3_5_4_19 : 0</v>
      </c>
      <c r="K173" t="str">
        <f t="shared" si="30"/>
        <v>0.00292 - (0.0093 * E3_5_4_19_mRNA)</v>
      </c>
      <c r="L173" t="str">
        <f t="shared" si="31"/>
        <v>(0.278 * E3_5_4_19_mRNA) - (0.00000278 * E3_5_4_19)</v>
      </c>
      <c r="M173" t="str">
        <f t="shared" si="32"/>
        <v>mRNA172: -&gt; E3_5_4_19_mRNA | 0.00292 - (0.0093 * E3_5_4_19_mRNA)</v>
      </c>
      <c r="N173" t="str">
        <f t="shared" si="33"/>
        <v>Peptide172: E3_5_4_19_mRNA -&gt; E3_5_4_19 | (0.278 * E3_5_4_19_mRNA) - (0.000000278 * E3_5_4_19)</v>
      </c>
    </row>
    <row r="174" spans="1:14">
      <c r="A174">
        <v>173</v>
      </c>
      <c r="B174" s="1" t="s">
        <v>11601</v>
      </c>
      <c r="C174" t="str">
        <f t="shared" si="24"/>
        <v>E3_5_4_2_mRNA</v>
      </c>
      <c r="D174" t="str">
        <f t="shared" si="25"/>
        <v>E3_5_4_2</v>
      </c>
      <c r="E174" t="str">
        <f t="shared" si="26"/>
        <v>E3_5_4_2_kcat : 13.7</v>
      </c>
      <c r="F174" t="str">
        <f t="shared" si="34"/>
        <v>E3_5_4_2_km : 1</v>
      </c>
      <c r="G174" t="str">
        <f t="shared" si="27"/>
        <v>E3_5_4_2_mRNA : E3_5_4_2_mRNA</v>
      </c>
      <c r="H174" t="str">
        <f t="shared" si="28"/>
        <v>E3_5_4_2 : E3_5_4_2</v>
      </c>
      <c r="I174" t="str">
        <f t="shared" si="35"/>
        <v>E3_5_4_2_mRNA : 0</v>
      </c>
      <c r="J174" t="str">
        <f t="shared" si="29"/>
        <v>E3_5_4_2 : 0</v>
      </c>
      <c r="K174" t="str">
        <f t="shared" si="30"/>
        <v>0.00292 - (0.0093 * E3_5_4_2_mRNA)</v>
      </c>
      <c r="L174" t="str">
        <f t="shared" si="31"/>
        <v>(0.278 * E3_5_4_2_mRNA) - (0.00000278 * E3_5_4_2)</v>
      </c>
      <c r="M174" t="str">
        <f t="shared" si="32"/>
        <v>mRNA173: -&gt; E3_5_4_2_mRNA | 0.00292 - (0.0093 * E3_5_4_2_mRNA)</v>
      </c>
      <c r="N174" t="str">
        <f t="shared" si="33"/>
        <v>Peptide173: E3_5_4_2_mRNA -&gt; E3_5_4_2 | (0.278 * E3_5_4_2_mRNA) - (0.000000278 * E3_5_4_2)</v>
      </c>
    </row>
    <row r="175" spans="1:14">
      <c r="A175">
        <v>174</v>
      </c>
      <c r="B175" s="1" t="s">
        <v>11602</v>
      </c>
      <c r="C175" t="str">
        <f t="shared" si="24"/>
        <v>E3_5_4_25_mRNA</v>
      </c>
      <c r="D175" t="str">
        <f t="shared" si="25"/>
        <v>E3_5_4_25</v>
      </c>
      <c r="E175" t="str">
        <f t="shared" si="26"/>
        <v>E3_5_4_25_kcat : 13.7</v>
      </c>
      <c r="F175" t="str">
        <f t="shared" si="34"/>
        <v>E3_5_4_25_km : 1</v>
      </c>
      <c r="G175" t="str">
        <f t="shared" si="27"/>
        <v>E3_5_4_25_mRNA : E3_5_4_25_mRNA</v>
      </c>
      <c r="H175" t="str">
        <f t="shared" si="28"/>
        <v>E3_5_4_25 : E3_5_4_25</v>
      </c>
      <c r="I175" t="str">
        <f t="shared" si="35"/>
        <v>E3_5_4_25_mRNA : 0</v>
      </c>
      <c r="J175" t="str">
        <f t="shared" si="29"/>
        <v>E3_5_4_25 : 0</v>
      </c>
      <c r="K175" t="str">
        <f t="shared" si="30"/>
        <v>0.00292 - (0.0093 * E3_5_4_25_mRNA)</v>
      </c>
      <c r="L175" t="str">
        <f t="shared" si="31"/>
        <v>(0.278 * E3_5_4_25_mRNA) - (0.00000278 * E3_5_4_25)</v>
      </c>
      <c r="M175" t="str">
        <f t="shared" si="32"/>
        <v>mRNA174: -&gt; E3_5_4_25_mRNA | 0.00292 - (0.0093 * E3_5_4_25_mRNA)</v>
      </c>
      <c r="N175" t="str">
        <f t="shared" si="33"/>
        <v>Peptide174: E3_5_4_25_mRNA -&gt; E3_5_4_25 | (0.278 * E3_5_4_25_mRNA) - (0.000000278 * E3_5_4_25)</v>
      </c>
    </row>
    <row r="176" spans="1:14">
      <c r="A176">
        <v>175</v>
      </c>
      <c r="B176" s="1" t="s">
        <v>11603</v>
      </c>
      <c r="C176" t="str">
        <f t="shared" si="24"/>
        <v>E3_5_4_26_mRNA</v>
      </c>
      <c r="D176" t="str">
        <f t="shared" si="25"/>
        <v>E3_5_4_26</v>
      </c>
      <c r="E176" t="str">
        <f t="shared" si="26"/>
        <v>E3_5_4_26_kcat : 13.7</v>
      </c>
      <c r="F176" t="str">
        <f t="shared" si="34"/>
        <v>E3_5_4_26_km : 1</v>
      </c>
      <c r="G176" t="str">
        <f t="shared" si="27"/>
        <v>E3_5_4_26_mRNA : E3_5_4_26_mRNA</v>
      </c>
      <c r="H176" t="str">
        <f t="shared" si="28"/>
        <v>E3_5_4_26 : E3_5_4_26</v>
      </c>
      <c r="I176" t="str">
        <f t="shared" si="35"/>
        <v>E3_5_4_26_mRNA : 0</v>
      </c>
      <c r="J176" t="str">
        <f t="shared" si="29"/>
        <v>E3_5_4_26 : 0</v>
      </c>
      <c r="K176" t="str">
        <f t="shared" si="30"/>
        <v>0.00292 - (0.0093 * E3_5_4_26_mRNA)</v>
      </c>
      <c r="L176" t="str">
        <f t="shared" si="31"/>
        <v>(0.278 * E3_5_4_26_mRNA) - (0.00000278 * E3_5_4_26)</v>
      </c>
      <c r="M176" t="str">
        <f t="shared" si="32"/>
        <v>mRNA175: -&gt; E3_5_4_26_mRNA | 0.00292 - (0.0093 * E3_5_4_26_mRNA)</v>
      </c>
      <c r="N176" t="str">
        <f t="shared" si="33"/>
        <v>Peptide175: E3_5_4_26_mRNA -&gt; E3_5_4_26 | (0.278 * E3_5_4_26_mRNA) - (0.000000278 * E3_5_4_26)</v>
      </c>
    </row>
    <row r="177" spans="1:14">
      <c r="A177">
        <v>176</v>
      </c>
      <c r="B177" s="1" t="s">
        <v>11604</v>
      </c>
      <c r="C177" t="str">
        <f t="shared" si="24"/>
        <v>E3_5_4_3_mRNA</v>
      </c>
      <c r="D177" t="str">
        <f t="shared" si="25"/>
        <v>E3_5_4_3</v>
      </c>
      <c r="E177" t="str">
        <f t="shared" si="26"/>
        <v>E3_5_4_3_kcat : 13.7</v>
      </c>
      <c r="F177" t="str">
        <f t="shared" si="34"/>
        <v>E3_5_4_3_km : 1</v>
      </c>
      <c r="G177" t="str">
        <f t="shared" si="27"/>
        <v>E3_5_4_3_mRNA : E3_5_4_3_mRNA</v>
      </c>
      <c r="H177" t="str">
        <f t="shared" si="28"/>
        <v>E3_5_4_3 : E3_5_4_3</v>
      </c>
      <c r="I177" t="str">
        <f t="shared" si="35"/>
        <v>E3_5_4_3_mRNA : 0</v>
      </c>
      <c r="J177" t="str">
        <f t="shared" si="29"/>
        <v>E3_5_4_3 : 0</v>
      </c>
      <c r="K177" t="str">
        <f t="shared" si="30"/>
        <v>0.00292 - (0.0093 * E3_5_4_3_mRNA)</v>
      </c>
      <c r="L177" t="str">
        <f t="shared" si="31"/>
        <v>(0.278 * E3_5_4_3_mRNA) - (0.00000278 * E3_5_4_3)</v>
      </c>
      <c r="M177" t="str">
        <f t="shared" si="32"/>
        <v>mRNA176: -&gt; E3_5_4_3_mRNA | 0.00292 - (0.0093 * E3_5_4_3_mRNA)</v>
      </c>
      <c r="N177" t="str">
        <f t="shared" si="33"/>
        <v>Peptide176: E3_5_4_3_mRNA -&gt; E3_5_4_3 | (0.278 * E3_5_4_3_mRNA) - (0.000000278 * E3_5_4_3)</v>
      </c>
    </row>
    <row r="178" spans="1:14">
      <c r="A178">
        <v>177</v>
      </c>
      <c r="B178" s="1" t="s">
        <v>11605</v>
      </c>
      <c r="C178" t="str">
        <f t="shared" si="24"/>
        <v>E3_5_4_5_mRNA</v>
      </c>
      <c r="D178" t="str">
        <f t="shared" si="25"/>
        <v>E3_5_4_5</v>
      </c>
      <c r="E178" t="str">
        <f t="shared" si="26"/>
        <v>E3_5_4_5_kcat : 13.7</v>
      </c>
      <c r="F178" t="str">
        <f t="shared" si="34"/>
        <v>E3_5_4_5_km : 1</v>
      </c>
      <c r="G178" t="str">
        <f t="shared" si="27"/>
        <v>E3_5_4_5_mRNA : E3_5_4_5_mRNA</v>
      </c>
      <c r="H178" t="str">
        <f t="shared" si="28"/>
        <v>E3_5_4_5 : E3_5_4_5</v>
      </c>
      <c r="I178" t="str">
        <f t="shared" si="35"/>
        <v>E3_5_4_5_mRNA : 0</v>
      </c>
      <c r="J178" t="str">
        <f t="shared" si="29"/>
        <v>E3_5_4_5 : 0</v>
      </c>
      <c r="K178" t="str">
        <f t="shared" si="30"/>
        <v>0.00292 - (0.0093 * E3_5_4_5_mRNA)</v>
      </c>
      <c r="L178" t="str">
        <f t="shared" si="31"/>
        <v>(0.278 * E3_5_4_5_mRNA) - (0.00000278 * E3_5_4_5)</v>
      </c>
      <c r="M178" t="str">
        <f t="shared" si="32"/>
        <v>mRNA177: -&gt; E3_5_4_5_mRNA | 0.00292 - (0.0093 * E3_5_4_5_mRNA)</v>
      </c>
      <c r="N178" t="str">
        <f t="shared" si="33"/>
        <v>Peptide177: E3_5_4_5_mRNA -&gt; E3_5_4_5 | (0.278 * E3_5_4_5_mRNA) - (0.000000278 * E3_5_4_5)</v>
      </c>
    </row>
    <row r="179" spans="1:14">
      <c r="A179">
        <v>178</v>
      </c>
      <c r="B179" s="1" t="s">
        <v>11606</v>
      </c>
      <c r="C179" t="str">
        <f t="shared" si="24"/>
        <v>E3_5_99_6_mRNA</v>
      </c>
      <c r="D179" t="str">
        <f t="shared" si="25"/>
        <v>E3_5_99_6</v>
      </c>
      <c r="E179" t="str">
        <f t="shared" si="26"/>
        <v>E3_5_99_6_kcat : 13.7</v>
      </c>
      <c r="F179" t="str">
        <f t="shared" si="34"/>
        <v>E3_5_99_6_km : 1</v>
      </c>
      <c r="G179" t="str">
        <f t="shared" si="27"/>
        <v>E3_5_99_6_mRNA : E3_5_99_6_mRNA</v>
      </c>
      <c r="H179" t="str">
        <f t="shared" si="28"/>
        <v>E3_5_99_6 : E3_5_99_6</v>
      </c>
      <c r="I179" t="str">
        <f t="shared" si="35"/>
        <v>E3_5_99_6_mRNA : 0</v>
      </c>
      <c r="J179" t="str">
        <f t="shared" si="29"/>
        <v>E3_5_99_6 : 0</v>
      </c>
      <c r="K179" t="str">
        <f t="shared" si="30"/>
        <v>0.00292 - (0.0093 * E3_5_99_6_mRNA)</v>
      </c>
      <c r="L179" t="str">
        <f t="shared" si="31"/>
        <v>(0.278 * E3_5_99_6_mRNA) - (0.00000278 * E3_5_99_6)</v>
      </c>
      <c r="M179" t="str">
        <f t="shared" si="32"/>
        <v>mRNA178: -&gt; E3_5_99_6_mRNA | 0.00292 - (0.0093 * E3_5_99_6_mRNA)</v>
      </c>
      <c r="N179" t="str">
        <f t="shared" si="33"/>
        <v>Peptide178: E3_5_99_6_mRNA -&gt; E3_5_99_6 | (0.278 * E3_5_99_6_mRNA) - (0.000000278 * E3_5_99_6)</v>
      </c>
    </row>
    <row r="180" spans="1:14">
      <c r="A180">
        <v>179</v>
      </c>
      <c r="B180" s="1" t="s">
        <v>11607</v>
      </c>
      <c r="C180" t="str">
        <f t="shared" si="24"/>
        <v>E3_6_1_1_mRNA</v>
      </c>
      <c r="D180" t="str">
        <f t="shared" si="25"/>
        <v>E3_6_1_1</v>
      </c>
      <c r="E180" t="str">
        <f t="shared" si="26"/>
        <v>E3_6_1_1_kcat : 13.7</v>
      </c>
      <c r="F180" t="str">
        <f t="shared" si="34"/>
        <v>E3_6_1_1_km : 1</v>
      </c>
      <c r="G180" t="str">
        <f t="shared" si="27"/>
        <v>E3_6_1_1_mRNA : E3_6_1_1_mRNA</v>
      </c>
      <c r="H180" t="str">
        <f t="shared" si="28"/>
        <v>E3_6_1_1 : E3_6_1_1</v>
      </c>
      <c r="I180" t="str">
        <f t="shared" si="35"/>
        <v>E3_6_1_1_mRNA : 0</v>
      </c>
      <c r="J180" t="str">
        <f t="shared" si="29"/>
        <v>E3_6_1_1 : 0</v>
      </c>
      <c r="K180" t="str">
        <f t="shared" si="30"/>
        <v>0.00292 - (0.0093 * E3_6_1_1_mRNA)</v>
      </c>
      <c r="L180" t="str">
        <f t="shared" si="31"/>
        <v>(0.278 * E3_6_1_1_mRNA) - (0.00000278 * E3_6_1_1)</v>
      </c>
      <c r="M180" t="str">
        <f t="shared" si="32"/>
        <v>mRNA179: -&gt; E3_6_1_1_mRNA | 0.00292 - (0.0093 * E3_6_1_1_mRNA)</v>
      </c>
      <c r="N180" t="str">
        <f t="shared" si="33"/>
        <v>Peptide179: E3_6_1_1_mRNA -&gt; E3_6_1_1 | (0.278 * E3_6_1_1_mRNA) - (0.000000278 * E3_6_1_1)</v>
      </c>
    </row>
    <row r="181" spans="1:14">
      <c r="A181">
        <v>180</v>
      </c>
      <c r="B181" s="1" t="s">
        <v>11608</v>
      </c>
      <c r="C181" t="str">
        <f t="shared" si="24"/>
        <v>E3_6_1_22_mRNA</v>
      </c>
      <c r="D181" t="str">
        <f t="shared" si="25"/>
        <v>E3_6_1_22</v>
      </c>
      <c r="E181" t="str">
        <f t="shared" si="26"/>
        <v>E3_6_1_22_kcat : 13.7</v>
      </c>
      <c r="F181" t="str">
        <f t="shared" si="34"/>
        <v>E3_6_1_22_km : 1</v>
      </c>
      <c r="G181" t="str">
        <f t="shared" si="27"/>
        <v>E3_6_1_22_mRNA : E3_6_1_22_mRNA</v>
      </c>
      <c r="H181" t="str">
        <f t="shared" si="28"/>
        <v>E3_6_1_22 : E3_6_1_22</v>
      </c>
      <c r="I181" t="str">
        <f t="shared" si="35"/>
        <v>E3_6_1_22_mRNA : 0</v>
      </c>
      <c r="J181" t="str">
        <f t="shared" si="29"/>
        <v>E3_6_1_22 : 0</v>
      </c>
      <c r="K181" t="str">
        <f t="shared" si="30"/>
        <v>0.00292 - (0.0093 * E3_6_1_22_mRNA)</v>
      </c>
      <c r="L181" t="str">
        <f t="shared" si="31"/>
        <v>(0.278 * E3_6_1_22_mRNA) - (0.00000278 * E3_6_1_22)</v>
      </c>
      <c r="M181" t="str">
        <f t="shared" si="32"/>
        <v>mRNA180: -&gt; E3_6_1_22_mRNA | 0.00292 - (0.0093 * E3_6_1_22_mRNA)</v>
      </c>
      <c r="N181" t="str">
        <f t="shared" si="33"/>
        <v>Peptide180: E3_6_1_22_mRNA -&gt; E3_6_1_22 | (0.278 * E3_6_1_22_mRNA) - (0.000000278 * E3_6_1_22)</v>
      </c>
    </row>
    <row r="182" spans="1:14">
      <c r="A182">
        <v>181</v>
      </c>
      <c r="B182" s="1" t="s">
        <v>11609</v>
      </c>
      <c r="C182" t="str">
        <f t="shared" si="24"/>
        <v>E3_6_1_23_mRNA</v>
      </c>
      <c r="D182" t="str">
        <f t="shared" si="25"/>
        <v>E3_6_1_23</v>
      </c>
      <c r="E182" t="str">
        <f t="shared" si="26"/>
        <v>E3_6_1_23_kcat : 13.7</v>
      </c>
      <c r="F182" t="str">
        <f t="shared" si="34"/>
        <v>E3_6_1_23_km : 1</v>
      </c>
      <c r="G182" t="str">
        <f t="shared" si="27"/>
        <v>E3_6_1_23_mRNA : E3_6_1_23_mRNA</v>
      </c>
      <c r="H182" t="str">
        <f t="shared" si="28"/>
        <v>E3_6_1_23 : E3_6_1_23</v>
      </c>
      <c r="I182" t="str">
        <f t="shared" si="35"/>
        <v>E3_6_1_23_mRNA : 0</v>
      </c>
      <c r="J182" t="str">
        <f t="shared" si="29"/>
        <v>E3_6_1_23 : 0</v>
      </c>
      <c r="K182" t="str">
        <f t="shared" si="30"/>
        <v>0.00292 - (0.0093 * E3_6_1_23_mRNA)</v>
      </c>
      <c r="L182" t="str">
        <f t="shared" si="31"/>
        <v>(0.278 * E3_6_1_23_mRNA) - (0.00000278 * E3_6_1_23)</v>
      </c>
      <c r="M182" t="str">
        <f t="shared" si="32"/>
        <v>mRNA181: -&gt; E3_6_1_23_mRNA | 0.00292 - (0.0093 * E3_6_1_23_mRNA)</v>
      </c>
      <c r="N182" t="str">
        <f t="shared" si="33"/>
        <v>Peptide181: E3_6_1_23_mRNA -&gt; E3_6_1_23 | (0.278 * E3_6_1_23_mRNA) - (0.000000278 * E3_6_1_23)</v>
      </c>
    </row>
    <row r="183" spans="1:14">
      <c r="A183">
        <v>182</v>
      </c>
      <c r="B183" s="1" t="s">
        <v>11610</v>
      </c>
      <c r="C183" t="str">
        <f t="shared" si="24"/>
        <v>E3_6_1_31_mRNA</v>
      </c>
      <c r="D183" t="str">
        <f t="shared" si="25"/>
        <v>E3_6_1_31</v>
      </c>
      <c r="E183" t="str">
        <f t="shared" si="26"/>
        <v>E3_6_1_31_kcat : 13.7</v>
      </c>
      <c r="F183" t="str">
        <f t="shared" si="34"/>
        <v>E3_6_1_31_km : 1</v>
      </c>
      <c r="G183" t="str">
        <f t="shared" si="27"/>
        <v>E3_6_1_31_mRNA : E3_6_1_31_mRNA</v>
      </c>
      <c r="H183" t="str">
        <f t="shared" si="28"/>
        <v>E3_6_1_31 : E3_6_1_31</v>
      </c>
      <c r="I183" t="str">
        <f t="shared" si="35"/>
        <v>E3_6_1_31_mRNA : 0</v>
      </c>
      <c r="J183" t="str">
        <f t="shared" si="29"/>
        <v>E3_6_1_31 : 0</v>
      </c>
      <c r="K183" t="str">
        <f t="shared" si="30"/>
        <v>0.00292 - (0.0093 * E3_6_1_31_mRNA)</v>
      </c>
      <c r="L183" t="str">
        <f t="shared" si="31"/>
        <v>(0.278 * E3_6_1_31_mRNA) - (0.00000278 * E3_6_1_31)</v>
      </c>
      <c r="M183" t="str">
        <f t="shared" si="32"/>
        <v>mRNA182: -&gt; E3_6_1_31_mRNA | 0.00292 - (0.0093 * E3_6_1_31_mRNA)</v>
      </c>
      <c r="N183" t="str">
        <f t="shared" si="33"/>
        <v>Peptide182: E3_6_1_31_mRNA -&gt; E3_6_1_31 | (0.278 * E3_6_1_31_mRNA) - (0.000000278 * E3_6_1_31)</v>
      </c>
    </row>
    <row r="184" spans="1:14">
      <c r="A184">
        <v>183</v>
      </c>
      <c r="B184" s="1" t="s">
        <v>11611</v>
      </c>
      <c r="C184" t="str">
        <f t="shared" si="24"/>
        <v>E3_6_1_9_mRNA</v>
      </c>
      <c r="D184" t="str">
        <f t="shared" si="25"/>
        <v>E3_6_1_9</v>
      </c>
      <c r="E184" t="str">
        <f t="shared" si="26"/>
        <v>E3_6_1_9_kcat : 13.7</v>
      </c>
      <c r="F184" t="str">
        <f t="shared" si="34"/>
        <v>E3_6_1_9_km : 1</v>
      </c>
      <c r="G184" t="str">
        <f t="shared" si="27"/>
        <v>E3_6_1_9_mRNA : E3_6_1_9_mRNA</v>
      </c>
      <c r="H184" t="str">
        <f t="shared" si="28"/>
        <v>E3_6_1_9 : E3_6_1_9</v>
      </c>
      <c r="I184" t="str">
        <f t="shared" si="35"/>
        <v>E3_6_1_9_mRNA : 0</v>
      </c>
      <c r="J184" t="str">
        <f t="shared" si="29"/>
        <v>E3_6_1_9 : 0</v>
      </c>
      <c r="K184" t="str">
        <f t="shared" si="30"/>
        <v>0.00292 - (0.0093 * E3_6_1_9_mRNA)</v>
      </c>
      <c r="L184" t="str">
        <f t="shared" si="31"/>
        <v>(0.278 * E3_6_1_9_mRNA) - (0.00000278 * E3_6_1_9)</v>
      </c>
      <c r="M184" t="str">
        <f t="shared" si="32"/>
        <v>mRNA183: -&gt; E3_6_1_9_mRNA | 0.00292 - (0.0093 * E3_6_1_9_mRNA)</v>
      </c>
      <c r="N184" t="str">
        <f t="shared" si="33"/>
        <v>Peptide183: E3_6_1_9_mRNA -&gt; E3_6_1_9 | (0.278 * E3_6_1_9_mRNA) - (0.000000278 * E3_6_1_9)</v>
      </c>
    </row>
    <row r="185" spans="1:14">
      <c r="A185">
        <v>184</v>
      </c>
      <c r="B185" s="1" t="s">
        <v>11612</v>
      </c>
      <c r="C185" t="str">
        <f t="shared" si="24"/>
        <v>E4_1_1_11_mRNA</v>
      </c>
      <c r="D185" t="str">
        <f t="shared" si="25"/>
        <v>E4_1_1_11</v>
      </c>
      <c r="E185" t="str">
        <f t="shared" si="26"/>
        <v>E4_1_1_11_kcat : 13.7</v>
      </c>
      <c r="F185" t="str">
        <f t="shared" si="34"/>
        <v>E4_1_1_11_km : 1</v>
      </c>
      <c r="G185" t="str">
        <f t="shared" si="27"/>
        <v>E4_1_1_11_mRNA : E4_1_1_11_mRNA</v>
      </c>
      <c r="H185" t="str">
        <f t="shared" si="28"/>
        <v>E4_1_1_11 : E4_1_1_11</v>
      </c>
      <c r="I185" t="str">
        <f t="shared" si="35"/>
        <v>E4_1_1_11_mRNA : 0</v>
      </c>
      <c r="J185" t="str">
        <f t="shared" si="29"/>
        <v>E4_1_1_11 : 0</v>
      </c>
      <c r="K185" t="str">
        <f t="shared" si="30"/>
        <v>0.00292 - (0.0093 * E4_1_1_11_mRNA)</v>
      </c>
      <c r="L185" t="str">
        <f t="shared" si="31"/>
        <v>(0.278 * E4_1_1_11_mRNA) - (0.00000278 * E4_1_1_11)</v>
      </c>
      <c r="M185" t="str">
        <f t="shared" si="32"/>
        <v>mRNA184: -&gt; E4_1_1_11_mRNA | 0.00292 - (0.0093 * E4_1_1_11_mRNA)</v>
      </c>
      <c r="N185" t="str">
        <f t="shared" si="33"/>
        <v>Peptide184: E4_1_1_11_mRNA -&gt; E4_1_1_11 | (0.278 * E4_1_1_11_mRNA) - (0.000000278 * E4_1_1_11)</v>
      </c>
    </row>
    <row r="186" spans="1:14">
      <c r="A186">
        <v>185</v>
      </c>
      <c r="B186" s="1" t="s">
        <v>11613</v>
      </c>
      <c r="C186" t="str">
        <f t="shared" si="24"/>
        <v>E4_1_1_12_mRNA</v>
      </c>
      <c r="D186" t="str">
        <f t="shared" si="25"/>
        <v>E4_1_1_12</v>
      </c>
      <c r="E186" t="str">
        <f t="shared" si="26"/>
        <v>E4_1_1_12_kcat : 13.7</v>
      </c>
      <c r="F186" t="str">
        <f t="shared" si="34"/>
        <v>E4_1_1_12_km : 1</v>
      </c>
      <c r="G186" t="str">
        <f t="shared" si="27"/>
        <v>E4_1_1_12_mRNA : E4_1_1_12_mRNA</v>
      </c>
      <c r="H186" t="str">
        <f t="shared" si="28"/>
        <v>E4_1_1_12 : E4_1_1_12</v>
      </c>
      <c r="I186" t="str">
        <f t="shared" si="35"/>
        <v>E4_1_1_12_mRNA : 0</v>
      </c>
      <c r="J186" t="str">
        <f t="shared" si="29"/>
        <v>E4_1_1_12 : 0</v>
      </c>
      <c r="K186" t="str">
        <f t="shared" si="30"/>
        <v>0.00292 - (0.0093 * E4_1_1_12_mRNA)</v>
      </c>
      <c r="L186" t="str">
        <f t="shared" si="31"/>
        <v>(0.278 * E4_1_1_12_mRNA) - (0.00000278 * E4_1_1_12)</v>
      </c>
      <c r="M186" t="str">
        <f t="shared" si="32"/>
        <v>mRNA185: -&gt; E4_1_1_12_mRNA | 0.00292 - (0.0093 * E4_1_1_12_mRNA)</v>
      </c>
      <c r="N186" t="str">
        <f t="shared" si="33"/>
        <v>Peptide185: E4_1_1_12_mRNA -&gt; E4_1_1_12 | (0.278 * E4_1_1_12_mRNA) - (0.000000278 * E4_1_1_12)</v>
      </c>
    </row>
    <row r="187" spans="1:14">
      <c r="A187">
        <v>186</v>
      </c>
      <c r="B187" s="1" t="s">
        <v>11614</v>
      </c>
      <c r="C187" t="str">
        <f t="shared" si="24"/>
        <v>E4_1_1_15_mRNA</v>
      </c>
      <c r="D187" t="str">
        <f t="shared" si="25"/>
        <v>E4_1_1_15</v>
      </c>
      <c r="E187" t="str">
        <f t="shared" si="26"/>
        <v>E4_1_1_15_kcat : 13.7</v>
      </c>
      <c r="F187" t="str">
        <f t="shared" si="34"/>
        <v>E4_1_1_15_km : 1</v>
      </c>
      <c r="G187" t="str">
        <f t="shared" si="27"/>
        <v>E4_1_1_15_mRNA : E4_1_1_15_mRNA</v>
      </c>
      <c r="H187" t="str">
        <f t="shared" si="28"/>
        <v>E4_1_1_15 : E4_1_1_15</v>
      </c>
      <c r="I187" t="str">
        <f t="shared" si="35"/>
        <v>E4_1_1_15_mRNA : 0</v>
      </c>
      <c r="J187" t="str">
        <f t="shared" si="29"/>
        <v>E4_1_1_15 : 0</v>
      </c>
      <c r="K187" t="str">
        <f t="shared" si="30"/>
        <v>0.00292 - (0.0093 * E4_1_1_15_mRNA)</v>
      </c>
      <c r="L187" t="str">
        <f t="shared" si="31"/>
        <v>(0.278 * E4_1_1_15_mRNA) - (0.00000278 * E4_1_1_15)</v>
      </c>
      <c r="M187" t="str">
        <f t="shared" si="32"/>
        <v>mRNA186: -&gt; E4_1_1_15_mRNA | 0.00292 - (0.0093 * E4_1_1_15_mRNA)</v>
      </c>
      <c r="N187" t="str">
        <f t="shared" si="33"/>
        <v>Peptide186: E4_1_1_15_mRNA -&gt; E4_1_1_15 | (0.278 * E4_1_1_15_mRNA) - (0.000000278 * E4_1_1_15)</v>
      </c>
    </row>
    <row r="188" spans="1:14">
      <c r="A188">
        <v>187</v>
      </c>
      <c r="B188" s="1" t="s">
        <v>11615</v>
      </c>
      <c r="C188" t="str">
        <f t="shared" si="24"/>
        <v>E4_1_1_21_mRNA</v>
      </c>
      <c r="D188" t="str">
        <f t="shared" si="25"/>
        <v>E4_1_1_21</v>
      </c>
      <c r="E188" t="str">
        <f t="shared" si="26"/>
        <v>E4_1_1_21_kcat : 13.7</v>
      </c>
      <c r="F188" t="str">
        <f t="shared" si="34"/>
        <v>E4_1_1_21_km : 1</v>
      </c>
      <c r="G188" t="str">
        <f t="shared" si="27"/>
        <v>E4_1_1_21_mRNA : E4_1_1_21_mRNA</v>
      </c>
      <c r="H188" t="str">
        <f t="shared" si="28"/>
        <v>E4_1_1_21 : E4_1_1_21</v>
      </c>
      <c r="I188" t="str">
        <f t="shared" si="35"/>
        <v>E4_1_1_21_mRNA : 0</v>
      </c>
      <c r="J188" t="str">
        <f t="shared" si="29"/>
        <v>E4_1_1_21 : 0</v>
      </c>
      <c r="K188" t="str">
        <f t="shared" si="30"/>
        <v>0.00292 - (0.0093 * E4_1_1_21_mRNA)</v>
      </c>
      <c r="L188" t="str">
        <f t="shared" si="31"/>
        <v>(0.278 * E4_1_1_21_mRNA) - (0.00000278 * E4_1_1_21)</v>
      </c>
      <c r="M188" t="str">
        <f t="shared" si="32"/>
        <v>mRNA187: -&gt; E4_1_1_21_mRNA | 0.00292 - (0.0093 * E4_1_1_21_mRNA)</v>
      </c>
      <c r="N188" t="str">
        <f t="shared" si="33"/>
        <v>Peptide187: E4_1_1_21_mRNA -&gt; E4_1_1_21 | (0.278 * E4_1_1_21_mRNA) - (0.000000278 * E4_1_1_21)</v>
      </c>
    </row>
    <row r="189" spans="1:14">
      <c r="A189">
        <v>188</v>
      </c>
      <c r="B189" s="1" t="s">
        <v>11616</v>
      </c>
      <c r="C189" t="str">
        <f t="shared" si="24"/>
        <v>E4_1_1_23_mRNA</v>
      </c>
      <c r="D189" t="str">
        <f t="shared" si="25"/>
        <v>E4_1_1_23</v>
      </c>
      <c r="E189" t="str">
        <f t="shared" si="26"/>
        <v>E4_1_1_23_kcat : 13.7</v>
      </c>
      <c r="F189" t="str">
        <f t="shared" si="34"/>
        <v>E4_1_1_23_km : 1</v>
      </c>
      <c r="G189" t="str">
        <f t="shared" si="27"/>
        <v>E4_1_1_23_mRNA : E4_1_1_23_mRNA</v>
      </c>
      <c r="H189" t="str">
        <f t="shared" si="28"/>
        <v>E4_1_1_23 : E4_1_1_23</v>
      </c>
      <c r="I189" t="str">
        <f t="shared" si="35"/>
        <v>E4_1_1_23_mRNA : 0</v>
      </c>
      <c r="J189" t="str">
        <f t="shared" si="29"/>
        <v>E4_1_1_23 : 0</v>
      </c>
      <c r="K189" t="str">
        <f t="shared" si="30"/>
        <v>0.00292 - (0.0093 * E4_1_1_23_mRNA)</v>
      </c>
      <c r="L189" t="str">
        <f t="shared" si="31"/>
        <v>(0.278 * E4_1_1_23_mRNA) - (0.00000278 * E4_1_1_23)</v>
      </c>
      <c r="M189" t="str">
        <f t="shared" si="32"/>
        <v>mRNA188: -&gt; E4_1_1_23_mRNA | 0.00292 - (0.0093 * E4_1_1_23_mRNA)</v>
      </c>
      <c r="N189" t="str">
        <f t="shared" si="33"/>
        <v>Peptide188: E4_1_1_23_mRNA -&gt; E4_1_1_23 | (0.278 * E4_1_1_23_mRNA) - (0.000000278 * E4_1_1_23)</v>
      </c>
    </row>
    <row r="190" spans="1:14">
      <c r="A190">
        <v>189</v>
      </c>
      <c r="B190" s="1" t="s">
        <v>11617</v>
      </c>
      <c r="C190" t="str">
        <f t="shared" si="24"/>
        <v>E4_1_1_36_mRNA</v>
      </c>
      <c r="D190" t="str">
        <f t="shared" si="25"/>
        <v>E4_1_1_36</v>
      </c>
      <c r="E190" t="str">
        <f t="shared" si="26"/>
        <v>E4_1_1_36_kcat : 13.7</v>
      </c>
      <c r="F190" t="str">
        <f t="shared" si="34"/>
        <v>E4_1_1_36_km : 1</v>
      </c>
      <c r="G190" t="str">
        <f t="shared" si="27"/>
        <v>E4_1_1_36_mRNA : E4_1_1_36_mRNA</v>
      </c>
      <c r="H190" t="str">
        <f t="shared" si="28"/>
        <v>E4_1_1_36 : E4_1_1_36</v>
      </c>
      <c r="I190" t="str">
        <f t="shared" si="35"/>
        <v>E4_1_1_36_mRNA : 0</v>
      </c>
      <c r="J190" t="str">
        <f t="shared" si="29"/>
        <v>E4_1_1_36 : 0</v>
      </c>
      <c r="K190" t="str">
        <f t="shared" si="30"/>
        <v>0.00292 - (0.0093 * E4_1_1_36_mRNA)</v>
      </c>
      <c r="L190" t="str">
        <f t="shared" si="31"/>
        <v>(0.278 * E4_1_1_36_mRNA) - (0.00000278 * E4_1_1_36)</v>
      </c>
      <c r="M190" t="str">
        <f t="shared" si="32"/>
        <v>mRNA189: -&gt; E4_1_1_36_mRNA | 0.00292 - (0.0093 * E4_1_1_36_mRNA)</v>
      </c>
      <c r="N190" t="str">
        <f t="shared" si="33"/>
        <v>Peptide189: E4_1_1_36_mRNA -&gt; E4_1_1_36 | (0.278 * E4_1_1_36_mRNA) - (0.000000278 * E4_1_1_36)</v>
      </c>
    </row>
    <row r="191" spans="1:14">
      <c r="A191">
        <v>190</v>
      </c>
      <c r="B191" s="1" t="s">
        <v>11618</v>
      </c>
      <c r="C191" t="str">
        <f t="shared" si="24"/>
        <v>E4_1_1_48_mRNA</v>
      </c>
      <c r="D191" t="str">
        <f t="shared" si="25"/>
        <v>E4_1_1_48</v>
      </c>
      <c r="E191" t="str">
        <f t="shared" si="26"/>
        <v>E4_1_1_48_kcat : 13.7</v>
      </c>
      <c r="F191" t="str">
        <f t="shared" si="34"/>
        <v>E4_1_1_48_km : 1</v>
      </c>
      <c r="G191" t="str">
        <f t="shared" si="27"/>
        <v>E4_1_1_48_mRNA : E4_1_1_48_mRNA</v>
      </c>
      <c r="H191" t="str">
        <f t="shared" si="28"/>
        <v>E4_1_1_48 : E4_1_1_48</v>
      </c>
      <c r="I191" t="str">
        <f t="shared" si="35"/>
        <v>E4_1_1_48_mRNA : 0</v>
      </c>
      <c r="J191" t="str">
        <f t="shared" si="29"/>
        <v>E4_1_1_48 : 0</v>
      </c>
      <c r="K191" t="str">
        <f t="shared" si="30"/>
        <v>0.00292 - (0.0093 * E4_1_1_48_mRNA)</v>
      </c>
      <c r="L191" t="str">
        <f t="shared" si="31"/>
        <v>(0.278 * E4_1_1_48_mRNA) - (0.00000278 * E4_1_1_48)</v>
      </c>
      <c r="M191" t="str">
        <f t="shared" si="32"/>
        <v>mRNA190: -&gt; E4_1_1_48_mRNA | 0.00292 - (0.0093 * E4_1_1_48_mRNA)</v>
      </c>
      <c r="N191" t="str">
        <f t="shared" si="33"/>
        <v>Peptide190: E4_1_1_48_mRNA -&gt; E4_1_1_48 | (0.278 * E4_1_1_48_mRNA) - (0.000000278 * E4_1_1_48)</v>
      </c>
    </row>
    <row r="192" spans="1:14">
      <c r="A192">
        <v>191</v>
      </c>
      <c r="B192" s="1" t="s">
        <v>11619</v>
      </c>
      <c r="C192" t="str">
        <f t="shared" si="24"/>
        <v>E4_1_1_49_mRNA</v>
      </c>
      <c r="D192" t="str">
        <f t="shared" si="25"/>
        <v>E4_1_1_49</v>
      </c>
      <c r="E192" t="str">
        <f t="shared" si="26"/>
        <v>E4_1_1_49_kcat : 13.7</v>
      </c>
      <c r="F192" t="str">
        <f t="shared" si="34"/>
        <v>E4_1_1_49_km : 1</v>
      </c>
      <c r="G192" t="str">
        <f t="shared" si="27"/>
        <v>E4_1_1_49_mRNA : E4_1_1_49_mRNA</v>
      </c>
      <c r="H192" t="str">
        <f t="shared" si="28"/>
        <v>E4_1_1_49 : E4_1_1_49</v>
      </c>
      <c r="I192" t="str">
        <f t="shared" si="35"/>
        <v>E4_1_1_49_mRNA : 0</v>
      </c>
      <c r="J192" t="str">
        <f t="shared" si="29"/>
        <v>E4_1_1_49 : 0</v>
      </c>
      <c r="K192" t="str">
        <f t="shared" si="30"/>
        <v>0.00292 - (0.0093 * E4_1_1_49_mRNA)</v>
      </c>
      <c r="L192" t="str">
        <f t="shared" si="31"/>
        <v>(0.278 * E4_1_1_49_mRNA) - (0.00000278 * E4_1_1_49)</v>
      </c>
      <c r="M192" t="str">
        <f t="shared" si="32"/>
        <v>mRNA191: -&gt; E4_1_1_49_mRNA | 0.00292 - (0.0093 * E4_1_1_49_mRNA)</v>
      </c>
      <c r="N192" t="str">
        <f t="shared" si="33"/>
        <v>Peptide191: E4_1_1_49_mRNA -&gt; E4_1_1_49 | (0.278 * E4_1_1_49_mRNA) - (0.000000278 * E4_1_1_49)</v>
      </c>
    </row>
    <row r="193" spans="1:14">
      <c r="A193">
        <v>192</v>
      </c>
      <c r="B193" s="1" t="s">
        <v>11620</v>
      </c>
      <c r="C193" t="str">
        <f t="shared" si="24"/>
        <v>E4_1_1_65_mRNA</v>
      </c>
      <c r="D193" t="str">
        <f t="shared" si="25"/>
        <v>E4_1_1_65</v>
      </c>
      <c r="E193" t="str">
        <f t="shared" si="26"/>
        <v>E4_1_1_65_kcat : 13.7</v>
      </c>
      <c r="F193" t="str">
        <f t="shared" si="34"/>
        <v>E4_1_1_65_km : 1</v>
      </c>
      <c r="G193" t="str">
        <f t="shared" si="27"/>
        <v>E4_1_1_65_mRNA : E4_1_1_65_mRNA</v>
      </c>
      <c r="H193" t="str">
        <f t="shared" si="28"/>
        <v>E4_1_1_65 : E4_1_1_65</v>
      </c>
      <c r="I193" t="str">
        <f t="shared" si="35"/>
        <v>E4_1_1_65_mRNA : 0</v>
      </c>
      <c r="J193" t="str">
        <f t="shared" si="29"/>
        <v>E4_1_1_65 : 0</v>
      </c>
      <c r="K193" t="str">
        <f t="shared" si="30"/>
        <v>0.00292 - (0.0093 * E4_1_1_65_mRNA)</v>
      </c>
      <c r="L193" t="str">
        <f t="shared" si="31"/>
        <v>(0.278 * E4_1_1_65_mRNA) - (0.00000278 * E4_1_1_65)</v>
      </c>
      <c r="M193" t="str">
        <f t="shared" si="32"/>
        <v>mRNA192: -&gt; E4_1_1_65_mRNA | 0.00292 - (0.0093 * E4_1_1_65_mRNA)</v>
      </c>
      <c r="N193" t="str">
        <f t="shared" si="33"/>
        <v>Peptide192: E4_1_1_65_mRNA -&gt; E4_1_1_65 | (0.278 * E4_1_1_65_mRNA) - (0.000000278 * E4_1_1_65)</v>
      </c>
    </row>
    <row r="194" spans="1:14">
      <c r="A194">
        <v>193</v>
      </c>
      <c r="B194" s="1" t="s">
        <v>11621</v>
      </c>
      <c r="C194" t="str">
        <f t="shared" si="24"/>
        <v>E4_1_1_96_mRNA</v>
      </c>
      <c r="D194" t="str">
        <f t="shared" si="25"/>
        <v>E4_1_1_96</v>
      </c>
      <c r="E194" t="str">
        <f t="shared" si="26"/>
        <v>E4_1_1_96_kcat : 13.7</v>
      </c>
      <c r="F194" t="str">
        <f t="shared" si="34"/>
        <v>E4_1_1_96_km : 1</v>
      </c>
      <c r="G194" t="str">
        <f t="shared" si="27"/>
        <v>E4_1_1_96_mRNA : E4_1_1_96_mRNA</v>
      </c>
      <c r="H194" t="str">
        <f t="shared" si="28"/>
        <v>E4_1_1_96 : E4_1_1_96</v>
      </c>
      <c r="I194" t="str">
        <f t="shared" si="35"/>
        <v>E4_1_1_96_mRNA : 0</v>
      </c>
      <c r="J194" t="str">
        <f t="shared" si="29"/>
        <v>E4_1_1_96 : 0</v>
      </c>
      <c r="K194" t="str">
        <f t="shared" si="30"/>
        <v>0.00292 - (0.0093 * E4_1_1_96_mRNA)</v>
      </c>
      <c r="L194" t="str">
        <f t="shared" si="31"/>
        <v>(0.278 * E4_1_1_96_mRNA) - (0.00000278 * E4_1_1_96)</v>
      </c>
      <c r="M194" t="str">
        <f t="shared" si="32"/>
        <v>mRNA193: -&gt; E4_1_1_96_mRNA | 0.00292 - (0.0093 * E4_1_1_96_mRNA)</v>
      </c>
      <c r="N194" t="str">
        <f t="shared" si="33"/>
        <v>Peptide193: E4_1_1_96_mRNA -&gt; E4_1_1_96 | (0.278 * E4_1_1_96_mRNA) - (0.000000278 * E4_1_1_96)</v>
      </c>
    </row>
    <row r="195" spans="1:14">
      <c r="A195">
        <v>194</v>
      </c>
      <c r="B195" s="1" t="s">
        <v>11622</v>
      </c>
      <c r="C195" t="str">
        <f t="shared" ref="C195:C258" si="36">CONCATENATE(D195,"_mRNA")</f>
        <v>E4_1_2_13_mRNA</v>
      </c>
      <c r="D195" t="str">
        <f t="shared" ref="D195:D258" si="37">CONCATENATE("E",B195)</f>
        <v>E4_1_2_13</v>
      </c>
      <c r="E195" t="str">
        <f t="shared" ref="E195:E258" si="38">CONCATENATE("E",B195,"_kcat : 13.7")</f>
        <v>E4_1_2_13_kcat : 13.7</v>
      </c>
      <c r="F195" t="str">
        <f t="shared" si="34"/>
        <v>E4_1_2_13_km : 1</v>
      </c>
      <c r="G195" t="str">
        <f t="shared" ref="G195:G258" si="39">CONCATENATE(C195," : ",C195)</f>
        <v>E4_1_2_13_mRNA : E4_1_2_13_mRNA</v>
      </c>
      <c r="H195" t="str">
        <f t="shared" ref="H195:H258" si="40">CONCATENATE(D195," : ",D195)</f>
        <v>E4_1_2_13 : E4_1_2_13</v>
      </c>
      <c r="I195" t="str">
        <f t="shared" si="35"/>
        <v>E4_1_2_13_mRNA : 0</v>
      </c>
      <c r="J195" t="str">
        <f t="shared" ref="J195:J258" si="41">CONCATENATE(D195," : ","0")</f>
        <v>E4_1_2_13 : 0</v>
      </c>
      <c r="K195" t="str">
        <f t="shared" ref="K195:K258" si="42">CONCATENATE("0.00292 - (0.0093 * ",C195,")")</f>
        <v>0.00292 - (0.0093 * E4_1_2_13_mRNA)</v>
      </c>
      <c r="L195" t="str">
        <f t="shared" ref="L195:L258" si="43">CONCATENATE("(0.278 * ",C195,")"," - (0.00000278 * ",D195,")")</f>
        <v>(0.278 * E4_1_2_13_mRNA) - (0.00000278 * E4_1_2_13)</v>
      </c>
      <c r="M195" t="str">
        <f t="shared" ref="M195:M258" si="44">CONCATENATE("mRNA",A195,": -&gt; ",C195," | ","0.00292"," - ","(","0.0093"," * ",C195,")")</f>
        <v>mRNA194: -&gt; E4_1_2_13_mRNA | 0.00292 - (0.0093 * E4_1_2_13_mRNA)</v>
      </c>
      <c r="N195" t="str">
        <f t="shared" ref="N195:N258" si="45">CONCATENATE("Peptide",A195,": ",C195," -&gt; ",D195," | ","(","0.278"," * ",C195,")"," - ","(","0.000000278"," * ",D195,")")</f>
        <v>Peptide194: E4_1_2_13_mRNA -&gt; E4_1_2_13 | (0.278 * E4_1_2_13_mRNA) - (0.000000278 * E4_1_2_13)</v>
      </c>
    </row>
    <row r="196" spans="1:14">
      <c r="A196">
        <v>195</v>
      </c>
      <c r="B196" s="1" t="s">
        <v>11623</v>
      </c>
      <c r="C196" t="str">
        <f t="shared" si="36"/>
        <v>E4_1_2_19_mRNA</v>
      </c>
      <c r="D196" t="str">
        <f t="shared" si="37"/>
        <v>E4_1_2_19</v>
      </c>
      <c r="E196" t="str">
        <f t="shared" si="38"/>
        <v>E4_1_2_19_kcat : 13.7</v>
      </c>
      <c r="F196" t="str">
        <f t="shared" ref="F196:F259" si="46">CONCATENATE("E",B196,"_km : 1")</f>
        <v>E4_1_2_19_km : 1</v>
      </c>
      <c r="G196" t="str">
        <f t="shared" si="39"/>
        <v>E4_1_2_19_mRNA : E4_1_2_19_mRNA</v>
      </c>
      <c r="H196" t="str">
        <f t="shared" si="40"/>
        <v>E4_1_2_19 : E4_1_2_19</v>
      </c>
      <c r="I196" t="str">
        <f t="shared" ref="I196:I259" si="47">CONCATENATE(C196," : ","0")</f>
        <v>E4_1_2_19_mRNA : 0</v>
      </c>
      <c r="J196" t="str">
        <f t="shared" si="41"/>
        <v>E4_1_2_19 : 0</v>
      </c>
      <c r="K196" t="str">
        <f t="shared" si="42"/>
        <v>0.00292 - (0.0093 * E4_1_2_19_mRNA)</v>
      </c>
      <c r="L196" t="str">
        <f t="shared" si="43"/>
        <v>(0.278 * E4_1_2_19_mRNA) - (0.00000278 * E4_1_2_19)</v>
      </c>
      <c r="M196" t="str">
        <f t="shared" si="44"/>
        <v>mRNA195: -&gt; E4_1_2_19_mRNA | 0.00292 - (0.0093 * E4_1_2_19_mRNA)</v>
      </c>
      <c r="N196" t="str">
        <f t="shared" si="45"/>
        <v>Peptide195: E4_1_2_19_mRNA -&gt; E4_1_2_19 | (0.278 * E4_1_2_19_mRNA) - (0.000000278 * E4_1_2_19)</v>
      </c>
    </row>
    <row r="197" spans="1:14">
      <c r="A197">
        <v>196</v>
      </c>
      <c r="B197" s="1" t="s">
        <v>11624</v>
      </c>
      <c r="C197" t="str">
        <f t="shared" si="36"/>
        <v>E4_1_2_25_mRNA</v>
      </c>
      <c r="D197" t="str">
        <f t="shared" si="37"/>
        <v>E4_1_2_25</v>
      </c>
      <c r="E197" t="str">
        <f t="shared" si="38"/>
        <v>E4_1_2_25_kcat : 13.7</v>
      </c>
      <c r="F197" t="str">
        <f t="shared" si="46"/>
        <v>E4_1_2_25_km : 1</v>
      </c>
      <c r="G197" t="str">
        <f t="shared" si="39"/>
        <v>E4_1_2_25_mRNA : E4_1_2_25_mRNA</v>
      </c>
      <c r="H197" t="str">
        <f t="shared" si="40"/>
        <v>E4_1_2_25 : E4_1_2_25</v>
      </c>
      <c r="I197" t="str">
        <f t="shared" si="47"/>
        <v>E4_1_2_25_mRNA : 0</v>
      </c>
      <c r="J197" t="str">
        <f t="shared" si="41"/>
        <v>E4_1_2_25 : 0</v>
      </c>
      <c r="K197" t="str">
        <f t="shared" si="42"/>
        <v>0.00292 - (0.0093 * E4_1_2_25_mRNA)</v>
      </c>
      <c r="L197" t="str">
        <f t="shared" si="43"/>
        <v>(0.278 * E4_1_2_25_mRNA) - (0.00000278 * E4_1_2_25)</v>
      </c>
      <c r="M197" t="str">
        <f t="shared" si="44"/>
        <v>mRNA196: -&gt; E4_1_2_25_mRNA | 0.00292 - (0.0093 * E4_1_2_25_mRNA)</v>
      </c>
      <c r="N197" t="str">
        <f t="shared" si="45"/>
        <v>Peptide196: E4_1_2_25_mRNA -&gt; E4_1_2_25 | (0.278 * E4_1_2_25_mRNA) - (0.000000278 * E4_1_2_25)</v>
      </c>
    </row>
    <row r="198" spans="1:14">
      <c r="A198">
        <v>197</v>
      </c>
      <c r="B198" s="1" t="s">
        <v>11625</v>
      </c>
      <c r="C198" t="str">
        <f t="shared" si="36"/>
        <v>E4_1_2_4_mRNA</v>
      </c>
      <c r="D198" t="str">
        <f t="shared" si="37"/>
        <v>E4_1_2_4</v>
      </c>
      <c r="E198" t="str">
        <f t="shared" si="38"/>
        <v>E4_1_2_4_kcat : 13.7</v>
      </c>
      <c r="F198" t="str">
        <f t="shared" si="46"/>
        <v>E4_1_2_4_km : 1</v>
      </c>
      <c r="G198" t="str">
        <f t="shared" si="39"/>
        <v>E4_1_2_4_mRNA : E4_1_2_4_mRNA</v>
      </c>
      <c r="H198" t="str">
        <f t="shared" si="40"/>
        <v>E4_1_2_4 : E4_1_2_4</v>
      </c>
      <c r="I198" t="str">
        <f t="shared" si="47"/>
        <v>E4_1_2_4_mRNA : 0</v>
      </c>
      <c r="J198" t="str">
        <f t="shared" si="41"/>
        <v>E4_1_2_4 : 0</v>
      </c>
      <c r="K198" t="str">
        <f t="shared" si="42"/>
        <v>0.00292 - (0.0093 * E4_1_2_4_mRNA)</v>
      </c>
      <c r="L198" t="str">
        <f t="shared" si="43"/>
        <v>(0.278 * E4_1_2_4_mRNA) - (0.00000278 * E4_1_2_4)</v>
      </c>
      <c r="M198" t="str">
        <f t="shared" si="44"/>
        <v>mRNA197: -&gt; E4_1_2_4_mRNA | 0.00292 - (0.0093 * E4_1_2_4_mRNA)</v>
      </c>
      <c r="N198" t="str">
        <f t="shared" si="45"/>
        <v>Peptide197: E4_1_2_4_mRNA -&gt; E4_1_2_4 | (0.278 * E4_1_2_4_mRNA) - (0.000000278 * E4_1_2_4)</v>
      </c>
    </row>
    <row r="199" spans="1:14">
      <c r="A199">
        <v>198</v>
      </c>
      <c r="B199" s="1" t="s">
        <v>11626</v>
      </c>
      <c r="C199" t="str">
        <f t="shared" si="36"/>
        <v>E4_1_3_36_mRNA</v>
      </c>
      <c r="D199" t="str">
        <f t="shared" si="37"/>
        <v>E4_1_3_36</v>
      </c>
      <c r="E199" t="str">
        <f t="shared" si="38"/>
        <v>E4_1_3_36_kcat : 13.7</v>
      </c>
      <c r="F199" t="str">
        <f t="shared" si="46"/>
        <v>E4_1_3_36_km : 1</v>
      </c>
      <c r="G199" t="str">
        <f t="shared" si="39"/>
        <v>E4_1_3_36_mRNA : E4_1_3_36_mRNA</v>
      </c>
      <c r="H199" t="str">
        <f t="shared" si="40"/>
        <v>E4_1_3_36 : E4_1_3_36</v>
      </c>
      <c r="I199" t="str">
        <f t="shared" si="47"/>
        <v>E4_1_3_36_mRNA : 0</v>
      </c>
      <c r="J199" t="str">
        <f t="shared" si="41"/>
        <v>E4_1_3_36 : 0</v>
      </c>
      <c r="K199" t="str">
        <f t="shared" si="42"/>
        <v>0.00292 - (0.0093 * E4_1_3_36_mRNA)</v>
      </c>
      <c r="L199" t="str">
        <f t="shared" si="43"/>
        <v>(0.278 * E4_1_3_36_mRNA) - (0.00000278 * E4_1_3_36)</v>
      </c>
      <c r="M199" t="str">
        <f t="shared" si="44"/>
        <v>mRNA198: -&gt; E4_1_3_36_mRNA | 0.00292 - (0.0093 * E4_1_3_36_mRNA)</v>
      </c>
      <c r="N199" t="str">
        <f t="shared" si="45"/>
        <v>Peptide198: E4_1_3_36_mRNA -&gt; E4_1_3_36 | (0.278 * E4_1_3_36_mRNA) - (0.000000278 * E4_1_3_36)</v>
      </c>
    </row>
    <row r="200" spans="1:14">
      <c r="A200">
        <v>199</v>
      </c>
      <c r="B200" s="1" t="s">
        <v>11627</v>
      </c>
      <c r="C200" t="str">
        <f t="shared" si="36"/>
        <v>E4_1_99_12_mRNA</v>
      </c>
      <c r="D200" t="str">
        <f t="shared" si="37"/>
        <v>E4_1_99_12</v>
      </c>
      <c r="E200" t="str">
        <f t="shared" si="38"/>
        <v>E4_1_99_12_kcat : 13.7</v>
      </c>
      <c r="F200" t="str">
        <f t="shared" si="46"/>
        <v>E4_1_99_12_km : 1</v>
      </c>
      <c r="G200" t="str">
        <f t="shared" si="39"/>
        <v>E4_1_99_12_mRNA : E4_1_99_12_mRNA</v>
      </c>
      <c r="H200" t="str">
        <f t="shared" si="40"/>
        <v>E4_1_99_12 : E4_1_99_12</v>
      </c>
      <c r="I200" t="str">
        <f t="shared" si="47"/>
        <v>E4_1_99_12_mRNA : 0</v>
      </c>
      <c r="J200" t="str">
        <f t="shared" si="41"/>
        <v>E4_1_99_12 : 0</v>
      </c>
      <c r="K200" t="str">
        <f t="shared" si="42"/>
        <v>0.00292 - (0.0093 * E4_1_99_12_mRNA)</v>
      </c>
      <c r="L200" t="str">
        <f t="shared" si="43"/>
        <v>(0.278 * E4_1_99_12_mRNA) - (0.00000278 * E4_1_99_12)</v>
      </c>
      <c r="M200" t="str">
        <f t="shared" si="44"/>
        <v>mRNA199: -&gt; E4_1_99_12_mRNA | 0.00292 - (0.0093 * E4_1_99_12_mRNA)</v>
      </c>
      <c r="N200" t="str">
        <f t="shared" si="45"/>
        <v>Peptide199: E4_1_99_12_mRNA -&gt; E4_1_99_12 | (0.278 * E4_1_99_12_mRNA) - (0.000000278 * E4_1_99_12)</v>
      </c>
    </row>
    <row r="201" spans="1:14">
      <c r="A201">
        <v>200</v>
      </c>
      <c r="B201" s="1" t="s">
        <v>11628</v>
      </c>
      <c r="C201" t="str">
        <f t="shared" si="36"/>
        <v>E4_1_99_17_mRNA</v>
      </c>
      <c r="D201" t="str">
        <f t="shared" si="37"/>
        <v>E4_1_99_17</v>
      </c>
      <c r="E201" t="str">
        <f t="shared" si="38"/>
        <v>E4_1_99_17_kcat : 13.7</v>
      </c>
      <c r="F201" t="str">
        <f t="shared" si="46"/>
        <v>E4_1_99_17_km : 1</v>
      </c>
      <c r="G201" t="str">
        <f t="shared" si="39"/>
        <v>E4_1_99_17_mRNA : E4_1_99_17_mRNA</v>
      </c>
      <c r="H201" t="str">
        <f t="shared" si="40"/>
        <v>E4_1_99_17 : E4_1_99_17</v>
      </c>
      <c r="I201" t="str">
        <f t="shared" si="47"/>
        <v>E4_1_99_17_mRNA : 0</v>
      </c>
      <c r="J201" t="str">
        <f t="shared" si="41"/>
        <v>E4_1_99_17 : 0</v>
      </c>
      <c r="K201" t="str">
        <f t="shared" si="42"/>
        <v>0.00292 - (0.0093 * E4_1_99_17_mRNA)</v>
      </c>
      <c r="L201" t="str">
        <f t="shared" si="43"/>
        <v>(0.278 * E4_1_99_17_mRNA) - (0.00000278 * E4_1_99_17)</v>
      </c>
      <c r="M201" t="str">
        <f t="shared" si="44"/>
        <v>mRNA200: -&gt; E4_1_99_17_mRNA | 0.00292 - (0.0093 * E4_1_99_17_mRNA)</v>
      </c>
      <c r="N201" t="str">
        <f t="shared" si="45"/>
        <v>Peptide200: E4_1_99_17_mRNA -&gt; E4_1_99_17 | (0.278 * E4_1_99_17_mRNA) - (0.000000278 * E4_1_99_17)</v>
      </c>
    </row>
    <row r="202" spans="1:14">
      <c r="A202">
        <v>201</v>
      </c>
      <c r="B202" s="1" t="s">
        <v>11629</v>
      </c>
      <c r="C202" t="str">
        <f t="shared" si="36"/>
        <v>E4_2_1_1_mRNA</v>
      </c>
      <c r="D202" t="str">
        <f t="shared" si="37"/>
        <v>E4_2_1_1</v>
      </c>
      <c r="E202" t="str">
        <f t="shared" si="38"/>
        <v>E4_2_1_1_kcat : 13.7</v>
      </c>
      <c r="F202" t="str">
        <f t="shared" si="46"/>
        <v>E4_2_1_1_km : 1</v>
      </c>
      <c r="G202" t="str">
        <f t="shared" si="39"/>
        <v>E4_2_1_1_mRNA : E4_2_1_1_mRNA</v>
      </c>
      <c r="H202" t="str">
        <f t="shared" si="40"/>
        <v>E4_2_1_1 : E4_2_1_1</v>
      </c>
      <c r="I202" t="str">
        <f t="shared" si="47"/>
        <v>E4_2_1_1_mRNA : 0</v>
      </c>
      <c r="J202" t="str">
        <f t="shared" si="41"/>
        <v>E4_2_1_1 : 0</v>
      </c>
      <c r="K202" t="str">
        <f t="shared" si="42"/>
        <v>0.00292 - (0.0093 * E4_2_1_1_mRNA)</v>
      </c>
      <c r="L202" t="str">
        <f t="shared" si="43"/>
        <v>(0.278 * E4_2_1_1_mRNA) - (0.00000278 * E4_2_1_1)</v>
      </c>
      <c r="M202" t="str">
        <f t="shared" si="44"/>
        <v>mRNA201: -&gt; E4_2_1_1_mRNA | 0.00292 - (0.0093 * E4_2_1_1_mRNA)</v>
      </c>
      <c r="N202" t="str">
        <f t="shared" si="45"/>
        <v>Peptide201: E4_2_1_1_mRNA -&gt; E4_2_1_1 | (0.278 * E4_2_1_1_mRNA) - (0.000000278 * E4_2_1_1)</v>
      </c>
    </row>
    <row r="203" spans="1:14">
      <c r="A203">
        <v>202</v>
      </c>
      <c r="B203" s="1" t="s">
        <v>11630</v>
      </c>
      <c r="C203" t="str">
        <f t="shared" si="36"/>
        <v>E4_2_1_10_mRNA</v>
      </c>
      <c r="D203" t="str">
        <f t="shared" si="37"/>
        <v>E4_2_1_10</v>
      </c>
      <c r="E203" t="str">
        <f t="shared" si="38"/>
        <v>E4_2_1_10_kcat : 13.7</v>
      </c>
      <c r="F203" t="str">
        <f t="shared" si="46"/>
        <v>E4_2_1_10_km : 1</v>
      </c>
      <c r="G203" t="str">
        <f t="shared" si="39"/>
        <v>E4_2_1_10_mRNA : E4_2_1_10_mRNA</v>
      </c>
      <c r="H203" t="str">
        <f t="shared" si="40"/>
        <v>E4_2_1_10 : E4_2_1_10</v>
      </c>
      <c r="I203" t="str">
        <f t="shared" si="47"/>
        <v>E4_2_1_10_mRNA : 0</v>
      </c>
      <c r="J203" t="str">
        <f t="shared" si="41"/>
        <v>E4_2_1_10 : 0</v>
      </c>
      <c r="K203" t="str">
        <f t="shared" si="42"/>
        <v>0.00292 - (0.0093 * E4_2_1_10_mRNA)</v>
      </c>
      <c r="L203" t="str">
        <f t="shared" si="43"/>
        <v>(0.278 * E4_2_1_10_mRNA) - (0.00000278 * E4_2_1_10)</v>
      </c>
      <c r="M203" t="str">
        <f t="shared" si="44"/>
        <v>mRNA202: -&gt; E4_2_1_10_mRNA | 0.00292 - (0.0093 * E4_2_1_10_mRNA)</v>
      </c>
      <c r="N203" t="str">
        <f t="shared" si="45"/>
        <v>Peptide202: E4_2_1_10_mRNA -&gt; E4_2_1_10 | (0.278 * E4_2_1_10_mRNA) - (0.000000278 * E4_2_1_10)</v>
      </c>
    </row>
    <row r="204" spans="1:14">
      <c r="A204">
        <v>203</v>
      </c>
      <c r="B204" s="1" t="s">
        <v>11631</v>
      </c>
      <c r="C204" t="str">
        <f t="shared" si="36"/>
        <v>E4_2_1_11_mRNA</v>
      </c>
      <c r="D204" t="str">
        <f t="shared" si="37"/>
        <v>E4_2_1_11</v>
      </c>
      <c r="E204" t="str">
        <f t="shared" si="38"/>
        <v>E4_2_1_11_kcat : 13.7</v>
      </c>
      <c r="F204" t="str">
        <f t="shared" si="46"/>
        <v>E4_2_1_11_km : 1</v>
      </c>
      <c r="G204" t="str">
        <f t="shared" si="39"/>
        <v>E4_2_1_11_mRNA : E4_2_1_11_mRNA</v>
      </c>
      <c r="H204" t="str">
        <f t="shared" si="40"/>
        <v>E4_2_1_11 : E4_2_1_11</v>
      </c>
      <c r="I204" t="str">
        <f t="shared" si="47"/>
        <v>E4_2_1_11_mRNA : 0</v>
      </c>
      <c r="J204" t="str">
        <f t="shared" si="41"/>
        <v>E4_2_1_11 : 0</v>
      </c>
      <c r="K204" t="str">
        <f t="shared" si="42"/>
        <v>0.00292 - (0.0093 * E4_2_1_11_mRNA)</v>
      </c>
      <c r="L204" t="str">
        <f t="shared" si="43"/>
        <v>(0.278 * E4_2_1_11_mRNA) - (0.00000278 * E4_2_1_11)</v>
      </c>
      <c r="M204" t="str">
        <f t="shared" si="44"/>
        <v>mRNA203: -&gt; E4_2_1_11_mRNA | 0.00292 - (0.0093 * E4_2_1_11_mRNA)</v>
      </c>
      <c r="N204" t="str">
        <f t="shared" si="45"/>
        <v>Peptide203: E4_2_1_11_mRNA -&gt; E4_2_1_11 | (0.278 * E4_2_1_11_mRNA) - (0.000000278 * E4_2_1_11)</v>
      </c>
    </row>
    <row r="205" spans="1:14">
      <c r="A205">
        <v>204</v>
      </c>
      <c r="B205" s="1" t="s">
        <v>11632</v>
      </c>
      <c r="C205" t="str">
        <f t="shared" si="36"/>
        <v>E4_2_1_126_mRNA</v>
      </c>
      <c r="D205" t="str">
        <f t="shared" si="37"/>
        <v>E4_2_1_126</v>
      </c>
      <c r="E205" t="str">
        <f t="shared" si="38"/>
        <v>E4_2_1_126_kcat : 13.7</v>
      </c>
      <c r="F205" t="str">
        <f t="shared" si="46"/>
        <v>E4_2_1_126_km : 1</v>
      </c>
      <c r="G205" t="str">
        <f t="shared" si="39"/>
        <v>E4_2_1_126_mRNA : E4_2_1_126_mRNA</v>
      </c>
      <c r="H205" t="str">
        <f t="shared" si="40"/>
        <v>E4_2_1_126 : E4_2_1_126</v>
      </c>
      <c r="I205" t="str">
        <f t="shared" si="47"/>
        <v>E4_2_1_126_mRNA : 0</v>
      </c>
      <c r="J205" t="str">
        <f t="shared" si="41"/>
        <v>E4_2_1_126 : 0</v>
      </c>
      <c r="K205" t="str">
        <f t="shared" si="42"/>
        <v>0.00292 - (0.0093 * E4_2_1_126_mRNA)</v>
      </c>
      <c r="L205" t="str">
        <f t="shared" si="43"/>
        <v>(0.278 * E4_2_1_126_mRNA) - (0.00000278 * E4_2_1_126)</v>
      </c>
      <c r="M205" t="str">
        <f t="shared" si="44"/>
        <v>mRNA204: -&gt; E4_2_1_126_mRNA | 0.00292 - (0.0093 * E4_2_1_126_mRNA)</v>
      </c>
      <c r="N205" t="str">
        <f t="shared" si="45"/>
        <v>Peptide204: E4_2_1_126_mRNA -&gt; E4_2_1_126 | (0.278 * E4_2_1_126_mRNA) - (0.000000278 * E4_2_1_126)</v>
      </c>
    </row>
    <row r="206" spans="1:14">
      <c r="A206">
        <v>205</v>
      </c>
      <c r="B206" s="1" t="s">
        <v>11633</v>
      </c>
      <c r="C206" t="str">
        <f t="shared" si="36"/>
        <v>E4_2_1_19_mRNA</v>
      </c>
      <c r="D206" t="str">
        <f t="shared" si="37"/>
        <v>E4_2_1_19</v>
      </c>
      <c r="E206" t="str">
        <f t="shared" si="38"/>
        <v>E4_2_1_19_kcat : 13.7</v>
      </c>
      <c r="F206" t="str">
        <f t="shared" si="46"/>
        <v>E4_2_1_19_km : 1</v>
      </c>
      <c r="G206" t="str">
        <f t="shared" si="39"/>
        <v>E4_2_1_19_mRNA : E4_2_1_19_mRNA</v>
      </c>
      <c r="H206" t="str">
        <f t="shared" si="40"/>
        <v>E4_2_1_19 : E4_2_1_19</v>
      </c>
      <c r="I206" t="str">
        <f t="shared" si="47"/>
        <v>E4_2_1_19_mRNA : 0</v>
      </c>
      <c r="J206" t="str">
        <f t="shared" si="41"/>
        <v>E4_2_1_19 : 0</v>
      </c>
      <c r="K206" t="str">
        <f t="shared" si="42"/>
        <v>0.00292 - (0.0093 * E4_2_1_19_mRNA)</v>
      </c>
      <c r="L206" t="str">
        <f t="shared" si="43"/>
        <v>(0.278 * E4_2_1_19_mRNA) - (0.00000278 * E4_2_1_19)</v>
      </c>
      <c r="M206" t="str">
        <f t="shared" si="44"/>
        <v>mRNA205: -&gt; E4_2_1_19_mRNA | 0.00292 - (0.0093 * E4_2_1_19_mRNA)</v>
      </c>
      <c r="N206" t="str">
        <f t="shared" si="45"/>
        <v>Peptide205: E4_2_1_19_mRNA -&gt; E4_2_1_19 | (0.278 * E4_2_1_19_mRNA) - (0.000000278 * E4_2_1_19)</v>
      </c>
    </row>
    <row r="207" spans="1:14">
      <c r="A207">
        <v>206</v>
      </c>
      <c r="B207" s="1" t="s">
        <v>11634</v>
      </c>
      <c r="C207" t="str">
        <f t="shared" si="36"/>
        <v>E4_2_1_2_mRNA</v>
      </c>
      <c r="D207" t="str">
        <f t="shared" si="37"/>
        <v>E4_2_1_2</v>
      </c>
      <c r="E207" t="str">
        <f t="shared" si="38"/>
        <v>E4_2_1_2_kcat : 13.7</v>
      </c>
      <c r="F207" t="str">
        <f t="shared" si="46"/>
        <v>E4_2_1_2_km : 1</v>
      </c>
      <c r="G207" t="str">
        <f t="shared" si="39"/>
        <v>E4_2_1_2_mRNA : E4_2_1_2_mRNA</v>
      </c>
      <c r="H207" t="str">
        <f t="shared" si="40"/>
        <v>E4_2_1_2 : E4_2_1_2</v>
      </c>
      <c r="I207" t="str">
        <f t="shared" si="47"/>
        <v>E4_2_1_2_mRNA : 0</v>
      </c>
      <c r="J207" t="str">
        <f t="shared" si="41"/>
        <v>E4_2_1_2 : 0</v>
      </c>
      <c r="K207" t="str">
        <f t="shared" si="42"/>
        <v>0.00292 - (0.0093 * E4_2_1_2_mRNA)</v>
      </c>
      <c r="L207" t="str">
        <f t="shared" si="43"/>
        <v>(0.278 * E4_2_1_2_mRNA) - (0.00000278 * E4_2_1_2)</v>
      </c>
      <c r="M207" t="str">
        <f t="shared" si="44"/>
        <v>mRNA206: -&gt; E4_2_1_2_mRNA | 0.00292 - (0.0093 * E4_2_1_2_mRNA)</v>
      </c>
      <c r="N207" t="str">
        <f t="shared" si="45"/>
        <v>Peptide206: E4_2_1_2_mRNA -&gt; E4_2_1_2 | (0.278 * E4_2_1_2_mRNA) - (0.000000278 * E4_2_1_2)</v>
      </c>
    </row>
    <row r="208" spans="1:14">
      <c r="A208">
        <v>207</v>
      </c>
      <c r="B208" s="1" t="s">
        <v>11635</v>
      </c>
      <c r="C208" t="str">
        <f t="shared" si="36"/>
        <v>E4_2_1_20_mRNA</v>
      </c>
      <c r="D208" t="str">
        <f t="shared" si="37"/>
        <v>E4_2_1_20</v>
      </c>
      <c r="E208" t="str">
        <f t="shared" si="38"/>
        <v>E4_2_1_20_kcat : 13.7</v>
      </c>
      <c r="F208" t="str">
        <f t="shared" si="46"/>
        <v>E4_2_1_20_km : 1</v>
      </c>
      <c r="G208" t="str">
        <f t="shared" si="39"/>
        <v>E4_2_1_20_mRNA : E4_2_1_20_mRNA</v>
      </c>
      <c r="H208" t="str">
        <f t="shared" si="40"/>
        <v>E4_2_1_20 : E4_2_1_20</v>
      </c>
      <c r="I208" t="str">
        <f t="shared" si="47"/>
        <v>E4_2_1_20_mRNA : 0</v>
      </c>
      <c r="J208" t="str">
        <f t="shared" si="41"/>
        <v>E4_2_1_20 : 0</v>
      </c>
      <c r="K208" t="str">
        <f t="shared" si="42"/>
        <v>0.00292 - (0.0093 * E4_2_1_20_mRNA)</v>
      </c>
      <c r="L208" t="str">
        <f t="shared" si="43"/>
        <v>(0.278 * E4_2_1_20_mRNA) - (0.00000278 * E4_2_1_20)</v>
      </c>
      <c r="M208" t="str">
        <f t="shared" si="44"/>
        <v>mRNA207: -&gt; E4_2_1_20_mRNA | 0.00292 - (0.0093 * E4_2_1_20_mRNA)</v>
      </c>
      <c r="N208" t="str">
        <f t="shared" si="45"/>
        <v>Peptide207: E4_2_1_20_mRNA -&gt; E4_2_1_20 | (0.278 * E4_2_1_20_mRNA) - (0.000000278 * E4_2_1_20)</v>
      </c>
    </row>
    <row r="209" spans="1:14">
      <c r="A209">
        <v>208</v>
      </c>
      <c r="B209" s="1" t="s">
        <v>11636</v>
      </c>
      <c r="C209" t="str">
        <f t="shared" si="36"/>
        <v>E4_2_1_3_mRNA</v>
      </c>
      <c r="D209" t="str">
        <f t="shared" si="37"/>
        <v>E4_2_1_3</v>
      </c>
      <c r="E209" t="str">
        <f t="shared" si="38"/>
        <v>E4_2_1_3_kcat : 13.7</v>
      </c>
      <c r="F209" t="str">
        <f t="shared" si="46"/>
        <v>E4_2_1_3_km : 1</v>
      </c>
      <c r="G209" t="str">
        <f t="shared" si="39"/>
        <v>E4_2_1_3_mRNA : E4_2_1_3_mRNA</v>
      </c>
      <c r="H209" t="str">
        <f t="shared" si="40"/>
        <v>E4_2_1_3 : E4_2_1_3</v>
      </c>
      <c r="I209" t="str">
        <f t="shared" si="47"/>
        <v>E4_2_1_3_mRNA : 0</v>
      </c>
      <c r="J209" t="str">
        <f t="shared" si="41"/>
        <v>E4_2_1_3 : 0</v>
      </c>
      <c r="K209" t="str">
        <f t="shared" si="42"/>
        <v>0.00292 - (0.0093 * E4_2_1_3_mRNA)</v>
      </c>
      <c r="L209" t="str">
        <f t="shared" si="43"/>
        <v>(0.278 * E4_2_1_3_mRNA) - (0.00000278 * E4_2_1_3)</v>
      </c>
      <c r="M209" t="str">
        <f t="shared" si="44"/>
        <v>mRNA208: -&gt; E4_2_1_3_mRNA | 0.00292 - (0.0093 * E4_2_1_3_mRNA)</v>
      </c>
      <c r="N209" t="str">
        <f t="shared" si="45"/>
        <v>Peptide208: E4_2_1_3_mRNA -&gt; E4_2_1_3 | (0.278 * E4_2_1_3_mRNA) - (0.000000278 * E4_2_1_3)</v>
      </c>
    </row>
    <row r="210" spans="1:14">
      <c r="A210">
        <v>209</v>
      </c>
      <c r="B210" s="1" t="s">
        <v>11637</v>
      </c>
      <c r="C210" t="str">
        <f t="shared" si="36"/>
        <v>E4_2_1_33_mRNA</v>
      </c>
      <c r="D210" t="str">
        <f t="shared" si="37"/>
        <v>E4_2_1_33</v>
      </c>
      <c r="E210" t="str">
        <f t="shared" si="38"/>
        <v>E4_2_1_33_kcat : 13.7</v>
      </c>
      <c r="F210" t="str">
        <f t="shared" si="46"/>
        <v>E4_2_1_33_km : 1</v>
      </c>
      <c r="G210" t="str">
        <f t="shared" si="39"/>
        <v>E4_2_1_33_mRNA : E4_2_1_33_mRNA</v>
      </c>
      <c r="H210" t="str">
        <f t="shared" si="40"/>
        <v>E4_2_1_33 : E4_2_1_33</v>
      </c>
      <c r="I210" t="str">
        <f t="shared" si="47"/>
        <v>E4_2_1_33_mRNA : 0</v>
      </c>
      <c r="J210" t="str">
        <f t="shared" si="41"/>
        <v>E4_2_1_33 : 0</v>
      </c>
      <c r="K210" t="str">
        <f t="shared" si="42"/>
        <v>0.00292 - (0.0093 * E4_2_1_33_mRNA)</v>
      </c>
      <c r="L210" t="str">
        <f t="shared" si="43"/>
        <v>(0.278 * E4_2_1_33_mRNA) - (0.00000278 * E4_2_1_33)</v>
      </c>
      <c r="M210" t="str">
        <f t="shared" si="44"/>
        <v>mRNA209: -&gt; E4_2_1_33_mRNA | 0.00292 - (0.0093 * E4_2_1_33_mRNA)</v>
      </c>
      <c r="N210" t="str">
        <f t="shared" si="45"/>
        <v>Peptide209: E4_2_1_33_mRNA -&gt; E4_2_1_33 | (0.278 * E4_2_1_33_mRNA) - (0.000000278 * E4_2_1_33)</v>
      </c>
    </row>
    <row r="211" spans="1:14">
      <c r="A211">
        <v>210</v>
      </c>
      <c r="B211" s="1" t="s">
        <v>11638</v>
      </c>
      <c r="C211" t="str">
        <f t="shared" si="36"/>
        <v>E4_2_1_46_mRNA</v>
      </c>
      <c r="D211" t="str">
        <f t="shared" si="37"/>
        <v>E4_2_1_46</v>
      </c>
      <c r="E211" t="str">
        <f t="shared" si="38"/>
        <v>E4_2_1_46_kcat : 13.7</v>
      </c>
      <c r="F211" t="str">
        <f t="shared" si="46"/>
        <v>E4_2_1_46_km : 1</v>
      </c>
      <c r="G211" t="str">
        <f t="shared" si="39"/>
        <v>E4_2_1_46_mRNA : E4_2_1_46_mRNA</v>
      </c>
      <c r="H211" t="str">
        <f t="shared" si="40"/>
        <v>E4_2_1_46 : E4_2_1_46</v>
      </c>
      <c r="I211" t="str">
        <f t="shared" si="47"/>
        <v>E4_2_1_46_mRNA : 0</v>
      </c>
      <c r="J211" t="str">
        <f t="shared" si="41"/>
        <v>E4_2_1_46 : 0</v>
      </c>
      <c r="K211" t="str">
        <f t="shared" si="42"/>
        <v>0.00292 - (0.0093 * E4_2_1_46_mRNA)</v>
      </c>
      <c r="L211" t="str">
        <f t="shared" si="43"/>
        <v>(0.278 * E4_2_1_46_mRNA) - (0.00000278 * E4_2_1_46)</v>
      </c>
      <c r="M211" t="str">
        <f t="shared" si="44"/>
        <v>mRNA210: -&gt; E4_2_1_46_mRNA | 0.00292 - (0.0093 * E4_2_1_46_mRNA)</v>
      </c>
      <c r="N211" t="str">
        <f t="shared" si="45"/>
        <v>Peptide210: E4_2_1_46_mRNA -&gt; E4_2_1_46 | (0.278 * E4_2_1_46_mRNA) - (0.000000278 * E4_2_1_46)</v>
      </c>
    </row>
    <row r="212" spans="1:14">
      <c r="A212">
        <v>211</v>
      </c>
      <c r="B212" s="1" t="s">
        <v>11639</v>
      </c>
      <c r="C212" t="str">
        <f t="shared" si="36"/>
        <v>E4_2_1_47_mRNA</v>
      </c>
      <c r="D212" t="str">
        <f t="shared" si="37"/>
        <v>E4_2_1_47</v>
      </c>
      <c r="E212" t="str">
        <f t="shared" si="38"/>
        <v>E4_2_1_47_kcat : 13.7</v>
      </c>
      <c r="F212" t="str">
        <f t="shared" si="46"/>
        <v>E4_2_1_47_km : 1</v>
      </c>
      <c r="G212" t="str">
        <f t="shared" si="39"/>
        <v>E4_2_1_47_mRNA : E4_2_1_47_mRNA</v>
      </c>
      <c r="H212" t="str">
        <f t="shared" si="40"/>
        <v>E4_2_1_47 : E4_2_1_47</v>
      </c>
      <c r="I212" t="str">
        <f t="shared" si="47"/>
        <v>E4_2_1_47_mRNA : 0</v>
      </c>
      <c r="J212" t="str">
        <f t="shared" si="41"/>
        <v>E4_2_1_47 : 0</v>
      </c>
      <c r="K212" t="str">
        <f t="shared" si="42"/>
        <v>0.00292 - (0.0093 * E4_2_1_47_mRNA)</v>
      </c>
      <c r="L212" t="str">
        <f t="shared" si="43"/>
        <v>(0.278 * E4_2_1_47_mRNA) - (0.00000278 * E4_2_1_47)</v>
      </c>
      <c r="M212" t="str">
        <f t="shared" si="44"/>
        <v>mRNA211: -&gt; E4_2_1_47_mRNA | 0.00292 - (0.0093 * E4_2_1_47_mRNA)</v>
      </c>
      <c r="N212" t="str">
        <f t="shared" si="45"/>
        <v>Peptide211: E4_2_1_47_mRNA -&gt; E4_2_1_47 | (0.278 * E4_2_1_47_mRNA) - (0.000000278 * E4_2_1_47)</v>
      </c>
    </row>
    <row r="213" spans="1:14">
      <c r="A213">
        <v>212</v>
      </c>
      <c r="B213" s="1" t="s">
        <v>11640</v>
      </c>
      <c r="C213" t="str">
        <f t="shared" si="36"/>
        <v>E4_2_1_49_mRNA</v>
      </c>
      <c r="D213" t="str">
        <f t="shared" si="37"/>
        <v>E4_2_1_49</v>
      </c>
      <c r="E213" t="str">
        <f t="shared" si="38"/>
        <v>E4_2_1_49_kcat : 13.7</v>
      </c>
      <c r="F213" t="str">
        <f t="shared" si="46"/>
        <v>E4_2_1_49_km : 1</v>
      </c>
      <c r="G213" t="str">
        <f t="shared" si="39"/>
        <v>E4_2_1_49_mRNA : E4_2_1_49_mRNA</v>
      </c>
      <c r="H213" t="str">
        <f t="shared" si="40"/>
        <v>E4_2_1_49 : E4_2_1_49</v>
      </c>
      <c r="I213" t="str">
        <f t="shared" si="47"/>
        <v>E4_2_1_49_mRNA : 0</v>
      </c>
      <c r="J213" t="str">
        <f t="shared" si="41"/>
        <v>E4_2_1_49 : 0</v>
      </c>
      <c r="K213" t="str">
        <f t="shared" si="42"/>
        <v>0.00292 - (0.0093 * E4_2_1_49_mRNA)</v>
      </c>
      <c r="L213" t="str">
        <f t="shared" si="43"/>
        <v>(0.278 * E4_2_1_49_mRNA) - (0.00000278 * E4_2_1_49)</v>
      </c>
      <c r="M213" t="str">
        <f t="shared" si="44"/>
        <v>mRNA212: -&gt; E4_2_1_49_mRNA | 0.00292 - (0.0093 * E4_2_1_49_mRNA)</v>
      </c>
      <c r="N213" t="str">
        <f t="shared" si="45"/>
        <v>Peptide212: E4_2_1_49_mRNA -&gt; E4_2_1_49 | (0.278 * E4_2_1_49_mRNA) - (0.000000278 * E4_2_1_49)</v>
      </c>
    </row>
    <row r="214" spans="1:14">
      <c r="A214">
        <v>213</v>
      </c>
      <c r="B214" s="1" t="s">
        <v>11641</v>
      </c>
      <c r="C214" t="str">
        <f t="shared" si="36"/>
        <v>E4_2_1_8_mRNA</v>
      </c>
      <c r="D214" t="str">
        <f t="shared" si="37"/>
        <v>E4_2_1_8</v>
      </c>
      <c r="E214" t="str">
        <f t="shared" si="38"/>
        <v>E4_2_1_8_kcat : 13.7</v>
      </c>
      <c r="F214" t="str">
        <f t="shared" si="46"/>
        <v>E4_2_1_8_km : 1</v>
      </c>
      <c r="G214" t="str">
        <f t="shared" si="39"/>
        <v>E4_2_1_8_mRNA : E4_2_1_8_mRNA</v>
      </c>
      <c r="H214" t="str">
        <f t="shared" si="40"/>
        <v>E4_2_1_8 : E4_2_1_8</v>
      </c>
      <c r="I214" t="str">
        <f t="shared" si="47"/>
        <v>E4_2_1_8_mRNA : 0</v>
      </c>
      <c r="J214" t="str">
        <f t="shared" si="41"/>
        <v>E4_2_1_8 : 0</v>
      </c>
      <c r="K214" t="str">
        <f t="shared" si="42"/>
        <v>0.00292 - (0.0093 * E4_2_1_8_mRNA)</v>
      </c>
      <c r="L214" t="str">
        <f t="shared" si="43"/>
        <v>(0.278 * E4_2_1_8_mRNA) - (0.00000278 * E4_2_1_8)</v>
      </c>
      <c r="M214" t="str">
        <f t="shared" si="44"/>
        <v>mRNA213: -&gt; E4_2_1_8_mRNA | 0.00292 - (0.0093 * E4_2_1_8_mRNA)</v>
      </c>
      <c r="N214" t="str">
        <f t="shared" si="45"/>
        <v>Peptide213: E4_2_1_8_mRNA -&gt; E4_2_1_8 | (0.278 * E4_2_1_8_mRNA) - (0.000000278 * E4_2_1_8)</v>
      </c>
    </row>
    <row r="215" spans="1:14">
      <c r="A215">
        <v>214</v>
      </c>
      <c r="B215" s="1" t="s">
        <v>11642</v>
      </c>
      <c r="C215" t="str">
        <f t="shared" si="36"/>
        <v>E4_2_1_9_mRNA</v>
      </c>
      <c r="D215" t="str">
        <f t="shared" si="37"/>
        <v>E4_2_1_9</v>
      </c>
      <c r="E215" t="str">
        <f t="shared" si="38"/>
        <v>E4_2_1_9_kcat : 13.7</v>
      </c>
      <c r="F215" t="str">
        <f t="shared" si="46"/>
        <v>E4_2_1_9_km : 1</v>
      </c>
      <c r="G215" t="str">
        <f t="shared" si="39"/>
        <v>E4_2_1_9_mRNA : E4_2_1_9_mRNA</v>
      </c>
      <c r="H215" t="str">
        <f t="shared" si="40"/>
        <v>E4_2_1_9 : E4_2_1_9</v>
      </c>
      <c r="I215" t="str">
        <f t="shared" si="47"/>
        <v>E4_2_1_9_mRNA : 0</v>
      </c>
      <c r="J215" t="str">
        <f t="shared" si="41"/>
        <v>E4_2_1_9 : 0</v>
      </c>
      <c r="K215" t="str">
        <f t="shared" si="42"/>
        <v>0.00292 - (0.0093 * E4_2_1_9_mRNA)</v>
      </c>
      <c r="L215" t="str">
        <f t="shared" si="43"/>
        <v>(0.278 * E4_2_1_9_mRNA) - (0.00000278 * E4_2_1_9)</v>
      </c>
      <c r="M215" t="str">
        <f t="shared" si="44"/>
        <v>mRNA214: -&gt; E4_2_1_9_mRNA | 0.00292 - (0.0093 * E4_2_1_9_mRNA)</v>
      </c>
      <c r="N215" t="str">
        <f t="shared" si="45"/>
        <v>Peptide214: E4_2_1_9_mRNA -&gt; E4_2_1_9 | (0.278 * E4_2_1_9_mRNA) - (0.000000278 * E4_2_1_9)</v>
      </c>
    </row>
    <row r="216" spans="1:14">
      <c r="A216">
        <v>215</v>
      </c>
      <c r="B216" s="1" t="s">
        <v>11643</v>
      </c>
      <c r="C216" t="str">
        <f t="shared" si="36"/>
        <v>E4_2_3_1_mRNA</v>
      </c>
      <c r="D216" t="str">
        <f t="shared" si="37"/>
        <v>E4_2_3_1</v>
      </c>
      <c r="E216" t="str">
        <f t="shared" si="38"/>
        <v>E4_2_3_1_kcat : 13.7</v>
      </c>
      <c r="F216" t="str">
        <f t="shared" si="46"/>
        <v>E4_2_3_1_km : 1</v>
      </c>
      <c r="G216" t="str">
        <f t="shared" si="39"/>
        <v>E4_2_3_1_mRNA : E4_2_3_1_mRNA</v>
      </c>
      <c r="H216" t="str">
        <f t="shared" si="40"/>
        <v>E4_2_3_1 : E4_2_3_1</v>
      </c>
      <c r="I216" t="str">
        <f t="shared" si="47"/>
        <v>E4_2_3_1_mRNA : 0</v>
      </c>
      <c r="J216" t="str">
        <f t="shared" si="41"/>
        <v>E4_2_3_1 : 0</v>
      </c>
      <c r="K216" t="str">
        <f t="shared" si="42"/>
        <v>0.00292 - (0.0093 * E4_2_3_1_mRNA)</v>
      </c>
      <c r="L216" t="str">
        <f t="shared" si="43"/>
        <v>(0.278 * E4_2_3_1_mRNA) - (0.00000278 * E4_2_3_1)</v>
      </c>
      <c r="M216" t="str">
        <f t="shared" si="44"/>
        <v>mRNA215: -&gt; E4_2_3_1_mRNA | 0.00292 - (0.0093 * E4_2_3_1_mRNA)</v>
      </c>
      <c r="N216" t="str">
        <f t="shared" si="45"/>
        <v>Peptide215: E4_2_3_1_mRNA -&gt; E4_2_3_1 | (0.278 * E4_2_3_1_mRNA) - (0.000000278 * E4_2_3_1)</v>
      </c>
    </row>
    <row r="217" spans="1:14">
      <c r="A217">
        <v>216</v>
      </c>
      <c r="B217" s="1" t="s">
        <v>11644</v>
      </c>
      <c r="C217" t="str">
        <f t="shared" si="36"/>
        <v>E4_2_3_3_mRNA</v>
      </c>
      <c r="D217" t="str">
        <f t="shared" si="37"/>
        <v>E4_2_3_3</v>
      </c>
      <c r="E217" t="str">
        <f t="shared" si="38"/>
        <v>E4_2_3_3_kcat : 13.7</v>
      </c>
      <c r="F217" t="str">
        <f t="shared" si="46"/>
        <v>E4_2_3_3_km : 1</v>
      </c>
      <c r="G217" t="str">
        <f t="shared" si="39"/>
        <v>E4_2_3_3_mRNA : E4_2_3_3_mRNA</v>
      </c>
      <c r="H217" t="str">
        <f t="shared" si="40"/>
        <v>E4_2_3_3 : E4_2_3_3</v>
      </c>
      <c r="I217" t="str">
        <f t="shared" si="47"/>
        <v>E4_2_3_3_mRNA : 0</v>
      </c>
      <c r="J217" t="str">
        <f t="shared" si="41"/>
        <v>E4_2_3_3 : 0</v>
      </c>
      <c r="K217" t="str">
        <f t="shared" si="42"/>
        <v>0.00292 - (0.0093 * E4_2_3_3_mRNA)</v>
      </c>
      <c r="L217" t="str">
        <f t="shared" si="43"/>
        <v>(0.278 * E4_2_3_3_mRNA) - (0.00000278 * E4_2_3_3)</v>
      </c>
      <c r="M217" t="str">
        <f t="shared" si="44"/>
        <v>mRNA216: -&gt; E4_2_3_3_mRNA | 0.00292 - (0.0093 * E4_2_3_3_mRNA)</v>
      </c>
      <c r="N217" t="str">
        <f t="shared" si="45"/>
        <v>Peptide216: E4_2_3_3_mRNA -&gt; E4_2_3_3 | (0.278 * E4_2_3_3_mRNA) - (0.000000278 * E4_2_3_3)</v>
      </c>
    </row>
    <row r="218" spans="1:14">
      <c r="A218">
        <v>217</v>
      </c>
      <c r="B218" s="1" t="s">
        <v>11645</v>
      </c>
      <c r="C218" t="str">
        <f t="shared" si="36"/>
        <v>E4_2_3_4_mRNA</v>
      </c>
      <c r="D218" t="str">
        <f t="shared" si="37"/>
        <v>E4_2_3_4</v>
      </c>
      <c r="E218" t="str">
        <f t="shared" si="38"/>
        <v>E4_2_3_4_kcat : 13.7</v>
      </c>
      <c r="F218" t="str">
        <f t="shared" si="46"/>
        <v>E4_2_3_4_km : 1</v>
      </c>
      <c r="G218" t="str">
        <f t="shared" si="39"/>
        <v>E4_2_3_4_mRNA : E4_2_3_4_mRNA</v>
      </c>
      <c r="H218" t="str">
        <f t="shared" si="40"/>
        <v>E4_2_3_4 : E4_2_3_4</v>
      </c>
      <c r="I218" t="str">
        <f t="shared" si="47"/>
        <v>E4_2_3_4_mRNA : 0</v>
      </c>
      <c r="J218" t="str">
        <f t="shared" si="41"/>
        <v>E4_2_3_4 : 0</v>
      </c>
      <c r="K218" t="str">
        <f t="shared" si="42"/>
        <v>0.00292 - (0.0093 * E4_2_3_4_mRNA)</v>
      </c>
      <c r="L218" t="str">
        <f t="shared" si="43"/>
        <v>(0.278 * E4_2_3_4_mRNA) - (0.00000278 * E4_2_3_4)</v>
      </c>
      <c r="M218" t="str">
        <f t="shared" si="44"/>
        <v>mRNA217: -&gt; E4_2_3_4_mRNA | 0.00292 - (0.0093 * E4_2_3_4_mRNA)</v>
      </c>
      <c r="N218" t="str">
        <f t="shared" si="45"/>
        <v>Peptide217: E4_2_3_4_mRNA -&gt; E4_2_3_4 | (0.278 * E4_2_3_4_mRNA) - (0.000000278 * E4_2_3_4)</v>
      </c>
    </row>
    <row r="219" spans="1:14">
      <c r="A219">
        <v>218</v>
      </c>
      <c r="B219" s="1" t="s">
        <v>11646</v>
      </c>
      <c r="C219" t="str">
        <f t="shared" si="36"/>
        <v>E4_2_3_5_mRNA</v>
      </c>
      <c r="D219" t="str">
        <f t="shared" si="37"/>
        <v>E4_2_3_5</v>
      </c>
      <c r="E219" t="str">
        <f t="shared" si="38"/>
        <v>E4_2_3_5_kcat : 13.7</v>
      </c>
      <c r="F219" t="str">
        <f t="shared" si="46"/>
        <v>E4_2_3_5_km : 1</v>
      </c>
      <c r="G219" t="str">
        <f t="shared" si="39"/>
        <v>E4_2_3_5_mRNA : E4_2_3_5_mRNA</v>
      </c>
      <c r="H219" t="str">
        <f t="shared" si="40"/>
        <v>E4_2_3_5 : E4_2_3_5</v>
      </c>
      <c r="I219" t="str">
        <f t="shared" si="47"/>
        <v>E4_2_3_5_mRNA : 0</v>
      </c>
      <c r="J219" t="str">
        <f t="shared" si="41"/>
        <v>E4_2_3_5 : 0</v>
      </c>
      <c r="K219" t="str">
        <f t="shared" si="42"/>
        <v>0.00292 - (0.0093 * E4_2_3_5_mRNA)</v>
      </c>
      <c r="L219" t="str">
        <f t="shared" si="43"/>
        <v>(0.278 * E4_2_3_5_mRNA) - (0.00000278 * E4_2_3_5)</v>
      </c>
      <c r="M219" t="str">
        <f t="shared" si="44"/>
        <v>mRNA218: -&gt; E4_2_3_5_mRNA | 0.00292 - (0.0093 * E4_2_3_5_mRNA)</v>
      </c>
      <c r="N219" t="str">
        <f t="shared" si="45"/>
        <v>Peptide218: E4_2_3_5_mRNA -&gt; E4_2_3_5 | (0.278 * E4_2_3_5_mRNA) - (0.000000278 * E4_2_3_5)</v>
      </c>
    </row>
    <row r="220" spans="1:14">
      <c r="A220">
        <v>219</v>
      </c>
      <c r="B220" s="1" t="s">
        <v>11647</v>
      </c>
      <c r="C220" t="str">
        <f t="shared" si="36"/>
        <v>E4_3_1_17_mRNA</v>
      </c>
      <c r="D220" t="str">
        <f t="shared" si="37"/>
        <v>E4_3_1_17</v>
      </c>
      <c r="E220" t="str">
        <f t="shared" si="38"/>
        <v>E4_3_1_17_kcat : 13.7</v>
      </c>
      <c r="F220" t="str">
        <f t="shared" si="46"/>
        <v>E4_3_1_17_km : 1</v>
      </c>
      <c r="G220" t="str">
        <f t="shared" si="39"/>
        <v>E4_3_1_17_mRNA : E4_3_1_17_mRNA</v>
      </c>
      <c r="H220" t="str">
        <f t="shared" si="40"/>
        <v>E4_3_1_17 : E4_3_1_17</v>
      </c>
      <c r="I220" t="str">
        <f t="shared" si="47"/>
        <v>E4_3_1_17_mRNA : 0</v>
      </c>
      <c r="J220" t="str">
        <f t="shared" si="41"/>
        <v>E4_3_1_17 : 0</v>
      </c>
      <c r="K220" t="str">
        <f t="shared" si="42"/>
        <v>0.00292 - (0.0093 * E4_3_1_17_mRNA)</v>
      </c>
      <c r="L220" t="str">
        <f t="shared" si="43"/>
        <v>(0.278 * E4_3_1_17_mRNA) - (0.00000278 * E4_3_1_17)</v>
      </c>
      <c r="M220" t="str">
        <f t="shared" si="44"/>
        <v>mRNA219: -&gt; E4_3_1_17_mRNA | 0.00292 - (0.0093 * E4_3_1_17_mRNA)</v>
      </c>
      <c r="N220" t="str">
        <f t="shared" si="45"/>
        <v>Peptide219: E4_3_1_17_mRNA -&gt; E4_3_1_17 | (0.278 * E4_3_1_17_mRNA) - (0.000000278 * E4_3_1_17)</v>
      </c>
    </row>
    <row r="221" spans="1:14">
      <c r="A221">
        <v>220</v>
      </c>
      <c r="B221" s="1" t="s">
        <v>11648</v>
      </c>
      <c r="C221" t="str">
        <f t="shared" si="36"/>
        <v>E4_3_1_19_mRNA</v>
      </c>
      <c r="D221" t="str">
        <f t="shared" si="37"/>
        <v>E4_3_1_19</v>
      </c>
      <c r="E221" t="str">
        <f t="shared" si="38"/>
        <v>E4_3_1_19_kcat : 13.7</v>
      </c>
      <c r="F221" t="str">
        <f t="shared" si="46"/>
        <v>E4_3_1_19_km : 1</v>
      </c>
      <c r="G221" t="str">
        <f t="shared" si="39"/>
        <v>E4_3_1_19_mRNA : E4_3_1_19_mRNA</v>
      </c>
      <c r="H221" t="str">
        <f t="shared" si="40"/>
        <v>E4_3_1_19 : E4_3_1_19</v>
      </c>
      <c r="I221" t="str">
        <f t="shared" si="47"/>
        <v>E4_3_1_19_mRNA : 0</v>
      </c>
      <c r="J221" t="str">
        <f t="shared" si="41"/>
        <v>E4_3_1_19 : 0</v>
      </c>
      <c r="K221" t="str">
        <f t="shared" si="42"/>
        <v>0.00292 - (0.0093 * E4_3_1_19_mRNA)</v>
      </c>
      <c r="L221" t="str">
        <f t="shared" si="43"/>
        <v>(0.278 * E4_3_1_19_mRNA) - (0.00000278 * E4_3_1_19)</v>
      </c>
      <c r="M221" t="str">
        <f t="shared" si="44"/>
        <v>mRNA220: -&gt; E4_3_1_19_mRNA | 0.00292 - (0.0093 * E4_3_1_19_mRNA)</v>
      </c>
      <c r="N221" t="str">
        <f t="shared" si="45"/>
        <v>Peptide220: E4_3_1_19_mRNA -&gt; E4_3_1_19 | (0.278 * E4_3_1_19_mRNA) - (0.000000278 * E4_3_1_19)</v>
      </c>
    </row>
    <row r="222" spans="1:14">
      <c r="A222">
        <v>221</v>
      </c>
      <c r="B222" s="1" t="s">
        <v>11649</v>
      </c>
      <c r="C222" t="str">
        <f t="shared" si="36"/>
        <v>E4_3_1_3_mRNA</v>
      </c>
      <c r="D222" t="str">
        <f t="shared" si="37"/>
        <v>E4_3_1_3</v>
      </c>
      <c r="E222" t="str">
        <f t="shared" si="38"/>
        <v>E4_3_1_3_kcat : 13.7</v>
      </c>
      <c r="F222" t="str">
        <f t="shared" si="46"/>
        <v>E4_3_1_3_km : 1</v>
      </c>
      <c r="G222" t="str">
        <f t="shared" si="39"/>
        <v>E4_3_1_3_mRNA : E4_3_1_3_mRNA</v>
      </c>
      <c r="H222" t="str">
        <f t="shared" si="40"/>
        <v>E4_3_1_3 : E4_3_1_3</v>
      </c>
      <c r="I222" t="str">
        <f t="shared" si="47"/>
        <v>E4_3_1_3_mRNA : 0</v>
      </c>
      <c r="J222" t="str">
        <f t="shared" si="41"/>
        <v>E4_3_1_3 : 0</v>
      </c>
      <c r="K222" t="str">
        <f t="shared" si="42"/>
        <v>0.00292 - (0.0093 * E4_3_1_3_mRNA)</v>
      </c>
      <c r="L222" t="str">
        <f t="shared" si="43"/>
        <v>(0.278 * E4_3_1_3_mRNA) - (0.00000278 * E4_3_1_3)</v>
      </c>
      <c r="M222" t="str">
        <f t="shared" si="44"/>
        <v>mRNA221: -&gt; E4_3_1_3_mRNA | 0.00292 - (0.0093 * E4_3_1_3_mRNA)</v>
      </c>
      <c r="N222" t="str">
        <f t="shared" si="45"/>
        <v>Peptide221: E4_3_1_3_mRNA -&gt; E4_3_1_3 | (0.278 * E4_3_1_3_mRNA) - (0.000000278 * E4_3_1_3)</v>
      </c>
    </row>
    <row r="223" spans="1:14">
      <c r="A223">
        <v>222</v>
      </c>
      <c r="B223" s="1" t="s">
        <v>11650</v>
      </c>
      <c r="C223" t="str">
        <f t="shared" si="36"/>
        <v>E4_3_2_1_mRNA</v>
      </c>
      <c r="D223" t="str">
        <f t="shared" si="37"/>
        <v>E4_3_2_1</v>
      </c>
      <c r="E223" t="str">
        <f t="shared" si="38"/>
        <v>E4_3_2_1_kcat : 13.7</v>
      </c>
      <c r="F223" t="str">
        <f t="shared" si="46"/>
        <v>E4_3_2_1_km : 1</v>
      </c>
      <c r="G223" t="str">
        <f t="shared" si="39"/>
        <v>E4_3_2_1_mRNA : E4_3_2_1_mRNA</v>
      </c>
      <c r="H223" t="str">
        <f t="shared" si="40"/>
        <v>E4_3_2_1 : E4_3_2_1</v>
      </c>
      <c r="I223" t="str">
        <f t="shared" si="47"/>
        <v>E4_3_2_1_mRNA : 0</v>
      </c>
      <c r="J223" t="str">
        <f t="shared" si="41"/>
        <v>E4_3_2_1 : 0</v>
      </c>
      <c r="K223" t="str">
        <f t="shared" si="42"/>
        <v>0.00292 - (0.0093 * E4_3_2_1_mRNA)</v>
      </c>
      <c r="L223" t="str">
        <f t="shared" si="43"/>
        <v>(0.278 * E4_3_2_1_mRNA) - (0.00000278 * E4_3_2_1)</v>
      </c>
      <c r="M223" t="str">
        <f t="shared" si="44"/>
        <v>mRNA222: -&gt; E4_3_2_1_mRNA | 0.00292 - (0.0093 * E4_3_2_1_mRNA)</v>
      </c>
      <c r="N223" t="str">
        <f t="shared" si="45"/>
        <v>Peptide222: E4_3_2_1_mRNA -&gt; E4_3_2_1 | (0.278 * E4_3_2_1_mRNA) - (0.000000278 * E4_3_2_1)</v>
      </c>
    </row>
    <row r="224" spans="1:14">
      <c r="A224">
        <v>223</v>
      </c>
      <c r="B224" s="1" t="s">
        <v>11651</v>
      </c>
      <c r="C224" t="str">
        <f t="shared" si="36"/>
        <v>E4_3_2_2_mRNA</v>
      </c>
      <c r="D224" t="str">
        <f t="shared" si="37"/>
        <v>E4_3_2_2</v>
      </c>
      <c r="E224" t="str">
        <f t="shared" si="38"/>
        <v>E4_3_2_2_kcat : 13.7</v>
      </c>
      <c r="F224" t="str">
        <f t="shared" si="46"/>
        <v>E4_3_2_2_km : 1</v>
      </c>
      <c r="G224" t="str">
        <f t="shared" si="39"/>
        <v>E4_3_2_2_mRNA : E4_3_2_2_mRNA</v>
      </c>
      <c r="H224" t="str">
        <f t="shared" si="40"/>
        <v>E4_3_2_2 : E4_3_2_2</v>
      </c>
      <c r="I224" t="str">
        <f t="shared" si="47"/>
        <v>E4_3_2_2_mRNA : 0</v>
      </c>
      <c r="J224" t="str">
        <f t="shared" si="41"/>
        <v>E4_3_2_2 : 0</v>
      </c>
      <c r="K224" t="str">
        <f t="shared" si="42"/>
        <v>0.00292 - (0.0093 * E4_3_2_2_mRNA)</v>
      </c>
      <c r="L224" t="str">
        <f t="shared" si="43"/>
        <v>(0.278 * E4_3_2_2_mRNA) - (0.00000278 * E4_3_2_2)</v>
      </c>
      <c r="M224" t="str">
        <f t="shared" si="44"/>
        <v>mRNA223: -&gt; E4_3_2_2_mRNA | 0.00292 - (0.0093 * E4_3_2_2_mRNA)</v>
      </c>
      <c r="N224" t="str">
        <f t="shared" si="45"/>
        <v>Peptide223: E4_3_2_2_mRNA -&gt; E4_3_2_2 | (0.278 * E4_3_2_2_mRNA) - (0.000000278 * E4_3_2_2)</v>
      </c>
    </row>
    <row r="225" spans="1:14">
      <c r="A225">
        <v>224</v>
      </c>
      <c r="B225" s="1" t="s">
        <v>11652</v>
      </c>
      <c r="C225" t="str">
        <f t="shared" si="36"/>
        <v>E4_3_3_7_mRNA</v>
      </c>
      <c r="D225" t="str">
        <f t="shared" si="37"/>
        <v>E4_3_3_7</v>
      </c>
      <c r="E225" t="str">
        <f t="shared" si="38"/>
        <v>E4_3_3_7_kcat : 13.7</v>
      </c>
      <c r="F225" t="str">
        <f t="shared" si="46"/>
        <v>E4_3_3_7_km : 1</v>
      </c>
      <c r="G225" t="str">
        <f t="shared" si="39"/>
        <v>E4_3_3_7_mRNA : E4_3_3_7_mRNA</v>
      </c>
      <c r="H225" t="str">
        <f t="shared" si="40"/>
        <v>E4_3_3_7 : E4_3_3_7</v>
      </c>
      <c r="I225" t="str">
        <f t="shared" si="47"/>
        <v>E4_3_3_7_mRNA : 0</v>
      </c>
      <c r="J225" t="str">
        <f t="shared" si="41"/>
        <v>E4_3_3_7 : 0</v>
      </c>
      <c r="K225" t="str">
        <f t="shared" si="42"/>
        <v>0.00292 - (0.0093 * E4_3_3_7_mRNA)</v>
      </c>
      <c r="L225" t="str">
        <f t="shared" si="43"/>
        <v>(0.278 * E4_3_3_7_mRNA) - (0.00000278 * E4_3_3_7)</v>
      </c>
      <c r="M225" t="str">
        <f t="shared" si="44"/>
        <v>mRNA224: -&gt; E4_3_3_7_mRNA | 0.00292 - (0.0093 * E4_3_3_7_mRNA)</v>
      </c>
      <c r="N225" t="str">
        <f t="shared" si="45"/>
        <v>Peptide224: E4_3_3_7_mRNA -&gt; E4_3_3_7 | (0.278 * E4_3_3_7_mRNA) - (0.000000278 * E4_3_3_7)</v>
      </c>
    </row>
    <row r="226" spans="1:14">
      <c r="A226">
        <v>225</v>
      </c>
      <c r="B226" s="1" t="s">
        <v>11653</v>
      </c>
      <c r="C226" t="str">
        <f t="shared" si="36"/>
        <v>E4_6_1_12_mRNA</v>
      </c>
      <c r="D226" t="str">
        <f t="shared" si="37"/>
        <v>E4_6_1_12</v>
      </c>
      <c r="E226" t="str">
        <f t="shared" si="38"/>
        <v>E4_6_1_12_kcat : 13.7</v>
      </c>
      <c r="F226" t="str">
        <f t="shared" si="46"/>
        <v>E4_6_1_12_km : 1</v>
      </c>
      <c r="G226" t="str">
        <f t="shared" si="39"/>
        <v>E4_6_1_12_mRNA : E4_6_1_12_mRNA</v>
      </c>
      <c r="H226" t="str">
        <f t="shared" si="40"/>
        <v>E4_6_1_12 : E4_6_1_12</v>
      </c>
      <c r="I226" t="str">
        <f t="shared" si="47"/>
        <v>E4_6_1_12_mRNA : 0</v>
      </c>
      <c r="J226" t="str">
        <f t="shared" si="41"/>
        <v>E4_6_1_12 : 0</v>
      </c>
      <c r="K226" t="str">
        <f t="shared" si="42"/>
        <v>0.00292 - (0.0093 * E4_6_1_12_mRNA)</v>
      </c>
      <c r="L226" t="str">
        <f t="shared" si="43"/>
        <v>(0.278 * E4_6_1_12_mRNA) - (0.00000278 * E4_6_1_12)</v>
      </c>
      <c r="M226" t="str">
        <f t="shared" si="44"/>
        <v>mRNA225: -&gt; E4_6_1_12_mRNA | 0.00292 - (0.0093 * E4_6_1_12_mRNA)</v>
      </c>
      <c r="N226" t="str">
        <f t="shared" si="45"/>
        <v>Peptide225: E4_6_1_12_mRNA -&gt; E4_6_1_12 | (0.278 * E4_6_1_12_mRNA) - (0.000000278 * E4_6_1_12)</v>
      </c>
    </row>
    <row r="227" spans="1:14">
      <c r="A227">
        <v>226</v>
      </c>
      <c r="B227" s="1" t="s">
        <v>11654</v>
      </c>
      <c r="C227" t="str">
        <f t="shared" si="36"/>
        <v>E5_1_1_3_mRNA</v>
      </c>
      <c r="D227" t="str">
        <f t="shared" si="37"/>
        <v>E5_1_1_3</v>
      </c>
      <c r="E227" t="str">
        <f t="shared" si="38"/>
        <v>E5_1_1_3_kcat : 13.7</v>
      </c>
      <c r="F227" t="str">
        <f t="shared" si="46"/>
        <v>E5_1_1_3_km : 1</v>
      </c>
      <c r="G227" t="str">
        <f t="shared" si="39"/>
        <v>E5_1_1_3_mRNA : E5_1_1_3_mRNA</v>
      </c>
      <c r="H227" t="str">
        <f t="shared" si="40"/>
        <v>E5_1_1_3 : E5_1_1_3</v>
      </c>
      <c r="I227" t="str">
        <f t="shared" si="47"/>
        <v>E5_1_1_3_mRNA : 0</v>
      </c>
      <c r="J227" t="str">
        <f t="shared" si="41"/>
        <v>E5_1_1_3 : 0</v>
      </c>
      <c r="K227" t="str">
        <f t="shared" si="42"/>
        <v>0.00292 - (0.0093 * E5_1_1_3_mRNA)</v>
      </c>
      <c r="L227" t="str">
        <f t="shared" si="43"/>
        <v>(0.278 * E5_1_1_3_mRNA) - (0.00000278 * E5_1_1_3)</v>
      </c>
      <c r="M227" t="str">
        <f t="shared" si="44"/>
        <v>mRNA226: -&gt; E5_1_1_3_mRNA | 0.00292 - (0.0093 * E5_1_1_3_mRNA)</v>
      </c>
      <c r="N227" t="str">
        <f t="shared" si="45"/>
        <v>Peptide226: E5_1_1_3_mRNA -&gt; E5_1_1_3 | (0.278 * E5_1_1_3_mRNA) - (0.000000278 * E5_1_1_3)</v>
      </c>
    </row>
    <row r="228" spans="1:14">
      <c r="A228">
        <v>227</v>
      </c>
      <c r="B228" s="1" t="s">
        <v>11655</v>
      </c>
      <c r="C228" t="str">
        <f t="shared" si="36"/>
        <v>E5_1_1_7_mRNA</v>
      </c>
      <c r="D228" t="str">
        <f t="shared" si="37"/>
        <v>E5_1_1_7</v>
      </c>
      <c r="E228" t="str">
        <f t="shared" si="38"/>
        <v>E5_1_1_7_kcat : 13.7</v>
      </c>
      <c r="F228" t="str">
        <f t="shared" si="46"/>
        <v>E5_1_1_7_km : 1</v>
      </c>
      <c r="G228" t="str">
        <f t="shared" si="39"/>
        <v>E5_1_1_7_mRNA : E5_1_1_7_mRNA</v>
      </c>
      <c r="H228" t="str">
        <f t="shared" si="40"/>
        <v>E5_1_1_7 : E5_1_1_7</v>
      </c>
      <c r="I228" t="str">
        <f t="shared" si="47"/>
        <v>E5_1_1_7_mRNA : 0</v>
      </c>
      <c r="J228" t="str">
        <f t="shared" si="41"/>
        <v>E5_1_1_7 : 0</v>
      </c>
      <c r="K228" t="str">
        <f t="shared" si="42"/>
        <v>0.00292 - (0.0093 * E5_1_1_7_mRNA)</v>
      </c>
      <c r="L228" t="str">
        <f t="shared" si="43"/>
        <v>(0.278 * E5_1_1_7_mRNA) - (0.00000278 * E5_1_1_7)</v>
      </c>
      <c r="M228" t="str">
        <f t="shared" si="44"/>
        <v>mRNA227: -&gt; E5_1_1_7_mRNA | 0.00292 - (0.0093 * E5_1_1_7_mRNA)</v>
      </c>
      <c r="N228" t="str">
        <f t="shared" si="45"/>
        <v>Peptide227: E5_1_1_7_mRNA -&gt; E5_1_1_7 | (0.278 * E5_1_1_7_mRNA) - (0.000000278 * E5_1_1_7)</v>
      </c>
    </row>
    <row r="229" spans="1:14">
      <c r="A229">
        <v>228</v>
      </c>
      <c r="B229" s="1" t="s">
        <v>11656</v>
      </c>
      <c r="C229" t="str">
        <f t="shared" si="36"/>
        <v>E5_1_3_1_mRNA</v>
      </c>
      <c r="D229" t="str">
        <f t="shared" si="37"/>
        <v>E5_1_3_1</v>
      </c>
      <c r="E229" t="str">
        <f t="shared" si="38"/>
        <v>E5_1_3_1_kcat : 13.7</v>
      </c>
      <c r="F229" t="str">
        <f t="shared" si="46"/>
        <v>E5_1_3_1_km : 1</v>
      </c>
      <c r="G229" t="str">
        <f t="shared" si="39"/>
        <v>E5_1_3_1_mRNA : E5_1_3_1_mRNA</v>
      </c>
      <c r="H229" t="str">
        <f t="shared" si="40"/>
        <v>E5_1_3_1 : E5_1_3_1</v>
      </c>
      <c r="I229" t="str">
        <f t="shared" si="47"/>
        <v>E5_1_3_1_mRNA : 0</v>
      </c>
      <c r="J229" t="str">
        <f t="shared" si="41"/>
        <v>E5_1_3_1 : 0</v>
      </c>
      <c r="K229" t="str">
        <f t="shared" si="42"/>
        <v>0.00292 - (0.0093 * E5_1_3_1_mRNA)</v>
      </c>
      <c r="L229" t="str">
        <f t="shared" si="43"/>
        <v>(0.278 * E5_1_3_1_mRNA) - (0.00000278 * E5_1_3_1)</v>
      </c>
      <c r="M229" t="str">
        <f t="shared" si="44"/>
        <v>mRNA228: -&gt; E5_1_3_1_mRNA | 0.00292 - (0.0093 * E5_1_3_1_mRNA)</v>
      </c>
      <c r="N229" t="str">
        <f t="shared" si="45"/>
        <v>Peptide228: E5_1_3_1_mRNA -&gt; E5_1_3_1 | (0.278 * E5_1_3_1_mRNA) - (0.000000278 * E5_1_3_1)</v>
      </c>
    </row>
    <row r="230" spans="1:14">
      <c r="A230">
        <v>229</v>
      </c>
      <c r="B230" s="1" t="s">
        <v>11657</v>
      </c>
      <c r="C230" t="str">
        <f t="shared" si="36"/>
        <v>E5_1_3_13_mRNA</v>
      </c>
      <c r="D230" t="str">
        <f t="shared" si="37"/>
        <v>E5_1_3_13</v>
      </c>
      <c r="E230" t="str">
        <f t="shared" si="38"/>
        <v>E5_1_3_13_kcat : 13.7</v>
      </c>
      <c r="F230" t="str">
        <f t="shared" si="46"/>
        <v>E5_1_3_13_km : 1</v>
      </c>
      <c r="G230" t="str">
        <f t="shared" si="39"/>
        <v>E5_1_3_13_mRNA : E5_1_3_13_mRNA</v>
      </c>
      <c r="H230" t="str">
        <f t="shared" si="40"/>
        <v>E5_1_3_13 : E5_1_3_13</v>
      </c>
      <c r="I230" t="str">
        <f t="shared" si="47"/>
        <v>E5_1_3_13_mRNA : 0</v>
      </c>
      <c r="J230" t="str">
        <f t="shared" si="41"/>
        <v>E5_1_3_13 : 0</v>
      </c>
      <c r="K230" t="str">
        <f t="shared" si="42"/>
        <v>0.00292 - (0.0093 * E5_1_3_13_mRNA)</v>
      </c>
      <c r="L230" t="str">
        <f t="shared" si="43"/>
        <v>(0.278 * E5_1_3_13_mRNA) - (0.00000278 * E5_1_3_13)</v>
      </c>
      <c r="M230" t="str">
        <f t="shared" si="44"/>
        <v>mRNA229: -&gt; E5_1_3_13_mRNA | 0.00292 - (0.0093 * E5_1_3_13_mRNA)</v>
      </c>
      <c r="N230" t="str">
        <f t="shared" si="45"/>
        <v>Peptide229: E5_1_3_13_mRNA -&gt; E5_1_3_13 | (0.278 * E5_1_3_13_mRNA) - (0.000000278 * E5_1_3_13)</v>
      </c>
    </row>
    <row r="231" spans="1:14">
      <c r="A231">
        <v>230</v>
      </c>
      <c r="B231" s="1" t="s">
        <v>11658</v>
      </c>
      <c r="C231" t="str">
        <f t="shared" si="36"/>
        <v>E5_1_3_14_mRNA</v>
      </c>
      <c r="D231" t="str">
        <f t="shared" si="37"/>
        <v>E5_1_3_14</v>
      </c>
      <c r="E231" t="str">
        <f t="shared" si="38"/>
        <v>E5_1_3_14_kcat : 13.7</v>
      </c>
      <c r="F231" t="str">
        <f t="shared" si="46"/>
        <v>E5_1_3_14_km : 1</v>
      </c>
      <c r="G231" t="str">
        <f t="shared" si="39"/>
        <v>E5_1_3_14_mRNA : E5_1_3_14_mRNA</v>
      </c>
      <c r="H231" t="str">
        <f t="shared" si="40"/>
        <v>E5_1_3_14 : E5_1_3_14</v>
      </c>
      <c r="I231" t="str">
        <f t="shared" si="47"/>
        <v>E5_1_3_14_mRNA : 0</v>
      </c>
      <c r="J231" t="str">
        <f t="shared" si="41"/>
        <v>E5_1_3_14 : 0</v>
      </c>
      <c r="K231" t="str">
        <f t="shared" si="42"/>
        <v>0.00292 - (0.0093 * E5_1_3_14_mRNA)</v>
      </c>
      <c r="L231" t="str">
        <f t="shared" si="43"/>
        <v>(0.278 * E5_1_3_14_mRNA) - (0.00000278 * E5_1_3_14)</v>
      </c>
      <c r="M231" t="str">
        <f t="shared" si="44"/>
        <v>mRNA230: -&gt; E5_1_3_14_mRNA | 0.00292 - (0.0093 * E5_1_3_14_mRNA)</v>
      </c>
      <c r="N231" t="str">
        <f t="shared" si="45"/>
        <v>Peptide230: E5_1_3_14_mRNA -&gt; E5_1_3_14 | (0.278 * E5_1_3_14_mRNA) - (0.000000278 * E5_1_3_14)</v>
      </c>
    </row>
    <row r="232" spans="1:14">
      <c r="A232">
        <v>231</v>
      </c>
      <c r="B232" s="1" t="s">
        <v>11659</v>
      </c>
      <c r="C232" t="str">
        <f t="shared" si="36"/>
        <v>E5_1_3_2_mRNA</v>
      </c>
      <c r="D232" t="str">
        <f t="shared" si="37"/>
        <v>E5_1_3_2</v>
      </c>
      <c r="E232" t="str">
        <f t="shared" si="38"/>
        <v>E5_1_3_2_kcat : 13.7</v>
      </c>
      <c r="F232" t="str">
        <f t="shared" si="46"/>
        <v>E5_1_3_2_km : 1</v>
      </c>
      <c r="G232" t="str">
        <f t="shared" si="39"/>
        <v>E5_1_3_2_mRNA : E5_1_3_2_mRNA</v>
      </c>
      <c r="H232" t="str">
        <f t="shared" si="40"/>
        <v>E5_1_3_2 : E5_1_3_2</v>
      </c>
      <c r="I232" t="str">
        <f t="shared" si="47"/>
        <v>E5_1_3_2_mRNA : 0</v>
      </c>
      <c r="J232" t="str">
        <f t="shared" si="41"/>
        <v>E5_1_3_2 : 0</v>
      </c>
      <c r="K232" t="str">
        <f t="shared" si="42"/>
        <v>0.00292 - (0.0093 * E5_1_3_2_mRNA)</v>
      </c>
      <c r="L232" t="str">
        <f t="shared" si="43"/>
        <v>(0.278 * E5_1_3_2_mRNA) - (0.00000278 * E5_1_3_2)</v>
      </c>
      <c r="M232" t="str">
        <f t="shared" si="44"/>
        <v>mRNA231: -&gt; E5_1_3_2_mRNA | 0.00292 - (0.0093 * E5_1_3_2_mRNA)</v>
      </c>
      <c r="N232" t="str">
        <f t="shared" si="45"/>
        <v>Peptide231: E5_1_3_2_mRNA -&gt; E5_1_3_2 | (0.278 * E5_1_3_2_mRNA) - (0.000000278 * E5_1_3_2)</v>
      </c>
    </row>
    <row r="233" spans="1:14">
      <c r="A233">
        <v>232</v>
      </c>
      <c r="B233" s="1" t="s">
        <v>11660</v>
      </c>
      <c r="C233" t="str">
        <f t="shared" si="36"/>
        <v>E5_1_99_1_mRNA</v>
      </c>
      <c r="D233" t="str">
        <f t="shared" si="37"/>
        <v>E5_1_99_1</v>
      </c>
      <c r="E233" t="str">
        <f t="shared" si="38"/>
        <v>E5_1_99_1_kcat : 13.7</v>
      </c>
      <c r="F233" t="str">
        <f t="shared" si="46"/>
        <v>E5_1_99_1_km : 1</v>
      </c>
      <c r="G233" t="str">
        <f t="shared" si="39"/>
        <v>E5_1_99_1_mRNA : E5_1_99_1_mRNA</v>
      </c>
      <c r="H233" t="str">
        <f t="shared" si="40"/>
        <v>E5_1_99_1 : E5_1_99_1</v>
      </c>
      <c r="I233" t="str">
        <f t="shared" si="47"/>
        <v>E5_1_99_1_mRNA : 0</v>
      </c>
      <c r="J233" t="str">
        <f t="shared" si="41"/>
        <v>E5_1_99_1 : 0</v>
      </c>
      <c r="K233" t="str">
        <f t="shared" si="42"/>
        <v>0.00292 - (0.0093 * E5_1_99_1_mRNA)</v>
      </c>
      <c r="L233" t="str">
        <f t="shared" si="43"/>
        <v>(0.278 * E5_1_99_1_mRNA) - (0.00000278 * E5_1_99_1)</v>
      </c>
      <c r="M233" t="str">
        <f t="shared" si="44"/>
        <v>mRNA232: -&gt; E5_1_99_1_mRNA | 0.00292 - (0.0093 * E5_1_99_1_mRNA)</v>
      </c>
      <c r="N233" t="str">
        <f t="shared" si="45"/>
        <v>Peptide232: E5_1_99_1_mRNA -&gt; E5_1_99_1 | (0.278 * E5_1_99_1_mRNA) - (0.000000278 * E5_1_99_1)</v>
      </c>
    </row>
    <row r="234" spans="1:14">
      <c r="A234">
        <v>233</v>
      </c>
      <c r="B234" s="1" t="s">
        <v>11661</v>
      </c>
      <c r="C234" t="str">
        <f t="shared" si="36"/>
        <v>E5_2_1_8_mRNA</v>
      </c>
      <c r="D234" t="str">
        <f t="shared" si="37"/>
        <v>E5_2_1_8</v>
      </c>
      <c r="E234" t="str">
        <f t="shared" si="38"/>
        <v>E5_2_1_8_kcat : 13.7</v>
      </c>
      <c r="F234" t="str">
        <f t="shared" si="46"/>
        <v>E5_2_1_8_km : 1</v>
      </c>
      <c r="G234" t="str">
        <f t="shared" si="39"/>
        <v>E5_2_1_8_mRNA : E5_2_1_8_mRNA</v>
      </c>
      <c r="H234" t="str">
        <f t="shared" si="40"/>
        <v>E5_2_1_8 : E5_2_1_8</v>
      </c>
      <c r="I234" t="str">
        <f t="shared" si="47"/>
        <v>E5_2_1_8_mRNA : 0</v>
      </c>
      <c r="J234" t="str">
        <f t="shared" si="41"/>
        <v>E5_2_1_8 : 0</v>
      </c>
      <c r="K234" t="str">
        <f t="shared" si="42"/>
        <v>0.00292 - (0.0093 * E5_2_1_8_mRNA)</v>
      </c>
      <c r="L234" t="str">
        <f t="shared" si="43"/>
        <v>(0.278 * E5_2_1_8_mRNA) - (0.00000278 * E5_2_1_8)</v>
      </c>
      <c r="M234" t="str">
        <f t="shared" si="44"/>
        <v>mRNA233: -&gt; E5_2_1_8_mRNA | 0.00292 - (0.0093 * E5_2_1_8_mRNA)</v>
      </c>
      <c r="N234" t="str">
        <f t="shared" si="45"/>
        <v>Peptide233: E5_2_1_8_mRNA -&gt; E5_2_1_8 | (0.278 * E5_2_1_8_mRNA) - (0.000000278 * E5_2_1_8)</v>
      </c>
    </row>
    <row r="235" spans="1:14">
      <c r="A235">
        <v>234</v>
      </c>
      <c r="B235" s="1" t="s">
        <v>11662</v>
      </c>
      <c r="C235" t="str">
        <f t="shared" si="36"/>
        <v>E5_3_1_1_mRNA</v>
      </c>
      <c r="D235" t="str">
        <f t="shared" si="37"/>
        <v>E5_3_1_1</v>
      </c>
      <c r="E235" t="str">
        <f t="shared" si="38"/>
        <v>E5_3_1_1_kcat : 13.7</v>
      </c>
      <c r="F235" t="str">
        <f t="shared" si="46"/>
        <v>E5_3_1_1_km : 1</v>
      </c>
      <c r="G235" t="str">
        <f t="shared" si="39"/>
        <v>E5_3_1_1_mRNA : E5_3_1_1_mRNA</v>
      </c>
      <c r="H235" t="str">
        <f t="shared" si="40"/>
        <v>E5_3_1_1 : E5_3_1_1</v>
      </c>
      <c r="I235" t="str">
        <f t="shared" si="47"/>
        <v>E5_3_1_1_mRNA : 0</v>
      </c>
      <c r="J235" t="str">
        <f t="shared" si="41"/>
        <v>E5_3_1_1 : 0</v>
      </c>
      <c r="K235" t="str">
        <f t="shared" si="42"/>
        <v>0.00292 - (0.0093 * E5_3_1_1_mRNA)</v>
      </c>
      <c r="L235" t="str">
        <f t="shared" si="43"/>
        <v>(0.278 * E5_3_1_1_mRNA) - (0.00000278 * E5_3_1_1)</v>
      </c>
      <c r="M235" t="str">
        <f t="shared" si="44"/>
        <v>mRNA234: -&gt; E5_3_1_1_mRNA | 0.00292 - (0.0093 * E5_3_1_1_mRNA)</v>
      </c>
      <c r="N235" t="str">
        <f t="shared" si="45"/>
        <v>Peptide234: E5_3_1_1_mRNA -&gt; E5_3_1_1 | (0.278 * E5_3_1_1_mRNA) - (0.000000278 * E5_3_1_1)</v>
      </c>
    </row>
    <row r="236" spans="1:14">
      <c r="A236">
        <v>235</v>
      </c>
      <c r="B236" s="1" t="s">
        <v>11663</v>
      </c>
      <c r="C236" t="str">
        <f t="shared" si="36"/>
        <v>E5_3_1_12_mRNA</v>
      </c>
      <c r="D236" t="str">
        <f t="shared" si="37"/>
        <v>E5_3_1_12</v>
      </c>
      <c r="E236" t="str">
        <f t="shared" si="38"/>
        <v>E5_3_1_12_kcat : 13.7</v>
      </c>
      <c r="F236" t="str">
        <f t="shared" si="46"/>
        <v>E5_3_1_12_km : 1</v>
      </c>
      <c r="G236" t="str">
        <f t="shared" si="39"/>
        <v>E5_3_1_12_mRNA : E5_3_1_12_mRNA</v>
      </c>
      <c r="H236" t="str">
        <f t="shared" si="40"/>
        <v>E5_3_1_12 : E5_3_1_12</v>
      </c>
      <c r="I236" t="str">
        <f t="shared" si="47"/>
        <v>E5_3_1_12_mRNA : 0</v>
      </c>
      <c r="J236" t="str">
        <f t="shared" si="41"/>
        <v>E5_3_1_12 : 0</v>
      </c>
      <c r="K236" t="str">
        <f t="shared" si="42"/>
        <v>0.00292 - (0.0093 * E5_3_1_12_mRNA)</v>
      </c>
      <c r="L236" t="str">
        <f t="shared" si="43"/>
        <v>(0.278 * E5_3_1_12_mRNA) - (0.00000278 * E5_3_1_12)</v>
      </c>
      <c r="M236" t="str">
        <f t="shared" si="44"/>
        <v>mRNA235: -&gt; E5_3_1_12_mRNA | 0.00292 - (0.0093 * E5_3_1_12_mRNA)</v>
      </c>
      <c r="N236" t="str">
        <f t="shared" si="45"/>
        <v>Peptide235: E5_3_1_12_mRNA -&gt; E5_3_1_12 | (0.278 * E5_3_1_12_mRNA) - (0.000000278 * E5_3_1_12)</v>
      </c>
    </row>
    <row r="237" spans="1:14">
      <c r="A237">
        <v>236</v>
      </c>
      <c r="B237" s="1" t="s">
        <v>11664</v>
      </c>
      <c r="C237" t="str">
        <f t="shared" si="36"/>
        <v>E5_3_1_14_mRNA</v>
      </c>
      <c r="D237" t="str">
        <f t="shared" si="37"/>
        <v>E5_3_1_14</v>
      </c>
      <c r="E237" t="str">
        <f t="shared" si="38"/>
        <v>E5_3_1_14_kcat : 13.7</v>
      </c>
      <c r="F237" t="str">
        <f t="shared" si="46"/>
        <v>E5_3_1_14_km : 1</v>
      </c>
      <c r="G237" t="str">
        <f t="shared" si="39"/>
        <v>E5_3_1_14_mRNA : E5_3_1_14_mRNA</v>
      </c>
      <c r="H237" t="str">
        <f t="shared" si="40"/>
        <v>E5_3_1_14 : E5_3_1_14</v>
      </c>
      <c r="I237" t="str">
        <f t="shared" si="47"/>
        <v>E5_3_1_14_mRNA : 0</v>
      </c>
      <c r="J237" t="str">
        <f t="shared" si="41"/>
        <v>E5_3_1_14 : 0</v>
      </c>
      <c r="K237" t="str">
        <f t="shared" si="42"/>
        <v>0.00292 - (0.0093 * E5_3_1_14_mRNA)</v>
      </c>
      <c r="L237" t="str">
        <f t="shared" si="43"/>
        <v>(0.278 * E5_3_1_14_mRNA) - (0.00000278 * E5_3_1_14)</v>
      </c>
      <c r="M237" t="str">
        <f t="shared" si="44"/>
        <v>mRNA236: -&gt; E5_3_1_14_mRNA | 0.00292 - (0.0093 * E5_3_1_14_mRNA)</v>
      </c>
      <c r="N237" t="str">
        <f t="shared" si="45"/>
        <v>Peptide236: E5_3_1_14_mRNA -&gt; E5_3_1_14 | (0.278 * E5_3_1_14_mRNA) - (0.000000278 * E5_3_1_14)</v>
      </c>
    </row>
    <row r="238" spans="1:14">
      <c r="A238">
        <v>237</v>
      </c>
      <c r="B238" s="1" t="s">
        <v>11665</v>
      </c>
      <c r="C238" t="str">
        <f t="shared" si="36"/>
        <v>E5_3_1_16_mRNA</v>
      </c>
      <c r="D238" t="str">
        <f t="shared" si="37"/>
        <v>E5_3_1_16</v>
      </c>
      <c r="E238" t="str">
        <f t="shared" si="38"/>
        <v>E5_3_1_16_kcat : 13.7</v>
      </c>
      <c r="F238" t="str">
        <f t="shared" si="46"/>
        <v>E5_3_1_16_km : 1</v>
      </c>
      <c r="G238" t="str">
        <f t="shared" si="39"/>
        <v>E5_3_1_16_mRNA : E5_3_1_16_mRNA</v>
      </c>
      <c r="H238" t="str">
        <f t="shared" si="40"/>
        <v>E5_3_1_16 : E5_3_1_16</v>
      </c>
      <c r="I238" t="str">
        <f t="shared" si="47"/>
        <v>E5_3_1_16_mRNA : 0</v>
      </c>
      <c r="J238" t="str">
        <f t="shared" si="41"/>
        <v>E5_3_1_16 : 0</v>
      </c>
      <c r="K238" t="str">
        <f t="shared" si="42"/>
        <v>0.00292 - (0.0093 * E5_3_1_16_mRNA)</v>
      </c>
      <c r="L238" t="str">
        <f t="shared" si="43"/>
        <v>(0.278 * E5_3_1_16_mRNA) - (0.00000278 * E5_3_1_16)</v>
      </c>
      <c r="M238" t="str">
        <f t="shared" si="44"/>
        <v>mRNA237: -&gt; E5_3_1_16_mRNA | 0.00292 - (0.0093 * E5_3_1_16_mRNA)</v>
      </c>
      <c r="N238" t="str">
        <f t="shared" si="45"/>
        <v>Peptide237: E5_3_1_16_mRNA -&gt; E5_3_1_16 | (0.278 * E5_3_1_16_mRNA) - (0.000000278 * E5_3_1_16)</v>
      </c>
    </row>
    <row r="239" spans="1:14">
      <c r="A239">
        <v>238</v>
      </c>
      <c r="B239" s="1" t="s">
        <v>11666</v>
      </c>
      <c r="C239" t="str">
        <f t="shared" si="36"/>
        <v>E5_3_1_23_mRNA</v>
      </c>
      <c r="D239" t="str">
        <f t="shared" si="37"/>
        <v>E5_3_1_23</v>
      </c>
      <c r="E239" t="str">
        <f t="shared" si="38"/>
        <v>E5_3_1_23_kcat : 13.7</v>
      </c>
      <c r="F239" t="str">
        <f t="shared" si="46"/>
        <v>E5_3_1_23_km : 1</v>
      </c>
      <c r="G239" t="str">
        <f t="shared" si="39"/>
        <v>E5_3_1_23_mRNA : E5_3_1_23_mRNA</v>
      </c>
      <c r="H239" t="str">
        <f t="shared" si="40"/>
        <v>E5_3_1_23 : E5_3_1_23</v>
      </c>
      <c r="I239" t="str">
        <f t="shared" si="47"/>
        <v>E5_3_1_23_mRNA : 0</v>
      </c>
      <c r="J239" t="str">
        <f t="shared" si="41"/>
        <v>E5_3_1_23 : 0</v>
      </c>
      <c r="K239" t="str">
        <f t="shared" si="42"/>
        <v>0.00292 - (0.0093 * E5_3_1_23_mRNA)</v>
      </c>
      <c r="L239" t="str">
        <f t="shared" si="43"/>
        <v>(0.278 * E5_3_1_23_mRNA) - (0.00000278 * E5_3_1_23)</v>
      </c>
      <c r="M239" t="str">
        <f t="shared" si="44"/>
        <v>mRNA238: -&gt; E5_3_1_23_mRNA | 0.00292 - (0.0093 * E5_3_1_23_mRNA)</v>
      </c>
      <c r="N239" t="str">
        <f t="shared" si="45"/>
        <v>Peptide238: E5_3_1_23_mRNA -&gt; E5_3_1_23 | (0.278 * E5_3_1_23_mRNA) - (0.000000278 * E5_3_1_23)</v>
      </c>
    </row>
    <row r="240" spans="1:14">
      <c r="A240">
        <v>239</v>
      </c>
      <c r="B240" s="1" t="s">
        <v>11667</v>
      </c>
      <c r="C240" t="str">
        <f t="shared" si="36"/>
        <v>E5_3_1_5_mRNA</v>
      </c>
      <c r="D240" t="str">
        <f t="shared" si="37"/>
        <v>E5_3_1_5</v>
      </c>
      <c r="E240" t="str">
        <f t="shared" si="38"/>
        <v>E5_3_1_5_kcat : 13.7</v>
      </c>
      <c r="F240" t="str">
        <f t="shared" si="46"/>
        <v>E5_3_1_5_km : 1</v>
      </c>
      <c r="G240" t="str">
        <f t="shared" si="39"/>
        <v>E5_3_1_5_mRNA : E5_3_1_5_mRNA</v>
      </c>
      <c r="H240" t="str">
        <f t="shared" si="40"/>
        <v>E5_3_1_5 : E5_3_1_5</v>
      </c>
      <c r="I240" t="str">
        <f t="shared" si="47"/>
        <v>E5_3_1_5_mRNA : 0</v>
      </c>
      <c r="J240" t="str">
        <f t="shared" si="41"/>
        <v>E5_3_1_5 : 0</v>
      </c>
      <c r="K240" t="str">
        <f t="shared" si="42"/>
        <v>0.00292 - (0.0093 * E5_3_1_5_mRNA)</v>
      </c>
      <c r="L240" t="str">
        <f t="shared" si="43"/>
        <v>(0.278 * E5_3_1_5_mRNA) - (0.00000278 * E5_3_1_5)</v>
      </c>
      <c r="M240" t="str">
        <f t="shared" si="44"/>
        <v>mRNA239: -&gt; E5_3_1_5_mRNA | 0.00292 - (0.0093 * E5_3_1_5_mRNA)</v>
      </c>
      <c r="N240" t="str">
        <f t="shared" si="45"/>
        <v>Peptide239: E5_3_1_5_mRNA -&gt; E5_3_1_5 | (0.278 * E5_3_1_5_mRNA) - (0.000000278 * E5_3_1_5)</v>
      </c>
    </row>
    <row r="241" spans="1:14">
      <c r="A241">
        <v>240</v>
      </c>
      <c r="B241" s="1" t="s">
        <v>11668</v>
      </c>
      <c r="C241" t="str">
        <f t="shared" si="36"/>
        <v>E5_3_1_6_mRNA</v>
      </c>
      <c r="D241" t="str">
        <f t="shared" si="37"/>
        <v>E5_3_1_6</v>
      </c>
      <c r="E241" t="str">
        <f t="shared" si="38"/>
        <v>E5_3_1_6_kcat : 13.7</v>
      </c>
      <c r="F241" t="str">
        <f t="shared" si="46"/>
        <v>E5_3_1_6_km : 1</v>
      </c>
      <c r="G241" t="str">
        <f t="shared" si="39"/>
        <v>E5_3_1_6_mRNA : E5_3_1_6_mRNA</v>
      </c>
      <c r="H241" t="str">
        <f t="shared" si="40"/>
        <v>E5_3_1_6 : E5_3_1_6</v>
      </c>
      <c r="I241" t="str">
        <f t="shared" si="47"/>
        <v>E5_3_1_6_mRNA : 0</v>
      </c>
      <c r="J241" t="str">
        <f t="shared" si="41"/>
        <v>E5_3_1_6 : 0</v>
      </c>
      <c r="K241" t="str">
        <f t="shared" si="42"/>
        <v>0.00292 - (0.0093 * E5_3_1_6_mRNA)</v>
      </c>
      <c r="L241" t="str">
        <f t="shared" si="43"/>
        <v>(0.278 * E5_3_1_6_mRNA) - (0.00000278 * E5_3_1_6)</v>
      </c>
      <c r="M241" t="str">
        <f t="shared" si="44"/>
        <v>mRNA240: -&gt; E5_3_1_6_mRNA | 0.00292 - (0.0093 * E5_3_1_6_mRNA)</v>
      </c>
      <c r="N241" t="str">
        <f t="shared" si="45"/>
        <v>Peptide240: E5_3_1_6_mRNA -&gt; E5_3_1_6 | (0.278 * E5_3_1_6_mRNA) - (0.000000278 * E5_3_1_6)</v>
      </c>
    </row>
    <row r="242" spans="1:14">
      <c r="A242">
        <v>241</v>
      </c>
      <c r="B242" s="1" t="s">
        <v>11669</v>
      </c>
      <c r="C242" t="str">
        <f t="shared" si="36"/>
        <v>E5_3_1_9_mRNA</v>
      </c>
      <c r="D242" t="str">
        <f t="shared" si="37"/>
        <v>E5_3_1_9</v>
      </c>
      <c r="E242" t="str">
        <f t="shared" si="38"/>
        <v>E5_3_1_9_kcat : 13.7</v>
      </c>
      <c r="F242" t="str">
        <f t="shared" si="46"/>
        <v>E5_3_1_9_km : 1</v>
      </c>
      <c r="G242" t="str">
        <f t="shared" si="39"/>
        <v>E5_3_1_9_mRNA : E5_3_1_9_mRNA</v>
      </c>
      <c r="H242" t="str">
        <f t="shared" si="40"/>
        <v>E5_3_1_9 : E5_3_1_9</v>
      </c>
      <c r="I242" t="str">
        <f t="shared" si="47"/>
        <v>E5_3_1_9_mRNA : 0</v>
      </c>
      <c r="J242" t="str">
        <f t="shared" si="41"/>
        <v>E5_3_1_9 : 0</v>
      </c>
      <c r="K242" t="str">
        <f t="shared" si="42"/>
        <v>0.00292 - (0.0093 * E5_3_1_9_mRNA)</v>
      </c>
      <c r="L242" t="str">
        <f t="shared" si="43"/>
        <v>(0.278 * E5_3_1_9_mRNA) - (0.00000278 * E5_3_1_9)</v>
      </c>
      <c r="M242" t="str">
        <f t="shared" si="44"/>
        <v>mRNA241: -&gt; E5_3_1_9_mRNA | 0.00292 - (0.0093 * E5_3_1_9_mRNA)</v>
      </c>
      <c r="N242" t="str">
        <f t="shared" si="45"/>
        <v>Peptide241: E5_3_1_9_mRNA -&gt; E5_3_1_9 | (0.278 * E5_3_1_9_mRNA) - (0.000000278 * E5_3_1_9)</v>
      </c>
    </row>
    <row r="243" spans="1:14">
      <c r="A243">
        <v>242</v>
      </c>
      <c r="B243" s="1" t="s">
        <v>11670</v>
      </c>
      <c r="C243" t="str">
        <f t="shared" si="36"/>
        <v>E5_4_2_10_mRNA</v>
      </c>
      <c r="D243" t="str">
        <f t="shared" si="37"/>
        <v>E5_4_2_10</v>
      </c>
      <c r="E243" t="str">
        <f t="shared" si="38"/>
        <v>E5_4_2_10_kcat : 13.7</v>
      </c>
      <c r="F243" t="str">
        <f t="shared" si="46"/>
        <v>E5_4_2_10_km : 1</v>
      </c>
      <c r="G243" t="str">
        <f t="shared" si="39"/>
        <v>E5_4_2_10_mRNA : E5_4_2_10_mRNA</v>
      </c>
      <c r="H243" t="str">
        <f t="shared" si="40"/>
        <v>E5_4_2_10 : E5_4_2_10</v>
      </c>
      <c r="I243" t="str">
        <f t="shared" si="47"/>
        <v>E5_4_2_10_mRNA : 0</v>
      </c>
      <c r="J243" t="str">
        <f t="shared" si="41"/>
        <v>E5_4_2_10 : 0</v>
      </c>
      <c r="K243" t="str">
        <f t="shared" si="42"/>
        <v>0.00292 - (0.0093 * E5_4_2_10_mRNA)</v>
      </c>
      <c r="L243" t="str">
        <f t="shared" si="43"/>
        <v>(0.278 * E5_4_2_10_mRNA) - (0.00000278 * E5_4_2_10)</v>
      </c>
      <c r="M243" t="str">
        <f t="shared" si="44"/>
        <v>mRNA242: -&gt; E5_4_2_10_mRNA | 0.00292 - (0.0093 * E5_4_2_10_mRNA)</v>
      </c>
      <c r="N243" t="str">
        <f t="shared" si="45"/>
        <v>Peptide242: E5_4_2_10_mRNA -&gt; E5_4_2_10 | (0.278 * E5_4_2_10_mRNA) - (0.000000278 * E5_4_2_10)</v>
      </c>
    </row>
    <row r="244" spans="1:14">
      <c r="A244">
        <v>243</v>
      </c>
      <c r="B244" s="1" t="s">
        <v>11671</v>
      </c>
      <c r="C244" t="str">
        <f t="shared" si="36"/>
        <v>E5_4_2_11_mRNA</v>
      </c>
      <c r="D244" t="str">
        <f t="shared" si="37"/>
        <v>E5_4_2_11</v>
      </c>
      <c r="E244" t="str">
        <f t="shared" si="38"/>
        <v>E5_4_2_11_kcat : 13.7</v>
      </c>
      <c r="F244" t="str">
        <f t="shared" si="46"/>
        <v>E5_4_2_11_km : 1</v>
      </c>
      <c r="G244" t="str">
        <f t="shared" si="39"/>
        <v>E5_4_2_11_mRNA : E5_4_2_11_mRNA</v>
      </c>
      <c r="H244" t="str">
        <f t="shared" si="40"/>
        <v>E5_4_2_11 : E5_4_2_11</v>
      </c>
      <c r="I244" t="str">
        <f t="shared" si="47"/>
        <v>E5_4_2_11_mRNA : 0</v>
      </c>
      <c r="J244" t="str">
        <f t="shared" si="41"/>
        <v>E5_4_2_11 : 0</v>
      </c>
      <c r="K244" t="str">
        <f t="shared" si="42"/>
        <v>0.00292 - (0.0093 * E5_4_2_11_mRNA)</v>
      </c>
      <c r="L244" t="str">
        <f t="shared" si="43"/>
        <v>(0.278 * E5_4_2_11_mRNA) - (0.00000278 * E5_4_2_11)</v>
      </c>
      <c r="M244" t="str">
        <f t="shared" si="44"/>
        <v>mRNA243: -&gt; E5_4_2_11_mRNA | 0.00292 - (0.0093 * E5_4_2_11_mRNA)</v>
      </c>
      <c r="N244" t="str">
        <f t="shared" si="45"/>
        <v>Peptide243: E5_4_2_11_mRNA -&gt; E5_4_2_11 | (0.278 * E5_4_2_11_mRNA) - (0.000000278 * E5_4_2_11)</v>
      </c>
    </row>
    <row r="245" spans="1:14">
      <c r="A245">
        <v>244</v>
      </c>
      <c r="B245" s="1" t="s">
        <v>11672</v>
      </c>
      <c r="C245" t="str">
        <f t="shared" si="36"/>
        <v>E5_4_2_12_mRNA</v>
      </c>
      <c r="D245" t="str">
        <f t="shared" si="37"/>
        <v>E5_4_2_12</v>
      </c>
      <c r="E245" t="str">
        <f t="shared" si="38"/>
        <v>E5_4_2_12_kcat : 13.7</v>
      </c>
      <c r="F245" t="str">
        <f t="shared" si="46"/>
        <v>E5_4_2_12_km : 1</v>
      </c>
      <c r="G245" t="str">
        <f t="shared" si="39"/>
        <v>E5_4_2_12_mRNA : E5_4_2_12_mRNA</v>
      </c>
      <c r="H245" t="str">
        <f t="shared" si="40"/>
        <v>E5_4_2_12 : E5_4_2_12</v>
      </c>
      <c r="I245" t="str">
        <f t="shared" si="47"/>
        <v>E5_4_2_12_mRNA : 0</v>
      </c>
      <c r="J245" t="str">
        <f t="shared" si="41"/>
        <v>E5_4_2_12 : 0</v>
      </c>
      <c r="K245" t="str">
        <f t="shared" si="42"/>
        <v>0.00292 - (0.0093 * E5_4_2_12_mRNA)</v>
      </c>
      <c r="L245" t="str">
        <f t="shared" si="43"/>
        <v>(0.278 * E5_4_2_12_mRNA) - (0.00000278 * E5_4_2_12)</v>
      </c>
      <c r="M245" t="str">
        <f t="shared" si="44"/>
        <v>mRNA244: -&gt; E5_4_2_12_mRNA | 0.00292 - (0.0093 * E5_4_2_12_mRNA)</v>
      </c>
      <c r="N245" t="str">
        <f t="shared" si="45"/>
        <v>Peptide244: E5_4_2_12_mRNA -&gt; E5_4_2_12 | (0.278 * E5_4_2_12_mRNA) - (0.000000278 * E5_4_2_12)</v>
      </c>
    </row>
    <row r="246" spans="1:14">
      <c r="A246">
        <v>245</v>
      </c>
      <c r="B246" s="1" t="s">
        <v>11673</v>
      </c>
      <c r="C246" t="str">
        <f t="shared" si="36"/>
        <v>E5_4_4_2_mRNA</v>
      </c>
      <c r="D246" t="str">
        <f t="shared" si="37"/>
        <v>E5_4_4_2</v>
      </c>
      <c r="E246" t="str">
        <f t="shared" si="38"/>
        <v>E5_4_4_2_kcat : 13.7</v>
      </c>
      <c r="F246" t="str">
        <f t="shared" si="46"/>
        <v>E5_4_4_2_km : 1</v>
      </c>
      <c r="G246" t="str">
        <f t="shared" si="39"/>
        <v>E5_4_4_2_mRNA : E5_4_4_2_mRNA</v>
      </c>
      <c r="H246" t="str">
        <f t="shared" si="40"/>
        <v>E5_4_4_2 : E5_4_4_2</v>
      </c>
      <c r="I246" t="str">
        <f t="shared" si="47"/>
        <v>E5_4_4_2_mRNA : 0</v>
      </c>
      <c r="J246" t="str">
        <f t="shared" si="41"/>
        <v>E5_4_4_2 : 0</v>
      </c>
      <c r="K246" t="str">
        <f t="shared" si="42"/>
        <v>0.00292 - (0.0093 * E5_4_4_2_mRNA)</v>
      </c>
      <c r="L246" t="str">
        <f t="shared" si="43"/>
        <v>(0.278 * E5_4_4_2_mRNA) - (0.00000278 * E5_4_4_2)</v>
      </c>
      <c r="M246" t="str">
        <f t="shared" si="44"/>
        <v>mRNA245: -&gt; E5_4_4_2_mRNA | 0.00292 - (0.0093 * E5_4_4_2_mRNA)</v>
      </c>
      <c r="N246" t="str">
        <f t="shared" si="45"/>
        <v>Peptide245: E5_4_4_2_mRNA -&gt; E5_4_4_2 | (0.278 * E5_4_4_2_mRNA) - (0.000000278 * E5_4_4_2)</v>
      </c>
    </row>
    <row r="247" spans="1:14">
      <c r="A247">
        <v>246</v>
      </c>
      <c r="B247" s="1" t="s">
        <v>11674</v>
      </c>
      <c r="C247" t="str">
        <f t="shared" si="36"/>
        <v>E5_4_99_12_mRNA</v>
      </c>
      <c r="D247" t="str">
        <f t="shared" si="37"/>
        <v>E5_4_99_12</v>
      </c>
      <c r="E247" t="str">
        <f t="shared" si="38"/>
        <v>E5_4_99_12_kcat : 13.7</v>
      </c>
      <c r="F247" t="str">
        <f t="shared" si="46"/>
        <v>E5_4_99_12_km : 1</v>
      </c>
      <c r="G247" t="str">
        <f t="shared" si="39"/>
        <v>E5_4_99_12_mRNA : E5_4_99_12_mRNA</v>
      </c>
      <c r="H247" t="str">
        <f t="shared" si="40"/>
        <v>E5_4_99_12 : E5_4_99_12</v>
      </c>
      <c r="I247" t="str">
        <f t="shared" si="47"/>
        <v>E5_4_99_12_mRNA : 0</v>
      </c>
      <c r="J247" t="str">
        <f t="shared" si="41"/>
        <v>E5_4_99_12 : 0</v>
      </c>
      <c r="K247" t="str">
        <f t="shared" si="42"/>
        <v>0.00292 - (0.0093 * E5_4_99_12_mRNA)</v>
      </c>
      <c r="L247" t="str">
        <f t="shared" si="43"/>
        <v>(0.278 * E5_4_99_12_mRNA) - (0.00000278 * E5_4_99_12)</v>
      </c>
      <c r="M247" t="str">
        <f t="shared" si="44"/>
        <v>mRNA246: -&gt; E5_4_99_12_mRNA | 0.00292 - (0.0093 * E5_4_99_12_mRNA)</v>
      </c>
      <c r="N247" t="str">
        <f t="shared" si="45"/>
        <v>Peptide246: E5_4_99_12_mRNA -&gt; E5_4_99_12 | (0.278 * E5_4_99_12_mRNA) - (0.000000278 * E5_4_99_12)</v>
      </c>
    </row>
    <row r="248" spans="1:14">
      <c r="A248">
        <v>247</v>
      </c>
      <c r="B248" s="1" t="s">
        <v>11675</v>
      </c>
      <c r="C248" t="str">
        <f t="shared" si="36"/>
        <v>E5_4_99_18_mRNA</v>
      </c>
      <c r="D248" t="str">
        <f t="shared" si="37"/>
        <v>E5_4_99_18</v>
      </c>
      <c r="E248" t="str">
        <f t="shared" si="38"/>
        <v>E5_4_99_18_kcat : 13.7</v>
      </c>
      <c r="F248" t="str">
        <f t="shared" si="46"/>
        <v>E5_4_99_18_km : 1</v>
      </c>
      <c r="G248" t="str">
        <f t="shared" si="39"/>
        <v>E5_4_99_18_mRNA : E5_4_99_18_mRNA</v>
      </c>
      <c r="H248" t="str">
        <f t="shared" si="40"/>
        <v>E5_4_99_18 : E5_4_99_18</v>
      </c>
      <c r="I248" t="str">
        <f t="shared" si="47"/>
        <v>E5_4_99_18_mRNA : 0</v>
      </c>
      <c r="J248" t="str">
        <f t="shared" si="41"/>
        <v>E5_4_99_18 : 0</v>
      </c>
      <c r="K248" t="str">
        <f t="shared" si="42"/>
        <v>0.00292 - (0.0093 * E5_4_99_18_mRNA)</v>
      </c>
      <c r="L248" t="str">
        <f t="shared" si="43"/>
        <v>(0.278 * E5_4_99_18_mRNA) - (0.00000278 * E5_4_99_18)</v>
      </c>
      <c r="M248" t="str">
        <f t="shared" si="44"/>
        <v>mRNA247: -&gt; E5_4_99_18_mRNA | 0.00292 - (0.0093 * E5_4_99_18_mRNA)</v>
      </c>
      <c r="N248" t="str">
        <f t="shared" si="45"/>
        <v>Peptide247: E5_4_99_18_mRNA -&gt; E5_4_99_18 | (0.278 * E5_4_99_18_mRNA) - (0.000000278 * E5_4_99_18)</v>
      </c>
    </row>
    <row r="249" spans="1:14">
      <c r="A249">
        <v>248</v>
      </c>
      <c r="B249" s="1" t="s">
        <v>11676</v>
      </c>
      <c r="C249" t="str">
        <f t="shared" si="36"/>
        <v>E5_4_99_2_mRNA</v>
      </c>
      <c r="D249" t="str">
        <f t="shared" si="37"/>
        <v>E5_4_99_2</v>
      </c>
      <c r="E249" t="str">
        <f t="shared" si="38"/>
        <v>E5_4_99_2_kcat : 13.7</v>
      </c>
      <c r="F249" t="str">
        <f t="shared" si="46"/>
        <v>E5_4_99_2_km : 1</v>
      </c>
      <c r="G249" t="str">
        <f t="shared" si="39"/>
        <v>E5_4_99_2_mRNA : E5_4_99_2_mRNA</v>
      </c>
      <c r="H249" t="str">
        <f t="shared" si="40"/>
        <v>E5_4_99_2 : E5_4_99_2</v>
      </c>
      <c r="I249" t="str">
        <f t="shared" si="47"/>
        <v>E5_4_99_2_mRNA : 0</v>
      </c>
      <c r="J249" t="str">
        <f t="shared" si="41"/>
        <v>E5_4_99_2 : 0</v>
      </c>
      <c r="K249" t="str">
        <f t="shared" si="42"/>
        <v>0.00292 - (0.0093 * E5_4_99_2_mRNA)</v>
      </c>
      <c r="L249" t="str">
        <f t="shared" si="43"/>
        <v>(0.278 * E5_4_99_2_mRNA) - (0.00000278 * E5_4_99_2)</v>
      </c>
      <c r="M249" t="str">
        <f t="shared" si="44"/>
        <v>mRNA248: -&gt; E5_4_99_2_mRNA | 0.00292 - (0.0093 * E5_4_99_2_mRNA)</v>
      </c>
      <c r="N249" t="str">
        <f t="shared" si="45"/>
        <v>Peptide248: E5_4_99_2_mRNA -&gt; E5_4_99_2 | (0.278 * E5_4_99_2_mRNA) - (0.000000278 * E5_4_99_2)</v>
      </c>
    </row>
    <row r="250" spans="1:14">
      <c r="A250">
        <v>249</v>
      </c>
      <c r="B250" s="1" t="s">
        <v>11677</v>
      </c>
      <c r="C250" t="str">
        <f t="shared" si="36"/>
        <v>E5_4_99_9_mRNA</v>
      </c>
      <c r="D250" t="str">
        <f t="shared" si="37"/>
        <v>E5_4_99_9</v>
      </c>
      <c r="E250" t="str">
        <f t="shared" si="38"/>
        <v>E5_4_99_9_kcat : 13.7</v>
      </c>
      <c r="F250" t="str">
        <f t="shared" si="46"/>
        <v>E5_4_99_9_km : 1</v>
      </c>
      <c r="G250" t="str">
        <f t="shared" si="39"/>
        <v>E5_4_99_9_mRNA : E5_4_99_9_mRNA</v>
      </c>
      <c r="H250" t="str">
        <f t="shared" si="40"/>
        <v>E5_4_99_9 : E5_4_99_9</v>
      </c>
      <c r="I250" t="str">
        <f t="shared" si="47"/>
        <v>E5_4_99_9_mRNA : 0</v>
      </c>
      <c r="J250" t="str">
        <f t="shared" si="41"/>
        <v>E5_4_99_9 : 0</v>
      </c>
      <c r="K250" t="str">
        <f t="shared" si="42"/>
        <v>0.00292 - (0.0093 * E5_4_99_9_mRNA)</v>
      </c>
      <c r="L250" t="str">
        <f t="shared" si="43"/>
        <v>(0.278 * E5_4_99_9_mRNA) - (0.00000278 * E5_4_99_9)</v>
      </c>
      <c r="M250" t="str">
        <f t="shared" si="44"/>
        <v>mRNA249: -&gt; E5_4_99_9_mRNA | 0.00292 - (0.0093 * E5_4_99_9_mRNA)</v>
      </c>
      <c r="N250" t="str">
        <f t="shared" si="45"/>
        <v>Peptide249: E5_4_99_9_mRNA -&gt; E5_4_99_9 | (0.278 * E5_4_99_9_mRNA) - (0.000000278 * E5_4_99_9)</v>
      </c>
    </row>
    <row r="251" spans="1:14">
      <c r="A251">
        <v>250</v>
      </c>
      <c r="B251" s="1" t="s">
        <v>11678</v>
      </c>
      <c r="C251" t="str">
        <f t="shared" si="36"/>
        <v>E6_1_1_1_mRNA</v>
      </c>
      <c r="D251" t="str">
        <f t="shared" si="37"/>
        <v>E6_1_1_1</v>
      </c>
      <c r="E251" t="str">
        <f t="shared" si="38"/>
        <v>E6_1_1_1_kcat : 13.7</v>
      </c>
      <c r="F251" t="str">
        <f t="shared" si="46"/>
        <v>E6_1_1_1_km : 1</v>
      </c>
      <c r="G251" t="str">
        <f t="shared" si="39"/>
        <v>E6_1_1_1_mRNA : E6_1_1_1_mRNA</v>
      </c>
      <c r="H251" t="str">
        <f t="shared" si="40"/>
        <v>E6_1_1_1 : E6_1_1_1</v>
      </c>
      <c r="I251" t="str">
        <f t="shared" si="47"/>
        <v>E6_1_1_1_mRNA : 0</v>
      </c>
      <c r="J251" t="str">
        <f t="shared" si="41"/>
        <v>E6_1_1_1 : 0</v>
      </c>
      <c r="K251" t="str">
        <f t="shared" si="42"/>
        <v>0.00292 - (0.0093 * E6_1_1_1_mRNA)</v>
      </c>
      <c r="L251" t="str">
        <f t="shared" si="43"/>
        <v>(0.278 * E6_1_1_1_mRNA) - (0.00000278 * E6_1_1_1)</v>
      </c>
      <c r="M251" t="str">
        <f t="shared" si="44"/>
        <v>mRNA250: -&gt; E6_1_1_1_mRNA | 0.00292 - (0.0093 * E6_1_1_1_mRNA)</v>
      </c>
      <c r="N251" t="str">
        <f t="shared" si="45"/>
        <v>Peptide250: E6_1_1_1_mRNA -&gt; E6_1_1_1 | (0.278 * E6_1_1_1_mRNA) - (0.000000278 * E6_1_1_1)</v>
      </c>
    </row>
    <row r="252" spans="1:14">
      <c r="A252">
        <v>251</v>
      </c>
      <c r="B252" s="1" t="s">
        <v>11679</v>
      </c>
      <c r="C252" t="str">
        <f t="shared" si="36"/>
        <v>E6_1_1_10_mRNA</v>
      </c>
      <c r="D252" t="str">
        <f t="shared" si="37"/>
        <v>E6_1_1_10</v>
      </c>
      <c r="E252" t="str">
        <f t="shared" si="38"/>
        <v>E6_1_1_10_kcat : 13.7</v>
      </c>
      <c r="F252" t="str">
        <f t="shared" si="46"/>
        <v>E6_1_1_10_km : 1</v>
      </c>
      <c r="G252" t="str">
        <f t="shared" si="39"/>
        <v>E6_1_1_10_mRNA : E6_1_1_10_mRNA</v>
      </c>
      <c r="H252" t="str">
        <f t="shared" si="40"/>
        <v>E6_1_1_10 : E6_1_1_10</v>
      </c>
      <c r="I252" t="str">
        <f t="shared" si="47"/>
        <v>E6_1_1_10_mRNA : 0</v>
      </c>
      <c r="J252" t="str">
        <f t="shared" si="41"/>
        <v>E6_1_1_10 : 0</v>
      </c>
      <c r="K252" t="str">
        <f t="shared" si="42"/>
        <v>0.00292 - (0.0093 * E6_1_1_10_mRNA)</v>
      </c>
      <c r="L252" t="str">
        <f t="shared" si="43"/>
        <v>(0.278 * E6_1_1_10_mRNA) - (0.00000278 * E6_1_1_10)</v>
      </c>
      <c r="M252" t="str">
        <f t="shared" si="44"/>
        <v>mRNA251: -&gt; E6_1_1_10_mRNA | 0.00292 - (0.0093 * E6_1_1_10_mRNA)</v>
      </c>
      <c r="N252" t="str">
        <f t="shared" si="45"/>
        <v>Peptide251: E6_1_1_10_mRNA -&gt; E6_1_1_10 | (0.278 * E6_1_1_10_mRNA) - (0.000000278 * E6_1_1_10)</v>
      </c>
    </row>
    <row r="253" spans="1:14">
      <c r="A253">
        <v>252</v>
      </c>
      <c r="B253" s="1" t="s">
        <v>11680</v>
      </c>
      <c r="C253" t="str">
        <f t="shared" si="36"/>
        <v>E6_1_1_11_mRNA</v>
      </c>
      <c r="D253" t="str">
        <f t="shared" si="37"/>
        <v>E6_1_1_11</v>
      </c>
      <c r="E253" t="str">
        <f t="shared" si="38"/>
        <v>E6_1_1_11_kcat : 13.7</v>
      </c>
      <c r="F253" t="str">
        <f t="shared" si="46"/>
        <v>E6_1_1_11_km : 1</v>
      </c>
      <c r="G253" t="str">
        <f t="shared" si="39"/>
        <v>E6_1_1_11_mRNA : E6_1_1_11_mRNA</v>
      </c>
      <c r="H253" t="str">
        <f t="shared" si="40"/>
        <v>E6_1_1_11 : E6_1_1_11</v>
      </c>
      <c r="I253" t="str">
        <f t="shared" si="47"/>
        <v>E6_1_1_11_mRNA : 0</v>
      </c>
      <c r="J253" t="str">
        <f t="shared" si="41"/>
        <v>E6_1_1_11 : 0</v>
      </c>
      <c r="K253" t="str">
        <f t="shared" si="42"/>
        <v>0.00292 - (0.0093 * E6_1_1_11_mRNA)</v>
      </c>
      <c r="L253" t="str">
        <f t="shared" si="43"/>
        <v>(0.278 * E6_1_1_11_mRNA) - (0.00000278 * E6_1_1_11)</v>
      </c>
      <c r="M253" t="str">
        <f t="shared" si="44"/>
        <v>mRNA252: -&gt; E6_1_1_11_mRNA | 0.00292 - (0.0093 * E6_1_1_11_mRNA)</v>
      </c>
      <c r="N253" t="str">
        <f t="shared" si="45"/>
        <v>Peptide252: E6_1_1_11_mRNA -&gt; E6_1_1_11 | (0.278 * E6_1_1_11_mRNA) - (0.000000278 * E6_1_1_11)</v>
      </c>
    </row>
    <row r="254" spans="1:14">
      <c r="A254">
        <v>253</v>
      </c>
      <c r="B254" s="1" t="s">
        <v>11681</v>
      </c>
      <c r="C254" t="str">
        <f t="shared" si="36"/>
        <v>E6_1_1_12_mRNA</v>
      </c>
      <c r="D254" t="str">
        <f t="shared" si="37"/>
        <v>E6_1_1_12</v>
      </c>
      <c r="E254" t="str">
        <f t="shared" si="38"/>
        <v>E6_1_1_12_kcat : 13.7</v>
      </c>
      <c r="F254" t="str">
        <f t="shared" si="46"/>
        <v>E6_1_1_12_km : 1</v>
      </c>
      <c r="G254" t="str">
        <f t="shared" si="39"/>
        <v>E6_1_1_12_mRNA : E6_1_1_12_mRNA</v>
      </c>
      <c r="H254" t="str">
        <f t="shared" si="40"/>
        <v>E6_1_1_12 : E6_1_1_12</v>
      </c>
      <c r="I254" t="str">
        <f t="shared" si="47"/>
        <v>E6_1_1_12_mRNA : 0</v>
      </c>
      <c r="J254" t="str">
        <f t="shared" si="41"/>
        <v>E6_1_1_12 : 0</v>
      </c>
      <c r="K254" t="str">
        <f t="shared" si="42"/>
        <v>0.00292 - (0.0093 * E6_1_1_12_mRNA)</v>
      </c>
      <c r="L254" t="str">
        <f t="shared" si="43"/>
        <v>(0.278 * E6_1_1_12_mRNA) - (0.00000278 * E6_1_1_12)</v>
      </c>
      <c r="M254" t="str">
        <f t="shared" si="44"/>
        <v>mRNA253: -&gt; E6_1_1_12_mRNA | 0.00292 - (0.0093 * E6_1_1_12_mRNA)</v>
      </c>
      <c r="N254" t="str">
        <f t="shared" si="45"/>
        <v>Peptide253: E6_1_1_12_mRNA -&gt; E6_1_1_12 | (0.278 * E6_1_1_12_mRNA) - (0.000000278 * E6_1_1_12)</v>
      </c>
    </row>
    <row r="255" spans="1:14">
      <c r="A255">
        <v>254</v>
      </c>
      <c r="B255" s="1" t="s">
        <v>11682</v>
      </c>
      <c r="C255" t="str">
        <f t="shared" si="36"/>
        <v>E6_1_1_14_mRNA</v>
      </c>
      <c r="D255" t="str">
        <f t="shared" si="37"/>
        <v>E6_1_1_14</v>
      </c>
      <c r="E255" t="str">
        <f t="shared" si="38"/>
        <v>E6_1_1_14_kcat : 13.7</v>
      </c>
      <c r="F255" t="str">
        <f t="shared" si="46"/>
        <v>E6_1_1_14_km : 1</v>
      </c>
      <c r="G255" t="str">
        <f t="shared" si="39"/>
        <v>E6_1_1_14_mRNA : E6_1_1_14_mRNA</v>
      </c>
      <c r="H255" t="str">
        <f t="shared" si="40"/>
        <v>E6_1_1_14 : E6_1_1_14</v>
      </c>
      <c r="I255" t="str">
        <f t="shared" si="47"/>
        <v>E6_1_1_14_mRNA : 0</v>
      </c>
      <c r="J255" t="str">
        <f t="shared" si="41"/>
        <v>E6_1_1_14 : 0</v>
      </c>
      <c r="K255" t="str">
        <f t="shared" si="42"/>
        <v>0.00292 - (0.0093 * E6_1_1_14_mRNA)</v>
      </c>
      <c r="L255" t="str">
        <f t="shared" si="43"/>
        <v>(0.278 * E6_1_1_14_mRNA) - (0.00000278 * E6_1_1_14)</v>
      </c>
      <c r="M255" t="str">
        <f t="shared" si="44"/>
        <v>mRNA254: -&gt; E6_1_1_14_mRNA | 0.00292 - (0.0093 * E6_1_1_14_mRNA)</v>
      </c>
      <c r="N255" t="str">
        <f t="shared" si="45"/>
        <v>Peptide254: E6_1_1_14_mRNA -&gt; E6_1_1_14 | (0.278 * E6_1_1_14_mRNA) - (0.000000278 * E6_1_1_14)</v>
      </c>
    </row>
    <row r="256" spans="1:14">
      <c r="A256">
        <v>255</v>
      </c>
      <c r="B256" s="1" t="s">
        <v>11683</v>
      </c>
      <c r="C256" t="str">
        <f t="shared" si="36"/>
        <v>E6_1_1_15_mRNA</v>
      </c>
      <c r="D256" t="str">
        <f t="shared" si="37"/>
        <v>E6_1_1_15</v>
      </c>
      <c r="E256" t="str">
        <f t="shared" si="38"/>
        <v>E6_1_1_15_kcat : 13.7</v>
      </c>
      <c r="F256" t="str">
        <f t="shared" si="46"/>
        <v>E6_1_1_15_km : 1</v>
      </c>
      <c r="G256" t="str">
        <f t="shared" si="39"/>
        <v>E6_1_1_15_mRNA : E6_1_1_15_mRNA</v>
      </c>
      <c r="H256" t="str">
        <f t="shared" si="40"/>
        <v>E6_1_1_15 : E6_1_1_15</v>
      </c>
      <c r="I256" t="str">
        <f t="shared" si="47"/>
        <v>E6_1_1_15_mRNA : 0</v>
      </c>
      <c r="J256" t="str">
        <f t="shared" si="41"/>
        <v>E6_1_1_15 : 0</v>
      </c>
      <c r="K256" t="str">
        <f t="shared" si="42"/>
        <v>0.00292 - (0.0093 * E6_1_1_15_mRNA)</v>
      </c>
      <c r="L256" t="str">
        <f t="shared" si="43"/>
        <v>(0.278 * E6_1_1_15_mRNA) - (0.00000278 * E6_1_1_15)</v>
      </c>
      <c r="M256" t="str">
        <f t="shared" si="44"/>
        <v>mRNA255: -&gt; E6_1_1_15_mRNA | 0.00292 - (0.0093 * E6_1_1_15_mRNA)</v>
      </c>
      <c r="N256" t="str">
        <f t="shared" si="45"/>
        <v>Peptide255: E6_1_1_15_mRNA -&gt; E6_1_1_15 | (0.278 * E6_1_1_15_mRNA) - (0.000000278 * E6_1_1_15)</v>
      </c>
    </row>
    <row r="257" spans="1:14">
      <c r="A257">
        <v>256</v>
      </c>
      <c r="B257" s="1" t="s">
        <v>11684</v>
      </c>
      <c r="C257" t="str">
        <f t="shared" si="36"/>
        <v>E6_1_1_16_mRNA</v>
      </c>
      <c r="D257" t="str">
        <f t="shared" si="37"/>
        <v>E6_1_1_16</v>
      </c>
      <c r="E257" t="str">
        <f t="shared" si="38"/>
        <v>E6_1_1_16_kcat : 13.7</v>
      </c>
      <c r="F257" t="str">
        <f t="shared" si="46"/>
        <v>E6_1_1_16_km : 1</v>
      </c>
      <c r="G257" t="str">
        <f t="shared" si="39"/>
        <v>E6_1_1_16_mRNA : E6_1_1_16_mRNA</v>
      </c>
      <c r="H257" t="str">
        <f t="shared" si="40"/>
        <v>E6_1_1_16 : E6_1_1_16</v>
      </c>
      <c r="I257" t="str">
        <f t="shared" si="47"/>
        <v>E6_1_1_16_mRNA : 0</v>
      </c>
      <c r="J257" t="str">
        <f t="shared" si="41"/>
        <v>E6_1_1_16 : 0</v>
      </c>
      <c r="K257" t="str">
        <f t="shared" si="42"/>
        <v>0.00292 - (0.0093 * E6_1_1_16_mRNA)</v>
      </c>
      <c r="L257" t="str">
        <f t="shared" si="43"/>
        <v>(0.278 * E6_1_1_16_mRNA) - (0.00000278 * E6_1_1_16)</v>
      </c>
      <c r="M257" t="str">
        <f t="shared" si="44"/>
        <v>mRNA256: -&gt; E6_1_1_16_mRNA | 0.00292 - (0.0093 * E6_1_1_16_mRNA)</v>
      </c>
      <c r="N257" t="str">
        <f t="shared" si="45"/>
        <v>Peptide256: E6_1_1_16_mRNA -&gt; E6_1_1_16 | (0.278 * E6_1_1_16_mRNA) - (0.000000278 * E6_1_1_16)</v>
      </c>
    </row>
    <row r="258" spans="1:14">
      <c r="A258">
        <v>257</v>
      </c>
      <c r="B258" s="1" t="s">
        <v>11685</v>
      </c>
      <c r="C258" t="str">
        <f t="shared" si="36"/>
        <v>E6_1_1_17_mRNA</v>
      </c>
      <c r="D258" t="str">
        <f t="shared" si="37"/>
        <v>E6_1_1_17</v>
      </c>
      <c r="E258" t="str">
        <f t="shared" si="38"/>
        <v>E6_1_1_17_kcat : 13.7</v>
      </c>
      <c r="F258" t="str">
        <f t="shared" si="46"/>
        <v>E6_1_1_17_km : 1</v>
      </c>
      <c r="G258" t="str">
        <f t="shared" si="39"/>
        <v>E6_1_1_17_mRNA : E6_1_1_17_mRNA</v>
      </c>
      <c r="H258" t="str">
        <f t="shared" si="40"/>
        <v>E6_1_1_17 : E6_1_1_17</v>
      </c>
      <c r="I258" t="str">
        <f t="shared" si="47"/>
        <v>E6_1_1_17_mRNA : 0</v>
      </c>
      <c r="J258" t="str">
        <f t="shared" si="41"/>
        <v>E6_1_1_17 : 0</v>
      </c>
      <c r="K258" t="str">
        <f t="shared" si="42"/>
        <v>0.00292 - (0.0093 * E6_1_1_17_mRNA)</v>
      </c>
      <c r="L258" t="str">
        <f t="shared" si="43"/>
        <v>(0.278 * E6_1_1_17_mRNA) - (0.00000278 * E6_1_1_17)</v>
      </c>
      <c r="M258" t="str">
        <f t="shared" si="44"/>
        <v>mRNA257: -&gt; E6_1_1_17_mRNA | 0.00292 - (0.0093 * E6_1_1_17_mRNA)</v>
      </c>
      <c r="N258" t="str">
        <f t="shared" si="45"/>
        <v>Peptide257: E6_1_1_17_mRNA -&gt; E6_1_1_17 | (0.278 * E6_1_1_17_mRNA) - (0.000000278 * E6_1_1_17)</v>
      </c>
    </row>
    <row r="259" spans="1:14">
      <c r="A259">
        <v>258</v>
      </c>
      <c r="B259" s="1" t="s">
        <v>11686</v>
      </c>
      <c r="C259" t="str">
        <f t="shared" ref="C259:C291" si="48">CONCATENATE(D259,"_mRNA")</f>
        <v>E6_1_1_19_mRNA</v>
      </c>
      <c r="D259" t="str">
        <f t="shared" ref="D259:D291" si="49">CONCATENATE("E",B259)</f>
        <v>E6_1_1_19</v>
      </c>
      <c r="E259" t="str">
        <f t="shared" ref="E259:E291" si="50">CONCATENATE("E",B259,"_kcat : 13.7")</f>
        <v>E6_1_1_19_kcat : 13.7</v>
      </c>
      <c r="F259" t="str">
        <f t="shared" si="46"/>
        <v>E6_1_1_19_km : 1</v>
      </c>
      <c r="G259" t="str">
        <f t="shared" ref="G259:G291" si="51">CONCATENATE(C259," : ",C259)</f>
        <v>E6_1_1_19_mRNA : E6_1_1_19_mRNA</v>
      </c>
      <c r="H259" t="str">
        <f t="shared" ref="H259:H291" si="52">CONCATENATE(D259," : ",D259)</f>
        <v>E6_1_1_19 : E6_1_1_19</v>
      </c>
      <c r="I259" t="str">
        <f t="shared" si="47"/>
        <v>E6_1_1_19_mRNA : 0</v>
      </c>
      <c r="J259" t="str">
        <f t="shared" ref="J259:J291" si="53">CONCATENATE(D259," : ","0")</f>
        <v>E6_1_1_19 : 0</v>
      </c>
      <c r="K259" t="str">
        <f t="shared" ref="K259:K291" si="54">CONCATENATE("0.00292 - (0.0093 * ",C259,")")</f>
        <v>0.00292 - (0.0093 * E6_1_1_19_mRNA)</v>
      </c>
      <c r="L259" t="str">
        <f t="shared" ref="L259:L291" si="55">CONCATENATE("(0.278 * ",C259,")"," - (0.00000278 * ",D259,")")</f>
        <v>(0.278 * E6_1_1_19_mRNA) - (0.00000278 * E6_1_1_19)</v>
      </c>
      <c r="M259" t="str">
        <f t="shared" ref="M259:M291" si="56">CONCATENATE("mRNA",A259,": -&gt; ",C259," | ","0.00292"," - ","(","0.0093"," * ",C259,")")</f>
        <v>mRNA258: -&gt; E6_1_1_19_mRNA | 0.00292 - (0.0093 * E6_1_1_19_mRNA)</v>
      </c>
      <c r="N259" t="str">
        <f t="shared" ref="N259:N291" si="57">CONCATENATE("Peptide",A259,": ",C259," -&gt; ",D259," | ","(","0.278"," * ",C259,")"," - ","(","0.000000278"," * ",D259,")")</f>
        <v>Peptide258: E6_1_1_19_mRNA -&gt; E6_1_1_19 | (0.278 * E6_1_1_19_mRNA) - (0.000000278 * E6_1_1_19)</v>
      </c>
    </row>
    <row r="260" spans="1:14">
      <c r="A260">
        <v>259</v>
      </c>
      <c r="B260" s="1" t="s">
        <v>11687</v>
      </c>
      <c r="C260" t="str">
        <f t="shared" si="48"/>
        <v>E6_1_1_2_mRNA</v>
      </c>
      <c r="D260" t="str">
        <f t="shared" si="49"/>
        <v>E6_1_1_2</v>
      </c>
      <c r="E260" t="str">
        <f t="shared" si="50"/>
        <v>E6_1_1_2_kcat : 13.7</v>
      </c>
      <c r="F260" t="str">
        <f t="shared" ref="F260:F291" si="58">CONCATENATE("E",B260,"_km : 1")</f>
        <v>E6_1_1_2_km : 1</v>
      </c>
      <c r="G260" t="str">
        <f t="shared" si="51"/>
        <v>E6_1_1_2_mRNA : E6_1_1_2_mRNA</v>
      </c>
      <c r="H260" t="str">
        <f t="shared" si="52"/>
        <v>E6_1_1_2 : E6_1_1_2</v>
      </c>
      <c r="I260" t="str">
        <f t="shared" ref="I260:I291" si="59">CONCATENATE(C260," : ","0")</f>
        <v>E6_1_1_2_mRNA : 0</v>
      </c>
      <c r="J260" t="str">
        <f t="shared" si="53"/>
        <v>E6_1_1_2 : 0</v>
      </c>
      <c r="K260" t="str">
        <f t="shared" si="54"/>
        <v>0.00292 - (0.0093 * E6_1_1_2_mRNA)</v>
      </c>
      <c r="L260" t="str">
        <f t="shared" si="55"/>
        <v>(0.278 * E6_1_1_2_mRNA) - (0.00000278 * E6_1_1_2)</v>
      </c>
      <c r="M260" t="str">
        <f t="shared" si="56"/>
        <v>mRNA259: -&gt; E6_1_1_2_mRNA | 0.00292 - (0.0093 * E6_1_1_2_mRNA)</v>
      </c>
      <c r="N260" t="str">
        <f t="shared" si="57"/>
        <v>Peptide259: E6_1_1_2_mRNA -&gt; E6_1_1_2 | (0.278 * E6_1_1_2_mRNA) - (0.000000278 * E6_1_1_2)</v>
      </c>
    </row>
    <row r="261" spans="1:14">
      <c r="A261">
        <v>260</v>
      </c>
      <c r="B261" s="1" t="s">
        <v>11688</v>
      </c>
      <c r="C261" t="str">
        <f t="shared" si="48"/>
        <v>E6_1_1_20_mRNA</v>
      </c>
      <c r="D261" t="str">
        <f t="shared" si="49"/>
        <v>E6_1_1_20</v>
      </c>
      <c r="E261" t="str">
        <f t="shared" si="50"/>
        <v>E6_1_1_20_kcat : 13.7</v>
      </c>
      <c r="F261" t="str">
        <f t="shared" si="58"/>
        <v>E6_1_1_20_km : 1</v>
      </c>
      <c r="G261" t="str">
        <f t="shared" si="51"/>
        <v>E6_1_1_20_mRNA : E6_1_1_20_mRNA</v>
      </c>
      <c r="H261" t="str">
        <f t="shared" si="52"/>
        <v>E6_1_1_20 : E6_1_1_20</v>
      </c>
      <c r="I261" t="str">
        <f t="shared" si="59"/>
        <v>E6_1_1_20_mRNA : 0</v>
      </c>
      <c r="J261" t="str">
        <f t="shared" si="53"/>
        <v>E6_1_1_20 : 0</v>
      </c>
      <c r="K261" t="str">
        <f t="shared" si="54"/>
        <v>0.00292 - (0.0093 * E6_1_1_20_mRNA)</v>
      </c>
      <c r="L261" t="str">
        <f t="shared" si="55"/>
        <v>(0.278 * E6_1_1_20_mRNA) - (0.00000278 * E6_1_1_20)</v>
      </c>
      <c r="M261" t="str">
        <f t="shared" si="56"/>
        <v>mRNA260: -&gt; E6_1_1_20_mRNA | 0.00292 - (0.0093 * E6_1_1_20_mRNA)</v>
      </c>
      <c r="N261" t="str">
        <f t="shared" si="57"/>
        <v>Peptide260: E6_1_1_20_mRNA -&gt; E6_1_1_20 | (0.278 * E6_1_1_20_mRNA) - (0.000000278 * E6_1_1_20)</v>
      </c>
    </row>
    <row r="262" spans="1:14">
      <c r="A262">
        <v>261</v>
      </c>
      <c r="B262" s="1" t="s">
        <v>11689</v>
      </c>
      <c r="C262" t="str">
        <f t="shared" si="48"/>
        <v>E6_1_1_21_mRNA</v>
      </c>
      <c r="D262" t="str">
        <f t="shared" si="49"/>
        <v>E6_1_1_21</v>
      </c>
      <c r="E262" t="str">
        <f t="shared" si="50"/>
        <v>E6_1_1_21_kcat : 13.7</v>
      </c>
      <c r="F262" t="str">
        <f t="shared" si="58"/>
        <v>E6_1_1_21_km : 1</v>
      </c>
      <c r="G262" t="str">
        <f t="shared" si="51"/>
        <v>E6_1_1_21_mRNA : E6_1_1_21_mRNA</v>
      </c>
      <c r="H262" t="str">
        <f t="shared" si="52"/>
        <v>E6_1_1_21 : E6_1_1_21</v>
      </c>
      <c r="I262" t="str">
        <f t="shared" si="59"/>
        <v>E6_1_1_21_mRNA : 0</v>
      </c>
      <c r="J262" t="str">
        <f t="shared" si="53"/>
        <v>E6_1_1_21 : 0</v>
      </c>
      <c r="K262" t="str">
        <f t="shared" si="54"/>
        <v>0.00292 - (0.0093 * E6_1_1_21_mRNA)</v>
      </c>
      <c r="L262" t="str">
        <f t="shared" si="55"/>
        <v>(0.278 * E6_1_1_21_mRNA) - (0.00000278 * E6_1_1_21)</v>
      </c>
      <c r="M262" t="str">
        <f t="shared" si="56"/>
        <v>mRNA261: -&gt; E6_1_1_21_mRNA | 0.00292 - (0.0093 * E6_1_1_21_mRNA)</v>
      </c>
      <c r="N262" t="str">
        <f t="shared" si="57"/>
        <v>Peptide261: E6_1_1_21_mRNA -&gt; E6_1_1_21 | (0.278 * E6_1_1_21_mRNA) - (0.000000278 * E6_1_1_21)</v>
      </c>
    </row>
    <row r="263" spans="1:14">
      <c r="A263">
        <v>262</v>
      </c>
      <c r="B263" s="1" t="s">
        <v>11690</v>
      </c>
      <c r="C263" t="str">
        <f t="shared" si="48"/>
        <v>E6_1_1_22_mRNA</v>
      </c>
      <c r="D263" t="str">
        <f t="shared" si="49"/>
        <v>E6_1_1_22</v>
      </c>
      <c r="E263" t="str">
        <f t="shared" si="50"/>
        <v>E6_1_1_22_kcat : 13.7</v>
      </c>
      <c r="F263" t="str">
        <f t="shared" si="58"/>
        <v>E6_1_1_22_km : 1</v>
      </c>
      <c r="G263" t="str">
        <f t="shared" si="51"/>
        <v>E6_1_1_22_mRNA : E6_1_1_22_mRNA</v>
      </c>
      <c r="H263" t="str">
        <f t="shared" si="52"/>
        <v>E6_1_1_22 : E6_1_1_22</v>
      </c>
      <c r="I263" t="str">
        <f t="shared" si="59"/>
        <v>E6_1_1_22_mRNA : 0</v>
      </c>
      <c r="J263" t="str">
        <f t="shared" si="53"/>
        <v>E6_1_1_22 : 0</v>
      </c>
      <c r="K263" t="str">
        <f t="shared" si="54"/>
        <v>0.00292 - (0.0093 * E6_1_1_22_mRNA)</v>
      </c>
      <c r="L263" t="str">
        <f t="shared" si="55"/>
        <v>(0.278 * E6_1_1_22_mRNA) - (0.00000278 * E6_1_1_22)</v>
      </c>
      <c r="M263" t="str">
        <f t="shared" si="56"/>
        <v>mRNA262: -&gt; E6_1_1_22_mRNA | 0.00292 - (0.0093 * E6_1_1_22_mRNA)</v>
      </c>
      <c r="N263" t="str">
        <f t="shared" si="57"/>
        <v>Peptide262: E6_1_1_22_mRNA -&gt; E6_1_1_22 | (0.278 * E6_1_1_22_mRNA) - (0.000000278 * E6_1_1_22)</v>
      </c>
    </row>
    <row r="264" spans="1:14">
      <c r="A264">
        <v>263</v>
      </c>
      <c r="B264" s="1" t="s">
        <v>11691</v>
      </c>
      <c r="C264" t="str">
        <f t="shared" si="48"/>
        <v>E6_1_1_3_mRNA</v>
      </c>
      <c r="D264" t="str">
        <f t="shared" si="49"/>
        <v>E6_1_1_3</v>
      </c>
      <c r="E264" t="str">
        <f t="shared" si="50"/>
        <v>E6_1_1_3_kcat : 13.7</v>
      </c>
      <c r="F264" t="str">
        <f t="shared" si="58"/>
        <v>E6_1_1_3_km : 1</v>
      </c>
      <c r="G264" t="str">
        <f t="shared" si="51"/>
        <v>E6_1_1_3_mRNA : E6_1_1_3_mRNA</v>
      </c>
      <c r="H264" t="str">
        <f t="shared" si="52"/>
        <v>E6_1_1_3 : E6_1_1_3</v>
      </c>
      <c r="I264" t="str">
        <f t="shared" si="59"/>
        <v>E6_1_1_3_mRNA : 0</v>
      </c>
      <c r="J264" t="str">
        <f t="shared" si="53"/>
        <v>E6_1_1_3 : 0</v>
      </c>
      <c r="K264" t="str">
        <f t="shared" si="54"/>
        <v>0.00292 - (0.0093 * E6_1_1_3_mRNA)</v>
      </c>
      <c r="L264" t="str">
        <f t="shared" si="55"/>
        <v>(0.278 * E6_1_1_3_mRNA) - (0.00000278 * E6_1_1_3)</v>
      </c>
      <c r="M264" t="str">
        <f t="shared" si="56"/>
        <v>mRNA263: -&gt; E6_1_1_3_mRNA | 0.00292 - (0.0093 * E6_1_1_3_mRNA)</v>
      </c>
      <c r="N264" t="str">
        <f t="shared" si="57"/>
        <v>Peptide263: E6_1_1_3_mRNA -&gt; E6_1_1_3 | (0.278 * E6_1_1_3_mRNA) - (0.000000278 * E6_1_1_3)</v>
      </c>
    </row>
    <row r="265" spans="1:14">
      <c r="A265">
        <v>264</v>
      </c>
      <c r="B265" s="1" t="s">
        <v>11692</v>
      </c>
      <c r="C265" t="str">
        <f t="shared" si="48"/>
        <v>E6_1_1_4_mRNA</v>
      </c>
      <c r="D265" t="str">
        <f t="shared" si="49"/>
        <v>E6_1_1_4</v>
      </c>
      <c r="E265" t="str">
        <f t="shared" si="50"/>
        <v>E6_1_1_4_kcat : 13.7</v>
      </c>
      <c r="F265" t="str">
        <f t="shared" si="58"/>
        <v>E6_1_1_4_km : 1</v>
      </c>
      <c r="G265" t="str">
        <f t="shared" si="51"/>
        <v>E6_1_1_4_mRNA : E6_1_1_4_mRNA</v>
      </c>
      <c r="H265" t="str">
        <f t="shared" si="52"/>
        <v>E6_1_1_4 : E6_1_1_4</v>
      </c>
      <c r="I265" t="str">
        <f t="shared" si="59"/>
        <v>E6_1_1_4_mRNA : 0</v>
      </c>
      <c r="J265" t="str">
        <f t="shared" si="53"/>
        <v>E6_1_1_4 : 0</v>
      </c>
      <c r="K265" t="str">
        <f t="shared" si="54"/>
        <v>0.00292 - (0.0093 * E6_1_1_4_mRNA)</v>
      </c>
      <c r="L265" t="str">
        <f t="shared" si="55"/>
        <v>(0.278 * E6_1_1_4_mRNA) - (0.00000278 * E6_1_1_4)</v>
      </c>
      <c r="M265" t="str">
        <f t="shared" si="56"/>
        <v>mRNA264: -&gt; E6_1_1_4_mRNA | 0.00292 - (0.0093 * E6_1_1_4_mRNA)</v>
      </c>
      <c r="N265" t="str">
        <f t="shared" si="57"/>
        <v>Peptide264: E6_1_1_4_mRNA -&gt; E6_1_1_4 | (0.278 * E6_1_1_4_mRNA) - (0.000000278 * E6_1_1_4)</v>
      </c>
    </row>
    <row r="266" spans="1:14">
      <c r="A266">
        <v>265</v>
      </c>
      <c r="B266" s="1" t="s">
        <v>11693</v>
      </c>
      <c r="C266" t="str">
        <f t="shared" si="48"/>
        <v>E6_1_1_5_mRNA</v>
      </c>
      <c r="D266" t="str">
        <f t="shared" si="49"/>
        <v>E6_1_1_5</v>
      </c>
      <c r="E266" t="str">
        <f t="shared" si="50"/>
        <v>E6_1_1_5_kcat : 13.7</v>
      </c>
      <c r="F266" t="str">
        <f t="shared" si="58"/>
        <v>E6_1_1_5_km : 1</v>
      </c>
      <c r="G266" t="str">
        <f t="shared" si="51"/>
        <v>E6_1_1_5_mRNA : E6_1_1_5_mRNA</v>
      </c>
      <c r="H266" t="str">
        <f t="shared" si="52"/>
        <v>E6_1_1_5 : E6_1_1_5</v>
      </c>
      <c r="I266" t="str">
        <f t="shared" si="59"/>
        <v>E6_1_1_5_mRNA : 0</v>
      </c>
      <c r="J266" t="str">
        <f t="shared" si="53"/>
        <v>E6_1_1_5 : 0</v>
      </c>
      <c r="K266" t="str">
        <f t="shared" si="54"/>
        <v>0.00292 - (0.0093 * E6_1_1_5_mRNA)</v>
      </c>
      <c r="L266" t="str">
        <f t="shared" si="55"/>
        <v>(0.278 * E6_1_1_5_mRNA) - (0.00000278 * E6_1_1_5)</v>
      </c>
      <c r="M266" t="str">
        <f t="shared" si="56"/>
        <v>mRNA265: -&gt; E6_1_1_5_mRNA | 0.00292 - (0.0093 * E6_1_1_5_mRNA)</v>
      </c>
      <c r="N266" t="str">
        <f t="shared" si="57"/>
        <v>Peptide265: E6_1_1_5_mRNA -&gt; E6_1_1_5 | (0.278 * E6_1_1_5_mRNA) - (0.000000278 * E6_1_1_5)</v>
      </c>
    </row>
    <row r="267" spans="1:14">
      <c r="A267">
        <v>266</v>
      </c>
      <c r="B267" s="1" t="s">
        <v>11694</v>
      </c>
      <c r="C267" t="str">
        <f t="shared" si="48"/>
        <v>E6_1_1_6_mRNA</v>
      </c>
      <c r="D267" t="str">
        <f t="shared" si="49"/>
        <v>E6_1_1_6</v>
      </c>
      <c r="E267" t="str">
        <f t="shared" si="50"/>
        <v>E6_1_1_6_kcat : 13.7</v>
      </c>
      <c r="F267" t="str">
        <f t="shared" si="58"/>
        <v>E6_1_1_6_km : 1</v>
      </c>
      <c r="G267" t="str">
        <f t="shared" si="51"/>
        <v>E6_1_1_6_mRNA : E6_1_1_6_mRNA</v>
      </c>
      <c r="H267" t="str">
        <f t="shared" si="52"/>
        <v>E6_1_1_6 : E6_1_1_6</v>
      </c>
      <c r="I267" t="str">
        <f t="shared" si="59"/>
        <v>E6_1_1_6_mRNA : 0</v>
      </c>
      <c r="J267" t="str">
        <f t="shared" si="53"/>
        <v>E6_1_1_6 : 0</v>
      </c>
      <c r="K267" t="str">
        <f t="shared" si="54"/>
        <v>0.00292 - (0.0093 * E6_1_1_6_mRNA)</v>
      </c>
      <c r="L267" t="str">
        <f t="shared" si="55"/>
        <v>(0.278 * E6_1_1_6_mRNA) - (0.00000278 * E6_1_1_6)</v>
      </c>
      <c r="M267" t="str">
        <f t="shared" si="56"/>
        <v>mRNA266: -&gt; E6_1_1_6_mRNA | 0.00292 - (0.0093 * E6_1_1_6_mRNA)</v>
      </c>
      <c r="N267" t="str">
        <f t="shared" si="57"/>
        <v>Peptide266: E6_1_1_6_mRNA -&gt; E6_1_1_6 | (0.278 * E6_1_1_6_mRNA) - (0.000000278 * E6_1_1_6)</v>
      </c>
    </row>
    <row r="268" spans="1:14">
      <c r="A268">
        <v>267</v>
      </c>
      <c r="B268" s="1" t="s">
        <v>11695</v>
      </c>
      <c r="C268" t="str">
        <f t="shared" si="48"/>
        <v>E6_1_1_7_mRNA</v>
      </c>
      <c r="D268" t="str">
        <f t="shared" si="49"/>
        <v>E6_1_1_7</v>
      </c>
      <c r="E268" t="str">
        <f t="shared" si="50"/>
        <v>E6_1_1_7_kcat : 13.7</v>
      </c>
      <c r="F268" t="str">
        <f t="shared" si="58"/>
        <v>E6_1_1_7_km : 1</v>
      </c>
      <c r="G268" t="str">
        <f t="shared" si="51"/>
        <v>E6_1_1_7_mRNA : E6_1_1_7_mRNA</v>
      </c>
      <c r="H268" t="str">
        <f t="shared" si="52"/>
        <v>E6_1_1_7 : E6_1_1_7</v>
      </c>
      <c r="I268" t="str">
        <f t="shared" si="59"/>
        <v>E6_1_1_7_mRNA : 0</v>
      </c>
      <c r="J268" t="str">
        <f t="shared" si="53"/>
        <v>E6_1_1_7 : 0</v>
      </c>
      <c r="K268" t="str">
        <f t="shared" si="54"/>
        <v>0.00292 - (0.0093 * E6_1_1_7_mRNA)</v>
      </c>
      <c r="L268" t="str">
        <f t="shared" si="55"/>
        <v>(0.278 * E6_1_1_7_mRNA) - (0.00000278 * E6_1_1_7)</v>
      </c>
      <c r="M268" t="str">
        <f t="shared" si="56"/>
        <v>mRNA267: -&gt; E6_1_1_7_mRNA | 0.00292 - (0.0093 * E6_1_1_7_mRNA)</v>
      </c>
      <c r="N268" t="str">
        <f t="shared" si="57"/>
        <v>Peptide267: E6_1_1_7_mRNA -&gt; E6_1_1_7 | (0.278 * E6_1_1_7_mRNA) - (0.000000278 * E6_1_1_7)</v>
      </c>
    </row>
    <row r="269" spans="1:14">
      <c r="A269">
        <v>268</v>
      </c>
      <c r="B269" s="1" t="s">
        <v>11696</v>
      </c>
      <c r="C269" t="str">
        <f t="shared" si="48"/>
        <v>E6_1_1_9_mRNA</v>
      </c>
      <c r="D269" t="str">
        <f t="shared" si="49"/>
        <v>E6_1_1_9</v>
      </c>
      <c r="E269" t="str">
        <f t="shared" si="50"/>
        <v>E6_1_1_9_kcat : 13.7</v>
      </c>
      <c r="F269" t="str">
        <f t="shared" si="58"/>
        <v>E6_1_1_9_km : 1</v>
      </c>
      <c r="G269" t="str">
        <f t="shared" si="51"/>
        <v>E6_1_1_9_mRNA : E6_1_1_9_mRNA</v>
      </c>
      <c r="H269" t="str">
        <f t="shared" si="52"/>
        <v>E6_1_1_9 : E6_1_1_9</v>
      </c>
      <c r="I269" t="str">
        <f t="shared" si="59"/>
        <v>E6_1_1_9_mRNA : 0</v>
      </c>
      <c r="J269" t="str">
        <f t="shared" si="53"/>
        <v>E6_1_1_9 : 0</v>
      </c>
      <c r="K269" t="str">
        <f t="shared" si="54"/>
        <v>0.00292 - (0.0093 * E6_1_1_9_mRNA)</v>
      </c>
      <c r="L269" t="str">
        <f t="shared" si="55"/>
        <v>(0.278 * E6_1_1_9_mRNA) - (0.00000278 * E6_1_1_9)</v>
      </c>
      <c r="M269" t="str">
        <f t="shared" si="56"/>
        <v>mRNA268: -&gt; E6_1_1_9_mRNA | 0.00292 - (0.0093 * E6_1_1_9_mRNA)</v>
      </c>
      <c r="N269" t="str">
        <f t="shared" si="57"/>
        <v>Peptide268: E6_1_1_9_mRNA -&gt; E6_1_1_9 | (0.278 * E6_1_1_9_mRNA) - (0.000000278 * E6_1_1_9)</v>
      </c>
    </row>
    <row r="270" spans="1:14">
      <c r="A270">
        <v>269</v>
      </c>
      <c r="B270" s="1" t="s">
        <v>11697</v>
      </c>
      <c r="C270" t="str">
        <f t="shared" si="48"/>
        <v>E6_3_1_1_mRNA</v>
      </c>
      <c r="D270" t="str">
        <f t="shared" si="49"/>
        <v>E6_3_1_1</v>
      </c>
      <c r="E270" t="str">
        <f t="shared" si="50"/>
        <v>E6_3_1_1_kcat : 13.7</v>
      </c>
      <c r="F270" t="str">
        <f t="shared" si="58"/>
        <v>E6_3_1_1_km : 1</v>
      </c>
      <c r="G270" t="str">
        <f t="shared" si="51"/>
        <v>E6_3_1_1_mRNA : E6_3_1_1_mRNA</v>
      </c>
      <c r="H270" t="str">
        <f t="shared" si="52"/>
        <v>E6_3_1_1 : E6_3_1_1</v>
      </c>
      <c r="I270" t="str">
        <f t="shared" si="59"/>
        <v>E6_3_1_1_mRNA : 0</v>
      </c>
      <c r="J270" t="str">
        <f t="shared" si="53"/>
        <v>E6_3_1_1 : 0</v>
      </c>
      <c r="K270" t="str">
        <f t="shared" si="54"/>
        <v>0.00292 - (0.0093 * E6_3_1_1_mRNA)</v>
      </c>
      <c r="L270" t="str">
        <f t="shared" si="55"/>
        <v>(0.278 * E6_3_1_1_mRNA) - (0.00000278 * E6_3_1_1)</v>
      </c>
      <c r="M270" t="str">
        <f t="shared" si="56"/>
        <v>mRNA269: -&gt; E6_3_1_1_mRNA | 0.00292 - (0.0093 * E6_3_1_1_mRNA)</v>
      </c>
      <c r="N270" t="str">
        <f t="shared" si="57"/>
        <v>Peptide269: E6_3_1_1_mRNA -&gt; E6_3_1_1 | (0.278 * E6_3_1_1_mRNA) - (0.000000278 * E6_3_1_1)</v>
      </c>
    </row>
    <row r="271" spans="1:14">
      <c r="A271">
        <v>270</v>
      </c>
      <c r="B271" s="1" t="s">
        <v>11698</v>
      </c>
      <c r="C271" t="str">
        <f t="shared" si="48"/>
        <v>E6_3_1_5_mRNA</v>
      </c>
      <c r="D271" t="str">
        <f t="shared" si="49"/>
        <v>E6_3_1_5</v>
      </c>
      <c r="E271" t="str">
        <f t="shared" si="50"/>
        <v>E6_3_1_5_kcat : 13.7</v>
      </c>
      <c r="F271" t="str">
        <f t="shared" si="58"/>
        <v>E6_3_1_5_km : 1</v>
      </c>
      <c r="G271" t="str">
        <f t="shared" si="51"/>
        <v>E6_3_1_5_mRNA : E6_3_1_5_mRNA</v>
      </c>
      <c r="H271" t="str">
        <f t="shared" si="52"/>
        <v>E6_3_1_5 : E6_3_1_5</v>
      </c>
      <c r="I271" t="str">
        <f t="shared" si="59"/>
        <v>E6_3_1_5_mRNA : 0</v>
      </c>
      <c r="J271" t="str">
        <f t="shared" si="53"/>
        <v>E6_3_1_5 : 0</v>
      </c>
      <c r="K271" t="str">
        <f t="shared" si="54"/>
        <v>0.00292 - (0.0093 * E6_3_1_5_mRNA)</v>
      </c>
      <c r="L271" t="str">
        <f t="shared" si="55"/>
        <v>(0.278 * E6_3_1_5_mRNA) - (0.00000278 * E6_3_1_5)</v>
      </c>
      <c r="M271" t="str">
        <f t="shared" si="56"/>
        <v>mRNA270: -&gt; E6_3_1_5_mRNA | 0.00292 - (0.0093 * E6_3_1_5_mRNA)</v>
      </c>
      <c r="N271" t="str">
        <f t="shared" si="57"/>
        <v>Peptide270: E6_3_1_5_mRNA -&gt; E6_3_1_5 | (0.278 * E6_3_1_5_mRNA) - (0.000000278 * E6_3_1_5)</v>
      </c>
    </row>
    <row r="272" spans="1:14">
      <c r="A272">
        <v>271</v>
      </c>
      <c r="B272" s="1" t="s">
        <v>11699</v>
      </c>
      <c r="C272" t="str">
        <f t="shared" si="48"/>
        <v>E6_3_2_13_mRNA</v>
      </c>
      <c r="D272" t="str">
        <f t="shared" si="49"/>
        <v>E6_3_2_13</v>
      </c>
      <c r="E272" t="str">
        <f t="shared" si="50"/>
        <v>E6_3_2_13_kcat : 13.7</v>
      </c>
      <c r="F272" t="str">
        <f t="shared" si="58"/>
        <v>E6_3_2_13_km : 1</v>
      </c>
      <c r="G272" t="str">
        <f t="shared" si="51"/>
        <v>E6_3_2_13_mRNA : E6_3_2_13_mRNA</v>
      </c>
      <c r="H272" t="str">
        <f t="shared" si="52"/>
        <v>E6_3_2_13 : E6_3_2_13</v>
      </c>
      <c r="I272" t="str">
        <f t="shared" si="59"/>
        <v>E6_3_2_13_mRNA : 0</v>
      </c>
      <c r="J272" t="str">
        <f t="shared" si="53"/>
        <v>E6_3_2_13 : 0</v>
      </c>
      <c r="K272" t="str">
        <f t="shared" si="54"/>
        <v>0.00292 - (0.0093 * E6_3_2_13_mRNA)</v>
      </c>
      <c r="L272" t="str">
        <f t="shared" si="55"/>
        <v>(0.278 * E6_3_2_13_mRNA) - (0.00000278 * E6_3_2_13)</v>
      </c>
      <c r="M272" t="str">
        <f t="shared" si="56"/>
        <v>mRNA271: -&gt; E6_3_2_13_mRNA | 0.00292 - (0.0093 * E6_3_2_13_mRNA)</v>
      </c>
      <c r="N272" t="str">
        <f t="shared" si="57"/>
        <v>Peptide271: E6_3_2_13_mRNA -&gt; E6_3_2_13 | (0.278 * E6_3_2_13_mRNA) - (0.000000278 * E6_3_2_13)</v>
      </c>
    </row>
    <row r="273" spans="1:14">
      <c r="A273">
        <v>272</v>
      </c>
      <c r="B273" s="1" t="s">
        <v>11700</v>
      </c>
      <c r="C273" t="str">
        <f t="shared" si="48"/>
        <v>E6_3_2_4_mRNA</v>
      </c>
      <c r="D273" t="str">
        <f t="shared" si="49"/>
        <v>E6_3_2_4</v>
      </c>
      <c r="E273" t="str">
        <f t="shared" si="50"/>
        <v>E6_3_2_4_kcat : 13.7</v>
      </c>
      <c r="F273" t="str">
        <f t="shared" si="58"/>
        <v>E6_3_2_4_km : 1</v>
      </c>
      <c r="G273" t="str">
        <f t="shared" si="51"/>
        <v>E6_3_2_4_mRNA : E6_3_2_4_mRNA</v>
      </c>
      <c r="H273" t="str">
        <f t="shared" si="52"/>
        <v>E6_3_2_4 : E6_3_2_4</v>
      </c>
      <c r="I273" t="str">
        <f t="shared" si="59"/>
        <v>E6_3_2_4_mRNA : 0</v>
      </c>
      <c r="J273" t="str">
        <f t="shared" si="53"/>
        <v>E6_3_2_4 : 0</v>
      </c>
      <c r="K273" t="str">
        <f t="shared" si="54"/>
        <v>0.00292 - (0.0093 * E6_3_2_4_mRNA)</v>
      </c>
      <c r="L273" t="str">
        <f t="shared" si="55"/>
        <v>(0.278 * E6_3_2_4_mRNA) - (0.00000278 * E6_3_2_4)</v>
      </c>
      <c r="M273" t="str">
        <f t="shared" si="56"/>
        <v>mRNA272: -&gt; E6_3_2_4_mRNA | 0.00292 - (0.0093 * E6_3_2_4_mRNA)</v>
      </c>
      <c r="N273" t="str">
        <f t="shared" si="57"/>
        <v>Peptide272: E6_3_2_4_mRNA -&gt; E6_3_2_4 | (0.278 * E6_3_2_4_mRNA) - (0.000000278 * E6_3_2_4)</v>
      </c>
    </row>
    <row r="274" spans="1:14">
      <c r="A274">
        <v>273</v>
      </c>
      <c r="B274" s="1" t="s">
        <v>11701</v>
      </c>
      <c r="C274" t="str">
        <f t="shared" si="48"/>
        <v>E6_3_2_5_mRNA</v>
      </c>
      <c r="D274" t="str">
        <f t="shared" si="49"/>
        <v>E6_3_2_5</v>
      </c>
      <c r="E274" t="str">
        <f t="shared" si="50"/>
        <v>E6_3_2_5_kcat : 13.7</v>
      </c>
      <c r="F274" t="str">
        <f t="shared" si="58"/>
        <v>E6_3_2_5_km : 1</v>
      </c>
      <c r="G274" t="str">
        <f t="shared" si="51"/>
        <v>E6_3_2_5_mRNA : E6_3_2_5_mRNA</v>
      </c>
      <c r="H274" t="str">
        <f t="shared" si="52"/>
        <v>E6_3_2_5 : E6_3_2_5</v>
      </c>
      <c r="I274" t="str">
        <f t="shared" si="59"/>
        <v>E6_3_2_5_mRNA : 0</v>
      </c>
      <c r="J274" t="str">
        <f t="shared" si="53"/>
        <v>E6_3_2_5 : 0</v>
      </c>
      <c r="K274" t="str">
        <f t="shared" si="54"/>
        <v>0.00292 - (0.0093 * E6_3_2_5_mRNA)</v>
      </c>
      <c r="L274" t="str">
        <f t="shared" si="55"/>
        <v>(0.278 * E6_3_2_5_mRNA) - (0.00000278 * E6_3_2_5)</v>
      </c>
      <c r="M274" t="str">
        <f t="shared" si="56"/>
        <v>mRNA273: -&gt; E6_3_2_5_mRNA | 0.00292 - (0.0093 * E6_3_2_5_mRNA)</v>
      </c>
      <c r="N274" t="str">
        <f t="shared" si="57"/>
        <v>Peptide273: E6_3_2_5_mRNA -&gt; E6_3_2_5 | (0.278 * E6_3_2_5_mRNA) - (0.000000278 * E6_3_2_5)</v>
      </c>
    </row>
    <row r="275" spans="1:14">
      <c r="A275">
        <v>274</v>
      </c>
      <c r="B275" s="1" t="s">
        <v>11702</v>
      </c>
      <c r="C275" t="str">
        <f t="shared" si="48"/>
        <v>E6_3_2_6_mRNA</v>
      </c>
      <c r="D275" t="str">
        <f t="shared" si="49"/>
        <v>E6_3_2_6</v>
      </c>
      <c r="E275" t="str">
        <f t="shared" si="50"/>
        <v>E6_3_2_6_kcat : 13.7</v>
      </c>
      <c r="F275" t="str">
        <f t="shared" si="58"/>
        <v>E6_3_2_6_km : 1</v>
      </c>
      <c r="G275" t="str">
        <f t="shared" si="51"/>
        <v>E6_3_2_6_mRNA : E6_3_2_6_mRNA</v>
      </c>
      <c r="H275" t="str">
        <f t="shared" si="52"/>
        <v>E6_3_2_6 : E6_3_2_6</v>
      </c>
      <c r="I275" t="str">
        <f t="shared" si="59"/>
        <v>E6_3_2_6_mRNA : 0</v>
      </c>
      <c r="J275" t="str">
        <f t="shared" si="53"/>
        <v>E6_3_2_6 : 0</v>
      </c>
      <c r="K275" t="str">
        <f t="shared" si="54"/>
        <v>0.00292 - (0.0093 * E6_3_2_6_mRNA)</v>
      </c>
      <c r="L275" t="str">
        <f t="shared" si="55"/>
        <v>(0.278 * E6_3_2_6_mRNA) - (0.00000278 * E6_3_2_6)</v>
      </c>
      <c r="M275" t="str">
        <f t="shared" si="56"/>
        <v>mRNA274: -&gt; E6_3_2_6_mRNA | 0.00292 - (0.0093 * E6_3_2_6_mRNA)</v>
      </c>
      <c r="N275" t="str">
        <f t="shared" si="57"/>
        <v>Peptide274: E6_3_2_6_mRNA -&gt; E6_3_2_6 | (0.278 * E6_3_2_6_mRNA) - (0.000000278 * E6_3_2_6)</v>
      </c>
    </row>
    <row r="276" spans="1:14">
      <c r="A276">
        <v>275</v>
      </c>
      <c r="B276" s="1" t="s">
        <v>11703</v>
      </c>
      <c r="C276" t="str">
        <f t="shared" si="48"/>
        <v>E6_3_2_8_mRNA</v>
      </c>
      <c r="D276" t="str">
        <f t="shared" si="49"/>
        <v>E6_3_2_8</v>
      </c>
      <c r="E276" t="str">
        <f t="shared" si="50"/>
        <v>E6_3_2_8_kcat : 13.7</v>
      </c>
      <c r="F276" t="str">
        <f t="shared" si="58"/>
        <v>E6_3_2_8_km : 1</v>
      </c>
      <c r="G276" t="str">
        <f t="shared" si="51"/>
        <v>E6_3_2_8_mRNA : E6_3_2_8_mRNA</v>
      </c>
      <c r="H276" t="str">
        <f t="shared" si="52"/>
        <v>E6_3_2_8 : E6_3_2_8</v>
      </c>
      <c r="I276" t="str">
        <f t="shared" si="59"/>
        <v>E6_3_2_8_mRNA : 0</v>
      </c>
      <c r="J276" t="str">
        <f t="shared" si="53"/>
        <v>E6_3_2_8 : 0</v>
      </c>
      <c r="K276" t="str">
        <f t="shared" si="54"/>
        <v>0.00292 - (0.0093 * E6_3_2_8_mRNA)</v>
      </c>
      <c r="L276" t="str">
        <f t="shared" si="55"/>
        <v>(0.278 * E6_3_2_8_mRNA) - (0.00000278 * E6_3_2_8)</v>
      </c>
      <c r="M276" t="str">
        <f t="shared" si="56"/>
        <v>mRNA275: -&gt; E6_3_2_8_mRNA | 0.00292 - (0.0093 * E6_3_2_8_mRNA)</v>
      </c>
      <c r="N276" t="str">
        <f t="shared" si="57"/>
        <v>Peptide275: E6_3_2_8_mRNA -&gt; E6_3_2_8 | (0.278 * E6_3_2_8_mRNA) - (0.000000278 * E6_3_2_8)</v>
      </c>
    </row>
    <row r="277" spans="1:14">
      <c r="A277">
        <v>276</v>
      </c>
      <c r="B277" s="1" t="s">
        <v>11704</v>
      </c>
      <c r="C277" t="str">
        <f t="shared" si="48"/>
        <v>E6_3_2_9_mRNA</v>
      </c>
      <c r="D277" t="str">
        <f t="shared" si="49"/>
        <v>E6_3_2_9</v>
      </c>
      <c r="E277" t="str">
        <f t="shared" si="50"/>
        <v>E6_3_2_9_kcat : 13.7</v>
      </c>
      <c r="F277" t="str">
        <f t="shared" si="58"/>
        <v>E6_3_2_9_km : 1</v>
      </c>
      <c r="G277" t="str">
        <f t="shared" si="51"/>
        <v>E6_3_2_9_mRNA : E6_3_2_9_mRNA</v>
      </c>
      <c r="H277" t="str">
        <f t="shared" si="52"/>
        <v>E6_3_2_9 : E6_3_2_9</v>
      </c>
      <c r="I277" t="str">
        <f t="shared" si="59"/>
        <v>E6_3_2_9_mRNA : 0</v>
      </c>
      <c r="J277" t="str">
        <f t="shared" si="53"/>
        <v>E6_3_2_9 : 0</v>
      </c>
      <c r="K277" t="str">
        <f t="shared" si="54"/>
        <v>0.00292 - (0.0093 * E6_3_2_9_mRNA)</v>
      </c>
      <c r="L277" t="str">
        <f t="shared" si="55"/>
        <v>(0.278 * E6_3_2_9_mRNA) - (0.00000278 * E6_3_2_9)</v>
      </c>
      <c r="M277" t="str">
        <f t="shared" si="56"/>
        <v>mRNA276: -&gt; E6_3_2_9_mRNA | 0.00292 - (0.0093 * E6_3_2_9_mRNA)</v>
      </c>
      <c r="N277" t="str">
        <f t="shared" si="57"/>
        <v>Peptide276: E6_3_2_9_mRNA -&gt; E6_3_2_9 | (0.278 * E6_3_2_9_mRNA) - (0.000000278 * E6_3_2_9)</v>
      </c>
    </row>
    <row r="278" spans="1:14">
      <c r="A278">
        <v>277</v>
      </c>
      <c r="B278" s="1" t="s">
        <v>11705</v>
      </c>
      <c r="C278" t="str">
        <f t="shared" si="48"/>
        <v>E6_3_3_2_mRNA</v>
      </c>
      <c r="D278" t="str">
        <f t="shared" si="49"/>
        <v>E6_3_3_2</v>
      </c>
      <c r="E278" t="str">
        <f t="shared" si="50"/>
        <v>E6_3_3_2_kcat : 13.7</v>
      </c>
      <c r="F278" t="str">
        <f t="shared" si="58"/>
        <v>E6_3_3_2_km : 1</v>
      </c>
      <c r="G278" t="str">
        <f t="shared" si="51"/>
        <v>E6_3_3_2_mRNA : E6_3_3_2_mRNA</v>
      </c>
      <c r="H278" t="str">
        <f t="shared" si="52"/>
        <v>E6_3_3_2 : E6_3_3_2</v>
      </c>
      <c r="I278" t="str">
        <f t="shared" si="59"/>
        <v>E6_3_3_2_mRNA : 0</v>
      </c>
      <c r="J278" t="str">
        <f t="shared" si="53"/>
        <v>E6_3_3_2 : 0</v>
      </c>
      <c r="K278" t="str">
        <f t="shared" si="54"/>
        <v>0.00292 - (0.0093 * E6_3_3_2_mRNA)</v>
      </c>
      <c r="L278" t="str">
        <f t="shared" si="55"/>
        <v>(0.278 * E6_3_3_2_mRNA) - (0.00000278 * E6_3_3_2)</v>
      </c>
      <c r="M278" t="str">
        <f t="shared" si="56"/>
        <v>mRNA277: -&gt; E6_3_3_2_mRNA | 0.00292 - (0.0093 * E6_3_3_2_mRNA)</v>
      </c>
      <c r="N278" t="str">
        <f t="shared" si="57"/>
        <v>Peptide277: E6_3_3_2_mRNA -&gt; E6_3_3_2 | (0.278 * E6_3_3_2_mRNA) - (0.000000278 * E6_3_3_2)</v>
      </c>
    </row>
    <row r="279" spans="1:14">
      <c r="A279">
        <v>278</v>
      </c>
      <c r="B279" s="1" t="s">
        <v>11706</v>
      </c>
      <c r="C279" t="str">
        <f t="shared" si="48"/>
        <v>E6_3_3_3_mRNA</v>
      </c>
      <c r="D279" t="str">
        <f t="shared" si="49"/>
        <v>E6_3_3_3</v>
      </c>
      <c r="E279" t="str">
        <f t="shared" si="50"/>
        <v>E6_3_3_3_kcat : 13.7</v>
      </c>
      <c r="F279" t="str">
        <f t="shared" si="58"/>
        <v>E6_3_3_3_km : 1</v>
      </c>
      <c r="G279" t="str">
        <f t="shared" si="51"/>
        <v>E6_3_3_3_mRNA : E6_3_3_3_mRNA</v>
      </c>
      <c r="H279" t="str">
        <f t="shared" si="52"/>
        <v>E6_3_3_3 : E6_3_3_3</v>
      </c>
      <c r="I279" t="str">
        <f t="shared" si="59"/>
        <v>E6_3_3_3_mRNA : 0</v>
      </c>
      <c r="J279" t="str">
        <f t="shared" si="53"/>
        <v>E6_3_3_3 : 0</v>
      </c>
      <c r="K279" t="str">
        <f t="shared" si="54"/>
        <v>0.00292 - (0.0093 * E6_3_3_3_mRNA)</v>
      </c>
      <c r="L279" t="str">
        <f t="shared" si="55"/>
        <v>(0.278 * E6_3_3_3_mRNA) - (0.00000278 * E6_3_3_3)</v>
      </c>
      <c r="M279" t="str">
        <f t="shared" si="56"/>
        <v>mRNA278: -&gt; E6_3_3_3_mRNA | 0.00292 - (0.0093 * E6_3_3_3_mRNA)</v>
      </c>
      <c r="N279" t="str">
        <f t="shared" si="57"/>
        <v>Peptide278: E6_3_3_3_mRNA -&gt; E6_3_3_3 | (0.278 * E6_3_3_3_mRNA) - (0.000000278 * E6_3_3_3)</v>
      </c>
    </row>
    <row r="280" spans="1:14">
      <c r="A280">
        <v>279</v>
      </c>
      <c r="B280" s="1" t="s">
        <v>11707</v>
      </c>
      <c r="C280" t="str">
        <f t="shared" si="48"/>
        <v>E6_3_4_13_mRNA</v>
      </c>
      <c r="D280" t="str">
        <f t="shared" si="49"/>
        <v>E6_3_4_13</v>
      </c>
      <c r="E280" t="str">
        <f t="shared" si="50"/>
        <v>E6_3_4_13_kcat : 13.7</v>
      </c>
      <c r="F280" t="str">
        <f t="shared" si="58"/>
        <v>E6_3_4_13_km : 1</v>
      </c>
      <c r="G280" t="str">
        <f t="shared" si="51"/>
        <v>E6_3_4_13_mRNA : E6_3_4_13_mRNA</v>
      </c>
      <c r="H280" t="str">
        <f t="shared" si="52"/>
        <v>E6_3_4_13 : E6_3_4_13</v>
      </c>
      <c r="I280" t="str">
        <f t="shared" si="59"/>
        <v>E6_3_4_13_mRNA : 0</v>
      </c>
      <c r="J280" t="str">
        <f t="shared" si="53"/>
        <v>E6_3_4_13 : 0</v>
      </c>
      <c r="K280" t="str">
        <f t="shared" si="54"/>
        <v>0.00292 - (0.0093 * E6_3_4_13_mRNA)</v>
      </c>
      <c r="L280" t="str">
        <f t="shared" si="55"/>
        <v>(0.278 * E6_3_4_13_mRNA) - (0.00000278 * E6_3_4_13)</v>
      </c>
      <c r="M280" t="str">
        <f t="shared" si="56"/>
        <v>mRNA279: -&gt; E6_3_4_13_mRNA | 0.00292 - (0.0093 * E6_3_4_13_mRNA)</v>
      </c>
      <c r="N280" t="str">
        <f t="shared" si="57"/>
        <v>Peptide279: E6_3_4_13_mRNA -&gt; E6_3_4_13 | (0.278 * E6_3_4_13_mRNA) - (0.000000278 * E6_3_4_13)</v>
      </c>
    </row>
    <row r="281" spans="1:14">
      <c r="A281">
        <v>280</v>
      </c>
      <c r="B281" s="1" t="s">
        <v>11708</v>
      </c>
      <c r="C281" t="str">
        <f t="shared" si="48"/>
        <v>E6_3_4_14_mRNA</v>
      </c>
      <c r="D281" t="str">
        <f t="shared" si="49"/>
        <v>E6_3_4_14</v>
      </c>
      <c r="E281" t="str">
        <f t="shared" si="50"/>
        <v>E6_3_4_14_kcat : 13.7</v>
      </c>
      <c r="F281" t="str">
        <f t="shared" si="58"/>
        <v>E6_3_4_14_km : 1</v>
      </c>
      <c r="G281" t="str">
        <f t="shared" si="51"/>
        <v>E6_3_4_14_mRNA : E6_3_4_14_mRNA</v>
      </c>
      <c r="H281" t="str">
        <f t="shared" si="52"/>
        <v>E6_3_4_14 : E6_3_4_14</v>
      </c>
      <c r="I281" t="str">
        <f t="shared" si="59"/>
        <v>E6_3_4_14_mRNA : 0</v>
      </c>
      <c r="J281" t="str">
        <f t="shared" si="53"/>
        <v>E6_3_4_14 : 0</v>
      </c>
      <c r="K281" t="str">
        <f t="shared" si="54"/>
        <v>0.00292 - (0.0093 * E6_3_4_14_mRNA)</v>
      </c>
      <c r="L281" t="str">
        <f t="shared" si="55"/>
        <v>(0.278 * E6_3_4_14_mRNA) - (0.00000278 * E6_3_4_14)</v>
      </c>
      <c r="M281" t="str">
        <f t="shared" si="56"/>
        <v>mRNA280: -&gt; E6_3_4_14_mRNA | 0.00292 - (0.0093 * E6_3_4_14_mRNA)</v>
      </c>
      <c r="N281" t="str">
        <f t="shared" si="57"/>
        <v>Peptide280: E6_3_4_14_mRNA -&gt; E6_3_4_14 | (0.278 * E6_3_4_14_mRNA) - (0.000000278 * E6_3_4_14)</v>
      </c>
    </row>
    <row r="282" spans="1:14">
      <c r="A282">
        <v>281</v>
      </c>
      <c r="B282" s="1" t="s">
        <v>11709</v>
      </c>
      <c r="C282" t="str">
        <f t="shared" si="48"/>
        <v>E6_3_4_15_mRNA</v>
      </c>
      <c r="D282" t="str">
        <f t="shared" si="49"/>
        <v>E6_3_4_15</v>
      </c>
      <c r="E282" t="str">
        <f t="shared" si="50"/>
        <v>E6_3_4_15_kcat : 13.7</v>
      </c>
      <c r="F282" t="str">
        <f t="shared" si="58"/>
        <v>E6_3_4_15_km : 1</v>
      </c>
      <c r="G282" t="str">
        <f t="shared" si="51"/>
        <v>E6_3_4_15_mRNA : E6_3_4_15_mRNA</v>
      </c>
      <c r="H282" t="str">
        <f t="shared" si="52"/>
        <v>E6_3_4_15 : E6_3_4_15</v>
      </c>
      <c r="I282" t="str">
        <f t="shared" si="59"/>
        <v>E6_3_4_15_mRNA : 0</v>
      </c>
      <c r="J282" t="str">
        <f t="shared" si="53"/>
        <v>E6_3_4_15 : 0</v>
      </c>
      <c r="K282" t="str">
        <f t="shared" si="54"/>
        <v>0.00292 - (0.0093 * E6_3_4_15_mRNA)</v>
      </c>
      <c r="L282" t="str">
        <f t="shared" si="55"/>
        <v>(0.278 * E6_3_4_15_mRNA) - (0.00000278 * E6_3_4_15)</v>
      </c>
      <c r="M282" t="str">
        <f t="shared" si="56"/>
        <v>mRNA281: -&gt; E6_3_4_15_mRNA | 0.00292 - (0.0093 * E6_3_4_15_mRNA)</v>
      </c>
      <c r="N282" t="str">
        <f t="shared" si="57"/>
        <v>Peptide281: E6_3_4_15_mRNA -&gt; E6_3_4_15 | (0.278 * E6_3_4_15_mRNA) - (0.000000278 * E6_3_4_15)</v>
      </c>
    </row>
    <row r="283" spans="1:14">
      <c r="A283">
        <v>282</v>
      </c>
      <c r="B283" s="1" t="s">
        <v>11710</v>
      </c>
      <c r="C283" t="str">
        <f t="shared" si="48"/>
        <v>E6_3_4_19_mRNA</v>
      </c>
      <c r="D283" t="str">
        <f t="shared" si="49"/>
        <v>E6_3_4_19</v>
      </c>
      <c r="E283" t="str">
        <f t="shared" si="50"/>
        <v>E6_3_4_19_kcat : 13.7</v>
      </c>
      <c r="F283" t="str">
        <f t="shared" si="58"/>
        <v>E6_3_4_19_km : 1</v>
      </c>
      <c r="G283" t="str">
        <f t="shared" si="51"/>
        <v>E6_3_4_19_mRNA : E6_3_4_19_mRNA</v>
      </c>
      <c r="H283" t="str">
        <f t="shared" si="52"/>
        <v>E6_3_4_19 : E6_3_4_19</v>
      </c>
      <c r="I283" t="str">
        <f t="shared" si="59"/>
        <v>E6_3_4_19_mRNA : 0</v>
      </c>
      <c r="J283" t="str">
        <f t="shared" si="53"/>
        <v>E6_3_4_19 : 0</v>
      </c>
      <c r="K283" t="str">
        <f t="shared" si="54"/>
        <v>0.00292 - (0.0093 * E6_3_4_19_mRNA)</v>
      </c>
      <c r="L283" t="str">
        <f t="shared" si="55"/>
        <v>(0.278 * E6_3_4_19_mRNA) - (0.00000278 * E6_3_4_19)</v>
      </c>
      <c r="M283" t="str">
        <f t="shared" si="56"/>
        <v>mRNA282: -&gt; E6_3_4_19_mRNA | 0.00292 - (0.0093 * E6_3_4_19_mRNA)</v>
      </c>
      <c r="N283" t="str">
        <f t="shared" si="57"/>
        <v>Peptide282: E6_3_4_19_mRNA -&gt; E6_3_4_19 | (0.278 * E6_3_4_19_mRNA) - (0.000000278 * E6_3_4_19)</v>
      </c>
    </row>
    <row r="284" spans="1:14">
      <c r="A284">
        <v>283</v>
      </c>
      <c r="B284" s="1" t="s">
        <v>11711</v>
      </c>
      <c r="C284" t="str">
        <f t="shared" si="48"/>
        <v>E6_3_4_2_mRNA</v>
      </c>
      <c r="D284" t="str">
        <f t="shared" si="49"/>
        <v>E6_3_4_2</v>
      </c>
      <c r="E284" t="str">
        <f t="shared" si="50"/>
        <v>E6_3_4_2_kcat : 13.7</v>
      </c>
      <c r="F284" t="str">
        <f t="shared" si="58"/>
        <v>E6_3_4_2_km : 1</v>
      </c>
      <c r="G284" t="str">
        <f t="shared" si="51"/>
        <v>E6_3_4_2_mRNA : E6_3_4_2_mRNA</v>
      </c>
      <c r="H284" t="str">
        <f t="shared" si="52"/>
        <v>E6_3_4_2 : E6_3_4_2</v>
      </c>
      <c r="I284" t="str">
        <f t="shared" si="59"/>
        <v>E6_3_4_2_mRNA : 0</v>
      </c>
      <c r="J284" t="str">
        <f t="shared" si="53"/>
        <v>E6_3_4_2 : 0</v>
      </c>
      <c r="K284" t="str">
        <f t="shared" si="54"/>
        <v>0.00292 - (0.0093 * E6_3_4_2_mRNA)</v>
      </c>
      <c r="L284" t="str">
        <f t="shared" si="55"/>
        <v>(0.278 * E6_3_4_2_mRNA) - (0.00000278 * E6_3_4_2)</v>
      </c>
      <c r="M284" t="str">
        <f t="shared" si="56"/>
        <v>mRNA283: -&gt; E6_3_4_2_mRNA | 0.00292 - (0.0093 * E6_3_4_2_mRNA)</v>
      </c>
      <c r="N284" t="str">
        <f t="shared" si="57"/>
        <v>Peptide283: E6_3_4_2_mRNA -&gt; E6_3_4_2 | (0.278 * E6_3_4_2_mRNA) - (0.000000278 * E6_3_4_2)</v>
      </c>
    </row>
    <row r="285" spans="1:14">
      <c r="A285">
        <v>284</v>
      </c>
      <c r="B285" s="1" t="s">
        <v>11712</v>
      </c>
      <c r="C285" t="str">
        <f t="shared" si="48"/>
        <v>E6_3_4_3_mRNA</v>
      </c>
      <c r="D285" t="str">
        <f t="shared" si="49"/>
        <v>E6_3_4_3</v>
      </c>
      <c r="E285" t="str">
        <f t="shared" si="50"/>
        <v>E6_3_4_3_kcat : 13.7</v>
      </c>
      <c r="F285" t="str">
        <f t="shared" si="58"/>
        <v>E6_3_4_3_km : 1</v>
      </c>
      <c r="G285" t="str">
        <f t="shared" si="51"/>
        <v>E6_3_4_3_mRNA : E6_3_4_3_mRNA</v>
      </c>
      <c r="H285" t="str">
        <f t="shared" si="52"/>
        <v>E6_3_4_3 : E6_3_4_3</v>
      </c>
      <c r="I285" t="str">
        <f t="shared" si="59"/>
        <v>E6_3_4_3_mRNA : 0</v>
      </c>
      <c r="J285" t="str">
        <f t="shared" si="53"/>
        <v>E6_3_4_3 : 0</v>
      </c>
      <c r="K285" t="str">
        <f t="shared" si="54"/>
        <v>0.00292 - (0.0093 * E6_3_4_3_mRNA)</v>
      </c>
      <c r="L285" t="str">
        <f t="shared" si="55"/>
        <v>(0.278 * E6_3_4_3_mRNA) - (0.00000278 * E6_3_4_3)</v>
      </c>
      <c r="M285" t="str">
        <f t="shared" si="56"/>
        <v>mRNA284: -&gt; E6_3_4_3_mRNA | 0.00292 - (0.0093 * E6_3_4_3_mRNA)</v>
      </c>
      <c r="N285" t="str">
        <f t="shared" si="57"/>
        <v>Peptide284: E6_3_4_3_mRNA -&gt; E6_3_4_3 | (0.278 * E6_3_4_3_mRNA) - (0.000000278 * E6_3_4_3)</v>
      </c>
    </row>
    <row r="286" spans="1:14">
      <c r="A286">
        <v>285</v>
      </c>
      <c r="B286" s="1" t="s">
        <v>11713</v>
      </c>
      <c r="C286" t="str">
        <f t="shared" si="48"/>
        <v>E6_3_4_4_mRNA</v>
      </c>
      <c r="D286" t="str">
        <f t="shared" si="49"/>
        <v>E6_3_4_4</v>
      </c>
      <c r="E286" t="str">
        <f t="shared" si="50"/>
        <v>E6_3_4_4_kcat : 13.7</v>
      </c>
      <c r="F286" t="str">
        <f t="shared" si="58"/>
        <v>E6_3_4_4_km : 1</v>
      </c>
      <c r="G286" t="str">
        <f t="shared" si="51"/>
        <v>E6_3_4_4_mRNA : E6_3_4_4_mRNA</v>
      </c>
      <c r="H286" t="str">
        <f t="shared" si="52"/>
        <v>E6_3_4_4 : E6_3_4_4</v>
      </c>
      <c r="I286" t="str">
        <f t="shared" si="59"/>
        <v>E6_3_4_4_mRNA : 0</v>
      </c>
      <c r="J286" t="str">
        <f t="shared" si="53"/>
        <v>E6_3_4_4 : 0</v>
      </c>
      <c r="K286" t="str">
        <f t="shared" si="54"/>
        <v>0.00292 - (0.0093 * E6_3_4_4_mRNA)</v>
      </c>
      <c r="L286" t="str">
        <f t="shared" si="55"/>
        <v>(0.278 * E6_3_4_4_mRNA) - (0.00000278 * E6_3_4_4)</v>
      </c>
      <c r="M286" t="str">
        <f t="shared" si="56"/>
        <v>mRNA285: -&gt; E6_3_4_4_mRNA | 0.00292 - (0.0093 * E6_3_4_4_mRNA)</v>
      </c>
      <c r="N286" t="str">
        <f t="shared" si="57"/>
        <v>Peptide285: E6_3_4_4_mRNA -&gt; E6_3_4_4 | (0.278 * E6_3_4_4_mRNA) - (0.000000278 * E6_3_4_4)</v>
      </c>
    </row>
    <row r="287" spans="1:14">
      <c r="A287">
        <v>286</v>
      </c>
      <c r="B287" s="1" t="s">
        <v>11714</v>
      </c>
      <c r="C287" t="str">
        <f t="shared" si="48"/>
        <v>E6_3_5_2_mRNA</v>
      </c>
      <c r="D287" t="str">
        <f t="shared" si="49"/>
        <v>E6_3_5_2</v>
      </c>
      <c r="E287" t="str">
        <f t="shared" si="50"/>
        <v>E6_3_5_2_kcat : 13.7</v>
      </c>
      <c r="F287" t="str">
        <f t="shared" si="58"/>
        <v>E6_3_5_2_km : 1</v>
      </c>
      <c r="G287" t="str">
        <f t="shared" si="51"/>
        <v>E6_3_5_2_mRNA : E6_3_5_2_mRNA</v>
      </c>
      <c r="H287" t="str">
        <f t="shared" si="52"/>
        <v>E6_3_5_2 : E6_3_5_2</v>
      </c>
      <c r="I287" t="str">
        <f t="shared" si="59"/>
        <v>E6_3_5_2_mRNA : 0</v>
      </c>
      <c r="J287" t="str">
        <f t="shared" si="53"/>
        <v>E6_3_5_2 : 0</v>
      </c>
      <c r="K287" t="str">
        <f t="shared" si="54"/>
        <v>0.00292 - (0.0093 * E6_3_5_2_mRNA)</v>
      </c>
      <c r="L287" t="str">
        <f t="shared" si="55"/>
        <v>(0.278 * E6_3_5_2_mRNA) - (0.00000278 * E6_3_5_2)</v>
      </c>
      <c r="M287" t="str">
        <f t="shared" si="56"/>
        <v>mRNA286: -&gt; E6_3_5_2_mRNA | 0.00292 - (0.0093 * E6_3_5_2_mRNA)</v>
      </c>
      <c r="N287" t="str">
        <f t="shared" si="57"/>
        <v>Peptide286: E6_3_5_2_mRNA -&gt; E6_3_5_2 | (0.278 * E6_3_5_2_mRNA) - (0.000000278 * E6_3_5_2)</v>
      </c>
    </row>
    <row r="288" spans="1:14">
      <c r="A288">
        <v>287</v>
      </c>
      <c r="B288" s="1" t="s">
        <v>11715</v>
      </c>
      <c r="C288" t="str">
        <f t="shared" si="48"/>
        <v>E6_3_5_3_mRNA</v>
      </c>
      <c r="D288" t="str">
        <f t="shared" si="49"/>
        <v>E6_3_5_3</v>
      </c>
      <c r="E288" t="str">
        <f t="shared" si="50"/>
        <v>E6_3_5_3_kcat : 13.7</v>
      </c>
      <c r="F288" t="str">
        <f t="shared" si="58"/>
        <v>E6_3_5_3_km : 1</v>
      </c>
      <c r="G288" t="str">
        <f t="shared" si="51"/>
        <v>E6_3_5_3_mRNA : E6_3_5_3_mRNA</v>
      </c>
      <c r="H288" t="str">
        <f t="shared" si="52"/>
        <v>E6_3_5_3 : E6_3_5_3</v>
      </c>
      <c r="I288" t="str">
        <f t="shared" si="59"/>
        <v>E6_3_5_3_mRNA : 0</v>
      </c>
      <c r="J288" t="str">
        <f t="shared" si="53"/>
        <v>E6_3_5_3 : 0</v>
      </c>
      <c r="K288" t="str">
        <f t="shared" si="54"/>
        <v>0.00292 - (0.0093 * E6_3_5_3_mRNA)</v>
      </c>
      <c r="L288" t="str">
        <f t="shared" si="55"/>
        <v>(0.278 * E6_3_5_3_mRNA) - (0.00000278 * E6_3_5_3)</v>
      </c>
      <c r="M288" t="str">
        <f t="shared" si="56"/>
        <v>mRNA287: -&gt; E6_3_5_3_mRNA | 0.00292 - (0.0093 * E6_3_5_3_mRNA)</v>
      </c>
      <c r="N288" t="str">
        <f t="shared" si="57"/>
        <v>Peptide287: E6_3_5_3_mRNA -&gt; E6_3_5_3 | (0.278 * E6_3_5_3_mRNA) - (0.000000278 * E6_3_5_3)</v>
      </c>
    </row>
    <row r="289" spans="1:14">
      <c r="A289">
        <v>288</v>
      </c>
      <c r="B289" s="1" t="s">
        <v>11716</v>
      </c>
      <c r="C289" t="str">
        <f t="shared" si="48"/>
        <v>E6_3_5_4_mRNA</v>
      </c>
      <c r="D289" t="str">
        <f t="shared" si="49"/>
        <v>E6_3_5_4</v>
      </c>
      <c r="E289" t="str">
        <f t="shared" si="50"/>
        <v>E6_3_5_4_kcat : 13.7</v>
      </c>
      <c r="F289" t="str">
        <f t="shared" si="58"/>
        <v>E6_3_5_4_km : 1</v>
      </c>
      <c r="G289" t="str">
        <f t="shared" si="51"/>
        <v>E6_3_5_4_mRNA : E6_3_5_4_mRNA</v>
      </c>
      <c r="H289" t="str">
        <f t="shared" si="52"/>
        <v>E6_3_5_4 : E6_3_5_4</v>
      </c>
      <c r="I289" t="str">
        <f t="shared" si="59"/>
        <v>E6_3_5_4_mRNA : 0</v>
      </c>
      <c r="J289" t="str">
        <f t="shared" si="53"/>
        <v>E6_3_5_4 : 0</v>
      </c>
      <c r="K289" t="str">
        <f t="shared" si="54"/>
        <v>0.00292 - (0.0093 * E6_3_5_4_mRNA)</v>
      </c>
      <c r="L289" t="str">
        <f t="shared" si="55"/>
        <v>(0.278 * E6_3_5_4_mRNA) - (0.00000278 * E6_3_5_4)</v>
      </c>
      <c r="M289" t="str">
        <f t="shared" si="56"/>
        <v>mRNA288: -&gt; E6_3_5_4_mRNA | 0.00292 - (0.0093 * E6_3_5_4_mRNA)</v>
      </c>
      <c r="N289" t="str">
        <f t="shared" si="57"/>
        <v>Peptide288: E6_3_5_4_mRNA -&gt; E6_3_5_4 | (0.278 * E6_3_5_4_mRNA) - (0.000000278 * E6_3_5_4)</v>
      </c>
    </row>
    <row r="290" spans="1:14">
      <c r="A290">
        <v>289</v>
      </c>
      <c r="B290" s="2" t="s">
        <v>11717</v>
      </c>
      <c r="C290" t="str">
        <f t="shared" si="48"/>
        <v>E6_3_5_5_mRNA</v>
      </c>
      <c r="D290" t="str">
        <f t="shared" si="49"/>
        <v>E6_3_5_5</v>
      </c>
      <c r="E290" t="str">
        <f t="shared" si="50"/>
        <v>E6_3_5_5_kcat : 13.7</v>
      </c>
      <c r="F290" t="str">
        <f t="shared" si="58"/>
        <v>E6_3_5_5_km : 1</v>
      </c>
      <c r="G290" t="str">
        <f t="shared" si="51"/>
        <v>E6_3_5_5_mRNA : E6_3_5_5_mRNA</v>
      </c>
      <c r="H290" t="str">
        <f t="shared" si="52"/>
        <v>E6_3_5_5 : E6_3_5_5</v>
      </c>
      <c r="I290" t="str">
        <f t="shared" si="59"/>
        <v>E6_3_5_5_mRNA : 0</v>
      </c>
      <c r="J290" t="str">
        <f t="shared" si="53"/>
        <v>E6_3_5_5 : 0</v>
      </c>
      <c r="K290" t="str">
        <f t="shared" si="54"/>
        <v>0.00292 - (0.0093 * E6_3_5_5_mRNA)</v>
      </c>
      <c r="L290" t="str">
        <f t="shared" si="55"/>
        <v>(0.278 * E6_3_5_5_mRNA) - (0.00000278 * E6_3_5_5)</v>
      </c>
      <c r="M290" t="str">
        <f t="shared" si="56"/>
        <v>mRNA289: -&gt; E6_3_5_5_mRNA | 0.00292 - (0.0093 * E6_3_5_5_mRNA)</v>
      </c>
      <c r="N290" t="str">
        <f t="shared" si="57"/>
        <v>Peptide289: E6_3_5_5_mRNA -&gt; E6_3_5_5 | (0.278 * E6_3_5_5_mRNA) - (0.000000278 * E6_3_5_5)</v>
      </c>
    </row>
    <row r="291" spans="1:14">
      <c r="A291">
        <v>290</v>
      </c>
      <c r="B291" s="1" t="s">
        <v>11718</v>
      </c>
      <c r="C291" t="str">
        <f t="shared" si="48"/>
        <v>E6_5_1_2_mRNA</v>
      </c>
      <c r="D291" t="str">
        <f t="shared" si="49"/>
        <v>E6_5_1_2</v>
      </c>
      <c r="E291" t="str">
        <f t="shared" si="50"/>
        <v>E6_5_1_2_kcat : 13.7</v>
      </c>
      <c r="F291" t="str">
        <f t="shared" si="58"/>
        <v>E6_5_1_2_km : 1</v>
      </c>
      <c r="G291" t="str">
        <f t="shared" si="51"/>
        <v>E6_5_1_2_mRNA : E6_5_1_2_mRNA</v>
      </c>
      <c r="H291" t="str">
        <f t="shared" si="52"/>
        <v>E6_5_1_2 : E6_5_1_2</v>
      </c>
      <c r="I291" t="str">
        <f t="shared" si="59"/>
        <v>E6_5_1_2_mRNA : 0</v>
      </c>
      <c r="J291" t="str">
        <f t="shared" si="53"/>
        <v>E6_5_1_2 : 0</v>
      </c>
      <c r="K291" t="str">
        <f t="shared" si="54"/>
        <v>0.00292 - (0.0093 * E6_5_1_2_mRNA)</v>
      </c>
      <c r="L291" t="str">
        <f t="shared" si="55"/>
        <v>(0.278 * E6_5_1_2_mRNA) - (0.00000278 * E6_5_1_2)</v>
      </c>
      <c r="M291" t="str">
        <f t="shared" si="56"/>
        <v>mRNA290: -&gt; E6_5_1_2_mRNA | 0.00292 - (0.0093 * E6_5_1_2_mRNA)</v>
      </c>
      <c r="N291" t="str">
        <f t="shared" si="57"/>
        <v>Peptide290: E6_5_1_2_mRNA -&gt; E6_5_1_2 | (0.278 * E6_5_1_2_mRNA) - (0.000000278 * E6_5_1_2)</v>
      </c>
    </row>
  </sheetData>
  <hyperlinks>
    <hyperlink ref="B169" r:id="rId1" display="https://enzyme.expasy.org/EC/3.5.2.7" xr:uid="{8D7F5751-C8C6-D94E-98FE-504336721E36}"/>
    <hyperlink ref="B250" r:id="rId2" display="5.4.99.9" xr:uid="{D7700EA1-1901-294C-9D66-026DC6DBE677}"/>
    <hyperlink ref="B124" r:id="rId3" display="2.7.10.2" xr:uid="{658F6977-569F-D945-8555-6BF49837C86D}"/>
    <hyperlink ref="B187" r:id="rId4" display="4.1.1.15" xr:uid="{30954B30-962A-2644-9215-112478E57CD3}"/>
    <hyperlink ref="B225" r:id="rId5" display="4.3.3.7" xr:uid="{3C2FE49E-9B4F-A541-9843-23D817B97922}"/>
    <hyperlink ref="B291" r:id="rId6" display="6.5.1.2" xr:uid="{C59F36C4-F497-E444-BA57-5D06611F1F5D}"/>
    <hyperlink ref="B159" r:id="rId7" display="https://enzyme.expasy.org/EC/3.1.3.7" xr:uid="{16307164-5559-0A40-83FD-A7CB31CE0426}"/>
    <hyperlink ref="B240" r:id="rId8" display="5.3.1.5" xr:uid="{3AE0179B-9B00-7244-83D8-ABFF3B763876}"/>
    <hyperlink ref="B82" r:id="rId9" display="2.4.2.29" xr:uid="{68F46D13-1E5C-B241-BF0C-1151BC822469}"/>
    <hyperlink ref="B108" r:id="rId10" display="2.7.1.148" xr:uid="{C93EE856-0D38-A840-B21A-4522B9CA3B1D}"/>
    <hyperlink ref="B110" r:id="rId11" display="2.7.1.21" xr:uid="{FB5C11E9-FF31-4E41-8D05-56B0B4F85420}"/>
    <hyperlink ref="B190" r:id="rId12" display="4.1.1.36" xr:uid="{6032E594-2F31-104D-BE64-4150BB6CB638}"/>
    <hyperlink ref="B274" r:id="rId13" display="6.3.2.5" xr:uid="{DA0E0C9F-D65D-494C-A566-01557CA74B22}"/>
    <hyperlink ref="B38" r:id="rId14" display="1.8.1.4" xr:uid="{F2A4145F-A8EC-174F-9A7C-54B56FD0D5B6}"/>
    <hyperlink ref="B36" r:id="rId15" display="1.7.2.2" xr:uid="{1FF19C7C-5608-E94D-9D03-6360F5827CA3}"/>
    <hyperlink ref="B264" r:id="rId16" display="6.1.1.3" xr:uid="{FEA68174-EF44-0B48-A4F0-09A795806D62}"/>
    <hyperlink ref="B149" r:id="rId17" display="2.7.8.31" xr:uid="{7DD35478-759C-CF43-9375-7064CA05CD97}"/>
    <hyperlink ref="B212" r:id="rId18" display="4.2.1.47" xr:uid="{2B309700-F3B7-054F-845D-813902E7FD48}"/>
    <hyperlink ref="B140" r:id="rId19" display="2.7.7.24" xr:uid="{AAB93D4B-049E-A54E-B0D0-83E2C58FBD4A}"/>
    <hyperlink ref="B156" r:id="rId20" display="3.1.1.31" xr:uid="{3C2640BA-AD15-DA45-8D75-615B42F548FB}"/>
    <hyperlink ref="B12" r:id="rId21" display="1.1.1.44" xr:uid="{F1106A03-3CEF-0344-B574-44F7B2679123}"/>
    <hyperlink ref="B67" r:id="rId22" display="2.3.1.245" xr:uid="{AD83A451-310D-B04E-B16B-DBB26C8CF4AF}"/>
    <hyperlink ref="B78" r:id="rId23" display="2.4.2.18" xr:uid="{D5C9DC7E-5665-5C47-89F8-F0045300A309}"/>
    <hyperlink ref="B191" r:id="rId24" display="4.1.1.48" xr:uid="{166C52DD-1117-2F43-AFA9-0330CCC48BC7}"/>
    <hyperlink ref="B55" r:id="rId25" display="2.1.2.3" xr:uid="{C80226B8-07BC-A143-BDE8-E1DB3F02B72E}"/>
    <hyperlink ref="B171" r:id="rId26" display="3.5.4.10" xr:uid="{8AB69F9E-432D-694E-BC73-ECD3FC828824}"/>
    <hyperlink ref="B152" r:id="rId27" display="2.8.1.6" xr:uid="{719C4943-CAC4-2F4B-AAAA-32860AFA2DDD}"/>
    <hyperlink ref="B101" r:id="rId28" display="2.6.1.62" xr:uid="{25C0F00D-FFCC-984C-AC5E-3B1F326236C1}"/>
    <hyperlink ref="B46" r:id="rId29" display="2.1.1.197" xr:uid="{B526C124-CB6B-BF4C-ABBD-ADD2C7C7DD1B}"/>
    <hyperlink ref="B247" r:id="rId30" display="5.4.99.12" xr:uid="{F7D4BB8E-22F4-994B-8C11-D947DBE656A4}"/>
    <hyperlink ref="B275" r:id="rId31" display="6.3.2.6" xr:uid="{37A91EA7-6528-D64A-A73A-000BF08C871D}"/>
    <hyperlink ref="B238" r:id="rId32" display="5.3.1.16" xr:uid="{57B61142-90BD-B041-8589-B3A8CE2D7CFC}"/>
    <hyperlink ref="B173" r:id="rId33" display="3.5.4.19" xr:uid="{CDE3C6AA-FA90-6346-BBB9-5E6476A9576F}"/>
    <hyperlink ref="B183" r:id="rId34" display="3.6.1.31" xr:uid="{1C467C02-F22C-DF4F-9B77-59326D2521BF}"/>
    <hyperlink ref="B126" r:id="rId35" display="2.7.2.4" xr:uid="{EE63F8AA-645E-7646-AD86-900339738074}"/>
    <hyperlink ref="B51" r:id="rId36" display="2.1.1.63" xr:uid="{A90FA1DE-9510-9E46-AE0C-A91EA1CB796D}"/>
    <hyperlink ref="B40" r:id="rId37" display="1.8.4.12" xr:uid="{4E71A858-A547-BB4B-8FC9-BD9A81596819}"/>
    <hyperlink ref="B217" r:id="rId38" display="4.2.3.3" xr:uid="{EADBF197-E501-A64C-98E9-F4D31D85FB9D}"/>
    <hyperlink ref="B73" r:id="rId39" display="2.3.3.13" xr:uid="{9054F13A-C50F-5C44-97AF-EDFF78275914}"/>
    <hyperlink ref="B219" r:id="rId40" display="4.2.3.5" xr:uid="{C805D729-DB38-7845-B24C-1DAC8874387A}"/>
    <hyperlink ref="B79" r:id="rId41" display="2.4.2.19" xr:uid="{A0188277-36F0-0740-9124-A5EB364DA6E9}"/>
    <hyperlink ref="B189" r:id="rId42" display="4.1.1.23" xr:uid="{0A8BB4E8-A223-3E44-9008-C94CD4E1E98F}"/>
    <hyperlink ref="B93" r:id="rId43" display="2.5.1.75" xr:uid="{0AD0C34A-F140-8C4B-82A5-844EEFECC7B8}"/>
    <hyperlink ref="B52" r:id="rId44" display="2.1.1.72" xr:uid="{A2D15110-453B-9249-93B7-40832D226487}"/>
    <hyperlink ref="B128" r:id="rId45" display="2.7.4.1" xr:uid="{CC69D65C-5E01-594B-A8D9-B92FB1159629}"/>
    <hyperlink ref="B125" r:id="rId46" display="2.7.2.11" xr:uid="{2DA3C4C5-6E9E-494D-9DA7-93E367E35DF5}"/>
    <hyperlink ref="B23" r:id="rId47" display="1.2.1.41" xr:uid="{3EF04EDA-AA5F-7E42-A6B6-AEB33591EF09}"/>
    <hyperlink ref="B59" r:id="rId48" display="2.1.3.9" xr:uid="{F6BD2EF8-5468-D64D-A471-57AE79B13FF6}"/>
    <hyperlink ref="B239" r:id="rId49" display="5.3.1.23" xr:uid="{7674E89A-1A87-D246-A059-0BBC37D83FD1}"/>
    <hyperlink ref="B258" r:id="rId50" display="6.1.1.17" xr:uid="{34533FC8-2175-0949-9721-F93B1627B3B3}"/>
    <hyperlink ref="B249" r:id="rId51" display="5.4.99.2" xr:uid="{F1FF40E0-C43F-8948-AF80-AE40E0D4DCC2}"/>
    <hyperlink ref="B5" r:id="rId52" display="1.1.1.205" xr:uid="{867D759C-B554-D044-B1D6-61BC330AB82F}"/>
    <hyperlink ref="B234" r:id="rId53" display="5.2.1.8" xr:uid="{AA379B00-22A4-1C4C-A1CC-2D648F017402}"/>
    <hyperlink ref="B137" r:id="rId54" display="2.7.6.3" xr:uid="{C6B5EEED-5BBD-C94B-9BEF-5FF9D0E23815}"/>
    <hyperlink ref="B85" r:id="rId55" display="2.4.99.17" xr:uid="{E14BB337-82A9-6042-BE2E-E79CCB0ED1CC}"/>
    <hyperlink ref="B276" r:id="rId56" display="6.3.2.8" xr:uid="{7572E69F-20F3-364E-9AF6-EA4ED2C70EC5}"/>
    <hyperlink ref="B277" r:id="rId57" display="6.3.2.9" xr:uid="{204AD116-F516-4043-B54C-68E6B90FF93A}"/>
    <hyperlink ref="B148" r:id="rId58" display="2.7.8.13" xr:uid="{DBE02EA6-FF8C-4146-8A94-6DAF7D6FB3AF}"/>
    <hyperlink ref="B272" r:id="rId59" display="6.3.2.13" xr:uid="{4A1E471A-E71D-774D-B839-AEB1E46B92C1}"/>
    <hyperlink ref="B3" r:id="rId60" display="1.1.1.133" xr:uid="{C25E0ECB-B7EE-AB43-A248-21C318648DE6}"/>
    <hyperlink ref="B288" r:id="rId61" display="6.3.5.3" xr:uid="{CA77FADB-4CC2-1F49-BC99-4947C31199F7}"/>
    <hyperlink ref="B218" r:id="rId62" display="4.2.3.4" xr:uid="{0321929D-723D-3340-AD5F-3A73F03D6E80}"/>
    <hyperlink ref="B268" r:id="rId63" display="6.1.1.7" xr:uid="{634A15DC-CD23-4646-BA1A-5ADD7553CF65}"/>
    <hyperlink ref="B193" r:id="rId64" display="4.1.1.65" xr:uid="{97F86276-BB7D-A04C-A4F5-E5A9D14E7809}"/>
    <hyperlink ref="B226" r:id="rId65" display="4.6.1.12" xr:uid="{36C0C65E-EC66-404B-8B15-25892FA26E15}"/>
    <hyperlink ref="B45" r:id="rId66" display="2.1.1.182" xr:uid="{E4443ED8-0D9D-C34D-B214-2872B0C58CBF}"/>
    <hyperlink ref="B74" r:id="rId67" display="2.4.1.182" xr:uid="{E99867A4-0236-DC43-BFA0-05E52027EA4C}"/>
    <hyperlink ref="B245" r:id="rId68" display="5.4.2.12" xr:uid="{A0E610FB-3877-7C4D-BBDC-9C66937ED5C0}"/>
    <hyperlink ref="B61" r:id="rId69" display="2.2.1.7" xr:uid="{8CE469A6-0EFB-6745-89E3-E79DF60B154E}"/>
    <hyperlink ref="B170" r:id="rId70" display="3.5.3.1" xr:uid="{1E36A8E0-5571-424C-9995-891657A7ED7D}"/>
    <hyperlink ref="B273" r:id="rId71" display="6.3.2.4" xr:uid="{8005462B-B187-7F45-AAA8-063D8EDF5895}"/>
    <hyperlink ref="B235" r:id="rId72" display="5.3.1.1" xr:uid="{EFCEB7DB-C4A0-9647-B3FD-F51AC499F9FC}"/>
    <hyperlink ref="B145" r:id="rId73" display="2.7.7.60" xr:uid="{D700D539-CED8-0443-BD0C-C3874BB93681}"/>
    <hyperlink ref="B192" r:id="rId74" display="4.1.1.49" xr:uid="{7A26F440-BD32-914C-BD37-548DB6E6A815}"/>
    <hyperlink ref="B122" r:id="rId75" display="2.7.1.71" xr:uid="{8E085166-E6B4-3142-ABF7-87176FC2FF66}"/>
    <hyperlink ref="B257" r:id="rId76" display="6.1.1.16" xr:uid="{2C2977B9-1E1A-054D-BB19-C474F52812CC}"/>
    <hyperlink ref="B98" r:id="rId77" display="2.6.1.37" xr:uid="{16E1C3FF-AE6F-4A41-8B42-174FFF728FEF}"/>
    <hyperlink ref="B161" r:id="rId78" display="3.11.1.1" xr:uid="{216A1B5A-ACAD-3644-A9CB-4234241212A9}"/>
    <hyperlink ref="B174" r:id="rId79" display="3.5.4.2" xr:uid="{847C54A7-3E11-D542-94EE-9319061DF051}"/>
    <hyperlink ref="B198" r:id="rId80" display="4.1.2.4" xr:uid="{101A2C03-FC79-BB4B-BB82-B853F8C4CA93}"/>
    <hyperlink ref="B265" r:id="rId81" display="6.1.1.4" xr:uid="{D264BE1F-60C3-4D4B-869C-40B34B39AF38}"/>
    <hyperlink ref="B251" r:id="rId82" display="6.1.1.1" xr:uid="{6E21464A-D16A-8A41-BD4E-14E92AF0D85E}"/>
    <hyperlink ref="B20" r:id="rId83" display="1.17.99.6" xr:uid="{0160A2F9-6CBB-F24B-AE87-40F07C96EA2C}"/>
    <hyperlink ref="B280" r:id="rId84" display="6.3.4.13" xr:uid="{EB746FB7-409B-DA4E-BFA9-FC25DF34CFA9}"/>
    <hyperlink ref="B114" r:id="rId85" display="2.7.1.26" xr:uid="{6C11325D-D2C0-8543-8A5F-3BFDA88883D6}"/>
    <hyperlink ref="B139" r:id="rId86" display="2.7.7.2" xr:uid="{F5F66FA6-ACE0-0045-95E8-2387FAE6BEE3}"/>
    <hyperlink ref="B166" r:id="rId87" display="3.5.1.25" xr:uid="{95062116-D34C-4C49-BC9B-D5A8CB2CA9D2}"/>
    <hyperlink ref="B188" r:id="rId88" display="4.1.1.21" xr:uid="{57907978-53A4-E348-874C-AF05BA2203B2}"/>
    <hyperlink ref="B248" r:id="rId89" display="5.4.99.18" xr:uid="{7202FBBE-ED60-E64D-9E52-8F24EC60B598}"/>
    <hyperlink ref="B255" r:id="rId90" display="6.1.1.14" xr:uid="{F21AB317-A05B-D240-9F74-7E22AB54C6E2}"/>
    <hyperlink ref="B21" r:id="rId91" display="1.2.1.11" xr:uid="{2214D04E-9F68-B54C-BE5E-382913C15ECF}"/>
    <hyperlink ref="B203" r:id="rId92" display="4.2.1.10" xr:uid="{0A32E2EA-9AF1-C240-9C14-3E39BBD7AC10}"/>
    <hyperlink ref="B141" r:id="rId93" display="2.7.7.3" xr:uid="{BB9C9400-7673-664C-91FD-99C6488CB0A6}"/>
    <hyperlink ref="B130" r:id="rId94" display="2.7.4.22" xr:uid="{A7C2345E-EB3F-1C49-87FE-60EFFEE04DDE}"/>
    <hyperlink ref="B41" r:id="rId95" display="1.97.1.4" xr:uid="{98AA4E56-0A25-CE43-8B8F-FE8A48B6CD64}"/>
    <hyperlink ref="B15" r:id="rId96" display="1.11.1.24" xr:uid="{4081D319-5AF9-C441-8851-9BC9C447A046}"/>
    <hyperlink ref="B281" r:id="rId97" display="6.3.4.14" xr:uid="{EC8CEF06-EABE-CA49-90F0-042B83830CED}"/>
    <hyperlink ref="B260" r:id="rId98" display="6.1.1.2" xr:uid="{140E5AF8-8B24-1741-B557-E28F10AB008B}"/>
    <hyperlink ref="B181" r:id="rId99" display="3.6.1.22" xr:uid="{67BA4438-94ED-2A47-ABEE-C4CF8B75E01A}"/>
    <hyperlink ref="B175" r:id="rId100" display="3.5.4.25" xr:uid="{CFEFBC76-F004-B542-8F8C-0C60FD851EA0}"/>
    <hyperlink ref="B200" r:id="rId101" display="4.1.99.12" xr:uid="{33BD9874-92DF-F448-A187-A4C87407EF3A}"/>
    <hyperlink ref="B136" r:id="rId102" display="2.7.6.2" xr:uid="{DBB6F3B7-84D0-0E48-AB33-AB04BF2D0724}"/>
    <hyperlink ref="B30" r:id="rId103" display="1.4.1.16" xr:uid="{5E4BAB45-B42E-E649-8CAD-E71F28D24B4E}"/>
    <hyperlink ref="B179" r:id="rId104" display="3.5.99.6" xr:uid="{F1A32BC7-18EE-3B45-B614-5DC46F143173}"/>
    <hyperlink ref="B259" r:id="rId105" display="6.1.1.19" xr:uid="{652676F1-E40E-E64E-884D-8E99EC72AA64}"/>
    <hyperlink ref="B213" r:id="rId106" display="4.2.1.49" xr:uid="{40B42F51-8707-1948-9E25-BA80BF32160D}"/>
    <hyperlink ref="B48" r:id="rId107" display="2.1.1.33" xr:uid="{4C13EAFB-CB2E-E54B-9F5A-EBCD232760DA}"/>
    <hyperlink ref="B223" r:id="rId108" display="4.3.2.1" xr:uid="{513ECE09-66C2-B346-A2D3-5EC2DBDFEC52}"/>
    <hyperlink ref="B4" r:id="rId109" display="1.1.1.193" xr:uid="{4F76E96E-D805-CB4A-AE3B-BF68C4DB767B}"/>
    <hyperlink ref="B176" r:id="rId110" display="3.5.4.26" xr:uid="{25671937-1EC1-5146-8B67-AB57DFCDE737}"/>
    <hyperlink ref="B227" r:id="rId111" display="5.1.1.3" xr:uid="{6B2072D7-F4DA-DE4E-8ECE-7021BDB36383}"/>
    <hyperlink ref="B270" r:id="rId112" display="6.3.1.1" xr:uid="{A5D4DC30-B5B6-F24D-8ED0-DC10002035F3}"/>
    <hyperlink ref="B263" r:id="rId113" display="6.1.1.22" xr:uid="{5CAF290D-8012-F148-ABCF-DAAC94D03C8B}"/>
    <hyperlink ref="B50" r:id="rId114" display="2.1.1.45" xr:uid="{28FC507D-52A2-5E44-93E6-E594CEEFBFBB}"/>
    <hyperlink ref="B180" r:id="rId115" display="3.6.1.1" xr:uid="{C774FFFC-AA57-4048-93A9-F85A8F26E6E5}"/>
    <hyperlink ref="B151" r:id="rId116" display="2.8.1.13" xr:uid="{2F24A1D6-F8CC-B345-9364-31674D995FC4}"/>
    <hyperlink ref="B286" r:id="rId117" display="6.3.4.4" xr:uid="{F4A6F8A2-D0F4-AB46-9441-BC234DF96F4B}"/>
    <hyperlink ref="B262" r:id="rId118" display="6.1.1.21" xr:uid="{9321ACC8-3A06-434E-8B61-F99A63FD48B8}"/>
    <hyperlink ref="B269" r:id="rId119" display="6.1.1.9" xr:uid="{7112A2CA-AD86-1140-A05C-D9B13FAAE877}"/>
    <hyperlink ref="B129" r:id="rId120" display="2.7.4.16" xr:uid="{58701F0B-3763-F547-B0D7-BFD15A22E3B9}"/>
    <hyperlink ref="B107" r:id="rId121" display="2.7.1.130" xr:uid="{3F86563F-AC72-0D47-ADB9-44947D1EAC48}"/>
    <hyperlink ref="B80" r:id="rId122" display="2.4.2.21" xr:uid="{87577230-E4F3-894C-A4CA-B64B504A6115}"/>
    <hyperlink ref="B197" r:id="rId123" display="4.1.2.25" xr:uid="{BAA3F426-9A2F-534C-A905-09BAF7751D28}"/>
    <hyperlink ref="B22" r:id="rId124" display="1.2.1.38" xr:uid="{677BE3F6-E915-CC4C-893A-51D6D1367908}"/>
    <hyperlink ref="B205" r:id="rId125" display="4.2.1.126" xr:uid="{2413B1C5-0648-4148-ADCF-8D52F8C5D7A6}"/>
    <hyperlink ref="B267" r:id="rId126" display="6.1.1.6" xr:uid="{7ADA7325-058D-914C-A3BD-A44F241AE233}"/>
    <hyperlink ref="B94" r:id="rId127" display="2.5.1.78" xr:uid="{2A84D0AA-06BA-ED48-918C-287FB478A9FA}"/>
    <hyperlink ref="B278" r:id="rId128" display="6.3.3.2" xr:uid="{EE07A46F-8142-C844-B9CB-3E4180EEE9E4}"/>
    <hyperlink ref="B185" r:id="rId129" display="4.1.1.11" xr:uid="{51170DA4-3BC5-A24F-BF5F-9DC34C689A7C}"/>
    <hyperlink ref="B89" r:id="rId130" display="2.5.1.55" xr:uid="{FFF34826-984A-C949-AE0F-A77FD856EE00}"/>
    <hyperlink ref="B271" r:id="rId131" display="6.3.1.5" xr:uid="{23CD39C3-F134-7A4E-9AFB-F4E2FA2735DE}"/>
    <hyperlink ref="B102" r:id="rId132" display="2.6.1.83" xr:uid="{59E4C52F-8E49-1847-9138-CB86D5650535}"/>
    <hyperlink ref="B228" r:id="rId133" display="5.1.1.7" xr:uid="{C189088B-70F1-1541-B66E-BBC3BCD9C6D7}"/>
    <hyperlink ref="B155" r:id="rId134" display="3.1.1.29" xr:uid="{C28BB383-8126-EB46-B74D-C9C9CAACE83D}"/>
    <hyperlink ref="B95" r:id="rId135" display="2.5.1.9" xr:uid="{18A4148B-5189-BA43-B71E-132975D8C087}"/>
    <hyperlink ref="B69" r:id="rId136" display="2.3.1.39" xr:uid="{4B968269-725C-F646-8BBA-70FF3B52D308}"/>
    <hyperlink ref="B57" r:id="rId137" display="2.1.2.9" xr:uid="{911635E1-A2F4-5E4D-8E8D-0009FE54977A}"/>
    <hyperlink ref="B229" r:id="rId138" display="5.1.3.1" xr:uid="{FE82C1FD-4B98-7E48-BB16-8B11529FE66F}"/>
    <hyperlink ref="B243" r:id="rId139" display="5.4.2.10" xr:uid="{680AADC6-BEF7-2547-99EA-B14F878FD543}"/>
    <hyperlink ref="B121" r:id="rId140" display="2.7.1.6" xr:uid="{8EB86884-991A-2845-AA52-23E327F22417}"/>
    <hyperlink ref="B207" r:id="rId141" display="4.2.1.2" xr:uid="{70600739-BFDC-CB4F-841F-95EF46851784}"/>
    <hyperlink ref="B112" r:id="rId142" display="2.7.1.24" xr:uid="{42F1738B-CCE6-4C45-978B-C569C2170509}"/>
    <hyperlink ref="B211" r:id="rId143" display="4.2.1.46" xr:uid="{A024A38F-A14C-6C4D-B0E2-2689EAF3242C}"/>
    <hyperlink ref="B230" r:id="rId144" display="5.1.3.13" xr:uid="{88F1550E-FE9C-AD48-AE28-B59CB40BEF52}"/>
    <hyperlink ref="B115" r:id="rId145" display="2.7.1.30" xr:uid="{C4B287F8-9263-924E-99BA-3BDDF627FB70}"/>
    <hyperlink ref="B214" r:id="rId146" display="4.2.1.8" xr:uid="{AB538D33-0D17-9E4B-9231-6BFE279889B8}"/>
    <hyperlink ref="B266" r:id="rId147" display="6.1.1.5" xr:uid="{D48FCB17-F2B3-3D4D-9832-EB8F8404D947}"/>
    <hyperlink ref="B33" r:id="rId148" display="1.4.4.2" xr:uid="{D7DDAFC4-8C48-A24A-A421-03D68C1456F8}"/>
    <hyperlink ref="B91" r:id="rId149" display="2.5.1.7" xr:uid="{89CE760C-3B3F-3348-9E62-052FBC96B226}"/>
    <hyperlink ref="B8" r:id="rId150" display="1.1.1.267" xr:uid="{B66F9F39-15DD-D141-9026-B0CA2EDC6F7B}"/>
    <hyperlink ref="B127" r:id="rId151" display="2.7.2.8" xr:uid="{93CE94E2-4E37-D046-A126-92CECB5724EE}"/>
    <hyperlink ref="B142" r:id="rId152" display="2.7.7.38" xr:uid="{CF240F14-34A0-3442-8D72-401E46955B05}"/>
    <hyperlink ref="B66" r:id="rId153" display="2.3.1.234" xr:uid="{8658A90A-AF66-5942-B0F2-F103B11DB3E7}"/>
    <hyperlink ref="B10" r:id="rId154" display="1.1.1.336" xr:uid="{CDA8C630-6360-3845-911A-E9F1B96233F0}"/>
    <hyperlink ref="B92" r:id="rId155" display="2.5.1.74" xr:uid="{F00CA876-04FD-5B4F-A91E-ECD983E76A4B}"/>
    <hyperlink ref="B105" r:id="rId156" display="2.6.99.2" xr:uid="{8EF07526-DDFE-7048-A052-B23036858BCF}"/>
    <hyperlink ref="B111" r:id="rId157" display="2.7.1.23" xr:uid="{123DB060-4FF8-B643-ADC9-49EE525A319F}"/>
    <hyperlink ref="B70" r:id="rId158" display="2.3.1.46" xr:uid="{302E4940-F93D-8E4F-8CFC-D0686079D2C6}"/>
    <hyperlink ref="B254" r:id="rId159" display="6.1.1.12" xr:uid="{0D879E5E-E058-384A-BF7B-8FA47F6B1C2D}"/>
    <hyperlink ref="B283" r:id="rId160" display="6.3.4.19" xr:uid="{ED08191B-98AB-C943-87E4-3DBC1187276F}"/>
    <hyperlink ref="B237" r:id="rId161" display="5.3.1.14" xr:uid="{B0C2292B-FF31-7C44-9C13-73A06CD6A0D3}"/>
    <hyperlink ref="B168" r:id="rId162" display="3.5.2.3" xr:uid="{49D31E86-5512-BB45-BD34-07749090BE88}"/>
    <hyperlink ref="B68" r:id="rId163" display="2.3.1.29" xr:uid="{B5F0E05D-27B5-B449-8B13-41A220CD23BB}"/>
    <hyperlink ref="B84" r:id="rId164" display="2.4.2.9" xr:uid="{997B7357-8609-1F40-AAD6-E87710936B02}"/>
    <hyperlink ref="B62" r:id="rId165" display="2.2.1.9" xr:uid="{AA443050-460F-6B44-95D9-F0798C4793EC}"/>
    <hyperlink ref="B246" r:id="rId166" display="5.4.4.2" xr:uid="{A2D0722F-F5DF-C146-874E-FC9110A261D6}"/>
    <hyperlink ref="B177" r:id="rId167" display="3.5.4.3" xr:uid="{A513B8AA-F2E9-B14B-92AE-B27704D736D2}"/>
    <hyperlink ref="B164" r:id="rId168" display="3.2.2.4" xr:uid="{534ABD3A-5F2C-C24B-8959-7D20899560B6}"/>
    <hyperlink ref="B26" r:id="rId169" display="1.3.1.14" xr:uid="{14669E57-4A54-E34E-A3B0-2A794C3861C5}"/>
    <hyperlink ref="B44" r:id="rId170" display="2.1.1.133" xr:uid="{76EA54E3-D051-4E45-A5D2-D75B05B9B798}"/>
    <hyperlink ref="B120" r:id="rId171" display="2.7.1.49" xr:uid="{C7968112-87D2-1246-9CB5-4AA76EE90D7B}"/>
    <hyperlink ref="B134" r:id="rId172" display="2.7.4.7" xr:uid="{CC298287-C543-6948-B90B-CD5CDFD9B100}"/>
    <hyperlink ref="B201" r:id="rId173" display="4.1.99.17" xr:uid="{FDBEA9D0-D408-7141-AFFA-ABF5B206CFFD}"/>
    <hyperlink ref="B150" r:id="rId174" display="2.7.9.1" xr:uid="{79D96755-35D1-794D-8D93-967EA249A13E}"/>
    <hyperlink ref="B285" r:id="rId175" display="6.3.4.3" xr:uid="{241F9390-408B-F74F-A31D-BC77BBA99C03}"/>
    <hyperlink ref="B256" r:id="rId176" display="6.1.1.15" xr:uid="{16FC5A6C-E516-864F-A20B-AEB673DDB322}"/>
    <hyperlink ref="B157" r:id="rId177" display="3.1.3.15" xr:uid="{95B0D212-38F6-3D4E-8FFD-33A1E0ACCD42}"/>
    <hyperlink ref="B206" r:id="rId178" display="4.2.1.19" xr:uid="{49513650-9E5D-1041-AC09-8A3554F269D0}"/>
    <hyperlink ref="B77" r:id="rId179" display="2.4.2.17" xr:uid="{9950B32A-E8D9-494F-8E49-7A899E4472AB}"/>
    <hyperlink ref="B154" r:id="rId180" display="2.8.4.4" xr:uid="{524D98B3-1A5C-6C4A-A719-FF24007D45D9}"/>
    <hyperlink ref="B58" r:id="rId181" display="2.1.3.2" xr:uid="{F8C731E3-C1B3-8C4E-A37D-6AE421955324}"/>
    <hyperlink ref="B261" r:id="rId182" display="6.1.1.20" xr:uid="{F65D3911-C808-4643-BD09-28D001D3024F}"/>
    <hyperlink ref="B47" r:id="rId183" display="2.1.1.228" xr:uid="{891026C0-052D-0C42-B2FB-78E1266DA0A8}"/>
    <hyperlink ref="B119" r:id="rId184" display="2.7.1.48" xr:uid="{210C1922-E06B-584B-8B7D-A0379350BDAB}"/>
    <hyperlink ref="B54" r:id="rId185" display="2.1.2.11" xr:uid="{5E9DBE1C-9EFF-F54E-AF28-158CAB56C677}"/>
    <hyperlink ref="B143" r:id="rId186" display="2.7.7.4" xr:uid="{CD0B73D7-D5F3-C24C-9B47-B36B62EADAFF}"/>
    <hyperlink ref="B167" r:id="rId187" display="3.5.1.88" xr:uid="{982DD8C7-93BC-5D4C-B83A-A69DA44513C7}"/>
    <hyperlink ref="B244" r:id="rId188" display="https://enzyme.expasy.org/EC/5.4.2.11" xr:uid="{7EC34F8D-52FB-D748-A81D-E1C5797B4322}"/>
    <hyperlink ref="B208" r:id="rId189" display="https://enzyme.expasy.org/EC/4.2.1.20" xr:uid="{C19F7780-60BF-BF46-AA58-6C6866F05A92}"/>
    <hyperlink ref="B290" r:id="rId190" display="6.3.5.5" xr:uid="{3C6C0A71-B054-1842-A66E-2C66AF9C36DC}"/>
    <hyperlink ref="B231" r:id="rId191" display="5.1.3.14" xr:uid="{CA113EE0-8370-3A48-B1AC-534BD98B2F6E}"/>
    <hyperlink ref="B132" r:id="rId192" display="2.7.4.3" xr:uid="{ED336955-0D61-FC4E-9B1B-5440C052C462}"/>
    <hyperlink ref="B83" r:id="rId193" display="2.4.2.8" xr:uid="{80150889-E8BE-E54A-9D47-BF8EAF4B5EDE}"/>
    <hyperlink ref="B279" r:id="rId194" display="6.3.3.3" xr:uid="{11AFDB2C-43BB-9E44-B940-8DEAF0E5E9B3}"/>
    <hyperlink ref="B221" r:id="rId195" display="4.3.1.19" xr:uid="{6538E7B1-FF38-F345-9A68-D8C02C4B58AD}"/>
    <hyperlink ref="B13" r:id="rId196" display="1.1.1.85" xr:uid="{369155F6-183E-6640-BBCA-060A4956E686}"/>
    <hyperlink ref="B210" r:id="rId197" display="4.2.1.33" xr:uid="{A057C39D-C16E-854B-B935-1F3B6FA4239C}"/>
    <hyperlink ref="B60" r:id="rId198" display="2.2.1.6" xr:uid="{E30F1D65-96C0-BA4B-8A91-2665CD61BACD}"/>
    <hyperlink ref="B215" r:id="rId199" display="4.2.1.9" xr:uid="{13ACB282-A334-A243-BC1E-04720029554B}"/>
    <hyperlink ref="B146" r:id="rId200" display="2.7.7.7" xr:uid="{BAA8C16E-C8E2-8446-B4C7-B9D94037A527}"/>
    <hyperlink ref="B178" r:id="rId201" display="3.5.4.5" xr:uid="{CE32BB6D-4E22-3940-B5B2-A8CCFEFB00D7}"/>
    <hyperlink ref="B65" r:id="rId202" display="2.3.1.191" xr:uid="{D72D2A53-29B5-4C4B-B4F1-D7CC1DD7921F}"/>
    <hyperlink ref="B63" r:id="rId203" display="2.3.1.129" xr:uid="{5F8A2A15-341E-4042-9D1C-A321C45AF0F0}"/>
    <hyperlink ref="B241" r:id="rId204" display="5.3.1.6" xr:uid="{BC0F187E-FBA2-D045-8134-8606BB933F4D}"/>
    <hyperlink ref="B153" r:id="rId205" display="2.8.1.8" xr:uid="{BFF81969-CD66-5148-AC60-CBC7BEB80C6D}"/>
    <hyperlink ref="B34" r:id="rId206" display="1.5.1.2" xr:uid="{F3D3D71A-DB40-B147-9F6C-005B83B96863}"/>
    <hyperlink ref="B35" r:id="rId207" display="1.5.1.20" xr:uid="{84641FA3-A50D-9D4A-960C-D9AD19837368}"/>
    <hyperlink ref="B24" r:id="rId208" display="1.2.1.88" xr:uid="{327A6A70-32B6-114A-B3B6-4F5BC82BFC3A}"/>
    <hyperlink ref="B144" r:id="rId209" display="2.7.7.6" xr:uid="{D2E5FBA7-901E-234F-9B98-51683444E17A}"/>
    <hyperlink ref="B116" r:id="rId210" display="2.7.1.33" xr:uid="{7D5D7ADE-F960-4342-8895-937F289FA9E5}"/>
    <hyperlink ref="B202" r:id="rId211" display="4.2.1.1" xr:uid="{4A89D2BD-D6B5-8C4C-8FD9-0F26DA42A8D3}"/>
    <hyperlink ref="B90" r:id="rId212" display="2.5.1.6" xr:uid="{4AAEEBEB-FAED-4646-A724-F35CED9E7A57}"/>
    <hyperlink ref="B75" r:id="rId213" display="2.4.1.227" xr:uid="{B75B8AF2-2549-564D-9699-D0CEFAF0BD72}"/>
    <hyperlink ref="B282" r:id="rId214" display="6.3.4.15" xr:uid="{D739679B-9D8F-6946-87F6-D5E823650928}"/>
    <hyperlink ref="B160" r:id="rId215" display="3.1.6.1" xr:uid="{8B2D71CD-BA4B-0E48-99B2-9A6878A6B759}"/>
    <hyperlink ref="B97" r:id="rId216" display="2.6.1.13" xr:uid="{3E4193B0-F565-3442-B56F-F56D2C304A09}"/>
    <hyperlink ref="B172" r:id="rId217" display="3.5.4.16" xr:uid="{595971A0-9404-D742-B7DB-40E44B2F0701}"/>
    <hyperlink ref="B147" r:id="rId218" display="2.7.7.8" xr:uid="{F54B4D0A-4C7D-1944-97F6-DBC9C31BBC9C}"/>
    <hyperlink ref="B252" r:id="rId219" display="6.1.1.10" xr:uid="{C5838204-FC0D-6F4E-ABF8-AE3BAA8ED745}"/>
    <hyperlink ref="B64" r:id="rId220" display="2.3.1.179" xr:uid="{A0FB442A-5026-C945-B89F-5FF260EF4F40}"/>
    <hyperlink ref="B16" r:id="rId221" display="1.17.1.8" xr:uid="{5F412976-90B4-1145-B989-6B8CA8D000E7}"/>
    <hyperlink ref="B49" r:id="rId222" display="2.1.1.37" xr:uid="{08D7E579-C87D-0D4E-B087-3BB047754EA7}"/>
    <hyperlink ref="B32" r:id="rId223" display="1.4.3.16" xr:uid="{EDC473CB-85F9-8B45-99DF-D8EE94851941}"/>
    <hyperlink ref="B163" r:id="rId224" display="3.2.1.21" xr:uid="{880686D5-4AAE-A343-86F1-E2557FA14A59}"/>
    <hyperlink ref="B182" r:id="rId225" display="3.6.1.23" xr:uid="{FFA46C29-0B40-414E-ADBD-42CC2EAFE387}"/>
    <hyperlink ref="B236" r:id="rId226" display="5.3.1.12" xr:uid="{B72CD4C1-4104-8A4E-BC24-A45F09A93199}"/>
    <hyperlink ref="B86" r:id="rId227" display="2.5.1.15" xr:uid="{99373102-2BC4-504E-AF53-D9B35DD985F5}"/>
    <hyperlink ref="B72" r:id="rId228" display="2.3.1.8" xr:uid="{5917C7D7-5ED1-5C4A-9C6E-569D0E7E66B0}"/>
    <hyperlink ref="B71" r:id="rId229" display="2.3.1.54" xr:uid="{AB3AA270-DB3A-4043-8AF5-E554B5D5913C}"/>
    <hyperlink ref="B204" r:id="rId230" display="4.2.1.11" xr:uid="{B836B8CB-59F9-EA49-B1BF-A8A400F06CFE}"/>
    <hyperlink ref="B118" r:id="rId231" display="2.7.1.40" xr:uid="{9F991B33-8E3D-B54B-9B95-35F795DCBEE4}"/>
    <hyperlink ref="B87" r:id="rId232" display="2.5.1.17" xr:uid="{C529453A-8F40-2A4D-918E-3108EDB71CE4}"/>
    <hyperlink ref="B18" r:id="rId233" display="1.17.4.2" xr:uid="{D92C2913-E233-D24C-9ED1-EB62F457D8BF}"/>
    <hyperlink ref="B106" r:id="rId234" display="2.7.1.11" xr:uid="{D6164918-0F4B-BF4E-997D-2DB5D543F025}"/>
    <hyperlink ref="B195" r:id="rId235" display="4.1.2.13" xr:uid="{CD73AA82-12E7-DF4F-9D2F-69042837103D}"/>
    <hyperlink ref="B56" r:id="rId236" display="2.1.2.5" xr:uid="{A476677D-BBC4-6844-933D-6E5C2CEBD165}"/>
    <hyperlink ref="B222" r:id="rId237" display="4.3.1.3" xr:uid="{AD148C8F-0011-984D-BBC1-C5A7C935F636}"/>
    <hyperlink ref="B29" r:id="rId238" display="1.4.1.13" xr:uid="{92BBC37D-C99A-B740-A921-2FE65B3DD459}"/>
    <hyperlink ref="B76" r:id="rId239" display="2.4.2.10" xr:uid="{B30D39EE-3569-5940-B25A-FBAE85DD6F3D}"/>
    <hyperlink ref="B224" r:id="rId240" display="4.3.2.2" xr:uid="{C8EF72D2-589A-C140-973E-3D1A2D3ADE10}"/>
    <hyperlink ref="B131" r:id="rId241" display="2.7.4.25" xr:uid="{11DCCCF1-DCB1-1645-84A2-B66AB109FBFD}"/>
    <hyperlink ref="B19" r:id="rId242" display="1.17.7.4" xr:uid="{E4661893-C15D-3341-9381-DDD71B3795F9}"/>
    <hyperlink ref="B184" r:id="rId243" display="3.6.1.9" xr:uid="{F6F860D6-97B8-BF4E-BB1C-96498645F3F5}"/>
    <hyperlink ref="B31" r:id="rId244" display="1.4.1.4" xr:uid="{A357656B-59D9-494D-A79F-6DA271EF163C}"/>
    <hyperlink ref="B17" r:id="rId245" display="1.17.4.1" xr:uid="{8373FC94-7354-6E41-B348-17C7932C3E8A}"/>
    <hyperlink ref="B242" r:id="rId246" display="5.3.1.9" xr:uid="{2B565EF9-3CBC-CD46-939C-2FB7D3EECCA6}"/>
    <hyperlink ref="B14" r:id="rId247" display="1.1.1.94" xr:uid="{408F3BF7-DF6D-8A4A-8D75-ACF572AFF258}"/>
    <hyperlink ref="B138" r:id="rId248" display="2.7.7.18" xr:uid="{872C49B3-DDF4-C24D-BD01-859325C580D0}"/>
    <hyperlink ref="B135" r:id="rId249" display="2.7.4.8" xr:uid="{48022CF8-099B-1B4B-A7A4-2A97C8D1E385}"/>
    <hyperlink ref="B233" r:id="rId250" display="5.1.99.1" xr:uid="{C0C50A2B-9490-F343-A01F-163AEA7A3AFB}"/>
    <hyperlink ref="B7" r:id="rId251" display="1.1.1.262" xr:uid="{F92A266C-83ED-A843-B3D5-B0619EC53C7E}"/>
    <hyperlink ref="B216" r:id="rId252" display="4.2.3.1" xr:uid="{6861AD51-642E-5149-B715-C55258FC4FD0}"/>
    <hyperlink ref="B9" r:id="rId253" display="1.1.1.3" xr:uid="{F353E0D1-04C3-0846-89ED-8CC36EC31FA7}"/>
    <hyperlink ref="B53" r:id="rId254" display="2.1.2.10" xr:uid="{1D549074-2A28-9542-9308-C662DF3682F6}"/>
    <hyperlink ref="B289" r:id="rId255" display="6.3.5.4" xr:uid="{93CB55F4-2A5A-0C40-82A7-408C68671E70}"/>
    <hyperlink ref="B99" r:id="rId256" display="2.6.1.42" xr:uid="{EE216D82-8903-A448-801D-BF3079CFFDAF}"/>
    <hyperlink ref="B117" r:id="rId257" display="2.7.1.35" xr:uid="{D656BB08-1FD1-CD4B-8EEF-5B60CE7AA381}"/>
    <hyperlink ref="B37" r:id="rId258" display="1.7.99.1" xr:uid="{496AD8D1-7A74-364A-8763-8F803103582A}"/>
    <hyperlink ref="B165" r:id="rId259" display="3.5.1.1" xr:uid="{C0AC20D7-2A43-D84E-9015-BDDA8AB4C136}"/>
    <hyperlink ref="B109" r:id="rId260" display="2.7.1.15" xr:uid="{20218498-AC77-644F-AEC3-C06A01FEBCDB}"/>
    <hyperlink ref="B287" r:id="rId261" display="6.3.5.2" xr:uid="{D1F78D68-02CC-5140-9C27-08F64D71DA15}"/>
    <hyperlink ref="B11" r:id="rId262" display="1.1.1.37" xr:uid="{4BE1FEE0-2617-EA45-A059-D450CB4F1DA1}"/>
    <hyperlink ref="B39" r:id="rId263" display="1.8.1.9" xr:uid="{96EDACA2-FCC9-D740-81BA-8FAFB3D3D096}"/>
    <hyperlink ref="B42" r:id="rId264" display="2.1.1.13" xr:uid="{491F4DA0-F52A-EF4C-B58C-C1EF2F7CC501}"/>
    <hyperlink ref="B28" r:id="rId265" display="1.4.1.1" xr:uid="{740E6732-ECE7-5048-A232-C3E425EDDA4D}"/>
    <hyperlink ref="B100" r:id="rId266" display="2.6.1.52" xr:uid="{4A51CFC5-AA9F-9545-BD8C-FE29B7894E01}"/>
    <hyperlink ref="B232" r:id="rId267" display="5.1.3.2" xr:uid="{68687442-E769-274C-AF71-27A2EEC1B0DD}"/>
    <hyperlink ref="B284" r:id="rId268" display="6.3.4.2" xr:uid="{12D2C650-F1EA-444C-8CAF-DC994F0CB168}"/>
    <hyperlink ref="B253" r:id="rId269" display="6.1.1.11" xr:uid="{3CE3E184-D01D-6B4D-8D6C-9CD04D3E0E37}"/>
    <hyperlink ref="B133" r:id="rId270" display="2.7.4.6" xr:uid="{3456A10C-D935-FE4E-9C81-4255AACAB9F3}"/>
    <hyperlink ref="B123" r:id="rId271" display="2.7.1.90" xr:uid="{0C311A84-8A7E-CF45-9597-E2D4D0B08B69}"/>
    <hyperlink ref="B81" r:id="rId272" display="2.4.2.22" xr:uid="{54064DA6-9E59-4648-90C0-4BE89D7F9AF3}"/>
    <hyperlink ref="B2" r:id="rId273" display="https://enzyme.expasy.org/EC/1.1.1.100" xr:uid="{48BC834A-E376-5A46-9CF5-807189E678B2}"/>
    <hyperlink ref="B220" r:id="rId274" display="4.3.1.17" xr:uid="{6DCFDFCA-670D-8F42-A4C5-C8D143E4B13A}"/>
    <hyperlink ref="B196" r:id="rId275" display="4.1.2.19" xr:uid="{8351BB8F-AC2D-F14F-BE02-F66CE113C98A}"/>
    <hyperlink ref="B103" r:id="rId276" display="2.6.1.85" xr:uid="{53B1BF89-7704-5B45-B957-FD499A5DE242}"/>
    <hyperlink ref="B25" r:id="rId277" display="1.3.1.1" xr:uid="{81A600A6-8702-1B4D-A228-E1C987F32429}"/>
    <hyperlink ref="B27" r:id="rId278" display="1.3.1.98" xr:uid="{AA5EE457-F4E6-694F-94C7-3614AF226B4E}"/>
    <hyperlink ref="B199" r:id="rId279" display="4.1.3.36" xr:uid="{178E1F4A-884C-0746-A75E-8D1CB1AD2AD5}"/>
    <hyperlink ref="B158" r:id="rId280" display="3.1.3.3" xr:uid="{3B5FE177-23B8-484B-AC96-DA15FFE8FF88}"/>
    <hyperlink ref="B209" r:id="rId281" display="4.2.1.3" xr:uid="{6CE94D1E-89D6-7945-B53D-B6CB1423FF1F}"/>
    <hyperlink ref="B96" r:id="rId282" display="2.6.1.1" xr:uid="{CC4523BE-6600-574A-89C4-5E2173A5A879}"/>
    <hyperlink ref="B186" r:id="rId283" display="4.1.1.12" xr:uid="{09828EA1-2F0D-084F-9D08-2314DCA2C464}"/>
    <hyperlink ref="B43" r:id="rId284" display="2.1.1.131" xr:uid="{8C39C6EC-1E95-7248-AE02-59341A2DA6F8}"/>
    <hyperlink ref="B88" r:id="rId285" display="2.5.1.47" xr:uid="{909F3DFC-20AB-4847-B11A-2F3E850E3B2C}"/>
    <hyperlink ref="B104" r:id="rId286" display="2.6.1.9" xr:uid="{05AB6241-E89A-E14C-85DD-CF66632C2174}"/>
    <hyperlink ref="B6" r:id="rId287" display="1.1.1.23" xr:uid="{7E07CAF5-FC77-1F45-8876-001BD02F2A0C}"/>
    <hyperlink ref="B194" r:id="rId288" display="4.1.1.96" xr:uid="{2E6530CF-2B6C-1E4D-909B-81CD9217C977}"/>
    <hyperlink ref="B162" r:id="rId289" display="3.2.1.1" xr:uid="{321E1F00-DCCB-7A4D-8176-5F750C680BA8}"/>
    <hyperlink ref="B113" r:id="rId290" display="2.7.1.25" xr:uid="{807F9C03-7650-8244-A503-B9D6F99FF5B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F1F1-6E42-8742-99FB-4427E761B835}">
  <dimension ref="A1:E3813"/>
  <sheetViews>
    <sheetView tabSelected="1" zoomScaleNormal="180" workbookViewId="0"/>
  </sheetViews>
  <sheetFormatPr defaultColWidth="11.1640625" defaultRowHeight="16"/>
  <cols>
    <col min="1" max="1" width="22.5" customWidth="1"/>
    <col min="2" max="2" width="55.33203125" customWidth="1"/>
    <col min="3" max="3" width="35" customWidth="1"/>
    <col min="4" max="4" width="76.6640625" customWidth="1"/>
    <col min="5" max="5" width="40.6640625" style="13" customWidth="1"/>
  </cols>
  <sheetData>
    <row r="1" spans="1:5" s="43" customFormat="1">
      <c r="A1" s="46" t="s">
        <v>13582</v>
      </c>
      <c r="B1" s="3" t="s">
        <v>13583</v>
      </c>
      <c r="C1" s="44" t="s">
        <v>13584</v>
      </c>
      <c r="D1" s="45" t="s">
        <v>13585</v>
      </c>
    </row>
    <row r="2" spans="1:5">
      <c r="A2" s="47" t="s">
        <v>12961</v>
      </c>
      <c r="B2" s="31" t="s">
        <v>13586</v>
      </c>
      <c r="C2" s="61" t="str">
        <f>CONCATENATE(A2,":","1000")</f>
        <v>C00001:1000</v>
      </c>
      <c r="D2" s="60" t="str">
        <f t="shared" ref="D2:D65" si="0">CONCATENATE(A2," : ",B2)</f>
        <v>C00001 : Water</v>
      </c>
      <c r="E2" s="20"/>
    </row>
    <row r="3" spans="1:5">
      <c r="A3" t="s">
        <v>12959</v>
      </c>
      <c r="B3" s="31" t="s">
        <v>13587</v>
      </c>
      <c r="C3" s="61" t="str">
        <f t="shared" ref="C3:C7" si="1">CONCATENATE(A3,":","1000")</f>
        <v>C00002:1000</v>
      </c>
      <c r="D3" s="60" t="str">
        <f t="shared" si="0"/>
        <v>C00002 : ATP</v>
      </c>
      <c r="E3" s="20"/>
    </row>
    <row r="4" spans="1:5">
      <c r="A4" t="s">
        <v>12976</v>
      </c>
      <c r="B4" s="31" t="s">
        <v>13588</v>
      </c>
      <c r="C4" s="61" t="str">
        <f t="shared" si="1"/>
        <v>C00003:1000</v>
      </c>
      <c r="D4" s="60" t="str">
        <f t="shared" si="0"/>
        <v>C00003 : NAD+</v>
      </c>
    </row>
    <row r="5" spans="1:5">
      <c r="A5" t="s">
        <v>12983</v>
      </c>
      <c r="B5" s="31" t="s">
        <v>13589</v>
      </c>
      <c r="C5" s="61" t="str">
        <f t="shared" si="1"/>
        <v>C00004:1000</v>
      </c>
      <c r="D5" s="60" t="str">
        <f t="shared" si="0"/>
        <v>C00004 : NADH</v>
      </c>
    </row>
    <row r="6" spans="1:5">
      <c r="A6" t="s">
        <v>12964</v>
      </c>
      <c r="B6" s="31" t="s">
        <v>13590</v>
      </c>
      <c r="C6" s="61" t="str">
        <f t="shared" si="1"/>
        <v>C00005:1000</v>
      </c>
      <c r="D6" s="60" t="str">
        <f t="shared" si="0"/>
        <v>C00005 : NADPH</v>
      </c>
    </row>
    <row r="7" spans="1:5">
      <c r="A7" t="s">
        <v>12968</v>
      </c>
      <c r="B7" s="31" t="s">
        <v>13591</v>
      </c>
      <c r="C7" s="61" t="str">
        <f t="shared" si="1"/>
        <v>C00006:1000</v>
      </c>
      <c r="D7" s="60" t="str">
        <f t="shared" si="0"/>
        <v>C00006 : NADP+</v>
      </c>
    </row>
    <row r="8" spans="1:5">
      <c r="A8" t="s">
        <v>12986</v>
      </c>
      <c r="B8" s="31" t="s">
        <v>13592</v>
      </c>
      <c r="C8" s="61" t="str">
        <f>CONCATENATE(A8,":","1000")</f>
        <v>C00007:1000</v>
      </c>
      <c r="D8" s="60" t="str">
        <f t="shared" si="0"/>
        <v>C00007 : Oxygen</v>
      </c>
    </row>
    <row r="9" spans="1:5">
      <c r="A9" t="s">
        <v>13062</v>
      </c>
      <c r="B9" s="31" t="s">
        <v>13593</v>
      </c>
      <c r="C9" s="61" t="str">
        <f>CONCATENATE(A9,":","1")</f>
        <v>C00008:1</v>
      </c>
      <c r="D9" s="60" t="str">
        <f t="shared" si="0"/>
        <v>C00008 : ADP</v>
      </c>
    </row>
    <row r="10" spans="1:5">
      <c r="A10" t="s">
        <v>12898</v>
      </c>
      <c r="B10" s="31" t="s">
        <v>13594</v>
      </c>
      <c r="C10" s="61" t="str">
        <f>CONCATENATE(A10,":","1")</f>
        <v>C00009:1</v>
      </c>
      <c r="D10" s="60" t="str">
        <f t="shared" si="0"/>
        <v xml:space="preserve">C00009 : Phosphoric Acid </v>
      </c>
    </row>
    <row r="11" spans="1:5">
      <c r="A11" t="s">
        <v>13068</v>
      </c>
      <c r="B11" s="31" t="s">
        <v>13595</v>
      </c>
      <c r="C11" s="61" t="str">
        <f t="shared" ref="C11:C74" si="2">CONCATENATE(A11,":","1")</f>
        <v>C00010:1</v>
      </c>
      <c r="D11" s="60" t="str">
        <f t="shared" si="0"/>
        <v>C00010 : CoA</v>
      </c>
    </row>
    <row r="12" spans="1:5">
      <c r="A12" t="s">
        <v>12989</v>
      </c>
      <c r="B12" s="31" t="s">
        <v>13596</v>
      </c>
      <c r="C12" s="61" t="str">
        <f>CONCATENATE(A12,":","1000")</f>
        <v>C00011:1000</v>
      </c>
      <c r="D12" s="60" t="str">
        <f t="shared" si="0"/>
        <v xml:space="preserve">C00011 : Carbon Dioxide </v>
      </c>
    </row>
    <row r="13" spans="1:5">
      <c r="A13" t="s">
        <v>12978</v>
      </c>
      <c r="B13" s="31" t="s">
        <v>13597</v>
      </c>
      <c r="C13" s="61" t="str">
        <f t="shared" si="2"/>
        <v>C00013:1</v>
      </c>
      <c r="D13" s="60" t="str">
        <f t="shared" si="0"/>
        <v xml:space="preserve">C00013 : Diphosphoric Acid </v>
      </c>
    </row>
    <row r="14" spans="1:5">
      <c r="A14" t="s">
        <v>12980</v>
      </c>
      <c r="B14" s="31" t="s">
        <v>13598</v>
      </c>
      <c r="C14" s="61" t="str">
        <f>CONCATENATE(A14,":","1000")</f>
        <v>C00014:1000</v>
      </c>
      <c r="D14" s="60" t="str">
        <f t="shared" si="0"/>
        <v>C00014 : Ammonia</v>
      </c>
    </row>
    <row r="15" spans="1:5">
      <c r="A15" t="s">
        <v>13077</v>
      </c>
      <c r="B15" s="31" t="s">
        <v>13599</v>
      </c>
      <c r="C15" s="61" t="str">
        <f>CONCATENATE(A15,":","1000")</f>
        <v>C00015:1000</v>
      </c>
      <c r="D15" s="60" t="str">
        <f t="shared" si="0"/>
        <v>C00015 : UDP</v>
      </c>
    </row>
    <row r="16" spans="1:5">
      <c r="A16" t="s">
        <v>12981</v>
      </c>
      <c r="B16" s="31" t="s">
        <v>13600</v>
      </c>
      <c r="C16" s="61" t="str">
        <f t="shared" si="2"/>
        <v>C00016:1</v>
      </c>
      <c r="D16" s="60" t="str">
        <f t="shared" si="0"/>
        <v>C00016 : FAD</v>
      </c>
    </row>
    <row r="17" spans="1:4">
      <c r="A17" s="47" t="s">
        <v>13468</v>
      </c>
      <c r="B17" s="31" t="s">
        <v>13605</v>
      </c>
      <c r="C17" s="61" t="str">
        <f t="shared" si="2"/>
        <v>C00018:1</v>
      </c>
      <c r="D17" s="60" t="str">
        <f t="shared" si="0"/>
        <v>C00018 : Pyridoxal Phosphate(PLP)</v>
      </c>
    </row>
    <row r="18" spans="1:4">
      <c r="A18" t="s">
        <v>12966</v>
      </c>
      <c r="B18" s="31" t="s">
        <v>13601</v>
      </c>
      <c r="C18" s="61" t="str">
        <f t="shared" si="2"/>
        <v>C00019:1</v>
      </c>
      <c r="D18" s="60" t="str">
        <f t="shared" si="0"/>
        <v>C00019 : SAM</v>
      </c>
    </row>
    <row r="19" spans="1:4">
      <c r="A19" t="s">
        <v>12965</v>
      </c>
      <c r="B19" s="31" t="s">
        <v>13602</v>
      </c>
      <c r="C19" s="61" t="str">
        <f t="shared" si="2"/>
        <v>C00020:1</v>
      </c>
      <c r="D19" s="60" t="str">
        <f t="shared" si="0"/>
        <v>C00020 : AMP</v>
      </c>
    </row>
    <row r="20" spans="1:4">
      <c r="A20" s="47" t="s">
        <v>13382</v>
      </c>
      <c r="B20" s="18" t="s">
        <v>13603</v>
      </c>
      <c r="C20" s="61" t="str">
        <f t="shared" si="2"/>
        <v>C00021:1</v>
      </c>
      <c r="D20" s="60" t="str">
        <f t="shared" si="0"/>
        <v>C00021 : S-Adenosyl-L-Homocysteine(SAH)</v>
      </c>
    </row>
    <row r="21" spans="1:4">
      <c r="A21" t="s">
        <v>12877</v>
      </c>
      <c r="B21" s="31" t="s">
        <v>13604</v>
      </c>
      <c r="C21" s="61" t="str">
        <f t="shared" si="2"/>
        <v>C00022:1</v>
      </c>
      <c r="D21" s="60" t="str">
        <f t="shared" si="0"/>
        <v xml:space="preserve">C00022 : Pyruvate </v>
      </c>
    </row>
    <row r="22" spans="1:4">
      <c r="A22" t="s">
        <v>12982</v>
      </c>
      <c r="B22" s="31" t="s">
        <v>13606</v>
      </c>
      <c r="C22" s="61" t="str">
        <f t="shared" si="2"/>
        <v>C00024:1</v>
      </c>
      <c r="D22" s="60" t="str">
        <f t="shared" si="0"/>
        <v>C00024 : Acetyl-CoA</v>
      </c>
    </row>
    <row r="23" spans="1:4">
      <c r="A23" s="19" t="s">
        <v>9272</v>
      </c>
      <c r="B23" s="64" t="s">
        <v>13607</v>
      </c>
      <c r="C23" s="61" t="str">
        <f>CONCATENATE(A23,":","1000")</f>
        <v>C00025:1000</v>
      </c>
      <c r="D23" s="60" t="str">
        <f t="shared" si="0"/>
        <v>C00025 : L-Glutamate</v>
      </c>
    </row>
    <row r="24" spans="1:4">
      <c r="A24" t="s">
        <v>13087</v>
      </c>
      <c r="B24" s="31" t="s">
        <v>13608</v>
      </c>
      <c r="C24" s="61" t="str">
        <f t="shared" si="2"/>
        <v>C00026:1</v>
      </c>
      <c r="D24" s="60" t="str">
        <f t="shared" si="0"/>
        <v xml:space="preserve">C00026 : 2-Oxoglutarate </v>
      </c>
    </row>
    <row r="25" spans="1:4">
      <c r="A25" s="47" t="s">
        <v>13362</v>
      </c>
      <c r="B25" s="31" t="s">
        <v>13609</v>
      </c>
      <c r="C25" s="61" t="str">
        <f t="shared" si="2"/>
        <v>C00027:1</v>
      </c>
      <c r="D25" s="60" t="str">
        <f t="shared" si="0"/>
        <v xml:space="preserve">C00027 : Hydrogen Peroxide </v>
      </c>
    </row>
    <row r="26" spans="1:4">
      <c r="A26" t="s">
        <v>12984</v>
      </c>
      <c r="B26" s="31" t="s">
        <v>13610</v>
      </c>
      <c r="C26" s="61" t="str">
        <f t="shared" si="2"/>
        <v>C00028:1</v>
      </c>
      <c r="D26" s="60" t="str">
        <f t="shared" si="0"/>
        <v>C00028 : Acceptor</v>
      </c>
    </row>
    <row r="27" spans="1:4">
      <c r="A27" t="s">
        <v>12985</v>
      </c>
      <c r="B27" s="31" t="s">
        <v>13611</v>
      </c>
      <c r="C27" s="61" t="str">
        <f t="shared" si="2"/>
        <v>C00029:1</v>
      </c>
      <c r="D27" s="60" t="str">
        <f t="shared" si="0"/>
        <v>C00029 : UDP-glucose</v>
      </c>
    </row>
    <row r="28" spans="1:4">
      <c r="A28" t="s">
        <v>12979</v>
      </c>
      <c r="B28" s="31" t="s">
        <v>13612</v>
      </c>
      <c r="C28" s="61" t="str">
        <f t="shared" si="2"/>
        <v>C00030:1</v>
      </c>
      <c r="D28" s="60" t="str">
        <f t="shared" si="0"/>
        <v xml:space="preserve">C00030 : Reduced Acceptor </v>
      </c>
    </row>
    <row r="29" spans="1:4">
      <c r="A29" t="s">
        <v>12892</v>
      </c>
      <c r="B29" s="31" t="s">
        <v>13613</v>
      </c>
      <c r="C29" s="61" t="str">
        <f>CONCATENATE(A29,":","1000")</f>
        <v>C00031:1000</v>
      </c>
      <c r="D29" s="60" t="str">
        <f t="shared" si="0"/>
        <v>C00031 : D-Glucose</v>
      </c>
    </row>
    <row r="30" spans="1:4">
      <c r="A30" s="47" t="s">
        <v>13357</v>
      </c>
      <c r="B30" s="31" t="s">
        <v>13614</v>
      </c>
      <c r="C30" s="61" t="str">
        <f t="shared" si="2"/>
        <v>C00033:1</v>
      </c>
      <c r="D30" s="60" t="str">
        <f t="shared" si="0"/>
        <v>C00033 : Acetate</v>
      </c>
    </row>
    <row r="31" spans="1:4">
      <c r="A31" t="s">
        <v>13097</v>
      </c>
      <c r="B31" s="31" t="s">
        <v>13615</v>
      </c>
      <c r="C31" s="61" t="str">
        <f t="shared" si="2"/>
        <v>C00035:1</v>
      </c>
      <c r="D31" s="60" t="str">
        <f t="shared" si="0"/>
        <v>C00035 : GDP</v>
      </c>
    </row>
    <row r="32" spans="1:4">
      <c r="A32" t="s">
        <v>13099</v>
      </c>
      <c r="B32" s="31" t="s">
        <v>13616</v>
      </c>
      <c r="C32" s="61" t="str">
        <f t="shared" si="2"/>
        <v>C00036:1</v>
      </c>
      <c r="D32" s="60" t="str">
        <f t="shared" si="0"/>
        <v>C00036 : Oxaloacetate</v>
      </c>
    </row>
    <row r="33" spans="1:5">
      <c r="A33" t="s">
        <v>12987</v>
      </c>
      <c r="B33" s="31" t="s">
        <v>13617</v>
      </c>
      <c r="C33" s="61" t="str">
        <f>CONCATENATE(A33,":","1000")</f>
        <v>C00037:1000</v>
      </c>
      <c r="D33" s="60" t="str">
        <f t="shared" si="0"/>
        <v>C00037 : Glycine</v>
      </c>
      <c r="E33" s="20"/>
    </row>
    <row r="34" spans="1:5">
      <c r="A34" t="s">
        <v>13103</v>
      </c>
      <c r="B34" s="31" t="s">
        <v>13618</v>
      </c>
      <c r="C34" s="61" t="str">
        <f t="shared" si="2"/>
        <v>C00039:1</v>
      </c>
      <c r="D34" s="60" t="str">
        <f t="shared" si="0"/>
        <v>C00039 : DNA</v>
      </c>
      <c r="E34" s="20"/>
    </row>
    <row r="35" spans="1:5">
      <c r="A35" t="s">
        <v>12988</v>
      </c>
      <c r="B35" s="31" t="s">
        <v>13619</v>
      </c>
      <c r="C35" s="61" t="str">
        <f>CONCATENATE(A35,":","1000")</f>
        <v>C00041:1000</v>
      </c>
      <c r="D35" s="60" t="str">
        <f t="shared" si="0"/>
        <v>C00041 : L-Alanine</v>
      </c>
      <c r="E35" s="20"/>
    </row>
    <row r="36" spans="1:5">
      <c r="A36" t="s">
        <v>9386</v>
      </c>
      <c r="B36" s="18" t="s">
        <v>13620</v>
      </c>
      <c r="C36" s="61" t="str">
        <f t="shared" si="2"/>
        <v>C00043:1</v>
      </c>
      <c r="D36" s="60" t="str">
        <f t="shared" si="0"/>
        <v>C00043 : UDP-N-Acetyl-Alpha-D-Glucosamine</v>
      </c>
      <c r="E36" s="20"/>
    </row>
    <row r="37" spans="1:5">
      <c r="A37" t="s">
        <v>12990</v>
      </c>
      <c r="B37" s="31" t="s">
        <v>13621</v>
      </c>
      <c r="C37" s="61" t="str">
        <f t="shared" si="2"/>
        <v>C00044:1</v>
      </c>
      <c r="D37" s="60" t="str">
        <f t="shared" si="0"/>
        <v>C00044 : GTP</v>
      </c>
      <c r="E37" s="20"/>
    </row>
    <row r="38" spans="1:5">
      <c r="A38" t="s">
        <v>12991</v>
      </c>
      <c r="B38" s="31" t="s">
        <v>13622</v>
      </c>
      <c r="C38" s="61" t="str">
        <f t="shared" si="2"/>
        <v>C00046:1</v>
      </c>
      <c r="D38" s="60" t="str">
        <f t="shared" si="0"/>
        <v>C00046 : RNA</v>
      </c>
    </row>
    <row r="39" spans="1:5">
      <c r="A39" t="s">
        <v>13130</v>
      </c>
      <c r="B39" s="31" t="s">
        <v>13623</v>
      </c>
      <c r="C39" s="61" t="str">
        <f>CONCATENATE(A39,":","1000")</f>
        <v>C00047:1000</v>
      </c>
      <c r="D39" s="60" t="str">
        <f t="shared" si="0"/>
        <v>C00047 : L-Lysine</v>
      </c>
    </row>
    <row r="40" spans="1:5">
      <c r="A40" s="47" t="s">
        <v>13438</v>
      </c>
      <c r="B40" s="31" t="s">
        <v>13624</v>
      </c>
      <c r="C40" s="61" t="str">
        <f t="shared" si="2"/>
        <v>C00048:1</v>
      </c>
      <c r="D40" s="60" t="str">
        <f t="shared" si="0"/>
        <v>C00048 : Glyoxylate</v>
      </c>
    </row>
    <row r="41" spans="1:5">
      <c r="A41" t="s">
        <v>9273</v>
      </c>
      <c r="B41" s="31" t="s">
        <v>13625</v>
      </c>
      <c r="C41" s="61" t="str">
        <f>CONCATENATE(A41,":","1000")</f>
        <v>C00049:1000</v>
      </c>
      <c r="D41" s="60" t="str">
        <f t="shared" si="0"/>
        <v>C00049 : L-Aspartate</v>
      </c>
    </row>
    <row r="42" spans="1:5">
      <c r="A42" t="s">
        <v>13136</v>
      </c>
      <c r="B42" s="31" t="s">
        <v>13626</v>
      </c>
      <c r="C42" s="61" t="str">
        <f t="shared" si="2"/>
        <v>C00051:1</v>
      </c>
      <c r="D42" s="60" t="str">
        <f t="shared" si="0"/>
        <v>C00051 : Glutathione</v>
      </c>
    </row>
    <row r="43" spans="1:5">
      <c r="A43" s="1" t="s">
        <v>12992</v>
      </c>
      <c r="B43" s="31" t="s">
        <v>13627</v>
      </c>
      <c r="C43" s="61" t="str">
        <f t="shared" si="2"/>
        <v>C00052:1</v>
      </c>
      <c r="D43" s="60" t="str">
        <f t="shared" si="0"/>
        <v>C00052 : UDP-D-Galactose</v>
      </c>
    </row>
    <row r="44" spans="1:5">
      <c r="A44" s="48" t="s">
        <v>13466</v>
      </c>
      <c r="B44" s="31" t="s">
        <v>13628</v>
      </c>
      <c r="C44" s="61" t="str">
        <f t="shared" si="2"/>
        <v>C00053:1</v>
      </c>
      <c r="D44" s="60" t="str">
        <f t="shared" si="0"/>
        <v>C00053 : 3'-Phosphoadenylyl Sulfate/PAPS</v>
      </c>
    </row>
    <row r="45" spans="1:5">
      <c r="A45" t="s">
        <v>12993</v>
      </c>
      <c r="B45" s="31" t="s">
        <v>13629</v>
      </c>
      <c r="C45" s="61" t="str">
        <f t="shared" si="2"/>
        <v>C00054:1</v>
      </c>
      <c r="D45" s="60" t="str">
        <f t="shared" si="0"/>
        <v xml:space="preserve">C00054 : Adenosine 3',5'-bisphosphate </v>
      </c>
    </row>
    <row r="46" spans="1:5">
      <c r="A46" t="s">
        <v>13138</v>
      </c>
      <c r="B46" s="31" t="s">
        <v>13630</v>
      </c>
      <c r="C46" s="61" t="str">
        <f t="shared" si="2"/>
        <v>C00055:1</v>
      </c>
      <c r="D46" s="60" t="str">
        <f t="shared" si="0"/>
        <v>C00055 : Cytidine-5'-monophosphate/CMP</v>
      </c>
    </row>
    <row r="47" spans="1:5">
      <c r="A47" t="s">
        <v>13140</v>
      </c>
      <c r="B47" s="31" t="s">
        <v>13631</v>
      </c>
      <c r="C47" s="61" t="str">
        <f t="shared" si="2"/>
        <v>C00058:1</v>
      </c>
      <c r="D47" s="60" t="str">
        <f t="shared" si="0"/>
        <v>C00058 : Formate</v>
      </c>
    </row>
    <row r="48" spans="1:5">
      <c r="A48" t="s">
        <v>13142</v>
      </c>
      <c r="B48" s="18" t="s">
        <v>13776</v>
      </c>
      <c r="C48" s="61" t="str">
        <f t="shared" si="2"/>
        <v>C00059:1</v>
      </c>
      <c r="D48" s="60" t="str">
        <f t="shared" si="0"/>
        <v>C00059 : Sulfate</v>
      </c>
    </row>
    <row r="49" spans="1:5">
      <c r="A49" s="47" t="s">
        <v>13548</v>
      </c>
      <c r="B49" s="31" t="s">
        <v>13632</v>
      </c>
      <c r="C49" s="61" t="str">
        <f t="shared" si="2"/>
        <v>C00060:1</v>
      </c>
      <c r="D49" s="60" t="str">
        <f t="shared" si="0"/>
        <v xml:space="preserve">C00060 : Carboxylate </v>
      </c>
    </row>
    <row r="50" spans="1:5">
      <c r="A50" t="s">
        <v>13143</v>
      </c>
      <c r="B50" s="31" t="s">
        <v>13633</v>
      </c>
      <c r="C50" s="61" t="str">
        <f t="shared" si="2"/>
        <v>C00061:1</v>
      </c>
      <c r="D50" s="60" t="str">
        <f t="shared" si="0"/>
        <v>C00061 : Flavin Mononucleotide/FMN</v>
      </c>
    </row>
    <row r="51" spans="1:5">
      <c r="A51" t="s">
        <v>12994</v>
      </c>
      <c r="B51" s="31" t="s">
        <v>13634</v>
      </c>
      <c r="C51" s="61" t="str">
        <f t="shared" si="2"/>
        <v>C00062:1</v>
      </c>
      <c r="D51" s="60" t="str">
        <f t="shared" si="0"/>
        <v>C00062 : L-Arginine</v>
      </c>
      <c r="E51" s="20"/>
    </row>
    <row r="52" spans="1:5">
      <c r="A52" t="s">
        <v>12996</v>
      </c>
      <c r="B52" s="31" t="s">
        <v>13635</v>
      </c>
      <c r="C52" s="61" t="str">
        <f t="shared" si="2"/>
        <v>C00063:1</v>
      </c>
      <c r="D52" s="60" t="str">
        <f t="shared" si="0"/>
        <v>C00063 : CTP</v>
      </c>
    </row>
    <row r="53" spans="1:5">
      <c r="A53" t="s">
        <v>12995</v>
      </c>
      <c r="B53" s="31" t="s">
        <v>13636</v>
      </c>
      <c r="C53" s="61" t="str">
        <f>CONCATENATE(A53,":","1000")</f>
        <v>C00064:1000</v>
      </c>
      <c r="D53" s="60" t="str">
        <f t="shared" si="0"/>
        <v>C00064 : L-Glutamine</v>
      </c>
    </row>
    <row r="54" spans="1:5">
      <c r="A54" t="s">
        <v>12997</v>
      </c>
      <c r="B54" s="31" t="s">
        <v>13637</v>
      </c>
      <c r="C54" s="61" t="str">
        <f>CONCATENATE(A54,":","1000")</f>
        <v>C00065:1000</v>
      </c>
      <c r="D54" s="60" t="str">
        <f t="shared" si="0"/>
        <v>C00065 : L-Serine</v>
      </c>
    </row>
    <row r="55" spans="1:5">
      <c r="A55" s="47" t="s">
        <v>13498</v>
      </c>
      <c r="B55" s="31" t="s">
        <v>13638</v>
      </c>
      <c r="C55" s="61" t="str">
        <f t="shared" si="2"/>
        <v>C00066:1</v>
      </c>
      <c r="D55" s="60" t="str">
        <f t="shared" si="0"/>
        <v>C00066 : tRNA</v>
      </c>
    </row>
    <row r="56" spans="1:5">
      <c r="A56" s="47" t="s">
        <v>13405</v>
      </c>
      <c r="B56" s="18" t="s">
        <v>13777</v>
      </c>
      <c r="C56" s="61" t="str">
        <f t="shared" si="2"/>
        <v>C00067:1</v>
      </c>
      <c r="D56" s="60" t="str">
        <f t="shared" si="0"/>
        <v>C00067 : Formaldehyde</v>
      </c>
    </row>
    <row r="57" spans="1:5">
      <c r="A57" t="s">
        <v>12999</v>
      </c>
      <c r="B57" s="31" t="s">
        <v>13639</v>
      </c>
      <c r="C57" s="61" t="str">
        <f t="shared" si="2"/>
        <v>C00068:1</v>
      </c>
      <c r="D57" s="60" t="str">
        <f t="shared" si="0"/>
        <v xml:space="preserve">C00068 : Thiamin Diphosphate </v>
      </c>
      <c r="E57" s="20"/>
    </row>
    <row r="58" spans="1:5">
      <c r="A58" t="s">
        <v>13152</v>
      </c>
      <c r="B58" s="31" t="s">
        <v>13640</v>
      </c>
      <c r="C58" s="61" t="str">
        <f>CONCATENATE(A58,":","1000")</f>
        <v>C00073:1000</v>
      </c>
      <c r="D58" s="60" t="str">
        <f t="shared" si="0"/>
        <v xml:space="preserve">C00073 : L-Methionine </v>
      </c>
    </row>
    <row r="59" spans="1:5">
      <c r="A59" t="s">
        <v>13000</v>
      </c>
      <c r="B59" s="31" t="s">
        <v>13641</v>
      </c>
      <c r="C59" s="61" t="str">
        <f t="shared" si="2"/>
        <v>C00074:1</v>
      </c>
      <c r="D59" s="60" t="str">
        <f t="shared" si="0"/>
        <v xml:space="preserve">C00074 : Phosphoenolpyruvate </v>
      </c>
    </row>
    <row r="60" spans="1:5">
      <c r="A60" t="s">
        <v>13002</v>
      </c>
      <c r="B60" s="31" t="s">
        <v>13642</v>
      </c>
      <c r="C60" s="61" t="str">
        <f t="shared" si="2"/>
        <v>C00075:1</v>
      </c>
      <c r="D60" s="60" t="str">
        <f t="shared" si="0"/>
        <v>C00075 : UTP</v>
      </c>
    </row>
    <row r="61" spans="1:5">
      <c r="A61" t="s">
        <v>13003</v>
      </c>
      <c r="B61" s="18" t="s">
        <v>13778</v>
      </c>
      <c r="C61" s="61" t="str">
        <f t="shared" si="2"/>
        <v>C00077:1</v>
      </c>
      <c r="D61" s="60" t="str">
        <f t="shared" si="0"/>
        <v>C00077 : L-Ornithine</v>
      </c>
    </row>
    <row r="62" spans="1:5">
      <c r="A62" t="s">
        <v>13154</v>
      </c>
      <c r="B62" s="31" t="s">
        <v>13643</v>
      </c>
      <c r="C62" s="61" t="str">
        <f t="shared" si="2"/>
        <v>C00078:1</v>
      </c>
      <c r="D62" s="60" t="str">
        <f t="shared" si="0"/>
        <v>C00078 : L-Tryptophan</v>
      </c>
    </row>
    <row r="63" spans="1:5">
      <c r="A63" t="s">
        <v>13005</v>
      </c>
      <c r="B63" s="31" t="s">
        <v>13644</v>
      </c>
      <c r="C63" s="61" t="str">
        <f t="shared" si="2"/>
        <v>C00079:1</v>
      </c>
      <c r="D63" s="60" t="str">
        <f t="shared" si="0"/>
        <v>C00079 : L-Phenylalanine</v>
      </c>
    </row>
    <row r="64" spans="1:5">
      <c r="A64" t="s">
        <v>12962</v>
      </c>
      <c r="B64" s="31" t="s">
        <v>13645</v>
      </c>
      <c r="C64" s="61" t="str">
        <f t="shared" si="2"/>
        <v>C00080:1</v>
      </c>
      <c r="D64" s="60" t="str">
        <f t="shared" si="0"/>
        <v>C00080 : H+</v>
      </c>
      <c r="E64" s="20"/>
    </row>
    <row r="65" spans="1:5">
      <c r="A65" t="s">
        <v>13007</v>
      </c>
      <c r="B65" s="31" t="s">
        <v>13646</v>
      </c>
      <c r="C65" s="61" t="str">
        <f t="shared" si="2"/>
        <v>C00081:1</v>
      </c>
      <c r="D65" s="60" t="str">
        <f t="shared" si="0"/>
        <v>C00081 : ITP</v>
      </c>
      <c r="E65" s="20"/>
    </row>
    <row r="66" spans="1:5">
      <c r="A66" t="s">
        <v>13009</v>
      </c>
      <c r="B66" s="31" t="s">
        <v>13647</v>
      </c>
      <c r="C66" s="61" t="str">
        <f t="shared" si="2"/>
        <v>C00082:1</v>
      </c>
      <c r="D66" s="60" t="str">
        <f t="shared" ref="D66:D129" si="3">CONCATENATE(A66," : ",B66)</f>
        <v>C00082 : L-Tyrosine</v>
      </c>
      <c r="E66" s="20"/>
    </row>
    <row r="67" spans="1:5">
      <c r="A67" t="s">
        <v>13011</v>
      </c>
      <c r="B67" s="18" t="s">
        <v>13779</v>
      </c>
      <c r="C67" s="61" t="str">
        <f t="shared" si="2"/>
        <v>C00083:1</v>
      </c>
      <c r="D67" s="60" t="str">
        <f t="shared" si="3"/>
        <v>C00083 : Malonyl-CoA</v>
      </c>
    </row>
    <row r="68" spans="1:5">
      <c r="A68" s="47" t="s">
        <v>13519</v>
      </c>
      <c r="B68" s="31" t="s">
        <v>13648</v>
      </c>
      <c r="C68" s="61" t="str">
        <f t="shared" si="2"/>
        <v>C00084:1</v>
      </c>
      <c r="D68" s="60" t="str">
        <f t="shared" si="3"/>
        <v>C00084 : Acetaldehyde</v>
      </c>
    </row>
    <row r="69" spans="1:5">
      <c r="A69" t="s">
        <v>10188</v>
      </c>
      <c r="B69" s="31" t="s">
        <v>13649</v>
      </c>
      <c r="C69" s="61" t="str">
        <f t="shared" si="2"/>
        <v>C00085:1</v>
      </c>
      <c r="D69" s="60" t="str">
        <f t="shared" si="3"/>
        <v xml:space="preserve">C00085 : D-Fructose </v>
      </c>
      <c r="E69" s="20"/>
    </row>
    <row r="70" spans="1:5">
      <c r="A70" t="s">
        <v>13505</v>
      </c>
      <c r="B70" s="18" t="s">
        <v>13780</v>
      </c>
      <c r="C70" s="61" t="str">
        <f t="shared" si="2"/>
        <v>C00086:1</v>
      </c>
      <c r="D70" s="60" t="str">
        <f t="shared" si="3"/>
        <v>C00086 : Urea</v>
      </c>
    </row>
    <row r="71" spans="1:5">
      <c r="A71" s="47" t="s">
        <v>13448</v>
      </c>
      <c r="B71" s="18" t="s">
        <v>13781</v>
      </c>
      <c r="C71" s="61" t="str">
        <f t="shared" si="2"/>
        <v>C00088:1</v>
      </c>
      <c r="D71" s="60" t="str">
        <f t="shared" si="3"/>
        <v>C00088 : Nitrite</v>
      </c>
    </row>
    <row r="72" spans="1:5">
      <c r="A72" t="s">
        <v>9623</v>
      </c>
      <c r="B72" s="18" t="s">
        <v>13782</v>
      </c>
      <c r="C72" s="61" t="str">
        <f t="shared" si="2"/>
        <v>C00091:1</v>
      </c>
      <c r="D72" s="60" t="str">
        <f t="shared" si="3"/>
        <v>C00091 : Succinyl-CoA</v>
      </c>
      <c r="E72" s="20"/>
    </row>
    <row r="73" spans="1:5">
      <c r="A73" t="s">
        <v>13014</v>
      </c>
      <c r="B73" s="31" t="s">
        <v>13613</v>
      </c>
      <c r="C73" s="61" t="str">
        <f t="shared" si="2"/>
        <v>C00092:1</v>
      </c>
      <c r="D73" s="60" t="str">
        <f t="shared" si="3"/>
        <v>C00092 : D-Glucose</v>
      </c>
      <c r="E73" s="20"/>
    </row>
    <row r="74" spans="1:5">
      <c r="A74" t="s">
        <v>13016</v>
      </c>
      <c r="B74" s="31" t="s">
        <v>13650</v>
      </c>
      <c r="C74" s="61" t="str">
        <f t="shared" si="2"/>
        <v>C00093:1</v>
      </c>
      <c r="D74" s="60" t="str">
        <f t="shared" si="3"/>
        <v xml:space="preserve">C00093 : sn-Glycerol 3-Phosphate </v>
      </c>
      <c r="E74" s="20"/>
    </row>
    <row r="75" spans="1:5">
      <c r="A75" s="47" t="s">
        <v>13451</v>
      </c>
      <c r="B75" s="31" t="s">
        <v>13651</v>
      </c>
      <c r="C75" s="61" t="str">
        <f t="shared" ref="C75:C138" si="4">CONCATENATE(A75,":","1")</f>
        <v>C00094:1</v>
      </c>
      <c r="D75" s="60" t="str">
        <f t="shared" si="3"/>
        <v xml:space="preserve">C00094 : Sulfite </v>
      </c>
      <c r="E75" s="20"/>
    </row>
    <row r="76" spans="1:5">
      <c r="A76" s="1" t="s">
        <v>9341</v>
      </c>
      <c r="B76" s="18" t="s">
        <v>13783</v>
      </c>
      <c r="C76" s="61" t="str">
        <f t="shared" si="4"/>
        <v>C00096:1</v>
      </c>
      <c r="D76" s="60" t="str">
        <f t="shared" si="3"/>
        <v>C00096 : GDP-mannose</v>
      </c>
      <c r="E76" s="20"/>
    </row>
    <row r="77" spans="1:5">
      <c r="A77" t="s">
        <v>12998</v>
      </c>
      <c r="B77" s="31" t="s">
        <v>13652</v>
      </c>
      <c r="C77" s="61" t="str">
        <f>CONCATENATE(A77,":","1000")</f>
        <v>C00097:1000</v>
      </c>
      <c r="D77" s="60" t="str">
        <f t="shared" si="3"/>
        <v xml:space="preserve">C00097 : L-Cysteine </v>
      </c>
      <c r="E77" s="20"/>
    </row>
    <row r="78" spans="1:5">
      <c r="A78" s="47" t="s">
        <v>13554</v>
      </c>
      <c r="B78" s="18" t="s">
        <v>13784</v>
      </c>
      <c r="C78" s="61" t="str">
        <f t="shared" si="4"/>
        <v>C00099:1</v>
      </c>
      <c r="D78" s="60" t="str">
        <f t="shared" si="3"/>
        <v>C00099 : beta-Alanine</v>
      </c>
    </row>
    <row r="79" spans="1:5">
      <c r="A79" s="5" t="s">
        <v>13021</v>
      </c>
      <c r="B79" s="31" t="s">
        <v>13653</v>
      </c>
      <c r="C79" s="61" t="str">
        <f t="shared" si="4"/>
        <v>C00100:1</v>
      </c>
      <c r="D79" s="60" t="str">
        <f t="shared" si="3"/>
        <v>C00100 : Propanoyl-CoA</v>
      </c>
    </row>
    <row r="80" spans="1:5">
      <c r="A80" t="s">
        <v>13023</v>
      </c>
      <c r="B80" s="31" t="s">
        <v>13654</v>
      </c>
      <c r="C80" s="61" t="str">
        <f t="shared" si="4"/>
        <v>C00101:1</v>
      </c>
      <c r="D80" s="60" t="str">
        <f t="shared" si="3"/>
        <v xml:space="preserve">C00101 : Tetrahydrofolate </v>
      </c>
    </row>
    <row r="81" spans="1:5">
      <c r="A81" t="s">
        <v>13164</v>
      </c>
      <c r="B81" s="31" t="s">
        <v>13655</v>
      </c>
      <c r="C81" s="61" t="str">
        <f t="shared" si="4"/>
        <v>C00103:1</v>
      </c>
      <c r="D81" s="60" t="str">
        <f t="shared" si="3"/>
        <v xml:space="preserve">C00103 : Glucose 1-Phosphate </v>
      </c>
    </row>
    <row r="82" spans="1:5">
      <c r="A82" t="s">
        <v>13165</v>
      </c>
      <c r="B82" s="31" t="s">
        <v>13656</v>
      </c>
      <c r="C82" s="61" t="str">
        <f t="shared" si="4"/>
        <v>C00104:1</v>
      </c>
      <c r="D82" s="60" t="str">
        <f t="shared" si="3"/>
        <v>C00104 : IDP</v>
      </c>
    </row>
    <row r="83" spans="1:5">
      <c r="A83" t="s">
        <v>13025</v>
      </c>
      <c r="B83" s="31" t="s">
        <v>13657</v>
      </c>
      <c r="C83" s="61" t="str">
        <f t="shared" si="4"/>
        <v>C00105:1</v>
      </c>
      <c r="D83" s="60" t="str">
        <f t="shared" si="3"/>
        <v>C00105 : UMP</v>
      </c>
    </row>
    <row r="84" spans="1:5">
      <c r="A84" s="47" t="s">
        <v>13430</v>
      </c>
      <c r="B84" s="31" t="s">
        <v>13658</v>
      </c>
      <c r="C84" s="61" t="str">
        <f t="shared" si="4"/>
        <v>C00106:1</v>
      </c>
      <c r="D84" s="60" t="str">
        <f t="shared" si="3"/>
        <v>C00106 : Uracil</v>
      </c>
    </row>
    <row r="85" spans="1:5">
      <c r="A85" s="47" t="s">
        <v>13488</v>
      </c>
      <c r="B85" s="18" t="s">
        <v>13785</v>
      </c>
      <c r="C85" s="61" t="str">
        <f t="shared" si="4"/>
        <v>C00108:1</v>
      </c>
      <c r="D85" s="60" t="str">
        <f t="shared" si="3"/>
        <v>C00108 : Anthranilate</v>
      </c>
    </row>
    <row r="86" spans="1:5">
      <c r="A86" t="s">
        <v>13027</v>
      </c>
      <c r="B86" s="31" t="s">
        <v>13659</v>
      </c>
      <c r="C86" s="61" t="str">
        <f t="shared" si="4"/>
        <v>C00109:1</v>
      </c>
      <c r="D86" s="60" t="str">
        <f t="shared" si="3"/>
        <v xml:space="preserve">C00109 : 2-Oxobutanoate </v>
      </c>
    </row>
    <row r="87" spans="1:5">
      <c r="A87" t="s">
        <v>10001</v>
      </c>
      <c r="B87" s="31" t="s">
        <v>13660</v>
      </c>
      <c r="C87" s="61" t="str">
        <f t="shared" si="4"/>
        <v>C00111:1</v>
      </c>
      <c r="D87" s="60" t="str">
        <f t="shared" si="3"/>
        <v xml:space="preserve">C00111 : Glycerone Phosphate </v>
      </c>
    </row>
    <row r="88" spans="1:5">
      <c r="A88" t="s">
        <v>13169</v>
      </c>
      <c r="B88" s="31" t="s">
        <v>13661</v>
      </c>
      <c r="C88" s="61" t="str">
        <f t="shared" si="4"/>
        <v>C00112:1</v>
      </c>
      <c r="D88" s="60" t="str">
        <f t="shared" si="3"/>
        <v>C00112 : CDP</v>
      </c>
    </row>
    <row r="89" spans="1:5">
      <c r="A89" t="s">
        <v>13170</v>
      </c>
      <c r="B89" s="31" t="s">
        <v>13662</v>
      </c>
      <c r="C89" s="61" t="str">
        <f t="shared" si="4"/>
        <v>C00116:1</v>
      </c>
      <c r="D89" s="60" t="str">
        <f t="shared" si="3"/>
        <v>C00116 : Glycerol</v>
      </c>
    </row>
    <row r="90" spans="1:5">
      <c r="A90" t="s">
        <v>9542</v>
      </c>
      <c r="B90" s="31" t="s">
        <v>13663</v>
      </c>
      <c r="C90" s="61" t="str">
        <f t="shared" si="4"/>
        <v>C00117:1</v>
      </c>
      <c r="D90" s="60" t="str">
        <f t="shared" si="3"/>
        <v xml:space="preserve">C00117 : D-Ribose 5-Phosphate </v>
      </c>
    </row>
    <row r="91" spans="1:5">
      <c r="A91" t="s">
        <v>13032</v>
      </c>
      <c r="B91" s="31" t="s">
        <v>13664</v>
      </c>
      <c r="C91" s="61" t="str">
        <f t="shared" si="4"/>
        <v>C00118:1</v>
      </c>
      <c r="D91" s="60" t="str">
        <f t="shared" si="3"/>
        <v xml:space="preserve">C00118 : D-Glyceraldehyde 3-Phosphate </v>
      </c>
    </row>
    <row r="92" spans="1:5">
      <c r="A92" t="s">
        <v>13173</v>
      </c>
      <c r="B92" s="31" t="s">
        <v>13665</v>
      </c>
      <c r="C92" s="61" t="str">
        <f t="shared" si="4"/>
        <v>C00119:1</v>
      </c>
      <c r="D92" s="60" t="str">
        <f t="shared" si="3"/>
        <v xml:space="preserve">C00119 : 5-Phospho-alpha-D-ribose 1-diphosphate </v>
      </c>
    </row>
    <row r="93" spans="1:5">
      <c r="A93" t="s">
        <v>13175</v>
      </c>
      <c r="B93" s="18" t="s">
        <v>13786</v>
      </c>
      <c r="C93" s="61" t="str">
        <f t="shared" si="4"/>
        <v>C00120:1</v>
      </c>
      <c r="D93" s="60" t="str">
        <f t="shared" si="3"/>
        <v>C00120 :  Biotin</v>
      </c>
    </row>
    <row r="94" spans="1:5">
      <c r="A94" t="s">
        <v>13178</v>
      </c>
      <c r="B94" s="31" t="s">
        <v>13666</v>
      </c>
      <c r="C94" s="61" t="str">
        <f t="shared" si="4"/>
        <v>C00121:1</v>
      </c>
      <c r="D94" s="60" t="str">
        <f t="shared" si="3"/>
        <v>C00121 : D-Ribose</v>
      </c>
    </row>
    <row r="95" spans="1:5">
      <c r="A95" s="47" t="s">
        <v>13523</v>
      </c>
      <c r="B95" s="31" t="s">
        <v>13667</v>
      </c>
      <c r="C95" s="61" t="str">
        <f t="shared" si="4"/>
        <v>C00122:1</v>
      </c>
      <c r="D95" s="60" t="str">
        <f t="shared" si="3"/>
        <v>C00122 : Fumarate</v>
      </c>
    </row>
    <row r="96" spans="1:5">
      <c r="A96" t="s">
        <v>13034</v>
      </c>
      <c r="B96" s="31" t="s">
        <v>13668</v>
      </c>
      <c r="C96" s="61" t="str">
        <f t="shared" si="4"/>
        <v>C00123:1</v>
      </c>
      <c r="D96" s="60" t="str">
        <f t="shared" si="3"/>
        <v>C00123 : L-Leucine</v>
      </c>
      <c r="E96" s="20"/>
    </row>
    <row r="97" spans="1:5">
      <c r="A97" t="s">
        <v>12974</v>
      </c>
      <c r="B97" s="31" t="s">
        <v>12974</v>
      </c>
      <c r="C97" s="61" t="str">
        <f t="shared" si="4"/>
        <v>C00125:1</v>
      </c>
      <c r="D97" s="60" t="str">
        <f t="shared" si="3"/>
        <v>C00125 : C00125</v>
      </c>
      <c r="E97" s="20"/>
    </row>
    <row r="98" spans="1:5">
      <c r="A98" s="47" t="s">
        <v>13377</v>
      </c>
      <c r="B98" s="18" t="s">
        <v>13787</v>
      </c>
      <c r="C98" s="61" t="str">
        <f t="shared" si="4"/>
        <v>C00126:1</v>
      </c>
      <c r="D98" s="60" t="str">
        <f t="shared" si="3"/>
        <v>C00126 : Ferrocytochrome c</v>
      </c>
      <c r="E98" s="20"/>
    </row>
    <row r="99" spans="1:5">
      <c r="A99" s="47" t="s">
        <v>13411</v>
      </c>
      <c r="B99" s="31" t="s">
        <v>13669</v>
      </c>
      <c r="C99" s="61" t="str">
        <f t="shared" si="4"/>
        <v>C00129:1</v>
      </c>
      <c r="D99" s="60" t="str">
        <f t="shared" si="3"/>
        <v xml:space="preserve">C00129 : Isopentenyl Diphosphate </v>
      </c>
      <c r="E99" s="20"/>
    </row>
    <row r="100" spans="1:5">
      <c r="A100" t="s">
        <v>13036</v>
      </c>
      <c r="B100" s="31" t="s">
        <v>13670</v>
      </c>
      <c r="C100" s="61" t="str">
        <f t="shared" si="4"/>
        <v>C00130:1</v>
      </c>
      <c r="D100" s="60" t="str">
        <f t="shared" si="3"/>
        <v>C00130 : IMP</v>
      </c>
      <c r="E100" s="20"/>
    </row>
    <row r="101" spans="1:5">
      <c r="A101" t="s">
        <v>13038</v>
      </c>
      <c r="B101" s="31" t="s">
        <v>13671</v>
      </c>
      <c r="C101" s="61" t="str">
        <f t="shared" si="4"/>
        <v>C00131:1</v>
      </c>
      <c r="D101" s="60" t="str">
        <f t="shared" si="3"/>
        <v>C00131 : dATP</v>
      </c>
      <c r="E101" s="20"/>
    </row>
    <row r="102" spans="1:5">
      <c r="A102" t="s">
        <v>12960</v>
      </c>
      <c r="B102" s="31" t="s">
        <v>13672</v>
      </c>
      <c r="C102" s="61" t="str">
        <f>CONCATENATE(A102,":","1000")</f>
        <v>C00133:1000</v>
      </c>
      <c r="D102" s="60" t="str">
        <f t="shared" si="3"/>
        <v>C00133 : D-Alanine</v>
      </c>
      <c r="E102" s="20"/>
    </row>
    <row r="103" spans="1:5">
      <c r="A103" t="s">
        <v>10058</v>
      </c>
      <c r="B103" s="18" t="s">
        <v>13788</v>
      </c>
      <c r="C103" s="61" t="str">
        <f t="shared" si="4"/>
        <v>C00135:1</v>
      </c>
      <c r="D103" s="60" t="str">
        <f t="shared" si="3"/>
        <v>C00135 : L-Histidine</v>
      </c>
      <c r="E103" s="20"/>
    </row>
    <row r="104" spans="1:5">
      <c r="A104" t="s">
        <v>12971</v>
      </c>
      <c r="B104" s="18" t="s">
        <v>13789</v>
      </c>
      <c r="C104" s="61" t="str">
        <f t="shared" si="4"/>
        <v>C00138:1</v>
      </c>
      <c r="D104" s="60" t="str">
        <f t="shared" si="3"/>
        <v>C00138 : Reduced ferredoxin</v>
      </c>
      <c r="E104" s="20"/>
    </row>
    <row r="105" spans="1:5">
      <c r="A105" t="s">
        <v>12972</v>
      </c>
      <c r="B105" s="18" t="s">
        <v>13790</v>
      </c>
      <c r="C105" s="61" t="str">
        <f t="shared" si="4"/>
        <v>C00139:1</v>
      </c>
      <c r="D105" s="60" t="str">
        <f t="shared" si="3"/>
        <v>C00139 : Oxidized ferredoxin</v>
      </c>
    </row>
    <row r="106" spans="1:5">
      <c r="A106" t="s">
        <v>13183</v>
      </c>
      <c r="B106" s="31" t="s">
        <v>13673</v>
      </c>
      <c r="C106" s="61" t="str">
        <f t="shared" si="4"/>
        <v>C00141:1</v>
      </c>
      <c r="D106" s="60" t="str">
        <f t="shared" si="3"/>
        <v xml:space="preserve">C00141 : 3-Methyl-2-oxobutanoic acid </v>
      </c>
    </row>
    <row r="107" spans="1:5">
      <c r="A107" s="5" t="s">
        <v>13041</v>
      </c>
      <c r="B107" s="31" t="s">
        <v>13674</v>
      </c>
      <c r="C107" s="61" t="str">
        <f t="shared" si="4"/>
        <v>C00143:1</v>
      </c>
      <c r="D107" s="60" t="str">
        <f t="shared" si="3"/>
        <v>C00143 : 5,10-Methylenetetrahydrofolate</v>
      </c>
    </row>
    <row r="108" spans="1:5">
      <c r="A108" t="s">
        <v>13043</v>
      </c>
      <c r="B108" s="31" t="s">
        <v>13675</v>
      </c>
      <c r="C108" s="61" t="str">
        <f t="shared" si="4"/>
        <v>C00144:1</v>
      </c>
      <c r="D108" s="60" t="str">
        <f t="shared" si="3"/>
        <v>C00144 : GMP</v>
      </c>
    </row>
    <row r="109" spans="1:5">
      <c r="A109" t="s">
        <v>13044</v>
      </c>
      <c r="B109" s="31" t="s">
        <v>13676</v>
      </c>
      <c r="C109" s="61" t="str">
        <f t="shared" si="4"/>
        <v>C00147:1</v>
      </c>
      <c r="D109" s="60" t="str">
        <f t="shared" si="3"/>
        <v>C00147 : Adenine</v>
      </c>
    </row>
    <row r="110" spans="1:5">
      <c r="A110" t="s">
        <v>13045</v>
      </c>
      <c r="B110" s="31" t="s">
        <v>13677</v>
      </c>
      <c r="C110" s="61" t="str">
        <f>CONCATENATE(A110,":","1000")</f>
        <v>C00148:1000</v>
      </c>
      <c r="D110" s="60" t="str">
        <f t="shared" si="3"/>
        <v xml:space="preserve">C00148 : L-Proline </v>
      </c>
    </row>
    <row r="111" spans="1:5">
      <c r="A111" t="s">
        <v>10312</v>
      </c>
      <c r="B111" s="31" t="s">
        <v>13678</v>
      </c>
      <c r="C111" s="61" t="str">
        <f t="shared" si="4"/>
        <v>C00149:1</v>
      </c>
      <c r="D111" s="60" t="str">
        <f t="shared" si="3"/>
        <v>C00149 : (S)-Malate</v>
      </c>
    </row>
    <row r="112" spans="1:5">
      <c r="A112" s="47" t="s">
        <v>13458</v>
      </c>
      <c r="B112" s="18" t="s">
        <v>13791</v>
      </c>
      <c r="C112" s="61" t="str">
        <f t="shared" si="4"/>
        <v>C00151:1</v>
      </c>
      <c r="D112" s="60" t="str">
        <f t="shared" si="3"/>
        <v>C00151 : L-Amino acid</v>
      </c>
    </row>
    <row r="113" spans="1:5">
      <c r="A113" t="s">
        <v>13046</v>
      </c>
      <c r="B113" s="31" t="s">
        <v>13679</v>
      </c>
      <c r="C113" s="61" t="str">
        <f t="shared" si="4"/>
        <v>C00152:1</v>
      </c>
      <c r="D113" s="60" t="str">
        <f t="shared" si="3"/>
        <v>C00152 : L-Asparagine</v>
      </c>
      <c r="E113" s="11"/>
    </row>
    <row r="114" spans="1:5">
      <c r="A114" t="s">
        <v>13188</v>
      </c>
      <c r="B114" s="31" t="s">
        <v>13680</v>
      </c>
      <c r="C114" s="61" t="str">
        <f t="shared" si="4"/>
        <v>C00155:1</v>
      </c>
      <c r="D114" s="60" t="str">
        <f t="shared" si="3"/>
        <v>C00155 : L-Homocysteine</v>
      </c>
    </row>
    <row r="115" spans="1:5">
      <c r="A115" t="s">
        <v>10560</v>
      </c>
      <c r="B115" s="31" t="s">
        <v>13681</v>
      </c>
      <c r="C115" s="61" t="str">
        <f t="shared" si="4"/>
        <v>C00158:1</v>
      </c>
      <c r="D115" s="60" t="str">
        <f t="shared" si="3"/>
        <v>C00158 : Citrate</v>
      </c>
    </row>
    <row r="116" spans="1:5">
      <c r="A116" t="s">
        <v>13190</v>
      </c>
      <c r="B116" s="31" t="s">
        <v>13682</v>
      </c>
      <c r="C116" s="61" t="str">
        <f t="shared" si="4"/>
        <v>C00161:1</v>
      </c>
      <c r="D116" s="60" t="str">
        <f t="shared" si="3"/>
        <v>C00161 : 2-Oxo acid</v>
      </c>
    </row>
    <row r="117" spans="1:5">
      <c r="A117" s="47" t="s">
        <v>13504</v>
      </c>
      <c r="B117" s="31" t="s">
        <v>13683</v>
      </c>
      <c r="C117" s="61" t="str">
        <f t="shared" si="4"/>
        <v>C00166:1</v>
      </c>
      <c r="D117" s="60" t="str">
        <f t="shared" si="3"/>
        <v>C00166 : Phenylpyruvate</v>
      </c>
    </row>
    <row r="118" spans="1:5">
      <c r="A118" s="5" t="s">
        <v>13047</v>
      </c>
      <c r="B118" s="31" t="s">
        <v>13684</v>
      </c>
      <c r="C118" s="61" t="str">
        <f t="shared" si="4"/>
        <v>C00169:1</v>
      </c>
      <c r="D118" s="60" t="str">
        <f t="shared" si="3"/>
        <v xml:space="preserve">C00169 : Carbamoyl Phosphate </v>
      </c>
    </row>
    <row r="119" spans="1:5">
      <c r="A119" t="s">
        <v>13048</v>
      </c>
      <c r="B119" s="31" t="s">
        <v>13685</v>
      </c>
      <c r="C119" s="61" t="str">
        <f t="shared" si="4"/>
        <v>C00173:1</v>
      </c>
      <c r="D119" s="60" t="str">
        <f t="shared" si="3"/>
        <v>C00173 : Acyl-[acyl-carrier protein]</v>
      </c>
    </row>
    <row r="120" spans="1:5">
      <c r="A120" s="47" t="s">
        <v>13427</v>
      </c>
      <c r="B120" s="18" t="s">
        <v>13792</v>
      </c>
      <c r="C120" s="61" t="str">
        <f t="shared" si="4"/>
        <v>C00178:1</v>
      </c>
      <c r="D120" s="60" t="str">
        <f t="shared" si="3"/>
        <v>C00178 : Thymine</v>
      </c>
    </row>
    <row r="121" spans="1:5">
      <c r="A121" t="s">
        <v>13049</v>
      </c>
      <c r="B121" s="31" t="s">
        <v>13686</v>
      </c>
      <c r="C121" s="61" t="str">
        <f t="shared" si="4"/>
        <v>C00183:1</v>
      </c>
      <c r="D121" s="60" t="str">
        <f t="shared" si="3"/>
        <v>C00183 : L-Valine</v>
      </c>
    </row>
    <row r="122" spans="1:5">
      <c r="A122" t="s">
        <v>13050</v>
      </c>
      <c r="B122" s="18" t="s">
        <v>13793</v>
      </c>
      <c r="C122" s="61" t="str">
        <f t="shared" si="4"/>
        <v>C00185:1</v>
      </c>
      <c r="D122" s="60" t="str">
        <f t="shared" si="3"/>
        <v>C00185 : Cellobiose</v>
      </c>
    </row>
    <row r="123" spans="1:5">
      <c r="A123" t="s">
        <v>9438</v>
      </c>
      <c r="B123" s="31" t="s">
        <v>13687</v>
      </c>
      <c r="C123" s="61" t="str">
        <f t="shared" si="4"/>
        <v>C00188:1</v>
      </c>
      <c r="D123" s="60" t="str">
        <f t="shared" si="3"/>
        <v>C00188 : L-Threonine</v>
      </c>
    </row>
    <row r="124" spans="1:5">
      <c r="A124" t="s">
        <v>9907</v>
      </c>
      <c r="B124" s="18" t="s">
        <v>13794</v>
      </c>
      <c r="C124" s="61" t="str">
        <f t="shared" si="4"/>
        <v>C00191:1</v>
      </c>
      <c r="D124" s="60" t="str">
        <f t="shared" si="3"/>
        <v>C00191 : D-Glucuronate</v>
      </c>
    </row>
    <row r="125" spans="1:5">
      <c r="A125" s="47" t="s">
        <v>13450</v>
      </c>
      <c r="B125" s="18" t="s">
        <v>13795</v>
      </c>
      <c r="C125" s="61" t="str">
        <f t="shared" si="4"/>
        <v>C00192:1</v>
      </c>
      <c r="D125" s="60" t="str">
        <f t="shared" si="3"/>
        <v>C00192 : Hydroxylamine</v>
      </c>
    </row>
    <row r="126" spans="1:5">
      <c r="A126" s="48" t="s">
        <v>13445</v>
      </c>
      <c r="B126" s="18" t="s">
        <v>13795</v>
      </c>
      <c r="C126" s="61" t="str">
        <f t="shared" si="4"/>
        <v>C00194:1</v>
      </c>
      <c r="D126" s="60" t="str">
        <f t="shared" si="3"/>
        <v>C00194 : Hydroxylamine</v>
      </c>
    </row>
    <row r="127" spans="1:5">
      <c r="A127" s="47" t="s">
        <v>9356</v>
      </c>
      <c r="B127" s="31" t="s">
        <v>13688</v>
      </c>
      <c r="C127" s="61" t="str">
        <f t="shared" si="4"/>
        <v>C00197:1</v>
      </c>
      <c r="D127" s="60" t="str">
        <f t="shared" si="3"/>
        <v xml:space="preserve">C00197 : 3-Phospho-D-glycerate </v>
      </c>
      <c r="E127" s="16"/>
    </row>
    <row r="128" spans="1:5">
      <c r="A128" t="s">
        <v>9543</v>
      </c>
      <c r="B128" s="18" t="s">
        <v>13796</v>
      </c>
      <c r="C128" s="61" t="str">
        <f t="shared" si="4"/>
        <v>C00199:1</v>
      </c>
      <c r="D128" s="60" t="str">
        <f t="shared" si="3"/>
        <v>C00199 : D-Ribulose 5-phosphate</v>
      </c>
    </row>
    <row r="129" spans="1:4">
      <c r="A129" t="s">
        <v>12820</v>
      </c>
      <c r="B129" s="31" t="s">
        <v>13689</v>
      </c>
      <c r="C129" s="61" t="str">
        <f t="shared" si="4"/>
        <v>C00201:1</v>
      </c>
      <c r="D129" s="60" t="str">
        <f t="shared" si="3"/>
        <v>C00201 : NTP</v>
      </c>
    </row>
    <row r="130" spans="1:4">
      <c r="A130" s="47" t="s">
        <v>13572</v>
      </c>
      <c r="B130" s="31" t="s">
        <v>13690</v>
      </c>
      <c r="C130" s="61" t="str">
        <f t="shared" si="4"/>
        <v>C00203:1</v>
      </c>
      <c r="D130" s="60" t="str">
        <f t="shared" ref="D130:D193" si="5">CONCATENATE(A130," : ",B130)</f>
        <v>C00203 : UDP-N-acetyl-D-galactosamine</v>
      </c>
    </row>
    <row r="131" spans="1:4">
      <c r="A131" s="47" t="s">
        <v>13566</v>
      </c>
      <c r="B131" s="18" t="s">
        <v>13797</v>
      </c>
      <c r="C131" s="61" t="str">
        <f t="shared" si="4"/>
        <v>C00204:1</v>
      </c>
      <c r="D131" s="60" t="str">
        <f t="shared" si="5"/>
        <v>C00204 : 2-Dehydro-3-deoxy-D-gluconate</v>
      </c>
    </row>
    <row r="132" spans="1:4">
      <c r="A132" t="s">
        <v>13051</v>
      </c>
      <c r="B132" s="31" t="s">
        <v>13691</v>
      </c>
      <c r="C132" s="61" t="str">
        <f t="shared" si="4"/>
        <v>C00206:1</v>
      </c>
      <c r="D132" s="60" t="str">
        <f t="shared" si="5"/>
        <v>C00206 : dADP</v>
      </c>
    </row>
    <row r="133" spans="1:4">
      <c r="A133" s="1" t="s">
        <v>13501</v>
      </c>
      <c r="B133" s="31" t="s">
        <v>13798</v>
      </c>
      <c r="C133" s="61" t="str">
        <f t="shared" si="4"/>
        <v>C00208:1</v>
      </c>
      <c r="D133" s="60" t="str">
        <f t="shared" si="5"/>
        <v>C00208 : Maltose</v>
      </c>
    </row>
    <row r="134" spans="1:4">
      <c r="A134" t="s">
        <v>12973</v>
      </c>
      <c r="B134" s="31" t="s">
        <v>13692</v>
      </c>
      <c r="C134" s="61" t="str">
        <f t="shared" si="4"/>
        <v>C00214:1</v>
      </c>
      <c r="D134" s="60" t="str">
        <f t="shared" si="5"/>
        <v xml:space="preserve">C00214 : Thymidine </v>
      </c>
    </row>
    <row r="135" spans="1:4">
      <c r="A135" s="47" t="s">
        <v>13553</v>
      </c>
      <c r="B135" s="31" t="s">
        <v>13799</v>
      </c>
      <c r="C135" s="61" t="str">
        <f t="shared" si="4"/>
        <v>C00215:1</v>
      </c>
      <c r="D135" s="60" t="str">
        <f t="shared" si="5"/>
        <v>C00215 : Nucleotide</v>
      </c>
    </row>
    <row r="136" spans="1:4">
      <c r="A136" t="s">
        <v>13001</v>
      </c>
      <c r="B136" s="31" t="s">
        <v>13693</v>
      </c>
      <c r="C136" s="61" t="str">
        <f t="shared" si="4"/>
        <v>C00217:1</v>
      </c>
      <c r="D136" s="60" t="str">
        <f t="shared" si="5"/>
        <v xml:space="preserve">C00217 : D-Glutamate </v>
      </c>
    </row>
    <row r="137" spans="1:4">
      <c r="A137" s="47" t="s">
        <v>12896</v>
      </c>
      <c r="B137" s="18" t="s">
        <v>13800</v>
      </c>
      <c r="C137" s="61" t="str">
        <f t="shared" si="4"/>
        <v>C00221:1</v>
      </c>
      <c r="D137" s="60" t="str">
        <f t="shared" si="5"/>
        <v>C00221 : beta-D-Glucose</v>
      </c>
    </row>
    <row r="138" spans="1:4">
      <c r="A138" t="s">
        <v>13193</v>
      </c>
      <c r="B138" s="31" t="s">
        <v>13694</v>
      </c>
      <c r="C138" s="61" t="str">
        <f t="shared" si="4"/>
        <v>C00224:1</v>
      </c>
      <c r="D138" s="60" t="str">
        <f t="shared" si="5"/>
        <v xml:space="preserve">C00224 : Adenylyl Sulfate </v>
      </c>
    </row>
    <row r="139" spans="1:4">
      <c r="A139" s="48" t="s">
        <v>13437</v>
      </c>
      <c r="B139" s="31" t="s">
        <v>13695</v>
      </c>
      <c r="C139" s="61" t="str">
        <f t="shared" ref="C139:C202" si="6">CONCATENATE(A139,":","1")</f>
        <v>C00227:1</v>
      </c>
      <c r="D139" s="60" t="str">
        <f t="shared" si="5"/>
        <v>C00227 : Acetyl Phosphate</v>
      </c>
    </row>
    <row r="140" spans="1:4">
      <c r="A140" t="s">
        <v>13194</v>
      </c>
      <c r="B140" s="31" t="s">
        <v>13696</v>
      </c>
      <c r="C140" s="61" t="str">
        <f t="shared" si="6"/>
        <v>C00229:1</v>
      </c>
      <c r="D140" s="60" t="str">
        <f t="shared" si="5"/>
        <v xml:space="preserve">C00229 : Acyl-carrier protein </v>
      </c>
    </row>
    <row r="141" spans="1:4">
      <c r="A141" s="47" t="s">
        <v>13571</v>
      </c>
      <c r="B141" s="31" t="s">
        <v>13697</v>
      </c>
      <c r="C141" s="61" t="str">
        <f t="shared" si="6"/>
        <v>C00231:1</v>
      </c>
      <c r="D141" s="60" t="str">
        <f t="shared" si="5"/>
        <v xml:space="preserve">C00231 : D-Xylulose 5-Phosphate </v>
      </c>
    </row>
    <row r="142" spans="1:4">
      <c r="A142" t="s">
        <v>13052</v>
      </c>
      <c r="B142" s="31" t="s">
        <v>13698</v>
      </c>
      <c r="C142" s="61" t="str">
        <f t="shared" si="6"/>
        <v>C00233:1</v>
      </c>
      <c r="D142" s="60" t="str">
        <f t="shared" si="5"/>
        <v xml:space="preserve">C00233 : 4-Methyl-2-oxopentanoate </v>
      </c>
    </row>
    <row r="143" spans="1:4">
      <c r="A143" t="s">
        <v>13053</v>
      </c>
      <c r="B143" s="31" t="s">
        <v>13699</v>
      </c>
      <c r="C143" s="61" t="str">
        <f t="shared" si="6"/>
        <v>C00234:1</v>
      </c>
      <c r="D143" s="60" t="str">
        <f t="shared" si="5"/>
        <v>C00234 : 10-Formyltetrahydrofolate</v>
      </c>
    </row>
    <row r="144" spans="1:4">
      <c r="A144" t="s">
        <v>13054</v>
      </c>
      <c r="B144" s="18" t="s">
        <v>13700</v>
      </c>
      <c r="C144" s="61" t="str">
        <f t="shared" si="6"/>
        <v>C00235:1</v>
      </c>
      <c r="D144" s="60" t="str">
        <f t="shared" si="5"/>
        <v>C00235 : Dimethylallyl diphosphate</v>
      </c>
    </row>
    <row r="145" spans="1:5">
      <c r="A145" t="s">
        <v>13197</v>
      </c>
      <c r="B145" s="31" t="s">
        <v>13701</v>
      </c>
      <c r="C145" s="61" t="str">
        <f t="shared" si="6"/>
        <v>C00239:1</v>
      </c>
      <c r="D145" s="60" t="str">
        <f t="shared" si="5"/>
        <v>C00239 : dCMP</v>
      </c>
    </row>
    <row r="146" spans="1:5">
      <c r="A146" t="s">
        <v>13055</v>
      </c>
      <c r="B146" s="31" t="s">
        <v>13702</v>
      </c>
      <c r="C146" s="61" t="str">
        <f t="shared" si="6"/>
        <v>C00241:1</v>
      </c>
      <c r="D146" s="60" t="str">
        <f t="shared" si="5"/>
        <v>C00241 : Amide</v>
      </c>
    </row>
    <row r="147" spans="1:5">
      <c r="A147" s="1" t="s">
        <v>13056</v>
      </c>
      <c r="B147" s="31" t="s">
        <v>13703</v>
      </c>
      <c r="C147" s="61" t="str">
        <f t="shared" si="6"/>
        <v>C00242:1</v>
      </c>
      <c r="D147" s="60" t="str">
        <f t="shared" si="5"/>
        <v>C00242 : Guanine</v>
      </c>
    </row>
    <row r="148" spans="1:5">
      <c r="A148" s="47" t="s">
        <v>13455</v>
      </c>
      <c r="B148" s="31" t="s">
        <v>13801</v>
      </c>
      <c r="C148" s="61" t="str">
        <f t="shared" si="6"/>
        <v>C00248:1</v>
      </c>
      <c r="D148" s="60" t="str">
        <f t="shared" si="5"/>
        <v>C00248 : Lipoamide</v>
      </c>
    </row>
    <row r="149" spans="1:5">
      <c r="A149" t="s">
        <v>13198</v>
      </c>
      <c r="B149" s="31" t="s">
        <v>13704</v>
      </c>
      <c r="C149" s="61" t="str">
        <f t="shared" si="6"/>
        <v>C00250:1</v>
      </c>
      <c r="D149" s="60" t="str">
        <f t="shared" si="5"/>
        <v>C00250 : Pyridoxal</v>
      </c>
      <c r="E149" s="11"/>
    </row>
    <row r="150" spans="1:5">
      <c r="A150" t="s">
        <v>10543</v>
      </c>
      <c r="B150" s="31" t="s">
        <v>13802</v>
      </c>
      <c r="C150" s="61" t="str">
        <f t="shared" si="6"/>
        <v>C00251:1</v>
      </c>
      <c r="D150" s="60" t="str">
        <f t="shared" si="5"/>
        <v>C00251 : Chorismate</v>
      </c>
    </row>
    <row r="151" spans="1:5">
      <c r="A151" s="47" t="s">
        <v>13490</v>
      </c>
      <c r="B151" s="31" t="s">
        <v>13705</v>
      </c>
      <c r="C151" s="61" t="str">
        <f t="shared" si="6"/>
        <v>C00253:1</v>
      </c>
      <c r="D151" s="60" t="str">
        <f t="shared" si="5"/>
        <v>C00253 : Nicotinate</v>
      </c>
      <c r="E151" s="11"/>
    </row>
    <row r="152" spans="1:5">
      <c r="A152" t="s">
        <v>13200</v>
      </c>
      <c r="B152" s="31" t="s">
        <v>13706</v>
      </c>
      <c r="C152" s="61" t="str">
        <f t="shared" si="6"/>
        <v>C00255:1</v>
      </c>
      <c r="D152" s="60" t="str">
        <f t="shared" si="5"/>
        <v>C00255 : Riboflavin</v>
      </c>
    </row>
    <row r="153" spans="1:5">
      <c r="A153" s="47" t="s">
        <v>13492</v>
      </c>
      <c r="B153" s="31" t="s">
        <v>13707</v>
      </c>
      <c r="C153" s="61" t="str">
        <f t="shared" si="6"/>
        <v>C00262:1</v>
      </c>
      <c r="D153" s="60" t="str">
        <f t="shared" si="5"/>
        <v>C00262 : Hypoxanthine</v>
      </c>
    </row>
    <row r="154" spans="1:5">
      <c r="A154" t="s">
        <v>13057</v>
      </c>
      <c r="B154" s="31" t="s">
        <v>13708</v>
      </c>
      <c r="C154" s="61" t="str">
        <f t="shared" si="6"/>
        <v>C00263:1</v>
      </c>
      <c r="D154" s="60" t="str">
        <f t="shared" si="5"/>
        <v>C00263 : L-Homoserine</v>
      </c>
    </row>
    <row r="155" spans="1:5">
      <c r="A155" s="47" t="s">
        <v>13516</v>
      </c>
      <c r="B155" s="31" t="s">
        <v>13803</v>
      </c>
      <c r="C155" s="61" t="str">
        <f t="shared" si="6"/>
        <v>C00266:1</v>
      </c>
      <c r="D155" s="60" t="str">
        <f t="shared" si="5"/>
        <v>C00266 : Glycolaldehyde</v>
      </c>
      <c r="E155" s="20"/>
    </row>
    <row r="156" spans="1:5">
      <c r="A156" t="s">
        <v>9304</v>
      </c>
      <c r="B156" s="31" t="s">
        <v>13709</v>
      </c>
      <c r="C156" s="61" t="str">
        <f t="shared" si="6"/>
        <v>C00267:1</v>
      </c>
      <c r="D156" s="60" t="str">
        <f t="shared" si="5"/>
        <v xml:space="preserve">C00267 : alpha-D-Glucose </v>
      </c>
      <c r="E156" s="20"/>
    </row>
    <row r="157" spans="1:5">
      <c r="A157" t="s">
        <v>13512</v>
      </c>
      <c r="B157" s="31" t="s">
        <v>13804</v>
      </c>
      <c r="C157" s="61" t="str">
        <f t="shared" si="6"/>
        <v>C00279:1</v>
      </c>
      <c r="D157" s="60" t="str">
        <f t="shared" si="5"/>
        <v>C00279 : D-Erythrose 4-phosphate</v>
      </c>
    </row>
    <row r="158" spans="1:5">
      <c r="A158" t="s">
        <v>13201</v>
      </c>
      <c r="B158" s="31" t="s">
        <v>13710</v>
      </c>
      <c r="C158" s="61" t="str">
        <f t="shared" si="6"/>
        <v>C00283:1</v>
      </c>
      <c r="D158" s="60" t="str">
        <f t="shared" si="5"/>
        <v xml:space="preserve">C00283 : Hydrogen Sulfide </v>
      </c>
    </row>
    <row r="159" spans="1:5">
      <c r="A159" t="s">
        <v>13058</v>
      </c>
      <c r="B159" s="31" t="s">
        <v>13711</v>
      </c>
      <c r="C159" s="61" t="str">
        <f t="shared" si="6"/>
        <v>C00286:1</v>
      </c>
      <c r="D159" s="60" t="str">
        <f t="shared" si="5"/>
        <v>C00286 : dGTP</v>
      </c>
    </row>
    <row r="160" spans="1:5">
      <c r="A160" t="s">
        <v>12975</v>
      </c>
      <c r="B160" s="31" t="s">
        <v>13712</v>
      </c>
      <c r="C160" s="61" t="str">
        <f t="shared" si="6"/>
        <v>C00288:1</v>
      </c>
      <c r="D160" s="60" t="str">
        <f t="shared" si="5"/>
        <v>C00288 : HCO3-</v>
      </c>
      <c r="E160" s="11"/>
    </row>
    <row r="161" spans="1:5">
      <c r="A161" s="47" t="s">
        <v>13432</v>
      </c>
      <c r="B161" s="31" t="s">
        <v>13713</v>
      </c>
      <c r="C161" s="61" t="str">
        <f t="shared" si="6"/>
        <v>C00295:1</v>
      </c>
      <c r="D161" s="60" t="str">
        <f t="shared" si="5"/>
        <v>C00295 : Orotate</v>
      </c>
      <c r="E161" s="11"/>
    </row>
    <row r="162" spans="1:5">
      <c r="A162" t="s">
        <v>13204</v>
      </c>
      <c r="B162" s="31" t="s">
        <v>13714</v>
      </c>
      <c r="C162" s="61" t="str">
        <f t="shared" si="6"/>
        <v>C00299:1</v>
      </c>
      <c r="D162" s="60" t="str">
        <f t="shared" si="5"/>
        <v>C00299 : Uridine</v>
      </c>
    </row>
    <row r="163" spans="1:5">
      <c r="A163" s="47" t="s">
        <v>13456</v>
      </c>
      <c r="B163" s="31" t="s">
        <v>13715</v>
      </c>
      <c r="C163" s="61" t="str">
        <f t="shared" si="6"/>
        <v>C00302:1</v>
      </c>
      <c r="D163" s="60" t="str">
        <f t="shared" si="5"/>
        <v xml:space="preserve">C00302 : Glutamate </v>
      </c>
    </row>
    <row r="164" spans="1:5">
      <c r="A164" t="s">
        <v>13059</v>
      </c>
      <c r="B164" s="31" t="s">
        <v>13805</v>
      </c>
      <c r="C164" s="61" t="str">
        <f t="shared" si="6"/>
        <v>C00311:1</v>
      </c>
      <c r="D164" s="60" t="str">
        <f t="shared" si="5"/>
        <v>C00311 : Isocitrate</v>
      </c>
    </row>
    <row r="165" spans="1:5">
      <c r="A165" t="s">
        <v>13206</v>
      </c>
      <c r="B165" s="31" t="s">
        <v>13716</v>
      </c>
      <c r="C165" s="61" t="str">
        <f t="shared" si="6"/>
        <v>C00314:1</v>
      </c>
      <c r="D165" s="60" t="str">
        <f t="shared" si="5"/>
        <v>C00314 : Pyridoxine</v>
      </c>
    </row>
    <row r="166" spans="1:5">
      <c r="A166" s="47" t="s">
        <v>13557</v>
      </c>
      <c r="B166" s="18" t="s">
        <v>13806</v>
      </c>
      <c r="C166" s="61" t="str">
        <f t="shared" si="6"/>
        <v>C00315:1</v>
      </c>
      <c r="D166" s="60" t="str">
        <f t="shared" si="5"/>
        <v>C00315 : Spermidine</v>
      </c>
      <c r="E166"/>
    </row>
    <row r="167" spans="1:5">
      <c r="A167" t="s">
        <v>13208</v>
      </c>
      <c r="B167" s="31" t="s">
        <v>13717</v>
      </c>
      <c r="C167" s="61" t="str">
        <f t="shared" si="6"/>
        <v>C00320:1</v>
      </c>
      <c r="D167" s="60" t="str">
        <f t="shared" si="5"/>
        <v>C00320 : Thiosulfate</v>
      </c>
      <c r="E167"/>
    </row>
    <row r="168" spans="1:5">
      <c r="A168" t="s">
        <v>9909</v>
      </c>
      <c r="B168" s="31" t="s">
        <v>13807</v>
      </c>
      <c r="C168" s="61" t="str">
        <f t="shared" si="6"/>
        <v>C00333:1</v>
      </c>
      <c r="D168" s="60" t="str">
        <f t="shared" si="5"/>
        <v>C00333 : D-Galacturonate</v>
      </c>
      <c r="E168"/>
    </row>
    <row r="169" spans="1:5">
      <c r="A169" s="49" t="s">
        <v>13555</v>
      </c>
      <c r="B169" s="31" t="s">
        <v>13808</v>
      </c>
      <c r="C169" s="61" t="str">
        <f t="shared" si="6"/>
        <v>C00334:1</v>
      </c>
      <c r="D169" s="60" t="str">
        <f t="shared" si="5"/>
        <v>C00334 : 4-Aminobutanoate</v>
      </c>
      <c r="E169"/>
    </row>
    <row r="170" spans="1:5">
      <c r="A170" t="s">
        <v>13060</v>
      </c>
      <c r="B170" s="31" t="s">
        <v>13718</v>
      </c>
      <c r="C170" s="61" t="str">
        <f t="shared" si="6"/>
        <v>C00337:1</v>
      </c>
      <c r="D170" s="60" t="str">
        <f t="shared" si="5"/>
        <v>C00337 : (S)-Dihydroorotate</v>
      </c>
      <c r="E170"/>
    </row>
    <row r="171" spans="1:5">
      <c r="A171" t="s">
        <v>13004</v>
      </c>
      <c r="B171" s="31" t="s">
        <v>13719</v>
      </c>
      <c r="C171" s="61" t="str">
        <f t="shared" si="6"/>
        <v>C00342:1</v>
      </c>
      <c r="D171" s="60" t="str">
        <f t="shared" si="5"/>
        <v>C00342 : Thioredoxin</v>
      </c>
      <c r="E171"/>
    </row>
    <row r="172" spans="1:5">
      <c r="A172" t="s">
        <v>13210</v>
      </c>
      <c r="B172" s="31" t="s">
        <v>13720</v>
      </c>
      <c r="C172" s="61" t="str">
        <f t="shared" si="6"/>
        <v>C00343:1</v>
      </c>
      <c r="D172" s="60" t="str">
        <f t="shared" si="5"/>
        <v xml:space="preserve">C00343 : Thioredoxin disulfide </v>
      </c>
      <c r="E172"/>
    </row>
    <row r="173" spans="1:5">
      <c r="A173" s="1" t="s">
        <v>9348</v>
      </c>
      <c r="B173" s="31" t="s">
        <v>13721</v>
      </c>
      <c r="C173" s="61" t="str">
        <f t="shared" si="6"/>
        <v>C00345:1</v>
      </c>
      <c r="D173" s="60" t="str">
        <f t="shared" si="5"/>
        <v>C00345 : 6-Phospho-D-gluconate</v>
      </c>
      <c r="E173"/>
    </row>
    <row r="174" spans="1:5">
      <c r="A174" s="47" t="s">
        <v>13556</v>
      </c>
      <c r="B174" s="31" t="s">
        <v>13722</v>
      </c>
      <c r="C174" s="61" t="str">
        <f t="shared" si="6"/>
        <v>C00350:1</v>
      </c>
      <c r="D174" s="60" t="str">
        <f t="shared" si="5"/>
        <v>C00350 : Phosphatidylethanolamine</v>
      </c>
      <c r="E174"/>
    </row>
    <row r="175" spans="1:5">
      <c r="A175" t="s">
        <v>10302</v>
      </c>
      <c r="B175" s="18" t="s">
        <v>13723</v>
      </c>
      <c r="C175" s="61" t="str">
        <f t="shared" si="6"/>
        <v>C00352:1</v>
      </c>
      <c r="D175" s="60" t="str">
        <f t="shared" si="5"/>
        <v>C00352 : D-Glucosamine 6-phosphate</v>
      </c>
      <c r="E175"/>
    </row>
    <row r="176" spans="1:5">
      <c r="A176" t="s">
        <v>10027</v>
      </c>
      <c r="B176" s="18" t="s">
        <v>13724</v>
      </c>
      <c r="C176" s="61" t="str">
        <f t="shared" si="6"/>
        <v>C00354:1</v>
      </c>
      <c r="D176" s="60" t="str">
        <f t="shared" si="5"/>
        <v>C00354 : D-Fructose 1,6-bisphosphate</v>
      </c>
      <c r="E176"/>
    </row>
    <row r="177" spans="1:5">
      <c r="A177" t="s">
        <v>13061</v>
      </c>
      <c r="B177" s="18" t="s">
        <v>13725</v>
      </c>
      <c r="C177" s="61" t="str">
        <f t="shared" si="6"/>
        <v>C00357:1</v>
      </c>
      <c r="D177" s="60" t="str">
        <f t="shared" si="5"/>
        <v>C00357 : N-Acetyl-D-glucosamine 6-phosphate</v>
      </c>
      <c r="E177"/>
    </row>
    <row r="178" spans="1:5">
      <c r="A178" t="s">
        <v>13217</v>
      </c>
      <c r="B178" s="18" t="s">
        <v>13726</v>
      </c>
      <c r="C178" s="61" t="str">
        <f t="shared" si="6"/>
        <v>C00360:1</v>
      </c>
      <c r="D178" s="60" t="str">
        <f t="shared" si="5"/>
        <v>C00360 : dAMP</v>
      </c>
      <c r="E178"/>
    </row>
    <row r="179" spans="1:5">
      <c r="A179" t="s">
        <v>13063</v>
      </c>
      <c r="B179" s="18" t="s">
        <v>13727</v>
      </c>
      <c r="C179" s="61" t="str">
        <f t="shared" si="6"/>
        <v>C00361:1</v>
      </c>
      <c r="D179" s="60" t="str">
        <f t="shared" si="5"/>
        <v>C00361 : dGDP</v>
      </c>
      <c r="E179"/>
    </row>
    <row r="180" spans="1:5">
      <c r="A180" t="s">
        <v>13220</v>
      </c>
      <c r="B180" s="18" t="s">
        <v>13728</v>
      </c>
      <c r="C180" s="61" t="str">
        <f t="shared" si="6"/>
        <v>C00362:1</v>
      </c>
      <c r="D180" s="60" t="str">
        <f t="shared" si="5"/>
        <v>C00362 : dGMP</v>
      </c>
      <c r="E180"/>
    </row>
    <row r="181" spans="1:5">
      <c r="A181" t="s">
        <v>13222</v>
      </c>
      <c r="B181" s="18" t="s">
        <v>13809</v>
      </c>
      <c r="C181" s="61" t="str">
        <f t="shared" si="6"/>
        <v>C00363:1</v>
      </c>
      <c r="D181" s="60" t="str">
        <f t="shared" si="5"/>
        <v>C00363 : dTDP</v>
      </c>
      <c r="E181"/>
    </row>
    <row r="182" spans="1:5">
      <c r="A182" s="47" t="s">
        <v>13396</v>
      </c>
      <c r="B182" s="18" t="s">
        <v>13729</v>
      </c>
      <c r="C182" s="61" t="str">
        <f t="shared" si="6"/>
        <v>C00364:1</v>
      </c>
      <c r="D182" s="60" t="str">
        <f t="shared" si="5"/>
        <v>C00364 : dTMP</v>
      </c>
      <c r="E182"/>
    </row>
    <row r="183" spans="1:5">
      <c r="A183" t="s">
        <v>13064</v>
      </c>
      <c r="B183" s="18" t="s">
        <v>13730</v>
      </c>
      <c r="C183" s="61" t="str">
        <f t="shared" si="6"/>
        <v>C00365:1</v>
      </c>
      <c r="D183" s="60" t="str">
        <f t="shared" si="5"/>
        <v>C00365 : dUMP</v>
      </c>
      <c r="E183"/>
    </row>
    <row r="184" spans="1:5">
      <c r="A184" t="s">
        <v>13065</v>
      </c>
      <c r="B184" s="18" t="s">
        <v>13731</v>
      </c>
      <c r="C184" s="61" t="str">
        <f t="shared" si="6"/>
        <v>C00369:1</v>
      </c>
      <c r="D184" s="60" t="str">
        <f t="shared" si="5"/>
        <v>C00369 : Starch</v>
      </c>
      <c r="E184"/>
    </row>
    <row r="185" spans="1:5">
      <c r="A185" t="s">
        <v>13224</v>
      </c>
      <c r="B185" s="18" t="s">
        <v>13732</v>
      </c>
      <c r="C185" s="61" t="str">
        <f t="shared" si="6"/>
        <v>C00378:1</v>
      </c>
      <c r="D185" s="60" t="str">
        <f t="shared" si="5"/>
        <v>C00378 : Thiamine</v>
      </c>
      <c r="E185"/>
    </row>
    <row r="186" spans="1:5">
      <c r="A186" s="47" t="s">
        <v>13491</v>
      </c>
      <c r="B186" s="18" t="s">
        <v>13733</v>
      </c>
      <c r="C186" s="61" t="str">
        <f t="shared" si="6"/>
        <v>C00385:1</v>
      </c>
      <c r="D186" s="60" t="str">
        <f t="shared" si="5"/>
        <v>C00385 : Xanthine</v>
      </c>
      <c r="E186"/>
    </row>
    <row r="187" spans="1:5">
      <c r="A187" s="47" t="s">
        <v>13546</v>
      </c>
      <c r="B187" s="18" t="s">
        <v>13810</v>
      </c>
      <c r="C187" s="61" t="str">
        <f t="shared" si="6"/>
        <v>C00389:1</v>
      </c>
      <c r="D187" s="60" t="str">
        <f t="shared" si="5"/>
        <v>C00389 : Quercetin</v>
      </c>
      <c r="E187"/>
    </row>
    <row r="188" spans="1:5">
      <c r="A188" t="s">
        <v>13226</v>
      </c>
      <c r="B188" s="18" t="s">
        <v>13811</v>
      </c>
      <c r="C188" s="61" t="str">
        <f t="shared" si="6"/>
        <v>C00404:1</v>
      </c>
      <c r="D188" s="60" t="str">
        <f t="shared" si="5"/>
        <v>C00404 : Polyphosphate</v>
      </c>
      <c r="E188"/>
    </row>
    <row r="189" spans="1:5">
      <c r="A189" t="s">
        <v>13066</v>
      </c>
      <c r="B189" s="18" t="s">
        <v>13734</v>
      </c>
      <c r="C189" s="61" t="str">
        <f t="shared" si="6"/>
        <v>C00407:1</v>
      </c>
      <c r="D189" s="60" t="str">
        <f t="shared" si="5"/>
        <v>C00407 : L-Isoleucine</v>
      </c>
      <c r="E189"/>
    </row>
    <row r="190" spans="1:5">
      <c r="A190" s="47" t="s">
        <v>13464</v>
      </c>
      <c r="B190" s="18" t="s">
        <v>13735</v>
      </c>
      <c r="C190" s="61" t="str">
        <f t="shared" si="6"/>
        <v>C00415:1</v>
      </c>
      <c r="D190" s="60" t="str">
        <f t="shared" si="5"/>
        <v>C00415 : Dihydrofolate</v>
      </c>
      <c r="E190"/>
    </row>
    <row r="191" spans="1:5">
      <c r="A191" s="47" t="s">
        <v>13562</v>
      </c>
      <c r="B191" s="31" t="s">
        <v>13812</v>
      </c>
      <c r="C191" s="61" t="str">
        <f t="shared" si="6"/>
        <v>C00417:1</v>
      </c>
      <c r="D191" s="60" t="str">
        <f t="shared" si="5"/>
        <v>C00417 : cis-Aconitate</v>
      </c>
      <c r="E191"/>
    </row>
    <row r="192" spans="1:5">
      <c r="A192" t="s">
        <v>13515</v>
      </c>
      <c r="B192" s="18" t="s">
        <v>13813</v>
      </c>
      <c r="C192" s="61" t="str">
        <f t="shared" si="6"/>
        <v>C00424:1</v>
      </c>
      <c r="D192" s="60" t="str">
        <f t="shared" si="5"/>
        <v>C00424 : (S)-Lactaldehyde</v>
      </c>
      <c r="E192"/>
    </row>
    <row r="193" spans="1:5">
      <c r="A193" t="s">
        <v>13067</v>
      </c>
      <c r="B193" s="18" t="s">
        <v>13814</v>
      </c>
      <c r="C193" s="61" t="str">
        <f t="shared" si="6"/>
        <v>C00429:1</v>
      </c>
      <c r="D193" s="60" t="str">
        <f t="shared" si="5"/>
        <v>C00429 : 5,6-Dihydrouracil</v>
      </c>
      <c r="E193"/>
    </row>
    <row r="194" spans="1:5">
      <c r="A194" t="s">
        <v>13229</v>
      </c>
      <c r="B194" s="18" t="s">
        <v>13815</v>
      </c>
      <c r="C194" s="61" t="str">
        <f t="shared" si="6"/>
        <v>C00437:1</v>
      </c>
      <c r="D194" s="60" t="str">
        <f t="shared" ref="D194:D257" si="7">CONCATENATE(A194," : ",B194)</f>
        <v>C00437 : N-Acetylornithine</v>
      </c>
      <c r="E194"/>
    </row>
    <row r="195" spans="1:5">
      <c r="A195" s="47" t="s">
        <v>13416</v>
      </c>
      <c r="B195" s="18" t="s">
        <v>13736</v>
      </c>
      <c r="C195" s="61" t="str">
        <f t="shared" si="6"/>
        <v>C00438:1</v>
      </c>
      <c r="D195" s="60" t="str">
        <f t="shared" si="7"/>
        <v>C00438 : N-Carbamoyl-L-aspartate</v>
      </c>
      <c r="E195"/>
    </row>
    <row r="196" spans="1:5">
      <c r="A196" s="47" t="s">
        <v>13409</v>
      </c>
      <c r="B196" s="18" t="s">
        <v>13816</v>
      </c>
      <c r="C196" s="61" t="str">
        <f t="shared" si="6"/>
        <v>C00439:1</v>
      </c>
      <c r="D196" s="60" t="str">
        <f t="shared" si="7"/>
        <v>C00439 : N-Formimino-L-glutamate</v>
      </c>
      <c r="E196"/>
    </row>
    <row r="197" spans="1:5">
      <c r="A197" t="s">
        <v>13069</v>
      </c>
      <c r="B197" s="18" t="s">
        <v>13817</v>
      </c>
      <c r="C197" s="61" t="str">
        <f t="shared" si="6"/>
        <v>C00440:1</v>
      </c>
      <c r="D197" s="60" t="str">
        <f t="shared" si="7"/>
        <v>C00440 : 5-Methyltetrahydrofolate</v>
      </c>
      <c r="E197"/>
    </row>
    <row r="198" spans="1:5">
      <c r="A198" t="s">
        <v>13070</v>
      </c>
      <c r="B198" s="18" t="s">
        <v>13737</v>
      </c>
      <c r="C198" s="61" t="str">
        <f t="shared" si="6"/>
        <v>C00441:1</v>
      </c>
      <c r="D198" s="60" t="str">
        <f t="shared" si="7"/>
        <v>C00441 : L-Aspartate 4-semialdehyde</v>
      </c>
      <c r="E198"/>
    </row>
    <row r="199" spans="1:5">
      <c r="A199" s="47" t="s">
        <v>13426</v>
      </c>
      <c r="B199" s="18" t="s">
        <v>13738</v>
      </c>
      <c r="C199" s="61" t="str">
        <f t="shared" si="6"/>
        <v>C00445:1</v>
      </c>
      <c r="D199" s="60" t="str">
        <f t="shared" si="7"/>
        <v>C00445 : 5,10-Methenyltetrahydrofolate</v>
      </c>
      <c r="E199"/>
    </row>
    <row r="200" spans="1:5">
      <c r="A200" s="1" t="s">
        <v>13473</v>
      </c>
      <c r="B200" s="18" t="s">
        <v>13739</v>
      </c>
      <c r="C200" s="61" t="str">
        <f t="shared" si="6"/>
        <v>C00446:1</v>
      </c>
      <c r="D200" s="60" t="str">
        <f t="shared" si="7"/>
        <v xml:space="preserve">C00446 : alpha-D-Galactose 1-phosphate </v>
      </c>
      <c r="E200"/>
    </row>
    <row r="201" spans="1:5">
      <c r="A201" t="s">
        <v>10483</v>
      </c>
      <c r="B201" s="18" t="s">
        <v>13740</v>
      </c>
      <c r="C201" s="61" t="str">
        <f t="shared" si="6"/>
        <v>C00447:1</v>
      </c>
      <c r="D201" s="60" t="str">
        <f t="shared" si="7"/>
        <v>C00447 : Sedoheptulose 1,7-bisphosphate</v>
      </c>
      <c r="E201"/>
    </row>
    <row r="202" spans="1:5">
      <c r="A202" t="s">
        <v>13231</v>
      </c>
      <c r="B202" s="18" t="s">
        <v>13741</v>
      </c>
      <c r="C202" s="61" t="str">
        <f t="shared" si="6"/>
        <v>C00454:1</v>
      </c>
      <c r="D202" s="60" t="str">
        <f t="shared" si="7"/>
        <v>C00454 : NDP</v>
      </c>
      <c r="E202"/>
    </row>
    <row r="203" spans="1:5">
      <c r="A203" t="s">
        <v>13233</v>
      </c>
      <c r="B203" s="18" t="s">
        <v>13742</v>
      </c>
      <c r="C203" s="61" t="str">
        <f t="shared" ref="C203:C266" si="8">CONCATENATE(A203,":","1")</f>
        <v>C00455:1</v>
      </c>
      <c r="D203" s="60" t="str">
        <f t="shared" si="7"/>
        <v>C00455 : Nicotinamide-D-ribonucleotide</v>
      </c>
      <c r="E203"/>
    </row>
    <row r="204" spans="1:5">
      <c r="A204" t="s">
        <v>13071</v>
      </c>
      <c r="B204" s="18" t="s">
        <v>13743</v>
      </c>
      <c r="C204" s="61" t="str">
        <f t="shared" si="8"/>
        <v>C00458:1</v>
      </c>
      <c r="D204" s="60" t="str">
        <f t="shared" si="7"/>
        <v>C00458 : dCTP</v>
      </c>
      <c r="E204"/>
    </row>
    <row r="205" spans="1:5">
      <c r="A205" t="s">
        <v>13072</v>
      </c>
      <c r="B205" s="18" t="s">
        <v>13744</v>
      </c>
      <c r="C205" s="61" t="str">
        <f t="shared" si="8"/>
        <v>C00459:1</v>
      </c>
      <c r="D205" s="60" t="str">
        <f t="shared" si="7"/>
        <v>C00459 : dTTP</v>
      </c>
      <c r="E205"/>
    </row>
    <row r="206" spans="1:5">
      <c r="A206" t="s">
        <v>13073</v>
      </c>
      <c r="B206" s="18" t="s">
        <v>13745</v>
      </c>
      <c r="C206" s="61" t="str">
        <f t="shared" si="8"/>
        <v>C00460:1</v>
      </c>
      <c r="D206" s="60" t="str">
        <f t="shared" si="7"/>
        <v>C00460 : dUTP</v>
      </c>
      <c r="E206"/>
    </row>
    <row r="207" spans="1:5">
      <c r="A207" t="s">
        <v>13235</v>
      </c>
      <c r="B207" s="18" t="s">
        <v>13818</v>
      </c>
      <c r="C207" s="61" t="str">
        <f t="shared" si="8"/>
        <v>C00463:1</v>
      </c>
      <c r="D207" s="60" t="str">
        <f t="shared" si="7"/>
        <v>C00463 : Indole</v>
      </c>
      <c r="E207"/>
    </row>
    <row r="208" spans="1:5">
      <c r="A208" s="47" t="s">
        <v>13499</v>
      </c>
      <c r="B208" s="18" t="s">
        <v>13819</v>
      </c>
      <c r="C208" s="61" t="str">
        <f t="shared" si="8"/>
        <v>C00468:1</v>
      </c>
      <c r="D208" s="60" t="str">
        <f t="shared" si="7"/>
        <v>C00468 : Estrone</v>
      </c>
      <c r="E208"/>
    </row>
    <row r="209" spans="1:5">
      <c r="A209" t="s">
        <v>13074</v>
      </c>
      <c r="B209" s="18" t="s">
        <v>13746</v>
      </c>
      <c r="C209" s="61" t="str">
        <f t="shared" si="8"/>
        <v>C00475:1</v>
      </c>
      <c r="D209" s="60" t="str">
        <f t="shared" si="7"/>
        <v>C00475 : Cytidine</v>
      </c>
      <c r="E209"/>
    </row>
    <row r="210" spans="1:5">
      <c r="A210" t="s">
        <v>13239</v>
      </c>
      <c r="B210" s="18" t="s">
        <v>13820</v>
      </c>
      <c r="C210" s="61" t="str">
        <f t="shared" si="8"/>
        <v>C00493:1</v>
      </c>
      <c r="D210" s="60" t="str">
        <f t="shared" si="7"/>
        <v>C00493 : Shikimate</v>
      </c>
      <c r="E210"/>
    </row>
    <row r="211" spans="1:5">
      <c r="A211" t="s">
        <v>13075</v>
      </c>
      <c r="B211" s="18" t="s">
        <v>13747</v>
      </c>
      <c r="C211" s="61" t="str">
        <f t="shared" si="8"/>
        <v>C00506:1</v>
      </c>
      <c r="D211" s="60" t="str">
        <f t="shared" si="7"/>
        <v>C00506 : L-Cysteate</v>
      </c>
      <c r="E211"/>
    </row>
    <row r="212" spans="1:5">
      <c r="A212" t="s">
        <v>13076</v>
      </c>
      <c r="B212" s="18" t="s">
        <v>13821</v>
      </c>
      <c r="C212" s="61" t="str">
        <f t="shared" si="8"/>
        <v>C00507:1</v>
      </c>
      <c r="D212" s="60" t="str">
        <f t="shared" si="7"/>
        <v>C00507 : L-Rhamnose</v>
      </c>
      <c r="E212"/>
    </row>
    <row r="213" spans="1:5">
      <c r="A213" s="47" t="s">
        <v>13547</v>
      </c>
      <c r="B213" s="18" t="s">
        <v>13822</v>
      </c>
      <c r="C213" s="61" t="str">
        <f t="shared" si="8"/>
        <v>C00509:1</v>
      </c>
      <c r="D213" s="60" t="str">
        <f t="shared" si="7"/>
        <v>C00509 : Naringenin</v>
      </c>
      <c r="E213"/>
    </row>
    <row r="214" spans="1:5">
      <c r="A214" s="1" t="s">
        <v>13078</v>
      </c>
      <c r="B214" s="18" t="s">
        <v>13823</v>
      </c>
      <c r="C214" s="61" t="str">
        <f t="shared" si="8"/>
        <v>C00514:1</v>
      </c>
      <c r="D214" s="60" t="str">
        <f t="shared" si="7"/>
        <v>C00514 : D-Mannonate</v>
      </c>
      <c r="E214"/>
    </row>
    <row r="215" spans="1:5">
      <c r="A215" s="47" t="s">
        <v>13550</v>
      </c>
      <c r="B215" s="18" t="s">
        <v>13748</v>
      </c>
      <c r="C215" s="61" t="str">
        <f t="shared" si="8"/>
        <v>C00526:1</v>
      </c>
      <c r="D215" s="60" t="str">
        <f t="shared" si="7"/>
        <v>C00526 : Deoxyuridine</v>
      </c>
      <c r="E215"/>
    </row>
    <row r="216" spans="1:5">
      <c r="A216" t="s">
        <v>13241</v>
      </c>
      <c r="B216" s="18" t="s">
        <v>13749</v>
      </c>
      <c r="C216" s="61" t="str">
        <f t="shared" si="8"/>
        <v>C00534:1</v>
      </c>
      <c r="D216" s="60" t="str">
        <f t="shared" si="7"/>
        <v>C00534 : Pyridoxamine</v>
      </c>
      <c r="E216"/>
    </row>
    <row r="217" spans="1:5">
      <c r="A217" s="47" t="s">
        <v>13447</v>
      </c>
      <c r="B217" s="18" t="s">
        <v>13824</v>
      </c>
      <c r="C217" s="61" t="str">
        <f t="shared" si="8"/>
        <v>C00536:1</v>
      </c>
      <c r="D217" s="60" t="str">
        <f t="shared" si="7"/>
        <v>C00536 : Triphosphate</v>
      </c>
      <c r="E217"/>
    </row>
    <row r="218" spans="1:5">
      <c r="A218" t="s">
        <v>13243</v>
      </c>
      <c r="B218" s="18" t="s">
        <v>13825</v>
      </c>
      <c r="C218" s="61" t="str">
        <f t="shared" si="8"/>
        <v>C00541:1</v>
      </c>
      <c r="D218" s="60" t="str">
        <f t="shared" si="7"/>
        <v>C00541 : Cob(II)alamin</v>
      </c>
      <c r="E218"/>
    </row>
    <row r="219" spans="1:5">
      <c r="A219" s="47" t="s">
        <v>13568</v>
      </c>
      <c r="B219" s="18" t="s">
        <v>13826</v>
      </c>
      <c r="C219" s="61" t="str">
        <f t="shared" si="8"/>
        <v>C00546:1</v>
      </c>
      <c r="D219" s="60" t="str">
        <f t="shared" si="7"/>
        <v>C00546 : Methylglyoxal</v>
      </c>
      <c r="E219"/>
    </row>
    <row r="220" spans="1:5">
      <c r="A220" s="1" t="s">
        <v>9910</v>
      </c>
      <c r="B220" s="18" t="s">
        <v>13827</v>
      </c>
      <c r="C220" s="61" t="str">
        <f t="shared" si="8"/>
        <v>C00558:1</v>
      </c>
      <c r="D220" s="60" t="str">
        <f t="shared" si="7"/>
        <v>C00558 : D-Tagaturonate</v>
      </c>
      <c r="E220"/>
    </row>
    <row r="221" spans="1:5">
      <c r="A221" s="47" t="s">
        <v>13537</v>
      </c>
      <c r="B221" s="18" t="s">
        <v>13828</v>
      </c>
      <c r="C221" s="61" t="str">
        <f t="shared" si="8"/>
        <v>C00561:1</v>
      </c>
      <c r="D221" s="60" t="str">
        <f t="shared" si="7"/>
        <v>C00561 : Mandelonitrile</v>
      </c>
      <c r="E221"/>
    </row>
    <row r="222" spans="1:5">
      <c r="A222" t="s">
        <v>13245</v>
      </c>
      <c r="B222" s="18" t="s">
        <v>13829</v>
      </c>
      <c r="C222" s="61" t="str">
        <f t="shared" si="8"/>
        <v>C00568:1</v>
      </c>
      <c r="D222" s="60" t="str">
        <f t="shared" si="7"/>
        <v>C00568 : 4-Aminobenzoate</v>
      </c>
      <c r="E222"/>
    </row>
    <row r="223" spans="1:5">
      <c r="A223" t="s">
        <v>13513</v>
      </c>
      <c r="B223" s="18" t="s">
        <v>13830</v>
      </c>
      <c r="C223" s="61" t="str">
        <f t="shared" si="8"/>
        <v>C00577:1</v>
      </c>
      <c r="D223" s="60" t="str">
        <f t="shared" si="7"/>
        <v>C00577 : D-Glyceraldehyde</v>
      </c>
      <c r="E223"/>
    </row>
    <row r="224" spans="1:5">
      <c r="A224" t="s">
        <v>13079</v>
      </c>
      <c r="B224" s="18" t="s">
        <v>13831</v>
      </c>
      <c r="C224" s="61" t="str">
        <f t="shared" si="8"/>
        <v>C00579:1</v>
      </c>
      <c r="D224" s="60" t="str">
        <f t="shared" si="7"/>
        <v>C00579 : Dihydrolipoamide</v>
      </c>
      <c r="E224"/>
    </row>
    <row r="225" spans="1:5">
      <c r="A225" t="s">
        <v>13248</v>
      </c>
      <c r="B225" s="18" t="s">
        <v>13750</v>
      </c>
      <c r="C225" s="61" t="str">
        <f t="shared" si="8"/>
        <v>C00585:1</v>
      </c>
      <c r="D225" s="60" t="str">
        <f t="shared" si="7"/>
        <v>C00585 : Protein tyrosine</v>
      </c>
      <c r="E225"/>
    </row>
    <row r="226" spans="1:5">
      <c r="A226" t="s">
        <v>13080</v>
      </c>
      <c r="B226" s="18" t="s">
        <v>13751</v>
      </c>
      <c r="C226" s="61" t="str">
        <f t="shared" si="8"/>
        <v>C00606:1</v>
      </c>
      <c r="D226" s="60" t="str">
        <f t="shared" si="7"/>
        <v>C00606 : 3-Sulfino-L-alanine</v>
      </c>
      <c r="E226"/>
    </row>
    <row r="227" spans="1:5">
      <c r="A227" t="s">
        <v>13251</v>
      </c>
      <c r="B227" s="18" t="s">
        <v>13752</v>
      </c>
      <c r="C227" s="61" t="str">
        <f t="shared" si="8"/>
        <v>C00615:1</v>
      </c>
      <c r="D227" s="60" t="str">
        <f t="shared" si="7"/>
        <v>C00615 : Protein histidine</v>
      </c>
      <c r="E227"/>
    </row>
    <row r="228" spans="1:5">
      <c r="A228" t="s">
        <v>13254</v>
      </c>
      <c r="B228" s="31" t="s">
        <v>13832</v>
      </c>
      <c r="C228" s="61" t="str">
        <f t="shared" si="8"/>
        <v>C00624:1</v>
      </c>
      <c r="D228" s="60" t="str">
        <f t="shared" si="7"/>
        <v>C00624 : N-Acetyl-L-glutamate</v>
      </c>
      <c r="E228"/>
    </row>
    <row r="229" spans="1:5">
      <c r="A229" s="47" t="s">
        <v>13469</v>
      </c>
      <c r="B229" s="18" t="s">
        <v>13833</v>
      </c>
      <c r="C229" s="61" t="str">
        <f t="shared" si="8"/>
        <v>C00627:1</v>
      </c>
      <c r="D229" s="60" t="str">
        <f t="shared" si="7"/>
        <v>C00627 : Pyridoxine phosphate</v>
      </c>
      <c r="E229"/>
    </row>
    <row r="230" spans="1:5">
      <c r="A230" t="s">
        <v>9355</v>
      </c>
      <c r="B230" s="18" t="s">
        <v>13753</v>
      </c>
      <c r="C230" s="61" t="str">
        <f t="shared" si="8"/>
        <v>C00631:1</v>
      </c>
      <c r="D230" s="60" t="str">
        <f t="shared" si="7"/>
        <v>C00631 : 2-Phospho-D-glycerate</v>
      </c>
      <c r="E230"/>
    </row>
    <row r="231" spans="1:5">
      <c r="A231" t="s">
        <v>13081</v>
      </c>
      <c r="B231" s="18" t="s">
        <v>13754</v>
      </c>
      <c r="C231" s="61" t="str">
        <f t="shared" si="8"/>
        <v>C00645:1</v>
      </c>
      <c r="D231" s="60" t="str">
        <f t="shared" si="7"/>
        <v>C00645 : N-Acetyl-D-mannosamine</v>
      </c>
      <c r="E231"/>
    </row>
    <row r="232" spans="1:5">
      <c r="A232" s="47" t="s">
        <v>13471</v>
      </c>
      <c r="B232" s="18" t="s">
        <v>13755</v>
      </c>
      <c r="C232" s="61" t="str">
        <f t="shared" si="8"/>
        <v>C00647:1</v>
      </c>
      <c r="D232" s="60" t="str">
        <f t="shared" si="7"/>
        <v>C00647 : Pyridoxamine phosphate</v>
      </c>
      <c r="E232"/>
    </row>
    <row r="233" spans="1:5">
      <c r="A233" t="s">
        <v>13082</v>
      </c>
      <c r="B233" s="18" t="s">
        <v>13756</v>
      </c>
      <c r="C233" s="61" t="str">
        <f t="shared" si="8"/>
        <v>C00655:1</v>
      </c>
      <c r="D233" s="60" t="str">
        <f t="shared" si="7"/>
        <v>C00655 : Xanthosine 5'-phosphate</v>
      </c>
      <c r="E233"/>
    </row>
    <row r="234" spans="1:5">
      <c r="A234" t="s">
        <v>13083</v>
      </c>
      <c r="B234" s="18" t="s">
        <v>13834</v>
      </c>
      <c r="C234" s="61" t="str">
        <f t="shared" si="8"/>
        <v>C00664:1</v>
      </c>
      <c r="D234" s="60" t="str">
        <f t="shared" si="7"/>
        <v>C00664 : 5-Formiminotetrahydrofolate</v>
      </c>
      <c r="E234"/>
    </row>
    <row r="235" spans="1:5">
      <c r="A235" t="s">
        <v>10252</v>
      </c>
      <c r="B235" s="18" t="s">
        <v>13757</v>
      </c>
      <c r="C235" s="61" t="str">
        <f t="shared" si="8"/>
        <v>C00666:1</v>
      </c>
      <c r="D235" s="60" t="str">
        <f t="shared" si="7"/>
        <v>C00666 : LL-2,6-Diaminoheptanedioate</v>
      </c>
      <c r="E235"/>
    </row>
    <row r="236" spans="1:5">
      <c r="A236" t="s">
        <v>13084</v>
      </c>
      <c r="B236" s="18" t="s">
        <v>13758</v>
      </c>
      <c r="C236" s="61" t="str">
        <f t="shared" si="8"/>
        <v>C00668:1</v>
      </c>
      <c r="D236" s="60" t="str">
        <f t="shared" si="7"/>
        <v xml:space="preserve">C00668 : alpha-D-Glucose 6-phosphate </v>
      </c>
      <c r="E236"/>
    </row>
    <row r="237" spans="1:5">
      <c r="A237" s="47" t="s">
        <v>13514</v>
      </c>
      <c r="B237" s="18" t="s">
        <v>13759</v>
      </c>
      <c r="C237" s="61" t="str">
        <f t="shared" si="8"/>
        <v>C00671:1</v>
      </c>
      <c r="D237" s="60" t="str">
        <f t="shared" si="7"/>
        <v>C00671 : (S)-3-Methyl-2-oxopentanoic acid</v>
      </c>
      <c r="E237"/>
    </row>
    <row r="238" spans="1:5">
      <c r="A238" t="s">
        <v>9807</v>
      </c>
      <c r="B238" s="18" t="s">
        <v>13760</v>
      </c>
      <c r="C238" s="61" t="str">
        <f t="shared" si="8"/>
        <v>C00673:1</v>
      </c>
      <c r="D238" s="60" t="str">
        <f t="shared" si="7"/>
        <v>C00673 : 2-Deoxy-D-ribose 5-phosphate</v>
      </c>
      <c r="E238"/>
    </row>
    <row r="239" spans="1:5">
      <c r="A239" t="s">
        <v>13085</v>
      </c>
      <c r="B239" s="18" t="s">
        <v>13761</v>
      </c>
      <c r="C239" s="61" t="str">
        <f t="shared" si="8"/>
        <v>C00677:1</v>
      </c>
      <c r="D239" s="60" t="str">
        <f t="shared" si="7"/>
        <v>C00677 : Deoxynucleoside triphosphate</v>
      </c>
      <c r="E239"/>
    </row>
    <row r="240" spans="1:5">
      <c r="A240" t="s">
        <v>13086</v>
      </c>
      <c r="B240" s="18" t="s">
        <v>13762</v>
      </c>
      <c r="C240" s="61" t="str">
        <f t="shared" si="8"/>
        <v>C00680:1</v>
      </c>
      <c r="D240" s="60" t="str">
        <f t="shared" si="7"/>
        <v>C00680 : meso-2,6-Diaminoheptanedioate</v>
      </c>
      <c r="E240"/>
    </row>
    <row r="241" spans="1:5">
      <c r="A241" s="47" t="s">
        <v>13574</v>
      </c>
      <c r="B241" s="18" t="s">
        <v>13834</v>
      </c>
      <c r="C241" s="61" t="str">
        <f t="shared" si="8"/>
        <v>C00683:1</v>
      </c>
      <c r="D241" s="60" t="str">
        <f t="shared" si="7"/>
        <v>C00683 : 5-Formiminotetrahydrofolate</v>
      </c>
      <c r="E241"/>
    </row>
    <row r="242" spans="1:5">
      <c r="A242" s="48" t="s">
        <v>13350</v>
      </c>
      <c r="B242" s="51" t="s">
        <v>13835</v>
      </c>
      <c r="C242" s="61" t="str">
        <f t="shared" si="8"/>
        <v>C00685:1</v>
      </c>
      <c r="D242" s="60" t="str">
        <f t="shared" si="7"/>
        <v>C00685 : 3-Oxoacyl-[acyl-carrier protein]</v>
      </c>
      <c r="E242"/>
    </row>
    <row r="243" spans="1:5">
      <c r="A243" s="47" t="s">
        <v>13369</v>
      </c>
      <c r="B243" s="18" t="s">
        <v>13836</v>
      </c>
      <c r="C243" s="61" t="str">
        <f t="shared" si="8"/>
        <v>C00688:1</v>
      </c>
      <c r="D243" s="60" t="str">
        <f t="shared" si="7"/>
        <v>C00688 : dTDP-4-dehydro-beta-L-rhamnose</v>
      </c>
      <c r="E243"/>
    </row>
    <row r="244" spans="1:5">
      <c r="A244" t="s">
        <v>13424</v>
      </c>
      <c r="B244" s="18" t="s">
        <v>13763</v>
      </c>
      <c r="C244" s="61" t="str">
        <f t="shared" si="8"/>
        <v>C00692:1</v>
      </c>
      <c r="D244" s="60" t="str">
        <f t="shared" si="7"/>
        <v>C00692 : UDP-N-acetylmuramoyl-L-alanyl-D-glutamate</v>
      </c>
      <c r="E244"/>
    </row>
    <row r="245" spans="1:5">
      <c r="A245" t="s">
        <v>13088</v>
      </c>
      <c r="B245" s="18" t="s">
        <v>13764</v>
      </c>
      <c r="C245" s="61" t="str">
        <f t="shared" si="8"/>
        <v>C00705:1</v>
      </c>
      <c r="D245" s="60" t="str">
        <f t="shared" si="7"/>
        <v>C00705 : dCDP</v>
      </c>
      <c r="E245"/>
    </row>
    <row r="246" spans="1:5">
      <c r="A246" s="47" t="s">
        <v>13536</v>
      </c>
      <c r="B246" s="31" t="s">
        <v>13536</v>
      </c>
      <c r="C246" s="61" t="str">
        <f t="shared" si="8"/>
        <v>C00721:1</v>
      </c>
      <c r="D246" s="60" t="str">
        <f t="shared" si="7"/>
        <v>C00721 : C00721</v>
      </c>
      <c r="E246"/>
    </row>
    <row r="247" spans="1:5">
      <c r="A247" s="47" t="s">
        <v>13532</v>
      </c>
      <c r="B247" s="18" t="s">
        <v>13837</v>
      </c>
      <c r="C247" s="61" t="str">
        <f t="shared" si="8"/>
        <v>C00740:1</v>
      </c>
      <c r="D247" s="60" t="str">
        <f t="shared" si="7"/>
        <v>C00740 : D-Serine</v>
      </c>
      <c r="E247"/>
    </row>
    <row r="248" spans="1:5">
      <c r="A248" s="47" t="s">
        <v>13565</v>
      </c>
      <c r="B248" s="18" t="s">
        <v>13838</v>
      </c>
      <c r="C248" s="61" t="str">
        <f t="shared" si="8"/>
        <v>C00785:1</v>
      </c>
      <c r="D248" s="60" t="str">
        <f t="shared" si="7"/>
        <v>C00785 : Urocanate</v>
      </c>
      <c r="E248"/>
    </row>
    <row r="249" spans="1:5">
      <c r="A249" t="s">
        <v>13006</v>
      </c>
      <c r="B249" s="18" t="s">
        <v>13765</v>
      </c>
      <c r="C249" s="61" t="str">
        <f t="shared" si="8"/>
        <v>C00787:1</v>
      </c>
      <c r="D249" s="60" t="str">
        <f t="shared" si="7"/>
        <v>C00787 : tRNA(Tyr)</v>
      </c>
      <c r="E249"/>
    </row>
    <row r="250" spans="1:5">
      <c r="A250" t="s">
        <v>13257</v>
      </c>
      <c r="B250" s="18" t="s">
        <v>13839</v>
      </c>
      <c r="C250" s="61" t="str">
        <f t="shared" si="8"/>
        <v>C00821:1</v>
      </c>
      <c r="D250" s="60" t="str">
        <f t="shared" si="7"/>
        <v>C00821 : DNA adenine</v>
      </c>
      <c r="E250"/>
    </row>
    <row r="251" spans="1:5">
      <c r="A251" t="s">
        <v>13259</v>
      </c>
      <c r="B251" s="18" t="s">
        <v>13766</v>
      </c>
      <c r="C251" s="61" t="str">
        <f t="shared" si="8"/>
        <v>C00831:1</v>
      </c>
      <c r="D251" s="60" t="str">
        <f t="shared" si="7"/>
        <v xml:space="preserve">C00831 : Pantethiene </v>
      </c>
      <c r="E251"/>
    </row>
    <row r="252" spans="1:5">
      <c r="A252" t="s">
        <v>13089</v>
      </c>
      <c r="B252" s="18" t="s">
        <v>13767</v>
      </c>
      <c r="C252" s="61" t="str">
        <f t="shared" si="8"/>
        <v>C00842:1</v>
      </c>
      <c r="D252" s="60" t="str">
        <f t="shared" si="7"/>
        <v>C00842 : dTDP-glucose</v>
      </c>
      <c r="E252"/>
    </row>
    <row r="253" spans="1:5">
      <c r="A253" t="s">
        <v>13090</v>
      </c>
      <c r="B253" s="18" t="s">
        <v>13840</v>
      </c>
      <c r="C253" s="61" t="str">
        <f t="shared" si="8"/>
        <v>C00844:1</v>
      </c>
      <c r="D253" s="60" t="str">
        <f t="shared" si="7"/>
        <v>C00844 : Prunasin</v>
      </c>
      <c r="E253"/>
    </row>
    <row r="254" spans="1:5">
      <c r="A254" t="s">
        <v>13091</v>
      </c>
      <c r="B254" s="18" t="s">
        <v>13841</v>
      </c>
      <c r="C254" s="61" t="str">
        <f t="shared" si="8"/>
        <v>C00850:1</v>
      </c>
      <c r="D254" s="60" t="str">
        <f t="shared" si="7"/>
        <v>C00850 : Aryl sulfate</v>
      </c>
      <c r="E254"/>
    </row>
    <row r="255" spans="1:5">
      <c r="A255" t="s">
        <v>13261</v>
      </c>
      <c r="B255" s="18" t="s">
        <v>13842</v>
      </c>
      <c r="C255" s="61" t="str">
        <f t="shared" si="8"/>
        <v>C00853:1</v>
      </c>
      <c r="D255" s="60" t="str">
        <f t="shared" si="7"/>
        <v>C00853 : Cob(I)alamin</v>
      </c>
      <c r="E255"/>
    </row>
    <row r="256" spans="1:5">
      <c r="A256" t="s">
        <v>13263</v>
      </c>
      <c r="B256" s="18" t="s">
        <v>13843</v>
      </c>
      <c r="C256" s="61" t="str">
        <f t="shared" si="8"/>
        <v>C00856:1</v>
      </c>
      <c r="D256" s="60" t="str">
        <f t="shared" si="7"/>
        <v>C00856 : DNA cytosine</v>
      </c>
      <c r="E256"/>
    </row>
    <row r="257" spans="1:5">
      <c r="A257" t="s">
        <v>13092</v>
      </c>
      <c r="B257" s="18" t="s">
        <v>13768</v>
      </c>
      <c r="C257" s="61" t="str">
        <f t="shared" si="8"/>
        <v>C00857:1</v>
      </c>
      <c r="D257" s="60" t="str">
        <f t="shared" si="7"/>
        <v>C00857 : Deamino-NAD+</v>
      </c>
      <c r="E257"/>
    </row>
    <row r="258" spans="1:5">
      <c r="A258" t="s">
        <v>13093</v>
      </c>
      <c r="B258" s="18" t="s">
        <v>13844</v>
      </c>
      <c r="C258" s="61" t="str">
        <f t="shared" si="8"/>
        <v>C00860:1</v>
      </c>
      <c r="D258" s="60" t="str">
        <f t="shared" ref="D258:D321" si="9">CONCATENATE(A258," : ",B258)</f>
        <v>C00860 : L-Histidinol</v>
      </c>
      <c r="E258"/>
    </row>
    <row r="259" spans="1:5">
      <c r="A259" s="47" t="s">
        <v>13576</v>
      </c>
      <c r="B259" s="18" t="s">
        <v>13845</v>
      </c>
      <c r="C259" s="61" t="str">
        <f t="shared" si="8"/>
        <v>C00861:1</v>
      </c>
      <c r="D259" s="60" t="str">
        <f t="shared" si="9"/>
        <v>C00861 : L-Rhamnulose</v>
      </c>
      <c r="E259"/>
    </row>
    <row r="260" spans="1:5">
      <c r="A260" t="s">
        <v>13267</v>
      </c>
      <c r="B260" s="18" t="s">
        <v>13769</v>
      </c>
      <c r="C260" s="61" t="str">
        <f t="shared" si="8"/>
        <v>C00864:1</v>
      </c>
      <c r="D260" s="60" t="str">
        <f t="shared" si="9"/>
        <v>C00864 : Pantothenate</v>
      </c>
      <c r="E260"/>
    </row>
    <row r="261" spans="1:5">
      <c r="A261" s="1" t="s">
        <v>9435</v>
      </c>
      <c r="B261" s="18" t="s">
        <v>13770</v>
      </c>
      <c r="C261" s="61" t="str">
        <f t="shared" si="8"/>
        <v>C00868:1</v>
      </c>
      <c r="D261" s="60" t="str">
        <f t="shared" si="9"/>
        <v>C00868 : tRNA uridine</v>
      </c>
      <c r="E261"/>
    </row>
    <row r="262" spans="1:5">
      <c r="A262" t="s">
        <v>13094</v>
      </c>
      <c r="B262" s="18" t="s">
        <v>13771</v>
      </c>
      <c r="C262" s="61" t="str">
        <f t="shared" si="8"/>
        <v>C00881:1</v>
      </c>
      <c r="D262" s="60" t="str">
        <f t="shared" si="9"/>
        <v>C00881 : Deoxycytidine</v>
      </c>
      <c r="E262"/>
    </row>
    <row r="263" spans="1:5">
      <c r="A263" t="s">
        <v>13095</v>
      </c>
      <c r="B263" s="18" t="s">
        <v>13772</v>
      </c>
      <c r="C263" s="61" t="str">
        <f t="shared" si="8"/>
        <v>C00882:1</v>
      </c>
      <c r="D263" s="60" t="str">
        <f t="shared" si="9"/>
        <v>C00882 : Dephospho-CoA</v>
      </c>
      <c r="E263"/>
    </row>
    <row r="264" spans="1:5">
      <c r="A264" t="s">
        <v>10544</v>
      </c>
      <c r="B264" s="18" t="s">
        <v>13846</v>
      </c>
      <c r="C264" s="61" t="str">
        <f t="shared" si="8"/>
        <v>C00885:1</v>
      </c>
      <c r="D264" s="60" t="str">
        <f t="shared" si="9"/>
        <v>C00885 : Isochorismate</v>
      </c>
      <c r="E264"/>
    </row>
    <row r="265" spans="1:5">
      <c r="A265" t="s">
        <v>13413</v>
      </c>
      <c r="B265" s="18" t="s">
        <v>13773</v>
      </c>
      <c r="C265" s="61" t="str">
        <f t="shared" si="8"/>
        <v>C00886:1</v>
      </c>
      <c r="D265" s="60" t="str">
        <f t="shared" si="9"/>
        <v>C00886 : L-Alanyl-tRNA</v>
      </c>
      <c r="E265"/>
    </row>
    <row r="266" spans="1:5">
      <c r="A266" t="s">
        <v>13096</v>
      </c>
      <c r="B266" s="18" t="s">
        <v>13847</v>
      </c>
      <c r="C266" s="61" t="str">
        <f t="shared" si="8"/>
        <v>C00900:1</v>
      </c>
      <c r="D266" s="60" t="str">
        <f t="shared" si="9"/>
        <v>C00900 : 2-Acetolactate</v>
      </c>
      <c r="E266"/>
    </row>
    <row r="267" spans="1:5">
      <c r="A267" s="1" t="s">
        <v>9908</v>
      </c>
      <c r="B267" s="18" t="s">
        <v>13848</v>
      </c>
      <c r="C267" s="61" t="str">
        <f t="shared" ref="C267:C307" si="10">CONCATENATE(A267,":","1")</f>
        <v>C00905:1</v>
      </c>
      <c r="D267" s="60" t="str">
        <f t="shared" si="9"/>
        <v>C00905 : D-Fructuronate</v>
      </c>
      <c r="E267"/>
    </row>
    <row r="268" spans="1:5">
      <c r="A268" t="s">
        <v>13098</v>
      </c>
      <c r="B268" s="18" t="s">
        <v>13849</v>
      </c>
      <c r="C268" s="61" t="str">
        <f t="shared" si="10"/>
        <v>C00906:1</v>
      </c>
      <c r="D268" s="60" t="str">
        <f t="shared" si="9"/>
        <v>C00906 : 5,6-Dihydrothymine</v>
      </c>
      <c r="E268"/>
    </row>
    <row r="269" spans="1:5">
      <c r="A269" s="47" t="s">
        <v>13444</v>
      </c>
      <c r="B269" s="18" t="s">
        <v>13850</v>
      </c>
      <c r="C269" s="61" t="str">
        <f t="shared" si="10"/>
        <v>C00921:1</v>
      </c>
      <c r="D269" s="60" t="str">
        <f t="shared" si="9"/>
        <v>C00921 : Dihydropteroate</v>
      </c>
      <c r="E269"/>
    </row>
    <row r="270" spans="1:5">
      <c r="A270" s="1" t="s">
        <v>13100</v>
      </c>
      <c r="B270" s="52" t="s">
        <v>13851</v>
      </c>
      <c r="C270" s="61" t="str">
        <f t="shared" si="10"/>
        <v>C00935:1</v>
      </c>
      <c r="D270" s="60" t="str">
        <f t="shared" si="9"/>
        <v>C00935 : UDP-L-arabinose</v>
      </c>
      <c r="E270"/>
    </row>
    <row r="271" spans="1:5">
      <c r="A271" t="s">
        <v>13101</v>
      </c>
      <c r="B271" s="18" t="s">
        <v>13852</v>
      </c>
      <c r="C271" s="61" t="str">
        <f t="shared" si="10"/>
        <v>C00944:1</v>
      </c>
      <c r="D271" s="60" t="str">
        <f t="shared" si="9"/>
        <v>C00944 : 3-Dehydroquinate</v>
      </c>
      <c r="E271"/>
    </row>
    <row r="272" spans="1:5">
      <c r="A272" s="47" t="s">
        <v>13507</v>
      </c>
      <c r="B272" s="18" t="s">
        <v>13774</v>
      </c>
      <c r="C272" s="61" t="str">
        <f t="shared" si="10"/>
        <v>C00957:1</v>
      </c>
      <c r="D272" s="60" t="str">
        <f t="shared" si="9"/>
        <v>C00957 : Mercaptopyruvate</v>
      </c>
      <c r="E272"/>
    </row>
    <row r="273" spans="1:5">
      <c r="A273" t="s">
        <v>13102</v>
      </c>
      <c r="B273" s="18" t="s">
        <v>13853</v>
      </c>
      <c r="C273" s="61" t="str">
        <f t="shared" si="10"/>
        <v>C00963:1</v>
      </c>
      <c r="D273" s="60" t="str">
        <f t="shared" si="9"/>
        <v>C00963 : beta-D-Glucoside</v>
      </c>
      <c r="E273"/>
    </row>
    <row r="274" spans="1:5">
      <c r="A274" s="1" t="s">
        <v>9284</v>
      </c>
      <c r="B274" s="52" t="s">
        <v>13854</v>
      </c>
      <c r="C274" s="61" t="str">
        <f t="shared" si="10"/>
        <v>C00966:1</v>
      </c>
      <c r="D274" s="60" t="str">
        <f t="shared" si="9"/>
        <v>C00966 : 2-Dehydropantoate</v>
      </c>
      <c r="E274"/>
    </row>
    <row r="275" spans="1:5">
      <c r="A275" t="s">
        <v>13104</v>
      </c>
      <c r="B275" s="18" t="s">
        <v>13855</v>
      </c>
      <c r="C275" s="61" t="str">
        <f t="shared" si="10"/>
        <v>C00979:1</v>
      </c>
      <c r="D275" s="60" t="str">
        <f t="shared" si="9"/>
        <v>C00979 : O-Acetyl-L-serine</v>
      </c>
      <c r="E275"/>
    </row>
    <row r="276" spans="1:5">
      <c r="A276" t="s">
        <v>13269</v>
      </c>
      <c r="B276" s="18" t="s">
        <v>13856</v>
      </c>
      <c r="C276" s="61" t="str">
        <f t="shared" si="10"/>
        <v>C00984:1</v>
      </c>
      <c r="D276" s="60" t="str">
        <f t="shared" si="9"/>
        <v>C00984 : alpha-D-Galactose</v>
      </c>
      <c r="E276"/>
    </row>
    <row r="277" spans="1:5">
      <c r="A277" t="s">
        <v>13420</v>
      </c>
      <c r="B277" s="18" t="s">
        <v>13857</v>
      </c>
      <c r="C277" s="61" t="str">
        <f t="shared" si="10"/>
        <v>C00993:1</v>
      </c>
      <c r="D277" s="60" t="str">
        <f t="shared" si="9"/>
        <v>C00993 : D-Alanyl-D-alanine</v>
      </c>
      <c r="E277"/>
    </row>
    <row r="278" spans="1:5">
      <c r="A278" t="s">
        <v>13105</v>
      </c>
      <c r="B278" s="18" t="s">
        <v>13775</v>
      </c>
      <c r="C278" s="61" t="str">
        <f t="shared" si="10"/>
        <v>C01005:1</v>
      </c>
      <c r="D278" s="60" t="str">
        <f t="shared" si="9"/>
        <v>C01005 : O-Phospho-L-serine</v>
      </c>
      <c r="E278"/>
    </row>
    <row r="279" spans="1:5">
      <c r="A279" t="s">
        <v>13106</v>
      </c>
      <c r="B279" s="18" t="s">
        <v>13858</v>
      </c>
      <c r="C279" s="61" t="str">
        <f t="shared" si="10"/>
        <v>C01037:1</v>
      </c>
      <c r="D279" s="60" t="str">
        <f t="shared" si="9"/>
        <v>C01037 : 7,8-Diaminononanoate</v>
      </c>
      <c r="E279"/>
    </row>
    <row r="280" spans="1:5">
      <c r="A280" s="47" t="s">
        <v>13412</v>
      </c>
      <c r="B280" s="18" t="s">
        <v>13859</v>
      </c>
      <c r="C280" s="61" t="str">
        <f t="shared" si="10"/>
        <v>C01045:1</v>
      </c>
      <c r="D280" s="60" t="str">
        <f t="shared" si="9"/>
        <v>C01045 : N-Formyl-L-glutamate</v>
      </c>
      <c r="E280"/>
    </row>
    <row r="281" spans="1:5">
      <c r="A281" t="s">
        <v>13107</v>
      </c>
      <c r="B281" s="18" t="s">
        <v>13860</v>
      </c>
      <c r="C281" s="61" t="str">
        <f t="shared" si="10"/>
        <v>C01050:1</v>
      </c>
      <c r="D281" s="60" t="str">
        <f t="shared" si="9"/>
        <v>C01050 : UDP-N-acetylmuramate</v>
      </c>
      <c r="E281"/>
    </row>
    <row r="282" spans="1:5">
      <c r="A282" t="s">
        <v>13273</v>
      </c>
      <c r="B282" s="18" t="s">
        <v>13861</v>
      </c>
      <c r="C282" s="61" t="str">
        <f t="shared" si="10"/>
        <v>C01092:1</v>
      </c>
      <c r="D282" s="60" t="str">
        <f t="shared" si="9"/>
        <v>C01092 : 8-Amino-7-oxononanoate</v>
      </c>
      <c r="E282"/>
    </row>
    <row r="283" spans="1:5">
      <c r="A283" t="s">
        <v>10032</v>
      </c>
      <c r="B283" s="18" t="s">
        <v>13862</v>
      </c>
      <c r="C283" s="61" t="str">
        <f t="shared" si="10"/>
        <v>C01094:1</v>
      </c>
      <c r="D283" s="60" t="str">
        <f t="shared" si="9"/>
        <v>C01094 : D-Fructose 1-phosphate</v>
      </c>
      <c r="E283"/>
    </row>
    <row r="284" spans="1:5">
      <c r="A284" t="s">
        <v>13108</v>
      </c>
      <c r="B284" s="18" t="s">
        <v>13863</v>
      </c>
      <c r="C284" s="61" t="str">
        <f t="shared" si="10"/>
        <v>C01097:1</v>
      </c>
      <c r="D284" s="60" t="str">
        <f t="shared" si="9"/>
        <v>C01097 : D-Tagatose 6-phosphate</v>
      </c>
      <c r="E284"/>
    </row>
    <row r="285" spans="1:5">
      <c r="A285" t="s">
        <v>13109</v>
      </c>
      <c r="B285" s="18" t="s">
        <v>13864</v>
      </c>
      <c r="C285" s="61" t="str">
        <f t="shared" si="10"/>
        <v>C01100:1</v>
      </c>
      <c r="D285" s="60" t="str">
        <f t="shared" si="9"/>
        <v>C01100 : L-Histidinol phosphate</v>
      </c>
      <c r="E285"/>
    </row>
    <row r="286" spans="1:5">
      <c r="A286" t="s">
        <v>13110</v>
      </c>
      <c r="B286" s="18" t="s">
        <v>13865</v>
      </c>
      <c r="C286" s="61" t="str">
        <f t="shared" si="10"/>
        <v>C01102:1</v>
      </c>
      <c r="D286" s="60" t="str">
        <f t="shared" si="9"/>
        <v>C01102 : O-Phospho-L-homoserine</v>
      </c>
      <c r="E286"/>
    </row>
    <row r="287" spans="1:5">
      <c r="A287" t="s">
        <v>13111</v>
      </c>
      <c r="B287" s="18" t="s">
        <v>13866</v>
      </c>
      <c r="C287" s="61" t="str">
        <f t="shared" si="10"/>
        <v>C01103:1</v>
      </c>
      <c r="D287" s="60" t="str">
        <f t="shared" si="9"/>
        <v>C01103 : Orotidine 5'-phosphate</v>
      </c>
      <c r="E287"/>
    </row>
    <row r="288" spans="1:5">
      <c r="A288" s="47" t="s">
        <v>13436</v>
      </c>
      <c r="B288" s="18" t="s">
        <v>13867</v>
      </c>
      <c r="C288" s="61" t="str">
        <f t="shared" si="10"/>
        <v>C01118:1</v>
      </c>
      <c r="D288" s="60" t="str">
        <f t="shared" si="9"/>
        <v>C01118 : O-Succinyl-L-homoserine</v>
      </c>
      <c r="E288"/>
    </row>
    <row r="289" spans="1:5">
      <c r="A289" t="s">
        <v>13112</v>
      </c>
      <c r="B289" s="18" t="s">
        <v>13868</v>
      </c>
      <c r="C289" s="61" t="str">
        <f t="shared" si="10"/>
        <v>C01131:1</v>
      </c>
      <c r="D289" s="60" t="str">
        <f t="shared" si="9"/>
        <v>C01131 : L-Rhamnulose 1-phosphate</v>
      </c>
      <c r="E289"/>
    </row>
    <row r="290" spans="1:5">
      <c r="A290" t="s">
        <v>13280</v>
      </c>
      <c r="B290" s="18" t="s">
        <v>13869</v>
      </c>
      <c r="C290" s="61" t="str">
        <f t="shared" si="10"/>
        <v>C01134:1</v>
      </c>
      <c r="D290" s="60" t="str">
        <f t="shared" si="9"/>
        <v>C01134 : Pantetheine 4'-phosphate</v>
      </c>
      <c r="E290"/>
    </row>
    <row r="291" spans="1:5">
      <c r="A291" t="s">
        <v>13113</v>
      </c>
      <c r="B291" s="18" t="s">
        <v>13870</v>
      </c>
      <c r="C291" s="61" t="str">
        <f t="shared" si="10"/>
        <v>C01157:1</v>
      </c>
      <c r="D291" s="60" t="str">
        <f t="shared" si="9"/>
        <v>C01157 : Hydroxyproline</v>
      </c>
      <c r="E291"/>
    </row>
    <row r="292" spans="1:5">
      <c r="A292" t="s">
        <v>13114</v>
      </c>
      <c r="B292" s="18" t="s">
        <v>13871</v>
      </c>
      <c r="C292" s="61" t="str">
        <f t="shared" si="10"/>
        <v>C01159:1</v>
      </c>
      <c r="D292" s="60" t="str">
        <f t="shared" si="9"/>
        <v>C01159 : 2,3-Bisphospho-D-glycerate</v>
      </c>
      <c r="E292"/>
    </row>
    <row r="293" spans="1:5">
      <c r="A293" t="s">
        <v>13115</v>
      </c>
      <c r="B293" s="18" t="s">
        <v>13872</v>
      </c>
      <c r="C293" s="61" t="str">
        <f t="shared" si="10"/>
        <v>C01165:1</v>
      </c>
      <c r="D293" s="60" t="str">
        <f t="shared" si="9"/>
        <v>C01165 : L-Glutamate 5-semialdehyde</v>
      </c>
      <c r="E293"/>
    </row>
    <row r="294" spans="1:5">
      <c r="A294" s="47" t="s">
        <v>13475</v>
      </c>
      <c r="B294" s="18" t="s">
        <v>13873</v>
      </c>
      <c r="C294" s="61" t="str">
        <f t="shared" si="10"/>
        <v>C01167:1</v>
      </c>
      <c r="D294" s="60" t="str">
        <f t="shared" si="9"/>
        <v>C01167 : Protein tyrosine phosphate</v>
      </c>
      <c r="E294"/>
    </row>
    <row r="295" spans="1:5">
      <c r="A295" t="s">
        <v>9387</v>
      </c>
      <c r="B295" s="18" t="s">
        <v>13874</v>
      </c>
      <c r="C295" s="61" t="str">
        <f t="shared" si="10"/>
        <v>C01170:1</v>
      </c>
      <c r="D295" s="60" t="str">
        <f t="shared" si="9"/>
        <v>C01170 : UDP-N-acetyl-D-mannosamine</v>
      </c>
      <c r="E295"/>
    </row>
    <row r="296" spans="1:5">
      <c r="A296" s="1" t="s">
        <v>10190</v>
      </c>
      <c r="B296" s="18" t="s">
        <v>13875</v>
      </c>
      <c r="C296" s="61" t="str">
        <f t="shared" si="10"/>
        <v>C01172:1</v>
      </c>
      <c r="D296" s="60" t="str">
        <f t="shared" si="9"/>
        <v>C01172 : beta-D-Glucose 6-phosphate</v>
      </c>
      <c r="E296"/>
    </row>
    <row r="297" spans="1:5">
      <c r="A297" s="47" t="s">
        <v>13506</v>
      </c>
      <c r="B297" s="18" t="s">
        <v>13876</v>
      </c>
      <c r="C297" s="61" t="str">
        <f t="shared" si="10"/>
        <v>C01179:1</v>
      </c>
      <c r="D297" s="60" t="str">
        <f t="shared" si="9"/>
        <v>C01179 : 3-(4-Hydroxyphenyl)pyruvate</v>
      </c>
      <c r="E297"/>
    </row>
    <row r="298" spans="1:5">
      <c r="A298" t="s">
        <v>13116</v>
      </c>
      <c r="B298" s="18" t="s">
        <v>13877</v>
      </c>
      <c r="C298" s="61" t="str">
        <f t="shared" si="10"/>
        <v>C01185:1</v>
      </c>
      <c r="D298" s="60" t="str">
        <f t="shared" si="9"/>
        <v>C01185 : Nicotinate D-ribonucleotide</v>
      </c>
      <c r="E298"/>
    </row>
    <row r="299" spans="1:5">
      <c r="A299" t="s">
        <v>13284</v>
      </c>
      <c r="B299" s="18" t="s">
        <v>13878</v>
      </c>
      <c r="C299" s="61" t="str">
        <f t="shared" si="10"/>
        <v>C01209:1</v>
      </c>
      <c r="D299" s="60" t="str">
        <f t="shared" si="9"/>
        <v>C01209 : Malonyl-[acyl-carrier protein]</v>
      </c>
      <c r="E299"/>
    </row>
    <row r="300" spans="1:5">
      <c r="A300" t="s">
        <v>13294</v>
      </c>
      <c r="B300" s="18" t="s">
        <v>13879</v>
      </c>
      <c r="C300" s="61" t="str">
        <f t="shared" si="10"/>
        <v>C01212:1</v>
      </c>
      <c r="D300" s="60" t="str">
        <f t="shared" si="9"/>
        <v>C01212 : UDP-N-acetylmuramoyl-L-alanine</v>
      </c>
      <c r="E300"/>
    </row>
    <row r="301" spans="1:5">
      <c r="A301" t="s">
        <v>9622</v>
      </c>
      <c r="B301" s="18" t="s">
        <v>13880</v>
      </c>
      <c r="C301" s="61" t="str">
        <f t="shared" si="10"/>
        <v>C01213:1</v>
      </c>
      <c r="D301" s="60" t="str">
        <f t="shared" si="9"/>
        <v>C01213 : (R)-Methylmalonyl-CoA</v>
      </c>
      <c r="E301"/>
    </row>
    <row r="302" spans="1:5">
      <c r="A302" s="47" t="s">
        <v>13564</v>
      </c>
      <c r="B302" s="18" t="s">
        <v>13881</v>
      </c>
      <c r="C302" s="61" t="str">
        <f t="shared" si="10"/>
        <v>C01222:1</v>
      </c>
      <c r="D302" s="60" t="str">
        <f t="shared" si="9"/>
        <v>C01222 : GDP-4-dehydro-6-deoxy-D-mannose</v>
      </c>
      <c r="E302"/>
    </row>
    <row r="303" spans="1:5">
      <c r="A303" t="s">
        <v>13117</v>
      </c>
      <c r="B303" s="18" t="s">
        <v>13882</v>
      </c>
      <c r="C303" s="61" t="str">
        <f t="shared" si="10"/>
        <v>C01236:1</v>
      </c>
      <c r="D303" s="60" t="str">
        <f t="shared" si="9"/>
        <v>C01236 : D-Glucono-1,5-lactone 6-phosphate</v>
      </c>
      <c r="E303"/>
    </row>
    <row r="304" spans="1:5">
      <c r="A304" t="s">
        <v>13118</v>
      </c>
      <c r="B304" s="18" t="s">
        <v>13883</v>
      </c>
      <c r="C304" s="61" t="str">
        <f t="shared" si="10"/>
        <v>C01242:1</v>
      </c>
      <c r="D304" s="60" t="str">
        <f t="shared" si="9"/>
        <v>C01242 : [Protein]-S8-aminomethyldihydrolipoyllysine</v>
      </c>
      <c r="E304"/>
    </row>
    <row r="305" spans="1:5">
      <c r="A305" t="s">
        <v>13119</v>
      </c>
      <c r="B305" s="18" t="s">
        <v>13884</v>
      </c>
      <c r="C305" s="61" t="str">
        <f t="shared" si="10"/>
        <v>C01250:1</v>
      </c>
      <c r="D305" s="60" t="str">
        <f t="shared" si="9"/>
        <v>C01250 : N-Acetyl-L-glutamate 5-semialdehyde</v>
      </c>
      <c r="E305"/>
    </row>
    <row r="306" spans="1:5">
      <c r="A306" s="47" t="s">
        <v>13522</v>
      </c>
      <c r="B306" s="18" t="s">
        <v>13885</v>
      </c>
      <c r="C306" s="61" t="str">
        <f t="shared" si="10"/>
        <v>C01267:1</v>
      </c>
      <c r="D306" s="60" t="str">
        <f t="shared" si="9"/>
        <v>C01267 : 3-(Imidazol-4-yl)-2-oxopropyl phosphate</v>
      </c>
      <c r="E306"/>
    </row>
    <row r="307" spans="1:5">
      <c r="A307" s="47" t="s">
        <v>13370</v>
      </c>
      <c r="B307" s="18" t="s">
        <v>13886</v>
      </c>
      <c r="C307" s="61" t="str">
        <f t="shared" si="10"/>
        <v>C01268:1</v>
      </c>
      <c r="D307" s="60" t="str">
        <f t="shared" si="9"/>
        <v>C01268 : 5-Amino-6-(5'-phosphoribosylamino)uracil</v>
      </c>
      <c r="E307"/>
    </row>
    <row r="308" spans="1:5">
      <c r="A308" t="s">
        <v>13120</v>
      </c>
      <c r="B308" s="18" t="s">
        <v>13887</v>
      </c>
      <c r="C308" s="61" t="str">
        <f t="shared" ref="C308:C328" si="11">CONCATENATE(A308,":","1")</f>
        <v>C01269:1</v>
      </c>
      <c r="D308" s="60" t="str">
        <f t="shared" si="9"/>
        <v>C01269 : 5-O-(1-Carboxyvinyl)-3-phosphoshikimate</v>
      </c>
      <c r="E308"/>
    </row>
    <row r="309" spans="1:5">
      <c r="A309" s="19" t="s">
        <v>13121</v>
      </c>
      <c r="B309" s="18" t="s">
        <v>13888</v>
      </c>
      <c r="C309" s="61" t="str">
        <f t="shared" si="11"/>
        <v>C01271:1</v>
      </c>
      <c r="D309" s="60" t="str">
        <f t="shared" si="9"/>
        <v>C01271 : (3R)-3-Hydroxyacyl-[acyl-carrier protein]</v>
      </c>
      <c r="E309"/>
    </row>
    <row r="310" spans="1:5">
      <c r="A310" t="s">
        <v>13296</v>
      </c>
      <c r="B310" s="18" t="s">
        <v>13889</v>
      </c>
      <c r="C310" s="61" t="str">
        <f t="shared" si="11"/>
        <v>C01279:1</v>
      </c>
      <c r="D310" s="60" t="str">
        <f t="shared" si="9"/>
        <v>C01279 : 4-Amino-5-hydroxymethyl-2-methylpyrimidine</v>
      </c>
      <c r="E310"/>
    </row>
    <row r="311" spans="1:5">
      <c r="A311" t="s">
        <v>13122</v>
      </c>
      <c r="B311" s="18" t="s">
        <v>13890</v>
      </c>
      <c r="C311" s="61" t="str">
        <f t="shared" si="11"/>
        <v>C01300:1</v>
      </c>
      <c r="D311" s="60" t="str">
        <f t="shared" si="9"/>
        <v>C01300 : 6-(Hydroxymethyl)-7,8-dihydropterin</v>
      </c>
      <c r="E311"/>
    </row>
    <row r="312" spans="1:5">
      <c r="A312" t="s">
        <v>9366</v>
      </c>
      <c r="B312" s="18" t="s">
        <v>13891</v>
      </c>
      <c r="C312" s="61" t="str">
        <f t="shared" si="11"/>
        <v>C01302:1</v>
      </c>
      <c r="D312" s="60" t="str">
        <f t="shared" si="9"/>
        <v>C01302 : 1-(2-Carboxyphenylamino)-1-deoxy-D-ribulose 5-phosphate</v>
      </c>
      <c r="E312"/>
    </row>
    <row r="313" spans="1:5">
      <c r="A313" t="s">
        <v>13123</v>
      </c>
      <c r="B313" s="18" t="s">
        <v>13892</v>
      </c>
      <c r="C313" s="61" t="str">
        <f t="shared" si="11"/>
        <v>C01304:1</v>
      </c>
      <c r="D313" s="60" t="str">
        <f t="shared" si="9"/>
        <v>C01304 : 2,5-Diamino-6-(5-phospho-D-ribosylamino)pyrimidin-4(3H)-one</v>
      </c>
      <c r="E313"/>
    </row>
    <row r="314" spans="1:5">
      <c r="A314" s="47" t="s">
        <v>13354</v>
      </c>
      <c r="B314" s="18" t="s">
        <v>13893</v>
      </c>
      <c r="C314" s="61" t="str">
        <f t="shared" si="11"/>
        <v>C01335:1</v>
      </c>
      <c r="D314" s="60" t="str">
        <f t="shared" si="9"/>
        <v>C01335 : ROH</v>
      </c>
      <c r="E314"/>
    </row>
    <row r="315" spans="1:5">
      <c r="A315" t="s">
        <v>13299</v>
      </c>
      <c r="B315" s="18" t="s">
        <v>13894</v>
      </c>
      <c r="C315" s="61" t="str">
        <f t="shared" si="11"/>
        <v>C01344:1</v>
      </c>
      <c r="D315" s="60" t="str">
        <f t="shared" si="9"/>
        <v>C01344 : dIDP</v>
      </c>
      <c r="E315"/>
    </row>
    <row r="316" spans="1:5">
      <c r="A316" s="47" t="s">
        <v>13480</v>
      </c>
      <c r="B316" s="18" t="s">
        <v>13895</v>
      </c>
      <c r="C316" s="61" t="str">
        <f t="shared" si="11"/>
        <v>C01345:1</v>
      </c>
      <c r="D316" s="60" t="str">
        <f t="shared" si="9"/>
        <v>C01345 : dITP</v>
      </c>
      <c r="E316"/>
    </row>
    <row r="317" spans="1:5">
      <c r="A317" t="s">
        <v>13124</v>
      </c>
      <c r="B317" s="18" t="s">
        <v>13896</v>
      </c>
      <c r="C317" s="61" t="str">
        <f t="shared" si="11"/>
        <v>C01346:1</v>
      </c>
      <c r="D317" s="60" t="str">
        <f t="shared" si="9"/>
        <v>C01346 : dUDP</v>
      </c>
      <c r="E317"/>
    </row>
    <row r="318" spans="1:5">
      <c r="A318" t="s">
        <v>9625</v>
      </c>
      <c r="B318" s="18" t="s">
        <v>13897</v>
      </c>
      <c r="C318" s="61" t="str">
        <f t="shared" si="11"/>
        <v>C01353:1</v>
      </c>
      <c r="D318" s="60" t="str">
        <f t="shared" si="9"/>
        <v>C01353 : Carbonic acid</v>
      </c>
      <c r="E318"/>
    </row>
    <row r="319" spans="1:5">
      <c r="A319" t="s">
        <v>13125</v>
      </c>
      <c r="B319" s="18" t="s">
        <v>13898</v>
      </c>
      <c r="C319" s="61" t="str">
        <f t="shared" si="11"/>
        <v>C01528:1</v>
      </c>
      <c r="D319" s="60" t="str">
        <f t="shared" si="9"/>
        <v>C01528 : Hydrogen selenide</v>
      </c>
      <c r="E319"/>
    </row>
    <row r="320" spans="1:5">
      <c r="A320" t="s">
        <v>13302</v>
      </c>
      <c r="B320" s="18" t="s">
        <v>13899</v>
      </c>
      <c r="C320" s="61" t="str">
        <f t="shared" si="11"/>
        <v>C01563:1</v>
      </c>
      <c r="D320" s="60" t="str">
        <f t="shared" si="9"/>
        <v>C01563 : Carbamate</v>
      </c>
      <c r="E320"/>
    </row>
    <row r="321" spans="1:5">
      <c r="A321" t="s">
        <v>13126</v>
      </c>
      <c r="B321" s="18" t="s">
        <v>13900</v>
      </c>
      <c r="C321" s="61" t="str">
        <f t="shared" si="11"/>
        <v>C01594:1</v>
      </c>
      <c r="D321" s="60" t="str">
        <f t="shared" si="9"/>
        <v>C01594 : Linamarin</v>
      </c>
      <c r="E321"/>
    </row>
    <row r="322" spans="1:5">
      <c r="A322" t="s">
        <v>13008</v>
      </c>
      <c r="B322" s="18" t="s">
        <v>13901</v>
      </c>
      <c r="C322" s="61" t="str">
        <f t="shared" si="11"/>
        <v>C01635:1</v>
      </c>
      <c r="D322" s="60" t="str">
        <f t="shared" ref="D322:D385" si="12">CONCATENATE(A322," : ",B322)</f>
        <v>C01635 : tRNA(Ala)</v>
      </c>
      <c r="E322"/>
    </row>
    <row r="323" spans="1:5">
      <c r="A323" t="s">
        <v>13010</v>
      </c>
      <c r="B323" s="18" t="s">
        <v>13902</v>
      </c>
      <c r="C323" s="61" t="str">
        <f t="shared" si="11"/>
        <v>C01636:1</v>
      </c>
      <c r="D323" s="60" t="str">
        <f t="shared" si="12"/>
        <v>C01636 : tRNA(Arg)</v>
      </c>
      <c r="E323"/>
    </row>
    <row r="324" spans="1:5">
      <c r="A324" t="s">
        <v>13012</v>
      </c>
      <c r="B324" s="18" t="s">
        <v>13903</v>
      </c>
      <c r="C324" s="61" t="str">
        <f t="shared" si="11"/>
        <v>C01637:1</v>
      </c>
      <c r="D324" s="60" t="str">
        <f t="shared" si="12"/>
        <v>C01637 : tRNA(Asn)</v>
      </c>
      <c r="E324"/>
    </row>
    <row r="325" spans="1:5">
      <c r="A325" t="s">
        <v>13127</v>
      </c>
      <c r="B325" s="18" t="s">
        <v>13904</v>
      </c>
      <c r="C325" s="61" t="str">
        <f t="shared" si="11"/>
        <v>C01638:1</v>
      </c>
      <c r="D325" s="60" t="str">
        <f t="shared" si="12"/>
        <v>C01638 : tRNA(Asp)</v>
      </c>
      <c r="E325"/>
    </row>
    <row r="326" spans="1:5">
      <c r="A326" t="s">
        <v>13013</v>
      </c>
      <c r="B326" s="18" t="s">
        <v>13905</v>
      </c>
      <c r="C326" s="61" t="str">
        <f t="shared" si="11"/>
        <v>C01639:1</v>
      </c>
      <c r="D326" s="60" t="str">
        <f t="shared" si="12"/>
        <v>C01639 : tRNA(Cys)</v>
      </c>
      <c r="E326"/>
    </row>
    <row r="327" spans="1:5">
      <c r="A327" t="s">
        <v>13128</v>
      </c>
      <c r="B327" s="18" t="s">
        <v>13906</v>
      </c>
      <c r="C327" s="61" t="str">
        <f t="shared" si="11"/>
        <v>C01641:1</v>
      </c>
      <c r="D327" s="60" t="str">
        <f t="shared" si="12"/>
        <v>C01641 : tRNA(Glu)</v>
      </c>
      <c r="E327"/>
    </row>
    <row r="328" spans="1:5">
      <c r="A328" t="s">
        <v>13015</v>
      </c>
      <c r="B328" s="18" t="s">
        <v>13907</v>
      </c>
      <c r="C328" s="61" t="str">
        <f t="shared" si="11"/>
        <v>C01642:1</v>
      </c>
      <c r="D328" s="60" t="str">
        <f t="shared" si="12"/>
        <v>C01642 : tRNA(Gly)</v>
      </c>
      <c r="E328"/>
    </row>
    <row r="329" spans="1:5">
      <c r="A329" t="s">
        <v>13017</v>
      </c>
      <c r="B329" s="31" t="s">
        <v>13908</v>
      </c>
      <c r="C329" s="61" t="str">
        <f t="shared" ref="C329:C392" si="13">CONCATENATE(A329,":","1")</f>
        <v>C01643:1</v>
      </c>
      <c r="D329" s="60" t="str">
        <f t="shared" si="12"/>
        <v>C01643 : tRNA(His)</v>
      </c>
      <c r="E329"/>
    </row>
    <row r="330" spans="1:5">
      <c r="A330" t="s">
        <v>13018</v>
      </c>
      <c r="B330" s="18" t="s">
        <v>13909</v>
      </c>
      <c r="C330" s="61" t="str">
        <f t="shared" si="13"/>
        <v>C01644:1</v>
      </c>
      <c r="D330" s="60" t="str">
        <f t="shared" si="12"/>
        <v>C01644 : tRNA(Ile)</v>
      </c>
      <c r="E330"/>
    </row>
    <row r="331" spans="1:5">
      <c r="A331" t="s">
        <v>13019</v>
      </c>
      <c r="B331" s="18" t="s">
        <v>13910</v>
      </c>
      <c r="C331" s="61" t="str">
        <f t="shared" si="13"/>
        <v>C01645:1</v>
      </c>
      <c r="D331" s="60" t="str">
        <f t="shared" si="12"/>
        <v>C01645 : tRNA(Leu)</v>
      </c>
      <c r="E331"/>
    </row>
    <row r="332" spans="1:5">
      <c r="A332" t="s">
        <v>13020</v>
      </c>
      <c r="B332" s="18" t="s">
        <v>13911</v>
      </c>
      <c r="C332" s="61" t="str">
        <f t="shared" si="13"/>
        <v>C01646:1</v>
      </c>
      <c r="D332" s="60" t="str">
        <f t="shared" si="12"/>
        <v>C01646 : tRNA(Lys)</v>
      </c>
      <c r="E332"/>
    </row>
    <row r="333" spans="1:5">
      <c r="A333" t="s">
        <v>13022</v>
      </c>
      <c r="B333" s="18" t="s">
        <v>13912</v>
      </c>
      <c r="C333" s="61" t="str">
        <f t="shared" si="13"/>
        <v>C01647:1</v>
      </c>
      <c r="D333" s="60" t="str">
        <f t="shared" si="12"/>
        <v>C01647 : tRNA(Met)</v>
      </c>
      <c r="E333"/>
    </row>
    <row r="334" spans="1:5">
      <c r="A334" t="s">
        <v>13024</v>
      </c>
      <c r="B334" s="18" t="s">
        <v>13913</v>
      </c>
      <c r="C334" s="61" t="str">
        <f t="shared" si="13"/>
        <v>C01648:1</v>
      </c>
      <c r="D334" s="60" t="str">
        <f t="shared" si="12"/>
        <v>C01648 : tRNA(Phe)</v>
      </c>
      <c r="E334"/>
    </row>
    <row r="335" spans="1:5">
      <c r="A335" t="s">
        <v>13026</v>
      </c>
      <c r="B335" s="18" t="s">
        <v>13914</v>
      </c>
      <c r="C335" s="61" t="str">
        <f t="shared" si="13"/>
        <v>C01649:1</v>
      </c>
      <c r="D335" s="60" t="str">
        <f t="shared" si="12"/>
        <v>C01649 : tRNA(Pro)</v>
      </c>
      <c r="E335"/>
    </row>
    <row r="336" spans="1:5">
      <c r="A336" t="s">
        <v>13028</v>
      </c>
      <c r="B336" s="18" t="s">
        <v>13915</v>
      </c>
      <c r="C336" s="61" t="str">
        <f t="shared" si="13"/>
        <v>C01650:1</v>
      </c>
      <c r="D336" s="60" t="str">
        <f t="shared" si="12"/>
        <v>C01650 : tRNA(Ser)</v>
      </c>
      <c r="E336"/>
    </row>
    <row r="337" spans="1:5">
      <c r="A337" t="s">
        <v>12955</v>
      </c>
      <c r="B337" s="18" t="s">
        <v>13916</v>
      </c>
      <c r="C337" s="61" t="str">
        <f t="shared" si="13"/>
        <v>C01651:1</v>
      </c>
      <c r="D337" s="60" t="str">
        <f t="shared" si="12"/>
        <v>C01651 : tRNA(Thr)</v>
      </c>
      <c r="E337"/>
    </row>
    <row r="338" spans="1:5">
      <c r="A338" t="s">
        <v>13029</v>
      </c>
      <c r="B338" s="18" t="s">
        <v>13917</v>
      </c>
      <c r="C338" s="61" t="str">
        <f t="shared" si="13"/>
        <v>C01652:1</v>
      </c>
      <c r="D338" s="60" t="str">
        <f t="shared" si="12"/>
        <v>C01652 : tRNA(Trp)</v>
      </c>
      <c r="E338"/>
    </row>
    <row r="339" spans="1:5">
      <c r="A339" t="s">
        <v>13030</v>
      </c>
      <c r="B339" s="18" t="s">
        <v>13918</v>
      </c>
      <c r="C339" s="61" t="str">
        <f t="shared" si="13"/>
        <v>C01653:1</v>
      </c>
      <c r="D339" s="60" t="str">
        <f t="shared" si="12"/>
        <v>C01653 : tRNA(Val)</v>
      </c>
      <c r="E339"/>
    </row>
    <row r="340" spans="1:5">
      <c r="A340" s="47" t="s">
        <v>13525</v>
      </c>
      <c r="B340" s="18" t="s">
        <v>13919</v>
      </c>
      <c r="C340" s="61" t="str">
        <f t="shared" si="13"/>
        <v>C01801:1</v>
      </c>
      <c r="D340" s="60" t="str">
        <f t="shared" si="12"/>
        <v>C01801 : Deoxyribose</v>
      </c>
      <c r="E340"/>
    </row>
    <row r="341" spans="1:5">
      <c r="A341" t="s">
        <v>13129</v>
      </c>
      <c r="B341" s="18" t="s">
        <v>13920</v>
      </c>
      <c r="C341" s="61" t="str">
        <f t="shared" si="13"/>
        <v>C01898:1</v>
      </c>
      <c r="D341" s="60" t="str">
        <f t="shared" si="12"/>
        <v>C01898 : Cellodextrin</v>
      </c>
      <c r="E341"/>
    </row>
    <row r="342" spans="1:5">
      <c r="A342" t="s">
        <v>13131</v>
      </c>
      <c r="B342" s="18" t="s">
        <v>13921</v>
      </c>
      <c r="C342" s="61" t="str">
        <f t="shared" si="13"/>
        <v>C01909:1</v>
      </c>
      <c r="D342" s="60" t="str">
        <f t="shared" si="12"/>
        <v>C01909 : Dethiobiotin</v>
      </c>
      <c r="E342"/>
    </row>
    <row r="343" spans="1:5">
      <c r="A343" t="s">
        <v>13132</v>
      </c>
      <c r="B343" s="18" t="s">
        <v>13922</v>
      </c>
      <c r="C343" s="61" t="str">
        <f t="shared" si="13"/>
        <v>C01929:1</v>
      </c>
      <c r="D343" s="60" t="str">
        <f t="shared" si="12"/>
        <v>C01929 : L-Histidinal</v>
      </c>
      <c r="E343"/>
    </row>
    <row r="344" spans="1:5">
      <c r="A344" t="s">
        <v>13410</v>
      </c>
      <c r="B344" s="18" t="s">
        <v>13923</v>
      </c>
      <c r="C344" s="61" t="str">
        <f t="shared" si="13"/>
        <v>C01931:1</v>
      </c>
      <c r="D344" s="60" t="str">
        <f t="shared" si="12"/>
        <v>C01931 : L-Lysyl-tRNA</v>
      </c>
      <c r="E344"/>
    </row>
    <row r="345" spans="1:5">
      <c r="A345" t="s">
        <v>13133</v>
      </c>
      <c r="B345" s="18" t="s">
        <v>13924</v>
      </c>
      <c r="C345" s="61" t="str">
        <f t="shared" si="13"/>
        <v>C01977:1</v>
      </c>
      <c r="D345" s="60" t="str">
        <f t="shared" si="12"/>
        <v>C01977 : tRNA guanine</v>
      </c>
      <c r="E345"/>
    </row>
    <row r="346" spans="1:5">
      <c r="A346" t="s">
        <v>13134</v>
      </c>
      <c r="B346" s="18" t="s">
        <v>13925</v>
      </c>
      <c r="C346" s="61" t="str">
        <f t="shared" si="13"/>
        <v>C01978:1</v>
      </c>
      <c r="D346" s="60" t="str">
        <f t="shared" si="12"/>
        <v>C01978 : tRNA queuin</v>
      </c>
      <c r="E346"/>
    </row>
    <row r="347" spans="1:5">
      <c r="A347" t="s">
        <v>13406</v>
      </c>
      <c r="B347" s="18" t="s">
        <v>13926</v>
      </c>
      <c r="C347" s="61" t="str">
        <f t="shared" si="13"/>
        <v>C02047:1</v>
      </c>
      <c r="D347" s="60" t="str">
        <f t="shared" si="12"/>
        <v>C02047 : L-Leucyl-tRNA</v>
      </c>
      <c r="E347"/>
    </row>
    <row r="348" spans="1:5">
      <c r="A348" t="s">
        <v>13308</v>
      </c>
      <c r="B348" s="18" t="s">
        <v>13927</v>
      </c>
      <c r="C348" s="61" t="str">
        <f t="shared" si="13"/>
        <v>C02051:1</v>
      </c>
      <c r="D348" s="60" t="str">
        <f t="shared" si="12"/>
        <v>C02051 : Lipoylprotein</v>
      </c>
      <c r="E348"/>
    </row>
    <row r="349" spans="1:5">
      <c r="A349" s="47" t="s">
        <v>13372</v>
      </c>
      <c r="B349" s="18" t="s">
        <v>13928</v>
      </c>
      <c r="C349" s="61" t="str">
        <f t="shared" si="13"/>
        <v>C02090:1</v>
      </c>
      <c r="D349" s="60" t="str">
        <f t="shared" si="12"/>
        <v>C02090 : Trypanothion</v>
      </c>
      <c r="E349"/>
    </row>
    <row r="350" spans="1:5">
      <c r="A350" s="47" t="s">
        <v>13573</v>
      </c>
      <c r="B350" s="18" t="s">
        <v>13929</v>
      </c>
      <c r="C350" s="61" t="str">
        <f t="shared" si="13"/>
        <v>C02097:1</v>
      </c>
      <c r="D350" s="60" t="str">
        <f t="shared" si="12"/>
        <v>C02097 : dTDP-galactose</v>
      </c>
      <c r="E350"/>
    </row>
    <row r="351" spans="1:5">
      <c r="A351" t="s">
        <v>13031</v>
      </c>
      <c r="B351" s="18" t="s">
        <v>13930</v>
      </c>
      <c r="C351" s="61" t="str">
        <f t="shared" si="13"/>
        <v>C02128:1</v>
      </c>
      <c r="D351" s="60" t="str">
        <f t="shared" si="12"/>
        <v>C02128 : 5'-Phospho-DNA</v>
      </c>
      <c r="E351"/>
    </row>
    <row r="352" spans="1:5">
      <c r="A352" t="s">
        <v>13397</v>
      </c>
      <c r="B352" s="18" t="s">
        <v>13931</v>
      </c>
      <c r="C352" s="61" t="str">
        <f t="shared" si="13"/>
        <v>C02163:1</v>
      </c>
      <c r="D352" s="60" t="str">
        <f t="shared" si="12"/>
        <v>C02163 : L-Arginyl-tRNA(Arg)</v>
      </c>
      <c r="E352"/>
    </row>
    <row r="353" spans="1:5">
      <c r="A353" t="s">
        <v>9302</v>
      </c>
      <c r="B353" s="18" t="s">
        <v>13932</v>
      </c>
      <c r="C353" s="61" t="str">
        <f t="shared" si="13"/>
        <v>C02205:1</v>
      </c>
      <c r="D353" s="60" t="str">
        <f t="shared" si="12"/>
        <v>C02205 : alpha-D-Xylose</v>
      </c>
      <c r="E353"/>
    </row>
    <row r="354" spans="1:5">
      <c r="A354" t="s">
        <v>13135</v>
      </c>
      <c r="B354" s="18" t="s">
        <v>13933</v>
      </c>
      <c r="C354" s="61" t="str">
        <f t="shared" si="13"/>
        <v>C02218:1</v>
      </c>
      <c r="D354" s="60" t="str">
        <f t="shared" si="12"/>
        <v>C02218 : Dehydroalanine</v>
      </c>
      <c r="E354"/>
    </row>
    <row r="355" spans="1:5">
      <c r="A355" t="s">
        <v>13137</v>
      </c>
      <c r="B355" s="18" t="s">
        <v>13934</v>
      </c>
      <c r="C355" s="61" t="str">
        <f t="shared" si="13"/>
        <v>C02356:1</v>
      </c>
      <c r="D355" s="60" t="str">
        <f t="shared" si="12"/>
        <v>C02356 : (S)-2-Aminobutanoat</v>
      </c>
      <c r="E355"/>
    </row>
    <row r="356" spans="1:5">
      <c r="A356" t="s">
        <v>13139</v>
      </c>
      <c r="B356" s="18" t="s">
        <v>13935</v>
      </c>
      <c r="C356" s="61" t="str">
        <f t="shared" si="13"/>
        <v>C02380:1</v>
      </c>
      <c r="D356" s="60" t="str">
        <f t="shared" si="12"/>
        <v>C02380 : 6-Mercaptopurine</v>
      </c>
      <c r="E356"/>
    </row>
    <row r="357" spans="1:5">
      <c r="A357" t="s">
        <v>13390</v>
      </c>
      <c r="B357" s="18" t="s">
        <v>13936</v>
      </c>
      <c r="C357" s="61" t="str">
        <f t="shared" si="13"/>
        <v>C02412:1</v>
      </c>
      <c r="D357" s="60" t="str">
        <f t="shared" si="12"/>
        <v>C02412 : Glycyl-tRNA(Gly)</v>
      </c>
      <c r="E357"/>
    </row>
    <row r="358" spans="1:5">
      <c r="A358" t="s">
        <v>13141</v>
      </c>
      <c r="B358" s="18" t="s">
        <v>13937</v>
      </c>
      <c r="C358" s="61" t="str">
        <f t="shared" si="13"/>
        <v>C02430:1</v>
      </c>
      <c r="D358" s="60" t="str">
        <f t="shared" si="12"/>
        <v>C02430 : L-Methionyl-tRNA</v>
      </c>
      <c r="E358"/>
    </row>
    <row r="359" spans="1:5">
      <c r="A359" s="5" t="s">
        <v>9481</v>
      </c>
      <c r="B359" s="18" t="s">
        <v>13938</v>
      </c>
      <c r="C359" s="61" t="str">
        <f t="shared" si="13"/>
        <v>C02504:1</v>
      </c>
      <c r="D359" s="60" t="str">
        <f t="shared" si="12"/>
        <v>C02504 : alpha-Isopropylmalate</v>
      </c>
      <c r="E359"/>
    </row>
    <row r="360" spans="1:5">
      <c r="A360" t="s">
        <v>13144</v>
      </c>
      <c r="B360" s="18" t="s">
        <v>13939</v>
      </c>
      <c r="C360" s="61" t="str">
        <f t="shared" si="13"/>
        <v>C02532:1</v>
      </c>
      <c r="D360" s="60" t="str">
        <f t="shared" si="12"/>
        <v>C02532 : O-Phospho-D-serine</v>
      </c>
      <c r="E360"/>
    </row>
    <row r="361" spans="1:5">
      <c r="A361" t="s">
        <v>13145</v>
      </c>
      <c r="B361" s="31" t="s">
        <v>13940</v>
      </c>
      <c r="C361" s="61" t="str">
        <f t="shared" si="13"/>
        <v>C02538:1</v>
      </c>
      <c r="D361" s="60" t="str">
        <f t="shared" si="12"/>
        <v>C02538 : Estrone 3-sulfate</v>
      </c>
      <c r="E361"/>
    </row>
    <row r="362" spans="1:5">
      <c r="A362" t="s">
        <v>13385</v>
      </c>
      <c r="B362" s="18" t="s">
        <v>13941</v>
      </c>
      <c r="C362" s="61" t="str">
        <f t="shared" si="13"/>
        <v>C02553:1</v>
      </c>
      <c r="D362" s="60" t="str">
        <f t="shared" si="12"/>
        <v>C02553 : L-Seryl-tRNA(Ser)</v>
      </c>
      <c r="E362"/>
    </row>
    <row r="363" spans="1:5">
      <c r="A363" t="s">
        <v>13415</v>
      </c>
      <c r="B363" s="18" t="s">
        <v>13942</v>
      </c>
      <c r="C363" s="61" t="str">
        <f t="shared" si="13"/>
        <v>C02554:1</v>
      </c>
      <c r="D363" s="60" t="str">
        <f t="shared" si="12"/>
        <v>C02554 : L-Valyl-tRNA(Val)</v>
      </c>
      <c r="E363"/>
    </row>
    <row r="364" spans="1:5">
      <c r="A364" s="47" t="s">
        <v>13563</v>
      </c>
      <c r="B364" s="18" t="s">
        <v>13943</v>
      </c>
      <c r="C364" s="61" t="str">
        <f t="shared" si="13"/>
        <v>C02631:1</v>
      </c>
      <c r="D364" s="60" t="str">
        <f t="shared" si="12"/>
        <v>C02631 : 2-Isopropylmaleate</v>
      </c>
      <c r="E364"/>
    </row>
    <row r="365" spans="1:5">
      <c r="A365" s="47" t="s">
        <v>13560</v>
      </c>
      <c r="B365" s="18" t="s">
        <v>13944</v>
      </c>
      <c r="C365" s="61" t="str">
        <f t="shared" si="13"/>
        <v>C02637:1</v>
      </c>
      <c r="D365" s="60" t="str">
        <f t="shared" si="12"/>
        <v>C02637 : 3-Dehydroshikimate</v>
      </c>
      <c r="E365"/>
    </row>
    <row r="366" spans="1:5">
      <c r="A366" s="47" t="s">
        <v>13543</v>
      </c>
      <c r="B366" s="31" t="s">
        <v>13945</v>
      </c>
      <c r="C366" s="61" t="str">
        <f t="shared" si="13"/>
        <v>C02659:1</v>
      </c>
      <c r="D366" s="60" t="str">
        <f t="shared" si="12"/>
        <v>C02659 : Acetone cyanohydrin</v>
      </c>
      <c r="E366"/>
    </row>
    <row r="367" spans="1:5">
      <c r="A367" s="47" t="s">
        <v>13534</v>
      </c>
      <c r="B367" s="18" t="s">
        <v>13946</v>
      </c>
      <c r="C367" s="61" t="str">
        <f t="shared" si="13"/>
        <v>C02686:1</v>
      </c>
      <c r="D367" s="60" t="str">
        <f t="shared" si="12"/>
        <v>C02686 : Galactosylceramide</v>
      </c>
      <c r="E367"/>
    </row>
    <row r="368" spans="1:5">
      <c r="A368" t="s">
        <v>13393</v>
      </c>
      <c r="B368" s="18" t="s">
        <v>13946</v>
      </c>
      <c r="C368" s="61" t="str">
        <f t="shared" si="13"/>
        <v>C02702:1</v>
      </c>
      <c r="D368" s="60" t="str">
        <f t="shared" si="12"/>
        <v>C02702 : Galactosylceramide</v>
      </c>
      <c r="E368"/>
    </row>
    <row r="369" spans="1:5">
      <c r="A369" t="s">
        <v>13146</v>
      </c>
      <c r="B369" s="18" t="s">
        <v>13947</v>
      </c>
      <c r="C369" s="61" t="str">
        <f t="shared" si="13"/>
        <v>C02737:1</v>
      </c>
      <c r="D369" s="60" t="str">
        <f t="shared" si="12"/>
        <v>C02737 : Phosphatidylserine</v>
      </c>
      <c r="E369"/>
    </row>
    <row r="370" spans="1:5">
      <c r="A370" t="s">
        <v>13147</v>
      </c>
      <c r="B370" s="18" t="s">
        <v>13948</v>
      </c>
      <c r="C370" s="61" t="str">
        <f t="shared" si="13"/>
        <v>C02739:1</v>
      </c>
      <c r="D370" s="60" t="str">
        <f t="shared" si="12"/>
        <v>C02739 : 1-(5-Phospho-D-ribosyl)-ATP</v>
      </c>
      <c r="E370"/>
    </row>
    <row r="371" spans="1:5">
      <c r="A371" t="s">
        <v>13148</v>
      </c>
      <c r="B371" s="18" t="s">
        <v>13949</v>
      </c>
      <c r="C371" s="61" t="str">
        <f t="shared" si="13"/>
        <v>C02741:1</v>
      </c>
      <c r="D371" s="60" t="str">
        <f t="shared" si="12"/>
        <v>C02741 : Phosphoribosyl-AMP</v>
      </c>
      <c r="E371"/>
    </row>
    <row r="372" spans="1:5">
      <c r="A372" t="s">
        <v>13309</v>
      </c>
      <c r="B372" s="18" t="s">
        <v>13950</v>
      </c>
      <c r="C372" s="61" t="str">
        <f t="shared" si="13"/>
        <v>C02743:1</v>
      </c>
      <c r="D372" s="60" t="str">
        <f t="shared" si="12"/>
        <v>C02743 : [Protein]-L-cysteine</v>
      </c>
      <c r="E372"/>
    </row>
    <row r="373" spans="1:5">
      <c r="A373" s="1" t="s">
        <v>9436</v>
      </c>
      <c r="B373" s="18" t="s">
        <v>13951</v>
      </c>
      <c r="C373" s="61" t="str">
        <f t="shared" si="13"/>
        <v>C02764:1</v>
      </c>
      <c r="D373" s="60" t="str">
        <f t="shared" si="12"/>
        <v>C02764 : tRNA pseudouridine</v>
      </c>
      <c r="E373"/>
    </row>
    <row r="374" spans="1:5">
      <c r="A374" t="s">
        <v>13380</v>
      </c>
      <c r="B374" s="18" t="s">
        <v>13952</v>
      </c>
      <c r="C374" s="61" t="str">
        <f t="shared" si="13"/>
        <v>C02839:1</v>
      </c>
      <c r="D374" s="60" t="str">
        <f t="shared" si="12"/>
        <v>C02839 : L-Tyrosyl-tRNA(Tyr)</v>
      </c>
      <c r="E374"/>
    </row>
    <row r="375" spans="1:5">
      <c r="A375" s="47" t="s">
        <v>13478</v>
      </c>
      <c r="B375" s="18" t="s">
        <v>13953</v>
      </c>
      <c r="C375" s="61" t="str">
        <f t="shared" si="13"/>
        <v>C02876:1</v>
      </c>
      <c r="D375" s="60" t="str">
        <f t="shared" si="12"/>
        <v>C02876 : Propanoyl phosphate</v>
      </c>
      <c r="E375"/>
    </row>
    <row r="376" spans="1:5">
      <c r="A376" t="s">
        <v>9544</v>
      </c>
      <c r="B376" s="18" t="s">
        <v>13954</v>
      </c>
      <c r="C376" s="61" t="str">
        <f t="shared" si="13"/>
        <v>C02962:1</v>
      </c>
      <c r="D376" s="60" t="str">
        <f t="shared" si="12"/>
        <v>C02962 : D-Allose 6-phosphate</v>
      </c>
      <c r="E376"/>
    </row>
    <row r="377" spans="1:5">
      <c r="A377" s="48" t="s">
        <v>13394</v>
      </c>
      <c r="B377" s="18" t="s">
        <v>13955</v>
      </c>
      <c r="C377" s="61" t="str">
        <f t="shared" si="13"/>
        <v>C02967:1</v>
      </c>
      <c r="D377" s="60" t="str">
        <f t="shared" si="12"/>
        <v>C02967 : 5-Methylcytosine in DNA</v>
      </c>
      <c r="E377"/>
    </row>
    <row r="378" spans="1:5">
      <c r="A378" t="s">
        <v>13149</v>
      </c>
      <c r="B378" s="18" t="s">
        <v>13956</v>
      </c>
      <c r="C378" s="61" t="str">
        <f t="shared" si="13"/>
        <v>C02972:1</v>
      </c>
      <c r="D378" s="60" t="str">
        <f t="shared" si="12"/>
        <v>C02972 : Dihydrolipoylprotein</v>
      </c>
      <c r="E378"/>
    </row>
    <row r="379" spans="1:5">
      <c r="A379" s="47" t="s">
        <v>13578</v>
      </c>
      <c r="B379" s="18" t="s">
        <v>13957</v>
      </c>
      <c r="C379" s="61" t="str">
        <f t="shared" si="13"/>
        <v>C02984:1</v>
      </c>
      <c r="D379" s="60" t="str">
        <f t="shared" si="12"/>
        <v>C02984 : L-Aspartyl-tRNA(Asp)</v>
      </c>
      <c r="E379"/>
    </row>
    <row r="380" spans="1:5">
      <c r="A380" s="47" t="s">
        <v>13579</v>
      </c>
      <c r="B380" s="31" t="s">
        <v>13958</v>
      </c>
      <c r="C380" s="61" t="str">
        <f t="shared" si="13"/>
        <v>C02987:1</v>
      </c>
      <c r="D380" s="60" t="str">
        <f t="shared" si="12"/>
        <v>C02987 : L-Glutamyl-tRNA(Glu)</v>
      </c>
      <c r="E380"/>
    </row>
    <row r="381" spans="1:5">
      <c r="A381" t="s">
        <v>13401</v>
      </c>
      <c r="B381" s="18" t="s">
        <v>13959</v>
      </c>
      <c r="C381" s="61" t="str">
        <f t="shared" si="13"/>
        <v>C02988:1</v>
      </c>
      <c r="D381" s="60" t="str">
        <f t="shared" si="12"/>
        <v>C02988 : L-Histidyl-tRNA(His)</v>
      </c>
      <c r="E381"/>
    </row>
    <row r="382" spans="1:5">
      <c r="A382" t="s">
        <v>13404</v>
      </c>
      <c r="B382" s="18" t="s">
        <v>13960</v>
      </c>
      <c r="C382" s="61" t="str">
        <f t="shared" si="13"/>
        <v>C02992:1</v>
      </c>
      <c r="D382" s="60" t="str">
        <f t="shared" si="12"/>
        <v>C02992 : L-Threonyl-tRNA(Thr)</v>
      </c>
      <c r="E382"/>
    </row>
    <row r="383" spans="1:5">
      <c r="A383" t="s">
        <v>13150</v>
      </c>
      <c r="B383" s="18" t="s">
        <v>13961</v>
      </c>
      <c r="C383" s="61" t="str">
        <f t="shared" si="13"/>
        <v>C03023:1</v>
      </c>
      <c r="D383" s="60" t="str">
        <f t="shared" si="12"/>
        <v>C03023 : Peptide-L-methionine</v>
      </c>
      <c r="E383"/>
    </row>
    <row r="384" spans="1:5">
      <c r="A384" t="s">
        <v>13033</v>
      </c>
      <c r="B384" s="18" t="s">
        <v>13962</v>
      </c>
      <c r="C384" s="61" t="str">
        <f t="shared" si="13"/>
        <v>C03024:1</v>
      </c>
      <c r="D384" s="60" t="str">
        <f t="shared" si="12"/>
        <v>C03024 : Reduced NADPH---hemoprotein reductase</v>
      </c>
      <c r="E384"/>
    </row>
    <row r="385" spans="1:5">
      <c r="A385" s="47" t="s">
        <v>13526</v>
      </c>
      <c r="B385" s="18" t="s">
        <v>13963</v>
      </c>
      <c r="C385" s="61" t="str">
        <f t="shared" si="13"/>
        <v>C03028:1</v>
      </c>
      <c r="D385" s="60" t="str">
        <f t="shared" si="12"/>
        <v>C03028 : Thiamin triphosphate</v>
      </c>
      <c r="E385"/>
    </row>
    <row r="386" spans="1:5">
      <c r="A386" s="47" t="s">
        <v>13417</v>
      </c>
      <c r="B386" s="18" t="s">
        <v>13964</v>
      </c>
      <c r="C386" s="61" t="str">
        <f t="shared" si="13"/>
        <v>C03082:1</v>
      </c>
      <c r="D386" s="60" t="str">
        <f t="shared" ref="D386:D449" si="14">CONCATENATE(A386," : ",B386)</f>
        <v>C03082 : 4-Phospho-L-aspartate</v>
      </c>
      <c r="E386"/>
    </row>
    <row r="387" spans="1:5">
      <c r="A387" t="s">
        <v>13310</v>
      </c>
      <c r="B387" s="18" t="s">
        <v>13965</v>
      </c>
      <c r="C387" s="61" t="str">
        <f t="shared" si="13"/>
        <v>C03090:1</v>
      </c>
      <c r="D387" s="60" t="str">
        <f t="shared" si="14"/>
        <v>C03090 : 5-Phosphoribosylamine</v>
      </c>
      <c r="E387"/>
    </row>
    <row r="388" spans="1:5">
      <c r="A388" t="s">
        <v>13311</v>
      </c>
      <c r="B388" s="18" t="s">
        <v>13966</v>
      </c>
      <c r="C388" s="61" t="str">
        <f t="shared" si="13"/>
        <v>C03114:1</v>
      </c>
      <c r="D388" s="60" t="str">
        <f t="shared" si="14"/>
        <v>C03114 : Dimethylbenzimidazole</v>
      </c>
      <c r="E388"/>
    </row>
    <row r="389" spans="1:5">
      <c r="A389" t="s">
        <v>13395</v>
      </c>
      <c r="B389" s="18" t="s">
        <v>13967</v>
      </c>
      <c r="C389" s="61" t="str">
        <f t="shared" si="13"/>
        <v>C03125:1</v>
      </c>
      <c r="D389" s="60" t="str">
        <f t="shared" si="14"/>
        <v>C03125 : L-Cysteinyl-tRNA(Cys)</v>
      </c>
      <c r="E389"/>
    </row>
    <row r="390" spans="1:5">
      <c r="A390" t="s">
        <v>13408</v>
      </c>
      <c r="B390" s="18" t="s">
        <v>13968</v>
      </c>
      <c r="C390" s="61" t="str">
        <f t="shared" si="13"/>
        <v>C03127:1</v>
      </c>
      <c r="D390" s="60" t="str">
        <f t="shared" si="14"/>
        <v>C03127 : L-Isoleucyl-tRNA(Ile)</v>
      </c>
      <c r="E390"/>
    </row>
    <row r="391" spans="1:5">
      <c r="A391" t="s">
        <v>10538</v>
      </c>
      <c r="B391" s="18" t="s">
        <v>13969</v>
      </c>
      <c r="C391" s="61" t="str">
        <f t="shared" si="13"/>
        <v>C03160:1</v>
      </c>
      <c r="D391" s="60" t="str">
        <f t="shared" si="14"/>
        <v>C03160 : 2-Succinylbenzoyl-CoA</v>
      </c>
      <c r="E391"/>
    </row>
    <row r="392" spans="1:5">
      <c r="A392" t="s">
        <v>13374</v>
      </c>
      <c r="B392" s="18" t="s">
        <v>13970</v>
      </c>
      <c r="C392" s="61" t="str">
        <f t="shared" si="13"/>
        <v>C03161:1</v>
      </c>
      <c r="D392" s="60" t="str">
        <f t="shared" si="14"/>
        <v>C03161 : Oxidized NADPH---hemoprotein reductase</v>
      </c>
      <c r="E392"/>
    </row>
    <row r="393" spans="1:5">
      <c r="A393" t="s">
        <v>13151</v>
      </c>
      <c r="B393" s="18" t="s">
        <v>13971</v>
      </c>
      <c r="C393" s="61" t="str">
        <f t="shared" ref="C393:C456" si="15">CONCATENATE(A393,":","1")</f>
        <v>C03167:1</v>
      </c>
      <c r="D393" s="60" t="str">
        <f t="shared" si="14"/>
        <v>C03167 : Phosphonoacetaldehyde</v>
      </c>
      <c r="E393"/>
    </row>
    <row r="394" spans="1:5">
      <c r="A394" t="s">
        <v>13312</v>
      </c>
      <c r="B394" s="18" t="s">
        <v>13972</v>
      </c>
      <c r="C394" s="61" t="str">
        <f t="shared" si="15"/>
        <v>C03170:1</v>
      </c>
      <c r="D394" s="60" t="str">
        <f t="shared" si="14"/>
        <v>C03170 : Trypanothione disulfide</v>
      </c>
      <c r="E394"/>
    </row>
    <row r="395" spans="1:5">
      <c r="A395" s="47" t="s">
        <v>13474</v>
      </c>
      <c r="B395" s="18" t="s">
        <v>13973</v>
      </c>
      <c r="C395" s="61" t="str">
        <f t="shared" si="15"/>
        <v>C03175:1</v>
      </c>
      <c r="D395" s="60" t="str">
        <f t="shared" si="14"/>
        <v>C03175 : Shikimate 3-phosphate</v>
      </c>
      <c r="E395"/>
    </row>
    <row r="396" spans="1:5">
      <c r="A396" s="47" t="s">
        <v>13517</v>
      </c>
      <c r="B396" s="18" t="s">
        <v>13974</v>
      </c>
      <c r="C396" s="61" t="str">
        <f t="shared" si="15"/>
        <v>C03232:1</v>
      </c>
      <c r="D396" s="60" t="str">
        <f t="shared" si="14"/>
        <v>C03232 : 3-Phosphonooxypyruvate</v>
      </c>
      <c r="E396"/>
    </row>
    <row r="397" spans="1:5">
      <c r="A397" s="47" t="s">
        <v>13421</v>
      </c>
      <c r="B397" s="18" t="s">
        <v>13975</v>
      </c>
      <c r="C397" s="61" t="str">
        <f t="shared" si="15"/>
        <v>C03287:1</v>
      </c>
      <c r="D397" s="60" t="str">
        <f t="shared" si="14"/>
        <v>C03287 : L-Glutamyl 5-phosphate</v>
      </c>
      <c r="E397"/>
    </row>
    <row r="398" spans="1:5">
      <c r="A398" s="47" t="s">
        <v>13414</v>
      </c>
      <c r="B398" s="18" t="s">
        <v>13976</v>
      </c>
      <c r="C398" s="61" t="str">
        <f t="shared" si="15"/>
        <v>C03294:1</v>
      </c>
      <c r="D398" s="60" t="str">
        <f t="shared" si="14"/>
        <v>C03294 : N-Formylmethionyl-tRNA</v>
      </c>
      <c r="E398"/>
    </row>
    <row r="399" spans="1:5">
      <c r="A399" t="s">
        <v>13153</v>
      </c>
      <c r="B399" s="18" t="s">
        <v>13977</v>
      </c>
      <c r="C399" s="61" t="str">
        <f t="shared" si="15"/>
        <v>C03319:1</v>
      </c>
      <c r="D399" s="60" t="str">
        <f t="shared" si="14"/>
        <v>C03319 : dTDP-L-rhamnose</v>
      </c>
      <c r="E399"/>
    </row>
    <row r="400" spans="1:5">
      <c r="A400" t="s">
        <v>9949</v>
      </c>
      <c r="B400" s="18" t="s">
        <v>13978</v>
      </c>
      <c r="C400" s="61" t="str">
        <f t="shared" si="15"/>
        <v>C03356:1</v>
      </c>
      <c r="D400" s="60" t="str">
        <f t="shared" si="14"/>
        <v>C03356 : 3-Phospho-D-erythronate</v>
      </c>
      <c r="E400"/>
    </row>
    <row r="401" spans="1:5">
      <c r="A401" t="s">
        <v>13155</v>
      </c>
      <c r="B401" s="18" t="s">
        <v>13979</v>
      </c>
      <c r="C401" s="61" t="str">
        <f t="shared" si="15"/>
        <v>C03373:1</v>
      </c>
      <c r="D401" s="60" t="str">
        <f t="shared" si="14"/>
        <v>C03373 : Aminoimidazole ribotide</v>
      </c>
      <c r="E401"/>
    </row>
    <row r="402" spans="1:5">
      <c r="A402" s="47" t="s">
        <v>13558</v>
      </c>
      <c r="B402" s="18" t="s">
        <v>13980</v>
      </c>
      <c r="C402" s="61" t="str">
        <f t="shared" si="15"/>
        <v>C03375:1</v>
      </c>
      <c r="D402" s="60" t="str">
        <f t="shared" si="14"/>
        <v>C03375 : Norspermidine</v>
      </c>
      <c r="E402"/>
    </row>
    <row r="403" spans="1:5">
      <c r="A403" s="47" t="s">
        <v>13399</v>
      </c>
      <c r="B403" s="18" t="s">
        <v>13981</v>
      </c>
      <c r="C403" s="61" t="str">
        <f t="shared" si="15"/>
        <v>C03391:1</v>
      </c>
      <c r="D403" s="60" t="str">
        <f t="shared" si="14"/>
        <v>C03391 : DNA 6-methylaminopurine</v>
      </c>
      <c r="E403"/>
    </row>
    <row r="404" spans="1:5">
      <c r="A404" t="s">
        <v>13403</v>
      </c>
      <c r="B404" s="18" t="s">
        <v>13982</v>
      </c>
      <c r="C404" s="61" t="str">
        <f t="shared" si="15"/>
        <v>C03402:1</v>
      </c>
      <c r="D404" s="60" t="str">
        <f t="shared" si="14"/>
        <v>C03402 : L-Asparaginyl-tRNA(Asn)</v>
      </c>
      <c r="E404"/>
    </row>
    <row r="405" spans="1:5">
      <c r="A405" s="1" t="s">
        <v>10074</v>
      </c>
      <c r="B405" s="18" t="s">
        <v>13983</v>
      </c>
      <c r="C405" s="61" t="str">
        <f t="shared" si="15"/>
        <v>C03406:1</v>
      </c>
      <c r="D405" s="60" t="str">
        <f t="shared" si="14"/>
        <v>C03406 : N-(L-Arginino)succinate</v>
      </c>
      <c r="E405"/>
    </row>
    <row r="406" spans="1:5">
      <c r="A406" t="s">
        <v>13156</v>
      </c>
      <c r="B406" s="18" t="s">
        <v>13984</v>
      </c>
      <c r="C406" s="61" t="str">
        <f t="shared" si="15"/>
        <v>C03479:1</v>
      </c>
      <c r="D406" s="60" t="str">
        <f t="shared" si="14"/>
        <v>C03479 : Folinic acid</v>
      </c>
      <c r="E406"/>
    </row>
    <row r="407" spans="1:5">
      <c r="A407" t="s">
        <v>13313</v>
      </c>
      <c r="B407" s="18" t="s">
        <v>13985</v>
      </c>
      <c r="C407" s="61" t="str">
        <f t="shared" si="15"/>
        <v>C03492:1</v>
      </c>
      <c r="D407" s="60" t="str">
        <f t="shared" si="14"/>
        <v>C03492 : D-4'-Phosphopantothenate</v>
      </c>
      <c r="E407"/>
    </row>
    <row r="408" spans="1:5">
      <c r="A408" t="s">
        <v>9360</v>
      </c>
      <c r="B408" s="18" t="s">
        <v>13986</v>
      </c>
      <c r="C408" s="61" t="str">
        <f t="shared" si="15"/>
        <v>C03506:1</v>
      </c>
      <c r="D408" s="60" t="str">
        <f t="shared" si="14"/>
        <v>C03506 : Indoleglycerol phosphate</v>
      </c>
      <c r="E408"/>
    </row>
    <row r="409" spans="1:5">
      <c r="A409" s="47" t="s">
        <v>13433</v>
      </c>
      <c r="B409" s="18" t="s">
        <v>13987</v>
      </c>
      <c r="C409" s="61" t="str">
        <f t="shared" si="15"/>
        <v>C03508:1</v>
      </c>
      <c r="D409" s="60" t="str">
        <f t="shared" si="14"/>
        <v>C03508 : L-2-Amino-3-oxobutanoic acid</v>
      </c>
      <c r="E409"/>
    </row>
    <row r="410" spans="1:5">
      <c r="A410" t="s">
        <v>13400</v>
      </c>
      <c r="B410" s="18" t="s">
        <v>13988</v>
      </c>
      <c r="C410" s="61" t="str">
        <f t="shared" si="15"/>
        <v>C03511:1</v>
      </c>
      <c r="D410" s="60" t="str">
        <f t="shared" si="14"/>
        <v>C03511 : L-Phenylalanyl-tRNA(Phe)</v>
      </c>
      <c r="E410"/>
    </row>
    <row r="411" spans="1:5">
      <c r="A411" t="s">
        <v>13035</v>
      </c>
      <c r="B411" s="18" t="s">
        <v>13989</v>
      </c>
      <c r="C411" s="61" t="str">
        <f t="shared" si="15"/>
        <v>C03512:1</v>
      </c>
      <c r="D411" s="60" t="str">
        <f t="shared" si="14"/>
        <v>C03512 : L-Tryptophanyl-tRNA(Trp)</v>
      </c>
      <c r="E411"/>
    </row>
    <row r="412" spans="1:5">
      <c r="A412" s="47" t="s">
        <v>13531</v>
      </c>
      <c r="B412" s="18" t="s">
        <v>13990</v>
      </c>
      <c r="C412" s="61" t="str">
        <f t="shared" si="15"/>
        <v>C03523:1</v>
      </c>
      <c r="D412" s="60" t="str">
        <f t="shared" si="14"/>
        <v>C03523 : N-Substituted amino acid</v>
      </c>
      <c r="E412"/>
    </row>
    <row r="413" spans="1:5">
      <c r="A413" t="s">
        <v>13157</v>
      </c>
      <c r="B413" s="18" t="s">
        <v>13991</v>
      </c>
      <c r="C413" s="61" t="str">
        <f t="shared" si="15"/>
        <v>C03557:1</v>
      </c>
      <c r="D413" s="60" t="str">
        <f t="shared" si="14"/>
        <v>C03557 : 2-Aminoethylphosphonate</v>
      </c>
      <c r="E413"/>
    </row>
    <row r="414" spans="1:5">
      <c r="A414" t="s">
        <v>13503</v>
      </c>
      <c r="B414" s="18" t="s">
        <v>13992</v>
      </c>
      <c r="C414" s="61" t="str">
        <f t="shared" si="15"/>
        <v>C03617:1</v>
      </c>
      <c r="D414" s="60" t="str">
        <f t="shared" si="14"/>
        <v>C03617 : L-Methionylaminoacyl-tRNA</v>
      </c>
      <c r="E414"/>
    </row>
    <row r="415" spans="1:5">
      <c r="A415" s="47" t="s">
        <v>13575</v>
      </c>
      <c r="B415" s="18" t="s">
        <v>13993</v>
      </c>
      <c r="C415" s="61" t="str">
        <f t="shared" si="15"/>
        <v>C03633:1</v>
      </c>
      <c r="D415" s="60" t="str">
        <f t="shared" si="14"/>
        <v xml:space="preserve">C03633 : Peptidylproline </v>
      </c>
      <c r="E415"/>
    </row>
    <row r="416" spans="1:5">
      <c r="A416" t="s">
        <v>13314</v>
      </c>
      <c r="B416" s="18" t="s">
        <v>13994</v>
      </c>
      <c r="C416" s="61" t="str">
        <f t="shared" si="15"/>
        <v>C03657:1</v>
      </c>
      <c r="D416" s="60" t="str">
        <f t="shared" si="14"/>
        <v>C03657 : 1,4-Dihydroxy-2-naphthoate</v>
      </c>
      <c r="E416"/>
    </row>
    <row r="417" spans="1:5">
      <c r="A417" t="s">
        <v>13158</v>
      </c>
      <c r="B417" s="18" t="s">
        <v>13995</v>
      </c>
      <c r="C417" s="61" t="str">
        <f t="shared" si="15"/>
        <v>C03680:1</v>
      </c>
      <c r="D417" s="60" t="str">
        <f t="shared" si="14"/>
        <v>C03680 : 4-Imidazolone-5-propanoate</v>
      </c>
      <c r="E417"/>
    </row>
    <row r="418" spans="1:5">
      <c r="A418" s="47" t="s">
        <v>13489</v>
      </c>
      <c r="B418" s="18" t="s">
        <v>13996</v>
      </c>
      <c r="C418" s="61" t="str">
        <f t="shared" si="15"/>
        <v>C03722:1</v>
      </c>
      <c r="D418" s="60" t="str">
        <f t="shared" si="14"/>
        <v>C03722 : Quinolinate</v>
      </c>
      <c r="E418"/>
    </row>
    <row r="419" spans="1:5">
      <c r="A419" s="47" t="s">
        <v>13391</v>
      </c>
      <c r="B419" s="18" t="s">
        <v>13997</v>
      </c>
      <c r="C419" s="61" t="str">
        <f t="shared" si="15"/>
        <v>C03723:1</v>
      </c>
      <c r="D419" s="60" t="str">
        <f t="shared" si="14"/>
        <v>C03723 : Ribonucleoside diphosphate</v>
      </c>
      <c r="E419"/>
    </row>
    <row r="420" spans="1:5">
      <c r="A420" s="50" t="s">
        <v>13577</v>
      </c>
      <c r="B420" s="18" t="s">
        <v>13998</v>
      </c>
      <c r="C420" s="61" t="str">
        <f t="shared" si="15"/>
        <v>C03733:1</v>
      </c>
      <c r="D420" s="60" t="str">
        <f t="shared" si="14"/>
        <v>C03733 : UDP-alpha-D-galactofuranose</v>
      </c>
      <c r="E420"/>
    </row>
    <row r="421" spans="1:5">
      <c r="A421" s="47" t="s">
        <v>13541</v>
      </c>
      <c r="B421" s="18" t="s">
        <v>13999</v>
      </c>
      <c r="C421" s="61" t="str">
        <f t="shared" si="15"/>
        <v>C03742:1</v>
      </c>
      <c r="D421" s="60" t="str">
        <f t="shared" si="14"/>
        <v>C03742 : (S)-4-Hydroxymandelonitrile</v>
      </c>
      <c r="E421"/>
    </row>
    <row r="422" spans="1:5">
      <c r="A422" s="47" t="s">
        <v>13462</v>
      </c>
      <c r="B422" s="18" t="s">
        <v>14000</v>
      </c>
      <c r="C422" s="61" t="str">
        <f t="shared" si="15"/>
        <v>C03785:1</v>
      </c>
      <c r="D422" s="60" t="str">
        <f t="shared" si="14"/>
        <v>C03785 : D-Tagatose 1,6-bisphosphate</v>
      </c>
      <c r="E422"/>
    </row>
    <row r="423" spans="1:5">
      <c r="A423" t="s">
        <v>13159</v>
      </c>
      <c r="B423" s="18" t="s">
        <v>14001</v>
      </c>
      <c r="C423" s="61" t="str">
        <f t="shared" si="15"/>
        <v>C03794:1</v>
      </c>
      <c r="D423" s="60" t="str">
        <f t="shared" si="14"/>
        <v>C03794 : N6-(1,2-Dicarboxyethyl)-AMP</v>
      </c>
      <c r="E423"/>
    </row>
    <row r="424" spans="1:5">
      <c r="A424" t="s">
        <v>9637</v>
      </c>
      <c r="B424" s="18" t="s">
        <v>14002</v>
      </c>
      <c r="C424" s="61" t="str">
        <f t="shared" si="15"/>
        <v>C03798:1</v>
      </c>
      <c r="D424" s="60" t="str">
        <f t="shared" si="14"/>
        <v>C03798 : Peptidylproline (omega=180)</v>
      </c>
      <c r="E424"/>
    </row>
    <row r="425" spans="1:5">
      <c r="A425" s="47" t="s">
        <v>13465</v>
      </c>
      <c r="B425" s="18" t="s">
        <v>14003</v>
      </c>
      <c r="C425" s="61" t="str">
        <f t="shared" si="15"/>
        <v>C03800:1</v>
      </c>
      <c r="D425" s="60" t="str">
        <f t="shared" si="14"/>
        <v>C03800 : Protein S-methyl-L-cysteine</v>
      </c>
      <c r="E425"/>
    </row>
    <row r="426" spans="1:5">
      <c r="A426" s="47" t="s">
        <v>13402</v>
      </c>
      <c r="B426" s="18" t="s">
        <v>14004</v>
      </c>
      <c r="C426" s="61" t="str">
        <f t="shared" si="15"/>
        <v>C03802:1</v>
      </c>
      <c r="D426" s="60" t="str">
        <f t="shared" si="14"/>
        <v>C03802 : Ribonucleoside triphosphate</v>
      </c>
      <c r="E426"/>
    </row>
    <row r="427" spans="1:5">
      <c r="A427" t="s">
        <v>13429</v>
      </c>
      <c r="B427" s="18" t="s">
        <v>14005</v>
      </c>
      <c r="C427" s="61" t="str">
        <f t="shared" si="15"/>
        <v>C03838:1</v>
      </c>
      <c r="D427" s="60" t="str">
        <f t="shared" si="14"/>
        <v>C03838 : 5'-Phosphoribosylglycinamide</v>
      </c>
      <c r="E427"/>
    </row>
    <row r="428" spans="1:5">
      <c r="A428" s="47" t="s">
        <v>13441</v>
      </c>
      <c r="B428" s="18" t="s">
        <v>14006</v>
      </c>
      <c r="C428" s="61" t="str">
        <f t="shared" si="15"/>
        <v>C03871:1</v>
      </c>
      <c r="D428" s="60" t="str">
        <f t="shared" si="14"/>
        <v>C03871 : L-2-Amino-6-oxoheptanedioate</v>
      </c>
      <c r="E428"/>
    </row>
    <row r="429" spans="1:5">
      <c r="A429" t="s">
        <v>13160</v>
      </c>
      <c r="B429" s="18" t="s">
        <v>14007</v>
      </c>
      <c r="C429" s="61" t="str">
        <f t="shared" si="15"/>
        <v>C03880:1</v>
      </c>
      <c r="D429" s="60" t="str">
        <f t="shared" si="14"/>
        <v>C03880 : N-Substituted aminoacyl-tRNA</v>
      </c>
      <c r="E429"/>
    </row>
    <row r="430" spans="1:5">
      <c r="A430" t="s">
        <v>13161</v>
      </c>
      <c r="B430" s="18" t="s">
        <v>14008</v>
      </c>
      <c r="C430" s="61" t="str">
        <f t="shared" si="15"/>
        <v>C03912:1</v>
      </c>
      <c r="D430" s="60" t="str">
        <f t="shared" si="14"/>
        <v>C03912 : (S)-1-Pyrroline-5-carboxylate</v>
      </c>
      <c r="E430"/>
    </row>
    <row r="431" spans="1:5">
      <c r="A431" t="s">
        <v>13162</v>
      </c>
      <c r="B431" s="31" t="s">
        <v>14009</v>
      </c>
      <c r="C431" s="61" t="str">
        <f t="shared" si="15"/>
        <v>C03939:1</v>
      </c>
      <c r="D431" s="60" t="str">
        <f t="shared" si="14"/>
        <v>C03939 : Acetyl-[acyl-carrier protein]</v>
      </c>
      <c r="E431"/>
    </row>
    <row r="432" spans="1:5">
      <c r="A432" t="s">
        <v>13163</v>
      </c>
      <c r="B432" s="18" t="s">
        <v>14010</v>
      </c>
      <c r="C432" s="61" t="str">
        <f t="shared" si="15"/>
        <v>C03972:1</v>
      </c>
      <c r="D432" s="60" t="str">
        <f t="shared" si="14"/>
        <v>C03972 : 2,3,4,5-Tetrahydrodipicolinate</v>
      </c>
      <c r="E432"/>
    </row>
    <row r="433" spans="1:5">
      <c r="A433" t="s">
        <v>9503</v>
      </c>
      <c r="B433" s="18" t="s">
        <v>14011</v>
      </c>
      <c r="C433" s="61" t="str">
        <f t="shared" si="15"/>
        <v>C04039:1</v>
      </c>
      <c r="D433" s="60" t="str">
        <f t="shared" si="14"/>
        <v>C04039 : 2,3-Dihydroxy-3-methylbutanoate</v>
      </c>
      <c r="E433"/>
    </row>
    <row r="434" spans="1:5">
      <c r="A434" t="s">
        <v>13315</v>
      </c>
      <c r="B434" s="18" t="s">
        <v>14012</v>
      </c>
      <c r="C434" s="61" t="str">
        <f t="shared" si="15"/>
        <v>C04079:1</v>
      </c>
      <c r="D434" s="60" t="str">
        <f t="shared" si="14"/>
        <v>C04079 : N-((R)-Pantothenoyl)-L-cysteine</v>
      </c>
      <c r="E434"/>
    </row>
    <row r="435" spans="1:5">
      <c r="A435" s="47" t="s">
        <v>13419</v>
      </c>
      <c r="B435" s="18" t="s">
        <v>14013</v>
      </c>
      <c r="C435" s="61" t="str">
        <f t="shared" si="15"/>
        <v>C04133:1</v>
      </c>
      <c r="D435" s="60" t="str">
        <f t="shared" si="14"/>
        <v>C04133 : N-Acetyl-L-glutamate 5-phosphate</v>
      </c>
      <c r="E435"/>
    </row>
    <row r="436" spans="1:5">
      <c r="A436" s="47" t="s">
        <v>13379</v>
      </c>
      <c r="B436" s="18" t="s">
        <v>14014</v>
      </c>
      <c r="C436" s="61" t="str">
        <f t="shared" si="15"/>
        <v>C04144:1</v>
      </c>
      <c r="D436" s="60" t="str">
        <f t="shared" si="14"/>
        <v>C04144 : Tetrahydropteroyltri-L-glutamate</v>
      </c>
      <c r="E436"/>
    </row>
    <row r="437" spans="1:5">
      <c r="A437" s="48" t="s">
        <v>13389</v>
      </c>
      <c r="B437" s="18" t="s">
        <v>14015</v>
      </c>
      <c r="C437" s="61" t="str">
        <f t="shared" si="15"/>
        <v>C04157:1</v>
      </c>
      <c r="D437" s="60" t="str">
        <f t="shared" si="14"/>
        <v>C04157 : tRNA containing N1-methylguanine</v>
      </c>
      <c r="E437"/>
    </row>
    <row r="438" spans="1:5">
      <c r="A438" s="48" t="s">
        <v>13392</v>
      </c>
      <c r="B438" s="18" t="s">
        <v>14016</v>
      </c>
      <c r="C438" s="61" t="str">
        <f t="shared" si="15"/>
        <v>C04160:1</v>
      </c>
      <c r="D438" s="60" t="str">
        <f t="shared" si="14"/>
        <v>C04160 : tRNA containing N7-methylguanine</v>
      </c>
      <c r="E438"/>
    </row>
    <row r="439" spans="1:5">
      <c r="A439" s="1" t="s">
        <v>9608</v>
      </c>
      <c r="B439" s="18" t="s">
        <v>14017</v>
      </c>
      <c r="C439" s="61" t="str">
        <f t="shared" si="15"/>
        <v>C04188:1</v>
      </c>
      <c r="D439" s="60" t="str">
        <f t="shared" si="14"/>
        <v>C04188 : S-Methyl-5-thio-D-ribose 1-phosphate</v>
      </c>
      <c r="E439"/>
    </row>
    <row r="440" spans="1:5">
      <c r="A440" t="s">
        <v>13166</v>
      </c>
      <c r="B440" s="18" t="s">
        <v>14018</v>
      </c>
      <c r="C440" s="61" t="str">
        <f t="shared" si="15"/>
        <v>C04232:1</v>
      </c>
      <c r="D440" s="60" t="str">
        <f t="shared" si="14"/>
        <v>C04232 : 2'-Deoxyribonucleoside diphosphate</v>
      </c>
      <c r="E440"/>
    </row>
    <row r="441" spans="1:5">
      <c r="A441" s="47" t="s">
        <v>9471</v>
      </c>
      <c r="B441" s="18" t="s">
        <v>14019</v>
      </c>
      <c r="C441" s="61" t="str">
        <f t="shared" si="15"/>
        <v>C04236:1</v>
      </c>
      <c r="D441" s="60" t="str">
        <f t="shared" si="14"/>
        <v>C04236 : (2S)-2-Isopropyl-3-oxosuccinate</v>
      </c>
      <c r="E441"/>
    </row>
    <row r="442" spans="1:5">
      <c r="A442" s="47" t="s">
        <v>13552</v>
      </c>
      <c r="B442" s="18" t="s">
        <v>14020</v>
      </c>
      <c r="C442" s="61" t="str">
        <f t="shared" si="15"/>
        <v>C04242:1</v>
      </c>
      <c r="D442" s="60" t="str">
        <f t="shared" si="14"/>
        <v>C04242 : 5-Fluorodeoxyuridine monophosphate</v>
      </c>
      <c r="E442"/>
    </row>
    <row r="443" spans="1:5">
      <c r="A443" t="s">
        <v>13167</v>
      </c>
      <c r="B443" s="18" t="s">
        <v>14021</v>
      </c>
      <c r="C443" s="61" t="str">
        <f t="shared" si="15"/>
        <v>C04250:1</v>
      </c>
      <c r="D443" s="60" t="str">
        <f t="shared" si="14"/>
        <v>C04250 : DNA containing 6-O-methylguanine</v>
      </c>
      <c r="E443"/>
    </row>
    <row r="444" spans="1:5">
      <c r="A444" t="s">
        <v>13168</v>
      </c>
      <c r="B444" s="18" t="s">
        <v>14022</v>
      </c>
      <c r="C444" s="61" t="str">
        <f t="shared" si="15"/>
        <v>C04258:1</v>
      </c>
      <c r="D444" s="60" t="str">
        <f t="shared" si="14"/>
        <v>C04258 : N-Formyl-L-methionylaminoacyl-tRNA</v>
      </c>
      <c r="E444"/>
    </row>
    <row r="445" spans="1:5">
      <c r="A445" t="s">
        <v>13524</v>
      </c>
      <c r="B445" s="18" t="s">
        <v>14023</v>
      </c>
      <c r="C445" s="61" t="str">
        <f t="shared" si="15"/>
        <v>C04262:1</v>
      </c>
      <c r="D445" s="60" t="str">
        <f t="shared" si="14"/>
        <v>C04262 : Protein N(tau)-phospho-L-histidine</v>
      </c>
      <c r="E445"/>
    </row>
    <row r="446" spans="1:5">
      <c r="A446" t="s">
        <v>9505</v>
      </c>
      <c r="B446" s="18" t="s">
        <v>14024</v>
      </c>
      <c r="C446" s="61" t="str">
        <f t="shared" si="15"/>
        <v>C04272:1</v>
      </c>
      <c r="D446" s="60" t="str">
        <f t="shared" si="14"/>
        <v>C04272 : (R)-2,3-Dihydroxy-3-methylbutanoate</v>
      </c>
      <c r="E446"/>
    </row>
    <row r="447" spans="1:5">
      <c r="A447" t="s">
        <v>13171</v>
      </c>
      <c r="B447" s="18" t="s">
        <v>14025</v>
      </c>
      <c r="C447" s="61" t="str">
        <f t="shared" si="15"/>
        <v>C04281:1</v>
      </c>
      <c r="D447" s="60" t="str">
        <f t="shared" si="14"/>
        <v>C04281 : L-1-Pyrroline-3-hydroxy-5-carboxylate</v>
      </c>
      <c r="E447"/>
    </row>
    <row r="448" spans="1:5">
      <c r="A448" t="s">
        <v>13172</v>
      </c>
      <c r="B448" s="18" t="s">
        <v>14026</v>
      </c>
      <c r="C448" s="61" t="str">
        <f t="shared" si="15"/>
        <v>C04302:1</v>
      </c>
      <c r="D448" s="60" t="str">
        <f t="shared" si="14"/>
        <v>C04302 : N-(5-Phospho-D-ribosyl)anthranilate</v>
      </c>
      <c r="E448"/>
    </row>
    <row r="449" spans="1:5">
      <c r="A449" s="47" t="s">
        <v>13561</v>
      </c>
      <c r="B449" s="18" t="s">
        <v>14027</v>
      </c>
      <c r="C449" s="61" t="str">
        <f t="shared" si="15"/>
        <v>C04309:1</v>
      </c>
      <c r="D449" s="60" t="str">
        <f t="shared" si="14"/>
        <v>C04309 : Phosphoenol-4-deoxy-3-tetrulosonate</v>
      </c>
      <c r="E449"/>
    </row>
    <row r="450" spans="1:5">
      <c r="A450" s="47" t="s">
        <v>13511</v>
      </c>
      <c r="B450" s="18" t="s">
        <v>14028</v>
      </c>
      <c r="C450" s="61" t="str">
        <f t="shared" si="15"/>
        <v>C04322:1</v>
      </c>
      <c r="D450" s="60" t="str">
        <f t="shared" ref="D450:D513" si="16">CONCATENATE(A450," : ",B450)</f>
        <v>C04322 : Delta1-Pyrroline-5-carboxylate;</v>
      </c>
      <c r="E450"/>
    </row>
    <row r="451" spans="1:5">
      <c r="A451" t="s">
        <v>12969</v>
      </c>
      <c r="B451" s="18" t="s">
        <v>14029</v>
      </c>
      <c r="C451" s="61" t="str">
        <f t="shared" si="15"/>
        <v>C04332:1</v>
      </c>
      <c r="D451" s="60" t="str">
        <f t="shared" si="16"/>
        <v>C04332 : 6,7-Dimethyl-8-(D-ribityl)lumazine</v>
      </c>
      <c r="E451"/>
    </row>
    <row r="452" spans="1:5">
      <c r="A452" s="1" t="s">
        <v>9316</v>
      </c>
      <c r="B452" s="18" t="s">
        <v>14030</v>
      </c>
      <c r="C452" s="61" t="str">
        <f t="shared" si="15"/>
        <v>C04352:1</v>
      </c>
      <c r="D452" s="60" t="str">
        <f t="shared" si="16"/>
        <v>C04352 : (R)-4'-Phosphopantothenoyl-L-cysteine</v>
      </c>
      <c r="E452"/>
    </row>
    <row r="453" spans="1:5">
      <c r="A453" t="s">
        <v>13316</v>
      </c>
      <c r="B453" s="18" t="s">
        <v>14031</v>
      </c>
      <c r="C453" s="61" t="str">
        <f t="shared" si="15"/>
        <v>C04376:1</v>
      </c>
      <c r="D453" s="60" t="str">
        <f t="shared" si="16"/>
        <v>C04376 : 5'-Phosphoribosyl-N-formylglycinamide</v>
      </c>
      <c r="E453"/>
    </row>
    <row r="454" spans="1:5">
      <c r="A454" t="s">
        <v>9484</v>
      </c>
      <c r="B454" s="18" t="s">
        <v>14032</v>
      </c>
      <c r="C454" s="61" t="str">
        <f t="shared" si="15"/>
        <v>C04411:1</v>
      </c>
      <c r="D454" s="60" t="str">
        <f t="shared" si="16"/>
        <v>C04411 : (2R,3S)-3-Isopropylmalate</v>
      </c>
      <c r="E454"/>
    </row>
    <row r="455" spans="1:5">
      <c r="A455" t="s">
        <v>13431</v>
      </c>
      <c r="B455" s="18" t="s">
        <v>14033</v>
      </c>
      <c r="C455" s="61" t="str">
        <f t="shared" si="15"/>
        <v>C04419:1</v>
      </c>
      <c r="D455" s="60" t="str">
        <f t="shared" si="16"/>
        <v>C04419 : Carboxybiotin-carboxyl-carrier protein</v>
      </c>
      <c r="E455"/>
    </row>
    <row r="456" spans="1:5">
      <c r="A456" s="47" t="s">
        <v>13520</v>
      </c>
      <c r="B456" s="18" t="s">
        <v>14034</v>
      </c>
      <c r="C456" s="61" t="str">
        <f t="shared" si="15"/>
        <v>C04425:1</v>
      </c>
      <c r="D456" s="60" t="str">
        <f t="shared" si="16"/>
        <v>C04425 : S-Adenosyl-4-methylthio-2-oxobutanoate</v>
      </c>
      <c r="E456"/>
    </row>
    <row r="457" spans="1:5">
      <c r="A457" s="47" t="s">
        <v>13453</v>
      </c>
      <c r="B457" s="18" t="s">
        <v>14035</v>
      </c>
      <c r="C457" s="61" t="str">
        <f t="shared" ref="C457:C520" si="17">CONCATENATE(A457,":","1")</f>
        <v>C04432:1</v>
      </c>
      <c r="D457" s="60" t="str">
        <f t="shared" si="16"/>
        <v>C04432 : tRNA containing 6-isopentenyladenosine</v>
      </c>
      <c r="E457"/>
    </row>
    <row r="458" spans="1:5">
      <c r="A458" t="s">
        <v>13174</v>
      </c>
      <c r="B458" s="18" t="s">
        <v>14036</v>
      </c>
      <c r="C458" s="61" t="str">
        <f t="shared" si="17"/>
        <v>C04454:1</v>
      </c>
      <c r="D458" s="60" t="str">
        <f t="shared" si="16"/>
        <v>C04454 : 5-Amino-6-(5'-phospho-D-ribitylamino)uracil</v>
      </c>
      <c r="E458"/>
    </row>
    <row r="459" spans="1:5">
      <c r="A459" t="s">
        <v>13176</v>
      </c>
      <c r="B459" s="18" t="s">
        <v>14037</v>
      </c>
      <c r="C459" s="61" t="str">
        <f t="shared" si="17"/>
        <v>C04478:1</v>
      </c>
      <c r="D459" s="60" t="str">
        <f t="shared" si="16"/>
        <v>C04478 : 3-Deoxy-D-manno-octulosonate 8-phosphate</v>
      </c>
      <c r="E459"/>
    </row>
    <row r="460" spans="1:5">
      <c r="A460" t="s">
        <v>13317</v>
      </c>
      <c r="B460" s="18" t="s">
        <v>14038</v>
      </c>
      <c r="C460" s="61" t="str">
        <f t="shared" si="17"/>
        <v>C04489:1</v>
      </c>
      <c r="D460" s="60" t="str">
        <f t="shared" si="16"/>
        <v>C04489 : 5-Methyltetrahydropteroyltri-L-glutamate</v>
      </c>
      <c r="E460"/>
    </row>
    <row r="461" spans="1:5">
      <c r="A461" t="s">
        <v>13318</v>
      </c>
      <c r="B461" s="18" t="s">
        <v>14039</v>
      </c>
      <c r="C461" s="61" t="str">
        <f t="shared" si="17"/>
        <v>C04556:1</v>
      </c>
      <c r="D461" s="60" t="str">
        <f t="shared" si="16"/>
        <v>C04556 : 4-Amino-2-methyl-5-(phosphooxymethyl)pyrimidine</v>
      </c>
      <c r="E461"/>
    </row>
    <row r="462" spans="1:5">
      <c r="A462" s="47" t="s">
        <v>9609</v>
      </c>
      <c r="B462" s="18" t="s">
        <v>14040</v>
      </c>
      <c r="C462" s="61" t="str">
        <f t="shared" si="17"/>
        <v>C04582:1</v>
      </c>
      <c r="D462" s="60" t="str">
        <f t="shared" si="16"/>
        <v>C04582 : S-Methyl-5-thio-D-ribulose 1-phosphate</v>
      </c>
      <c r="E462"/>
    </row>
    <row r="463" spans="1:5">
      <c r="A463" s="19" t="s">
        <v>13177</v>
      </c>
      <c r="B463" s="18" t="s">
        <v>14041</v>
      </c>
      <c r="C463" s="61" t="str">
        <f t="shared" si="17"/>
        <v>C04618:1</v>
      </c>
      <c r="D463" s="60" t="str">
        <f t="shared" si="16"/>
        <v>C04618 : 3R)-3-Hydroxybutanoyl-[acyl-carrier protein]</v>
      </c>
      <c r="E463"/>
    </row>
    <row r="464" spans="1:5">
      <c r="A464" s="19" t="s">
        <v>13179</v>
      </c>
      <c r="B464" s="18" t="s">
        <v>14042</v>
      </c>
      <c r="C464" s="61" t="str">
        <f t="shared" si="17"/>
        <v>C04619:1</v>
      </c>
      <c r="D464" s="60" t="str">
        <f t="shared" si="16"/>
        <v>C04619 : (3R)-3-Hydroxydecanoyl-[acyl-carrier protein]</v>
      </c>
      <c r="E464"/>
    </row>
    <row r="465" spans="1:4" customFormat="1">
      <c r="A465" s="19" t="s">
        <v>13180</v>
      </c>
      <c r="B465" s="18" t="s">
        <v>14043</v>
      </c>
      <c r="C465" s="61" t="str">
        <f t="shared" si="17"/>
        <v>C04620:1</v>
      </c>
      <c r="D465" s="60" t="str">
        <f t="shared" si="16"/>
        <v>C04620 : (3R)-3-Hydroxyoctanoyl-[acyl-carrier protein]</v>
      </c>
    </row>
    <row r="466" spans="1:4" customFormat="1">
      <c r="A466" s="47" t="s">
        <v>13435</v>
      </c>
      <c r="B466" s="18" t="s">
        <v>14044</v>
      </c>
      <c r="C466" s="61" t="str">
        <f t="shared" si="17"/>
        <v>C04631:1</v>
      </c>
      <c r="D466" s="60" t="str">
        <f t="shared" si="16"/>
        <v>C04631 : UDP-N-acetyl-3-(1-carboxyvinyl)-D-glucosamine</v>
      </c>
    </row>
    <row r="467" spans="1:4" customFormat="1">
      <c r="A467" s="19" t="s">
        <v>13181</v>
      </c>
      <c r="B467" s="18" t="s">
        <v>14045</v>
      </c>
      <c r="C467" s="61" t="str">
        <f t="shared" si="17"/>
        <v>C04633:1</v>
      </c>
      <c r="D467" s="60" t="str">
        <f t="shared" si="16"/>
        <v>C04633 : (3R)-3-Hydroxypalmitoyl-[acyl-carrier protein]</v>
      </c>
    </row>
    <row r="468" spans="1:4" customFormat="1">
      <c r="A468" t="s">
        <v>13440</v>
      </c>
      <c r="B468" s="18" t="s">
        <v>14046</v>
      </c>
      <c r="C468" s="61" t="str">
        <f t="shared" si="17"/>
        <v>C04640:1</v>
      </c>
      <c r="D468" s="60" t="str">
        <f t="shared" si="16"/>
        <v>C04640 : 2-(Formamido)-N1-(5'-phosphoribosyl)acetamidine</v>
      </c>
    </row>
    <row r="469" spans="1:4" customFormat="1">
      <c r="A469" t="s">
        <v>13182</v>
      </c>
      <c r="B469" s="18" t="s">
        <v>14047</v>
      </c>
      <c r="C469" s="61" t="str">
        <f t="shared" si="17"/>
        <v>C04646:1</v>
      </c>
      <c r="D469" s="60" t="str">
        <f t="shared" si="16"/>
        <v>C04646 : 6-Thioinosine-5'-monophosphate</v>
      </c>
    </row>
    <row r="470" spans="1:4" customFormat="1">
      <c r="A470" t="s">
        <v>13184</v>
      </c>
      <c r="B470" s="18" t="s">
        <v>14048</v>
      </c>
      <c r="C470" s="61" t="str">
        <f t="shared" si="17"/>
        <v>C04652:1</v>
      </c>
      <c r="D470" s="60" t="str">
        <f t="shared" si="16"/>
        <v>C04652 : UDP-2,3-bis(3-hydroxytetradecanoyl)glucosamine</v>
      </c>
    </row>
    <row r="471" spans="1:4" customFormat="1">
      <c r="A471" t="s">
        <v>13185</v>
      </c>
      <c r="B471" s="18" t="s">
        <v>14049</v>
      </c>
      <c r="C471" s="61" t="str">
        <f t="shared" si="17"/>
        <v>C04666:1</v>
      </c>
      <c r="D471" s="60" t="str">
        <f t="shared" si="16"/>
        <v>C04666 : D-erythro-1-(Imidazol-4-yl)glycerol 3-phosphate</v>
      </c>
    </row>
    <row r="472" spans="1:4" customFormat="1">
      <c r="A472" t="s">
        <v>13319</v>
      </c>
      <c r="B472" s="18" t="s">
        <v>14050</v>
      </c>
      <c r="C472" s="61" t="str">
        <f t="shared" si="17"/>
        <v>C04677:1</v>
      </c>
      <c r="D472" s="60" t="str">
        <f t="shared" si="16"/>
        <v>C04677 : 1-(5'-Phosphoribosyl)-5-amino-4-imidazolecarboxamide</v>
      </c>
    </row>
    <row r="473" spans="1:4" customFormat="1">
      <c r="A473" t="s">
        <v>13434</v>
      </c>
      <c r="B473" s="18" t="s">
        <v>14051</v>
      </c>
      <c r="C473" s="61" t="str">
        <f t="shared" si="17"/>
        <v>C04681:1</v>
      </c>
      <c r="D473" s="60" t="str">
        <f t="shared" si="16"/>
        <v>C04681 : [Acetyl-CoA:carbon-dioxide ligase (ADP-forming)]</v>
      </c>
    </row>
    <row r="474" spans="1:4" customFormat="1">
      <c r="A474" s="19" t="s">
        <v>13186</v>
      </c>
      <c r="B474" s="18" t="s">
        <v>14052</v>
      </c>
      <c r="C474" s="61" t="str">
        <f t="shared" si="17"/>
        <v>C04688:1</v>
      </c>
      <c r="D474" s="60" t="str">
        <f t="shared" si="16"/>
        <v>C04688 : (3R)-3-Hydroxytetradecanoyl-[acyl-carrier protein]</v>
      </c>
    </row>
    <row r="475" spans="1:4" customFormat="1">
      <c r="A475" t="s">
        <v>9682</v>
      </c>
      <c r="B475" s="18" t="s">
        <v>14053</v>
      </c>
      <c r="C475" s="61" t="str">
        <f t="shared" si="17"/>
        <v>C04691:1</v>
      </c>
      <c r="D475" s="60" t="str">
        <f t="shared" si="16"/>
        <v>C04691 : 2-Dehydro-3-deoxy-D-arabino-heptonate 7-phosphate</v>
      </c>
    </row>
    <row r="476" spans="1:4" customFormat="1">
      <c r="A476" t="s">
        <v>13187</v>
      </c>
      <c r="B476" s="18" t="s">
        <v>14054</v>
      </c>
      <c r="C476" s="61" t="str">
        <f t="shared" si="17"/>
        <v>C04702:1</v>
      </c>
      <c r="D476" s="60" t="str">
        <f t="shared" si="16"/>
        <v>C04702 : UDPMurNAc(oyl-L-Ala-D-gamma-Glu-L-Lys-D-Ala-D-Ala)</v>
      </c>
    </row>
    <row r="477" spans="1:4" customFormat="1">
      <c r="A477" t="s">
        <v>13189</v>
      </c>
      <c r="B477" s="18" t="s">
        <v>14055</v>
      </c>
      <c r="C477" s="61" t="str">
        <f t="shared" si="17"/>
        <v>C04732:1</v>
      </c>
      <c r="D477" s="60" t="str">
        <f t="shared" si="16"/>
        <v>C04732 : 5-Amino-6-(1-D-ribitylamino)uracil</v>
      </c>
    </row>
    <row r="478" spans="1:4" customFormat="1">
      <c r="A478" s="47" t="s">
        <v>13407</v>
      </c>
      <c r="B478" s="18" t="s">
        <v>14056</v>
      </c>
      <c r="C478" s="61" t="str">
        <f t="shared" si="17"/>
        <v>C04734:1</v>
      </c>
      <c r="D478" s="60" t="str">
        <f t="shared" si="16"/>
        <v>C04734 : 1-(5'-Phosphoribosyl)-5-formamido-4-imidazolecarboxamide</v>
      </c>
    </row>
    <row r="479" spans="1:4" customFormat="1">
      <c r="A479" t="s">
        <v>13037</v>
      </c>
      <c r="B479" s="18" t="s">
        <v>14057</v>
      </c>
      <c r="C479" s="61" t="str">
        <f t="shared" si="17"/>
        <v>C04735:1</v>
      </c>
      <c r="D479" s="60" t="str">
        <f t="shared" si="16"/>
        <v>C04735 : Apo-[acetyl-CoA:carbon-dioxide ligase (ADP-forming)</v>
      </c>
    </row>
    <row r="480" spans="1:4" customFormat="1">
      <c r="A480" s="47" t="s">
        <v>13423</v>
      </c>
      <c r="B480" s="18" t="s">
        <v>14058</v>
      </c>
      <c r="C480" s="61" t="str">
        <f t="shared" si="17"/>
        <v>C04738:1</v>
      </c>
      <c r="D480" s="60" t="str">
        <f t="shared" si="16"/>
        <v>C04738 : UDP-3-O-(3-hydroxytetradecanoyl)-N-acetylglucosamine</v>
      </c>
    </row>
    <row r="481" spans="1:5">
      <c r="A481" t="s">
        <v>9900</v>
      </c>
      <c r="B481" s="18" t="s">
        <v>14059</v>
      </c>
      <c r="C481" s="61" t="str">
        <f t="shared" si="17"/>
        <v>C04751:1</v>
      </c>
      <c r="D481" s="60" t="str">
        <f t="shared" si="16"/>
        <v>C04751 : 1-(5-Phospho-D-ribosyl)-5-amino-4-imidazolecarboxylate</v>
      </c>
      <c r="E481"/>
    </row>
    <row r="482" spans="1:5">
      <c r="A482" s="47" t="s">
        <v>13485</v>
      </c>
      <c r="B482" s="31" t="s">
        <v>14060</v>
      </c>
      <c r="C482" s="61" t="str">
        <f t="shared" si="17"/>
        <v>C04752:1</v>
      </c>
      <c r="D482" s="60" t="str">
        <f t="shared" si="16"/>
        <v>C04752 : 4-Amino-5-hydroxymethyl-2-methylpyrimidine diphosphate</v>
      </c>
      <c r="E482"/>
    </row>
    <row r="483" spans="1:5">
      <c r="A483" s="47" t="s">
        <v>13442</v>
      </c>
      <c r="B483" s="18" t="s">
        <v>14061</v>
      </c>
      <c r="C483" s="61" t="str">
        <f t="shared" si="17"/>
        <v>C04778:1</v>
      </c>
      <c r="D483" s="60" t="str">
        <f t="shared" si="16"/>
        <v>C04778 : N1-(5-Phospho-alpha-D-ribosyl)-5,6-dimethylbenzimidazole</v>
      </c>
      <c r="E483"/>
    </row>
    <row r="484" spans="1:5">
      <c r="A484" t="s">
        <v>13191</v>
      </c>
      <c r="B484" s="18" t="s">
        <v>14062</v>
      </c>
      <c r="C484" s="61" t="str">
        <f t="shared" si="17"/>
        <v>C04807:1</v>
      </c>
      <c r="D484" s="60" t="str">
        <f t="shared" si="16"/>
        <v>C04807 : 6-Hydroxymethyl-7,8-dihydropterin diphosphate</v>
      </c>
      <c r="E484"/>
    </row>
    <row r="485" spans="1:5">
      <c r="A485" t="s">
        <v>10095</v>
      </c>
      <c r="B485" s="18" t="s">
        <v>14063</v>
      </c>
      <c r="C485" s="61" t="str">
        <f t="shared" si="17"/>
        <v>C04823:1</v>
      </c>
      <c r="D485" s="60" t="str">
        <f t="shared" si="16"/>
        <v>C04823 : 1-(5'-Phosphoribosyl)-5-amino-4-(N-succinocarboxamide)-imidazole</v>
      </c>
      <c r="E485"/>
    </row>
    <row r="486" spans="1:5">
      <c r="A486" t="s">
        <v>13320</v>
      </c>
      <c r="B486" s="18" t="s">
        <v>14064</v>
      </c>
      <c r="C486" s="61" t="str">
        <f t="shared" si="17"/>
        <v>C04824:1</v>
      </c>
      <c r="D486" s="60" t="str">
        <f t="shared" si="16"/>
        <v>C04824 : Lipid X</v>
      </c>
      <c r="E486"/>
    </row>
    <row r="487" spans="1:5">
      <c r="A487" t="s">
        <v>13192</v>
      </c>
      <c r="B487" s="18" t="s">
        <v>14065</v>
      </c>
      <c r="C487" s="61" t="str">
        <f t="shared" si="17"/>
        <v>C04851:1</v>
      </c>
      <c r="D487" s="60" t="str">
        <f t="shared" si="16"/>
        <v>C04851 : MurAc(oyl-L-Ala-D-gamma-Glu-L-Lys-D-Ala-D-Ala)-diphospho-undecaprenol</v>
      </c>
      <c r="E487"/>
    </row>
    <row r="488" spans="1:5">
      <c r="A488" t="s">
        <v>10179</v>
      </c>
      <c r="B488" s="18" t="s">
        <v>14066</v>
      </c>
      <c r="C488" s="61" t="str">
        <f t="shared" si="17"/>
        <v>C04874:1</v>
      </c>
      <c r="D488" s="60" t="str">
        <f t="shared" si="16"/>
        <v>C04874 : 7,8-Dihydroneopterin</v>
      </c>
      <c r="E488"/>
    </row>
    <row r="489" spans="1:5">
      <c r="A489" s="5" t="s">
        <v>13195</v>
      </c>
      <c r="B489" s="18" t="s">
        <v>14067</v>
      </c>
      <c r="C489" s="61" t="str">
        <f t="shared" si="17"/>
        <v>C04882:1</v>
      </c>
      <c r="D489" s="60" t="str">
        <f t="shared" si="16"/>
        <v>C04882 : UDP-N-acetylmuramoyl-L-alanyl-D-glutamyl-6-carboxy-L-lysyl-D-alanyl-D-alanine</v>
      </c>
      <c r="E489"/>
    </row>
    <row r="490" spans="1:5">
      <c r="A490" t="s">
        <v>13196</v>
      </c>
      <c r="B490" s="18" t="s">
        <v>14068</v>
      </c>
      <c r="C490" s="61" t="str">
        <f t="shared" si="17"/>
        <v>C04895:1</v>
      </c>
      <c r="D490" s="60" t="str">
        <f t="shared" si="16"/>
        <v>C04895 : 7,8-Dihydroneopterin 3'-triphosphate</v>
      </c>
      <c r="E490"/>
    </row>
    <row r="491" spans="1:5">
      <c r="A491" t="s">
        <v>9452</v>
      </c>
      <c r="B491" s="18" t="s">
        <v>14069</v>
      </c>
      <c r="C491" s="61" t="str">
        <f t="shared" si="17"/>
        <v>C04896:1</v>
      </c>
      <c r="D491" s="60" t="str">
        <f t="shared" si="16"/>
        <v>C04896 : 5-(5-Phospho-D-ribosylaminoformimino)-1-(5-phosphoribosyl)-imidazole-4-carboxamide</v>
      </c>
      <c r="E491"/>
    </row>
    <row r="492" spans="1:5">
      <c r="A492" s="47" t="s">
        <v>9453</v>
      </c>
      <c r="B492" s="18" t="s">
        <v>14070</v>
      </c>
      <c r="C492" s="61" t="str">
        <f t="shared" si="17"/>
        <v>C04916:1</v>
      </c>
      <c r="D492" s="60" t="str">
        <f t="shared" si="16"/>
        <v>C04916 : N-(5'-Phospho-D-1'-ribulosylformimino)-5-amino-1-(5''-phospho-D-ribosyl)-4-imidazolecarboxamide</v>
      </c>
      <c r="E492"/>
    </row>
    <row r="493" spans="1:5">
      <c r="A493" s="48" t="s">
        <v>13463</v>
      </c>
      <c r="B493" s="18" t="s">
        <v>14071</v>
      </c>
      <c r="C493" s="61" t="str">
        <f t="shared" si="17"/>
        <v>C04919:1</v>
      </c>
      <c r="D493" s="60" t="str">
        <f t="shared" si="16"/>
        <v>C04919 : 2,3,2'3'-Tetrakis(3-hydroxytetradecanoyl)-D-glucosaminyl-1,6-beta-D-glucosamine 1,4'-bisphosphate</v>
      </c>
      <c r="E493"/>
    </row>
    <row r="494" spans="1:5">
      <c r="A494" t="s">
        <v>13321</v>
      </c>
      <c r="B494" s="18" t="s">
        <v>14072</v>
      </c>
      <c r="C494" s="61" t="str">
        <f t="shared" si="17"/>
        <v>C04932:1</v>
      </c>
      <c r="D494" s="60" t="str">
        <f t="shared" si="16"/>
        <v>C04932 : Lipid A disaccharide</v>
      </c>
      <c r="E494"/>
    </row>
    <row r="495" spans="1:5">
      <c r="A495" t="s">
        <v>13322</v>
      </c>
      <c r="B495" s="18" t="s">
        <v>14073</v>
      </c>
      <c r="C495" s="61" t="str">
        <f t="shared" si="17"/>
        <v>C05125:1</v>
      </c>
      <c r="D495" s="60" t="str">
        <f t="shared" si="16"/>
        <v>C05125 : 2-(alpha-Hydroxyethyl)thiamine diphosphate</v>
      </c>
      <c r="E495"/>
    </row>
    <row r="496" spans="1:5">
      <c r="A496" t="s">
        <v>13199</v>
      </c>
      <c r="B496" s="18" t="s">
        <v>14074</v>
      </c>
      <c r="C496" s="61" t="str">
        <f t="shared" si="17"/>
        <v>C05143:1</v>
      </c>
      <c r="D496" s="60" t="str">
        <f t="shared" si="16"/>
        <v>C05143 : Dhurrin</v>
      </c>
      <c r="E496"/>
    </row>
    <row r="497" spans="1:4" customFormat="1">
      <c r="A497" s="1" t="s">
        <v>9446</v>
      </c>
      <c r="B497" s="18" t="s">
        <v>14075</v>
      </c>
      <c r="C497" s="61" t="str">
        <f t="shared" si="17"/>
        <v>C05167:1</v>
      </c>
      <c r="D497" s="60" t="str">
        <f t="shared" si="16"/>
        <v>C05167 : alpha-Amino acid</v>
      </c>
    </row>
    <row r="498" spans="1:4" customFormat="1">
      <c r="A498" t="s">
        <v>13323</v>
      </c>
      <c r="B498" s="18" t="s">
        <v>14076</v>
      </c>
      <c r="C498" s="61" t="str">
        <f t="shared" si="17"/>
        <v>C05196:1</v>
      </c>
      <c r="D498" s="60" t="str">
        <f t="shared" si="16"/>
        <v>C05196 : Dihydroflavodoxin</v>
      </c>
    </row>
    <row r="499" spans="1:4" customFormat="1">
      <c r="A499" t="s">
        <v>13039</v>
      </c>
      <c r="B499" s="18" t="s">
        <v>14077</v>
      </c>
      <c r="C499" s="61" t="str">
        <f t="shared" si="17"/>
        <v>C05197:1</v>
      </c>
      <c r="D499" s="60" t="str">
        <f t="shared" si="16"/>
        <v>C05197 : Protein glycine</v>
      </c>
    </row>
    <row r="500" spans="1:4" customFormat="1">
      <c r="A500" s="47" t="s">
        <v>13364</v>
      </c>
      <c r="B500" s="18" t="s">
        <v>14078</v>
      </c>
      <c r="C500" s="61" t="str">
        <f t="shared" si="17"/>
        <v>C05198:1</v>
      </c>
      <c r="D500" s="60" t="str">
        <f t="shared" si="16"/>
        <v>C05198 : 5'-Deoxyadenosine</v>
      </c>
    </row>
    <row r="501" spans="1:4" customFormat="1">
      <c r="A501" t="s">
        <v>13368</v>
      </c>
      <c r="B501" s="18" t="s">
        <v>14079</v>
      </c>
      <c r="C501" s="61" t="str">
        <f t="shared" si="17"/>
        <v>C05199:1</v>
      </c>
      <c r="D501" s="60" t="str">
        <f t="shared" si="16"/>
        <v>C05199 : Flavodoxin semiquinone</v>
      </c>
    </row>
    <row r="502" spans="1:4" customFormat="1">
      <c r="A502" t="s">
        <v>13202</v>
      </c>
      <c r="B502" s="18" t="s">
        <v>14080</v>
      </c>
      <c r="C502" s="61" t="str">
        <f t="shared" si="17"/>
        <v>C05223:1</v>
      </c>
      <c r="D502" s="60" t="str">
        <f t="shared" si="16"/>
        <v>C05223 : Dodecanoyl-[acyl-carrier protein]</v>
      </c>
    </row>
    <row r="503" spans="1:4" customFormat="1">
      <c r="A503" t="s">
        <v>13355</v>
      </c>
      <c r="B503" s="18" t="s">
        <v>14081</v>
      </c>
      <c r="C503" s="61" t="str">
        <f t="shared" si="17"/>
        <v>C05312:1</v>
      </c>
      <c r="D503" s="60" t="str">
        <f t="shared" si="16"/>
        <v>C05312 : Protein glycin-2-yl radical</v>
      </c>
    </row>
    <row r="504" spans="1:4" customFormat="1">
      <c r="A504" t="s">
        <v>13324</v>
      </c>
      <c r="B504" s="18" t="s">
        <v>14082</v>
      </c>
      <c r="C504" s="61" t="str">
        <f t="shared" si="17"/>
        <v>C05335:1</v>
      </c>
      <c r="D504" s="60" t="str">
        <f t="shared" si="16"/>
        <v>C05335 : L-Selenomethionine</v>
      </c>
    </row>
    <row r="505" spans="1:4" customFormat="1">
      <c r="A505" t="s">
        <v>13383</v>
      </c>
      <c r="B505" s="18" t="s">
        <v>14083</v>
      </c>
      <c r="C505" s="61" t="str">
        <f t="shared" si="17"/>
        <v>C05336:1</v>
      </c>
      <c r="D505" s="60" t="str">
        <f t="shared" si="16"/>
        <v>C05336 : Selenomethionyl-tRNA(Met)</v>
      </c>
    </row>
    <row r="506" spans="1:4" customFormat="1">
      <c r="A506" t="s">
        <v>13325</v>
      </c>
      <c r="B506" s="18" t="s">
        <v>14084</v>
      </c>
      <c r="C506" s="61" t="str">
        <f t="shared" si="17"/>
        <v>C05345:1</v>
      </c>
      <c r="D506" s="60" t="str">
        <f t="shared" si="16"/>
        <v>C05345 : beta-D-Fructose 6-phosphate</v>
      </c>
    </row>
    <row r="507" spans="1:4" customFormat="1">
      <c r="A507" t="s">
        <v>12963</v>
      </c>
      <c r="B507" s="18" t="s">
        <v>14085</v>
      </c>
      <c r="C507" s="61" t="str">
        <f t="shared" si="17"/>
        <v>C05359:1</v>
      </c>
      <c r="D507" s="60" t="str">
        <f t="shared" si="16"/>
        <v>C05359 : e-</v>
      </c>
    </row>
    <row r="508" spans="1:4" customFormat="1">
      <c r="A508" t="s">
        <v>10029</v>
      </c>
      <c r="B508" s="18" t="s">
        <v>14086</v>
      </c>
      <c r="C508" s="61" t="str">
        <f t="shared" si="17"/>
        <v>C05378:1</v>
      </c>
      <c r="D508" s="60" t="str">
        <f t="shared" si="16"/>
        <v>C05378 : beta-D-Fructose 1,6-bisphosphate</v>
      </c>
    </row>
    <row r="509" spans="1:4" customFormat="1">
      <c r="A509" t="s">
        <v>13326</v>
      </c>
      <c r="B509" s="18" t="s">
        <v>14087</v>
      </c>
      <c r="C509" s="61" t="str">
        <f t="shared" si="17"/>
        <v>C05382:1</v>
      </c>
      <c r="D509" s="60" t="str">
        <f t="shared" si="16"/>
        <v>C05382 : Sedoheptulose 7-phosphate</v>
      </c>
    </row>
    <row r="510" spans="1:4" customFormat="1">
      <c r="A510" s="47" t="s">
        <v>13457</v>
      </c>
      <c r="B510" s="18" t="s">
        <v>14088</v>
      </c>
      <c r="C510" s="61" t="str">
        <f t="shared" si="17"/>
        <v>C05526:1</v>
      </c>
      <c r="D510" s="60" t="str">
        <f t="shared" si="16"/>
        <v>C05526 : S-Glutathionyl-L-cysteine</v>
      </c>
    </row>
    <row r="511" spans="1:4" customFormat="1">
      <c r="A511" s="47" t="s">
        <v>13508</v>
      </c>
      <c r="B511" s="18" t="s">
        <v>14089</v>
      </c>
      <c r="C511" s="61" t="str">
        <f t="shared" si="17"/>
        <v>C05527:1</v>
      </c>
      <c r="D511" s="60" t="str">
        <f t="shared" si="16"/>
        <v>C05527 : 3-Sulfinylpyruvate</v>
      </c>
    </row>
    <row r="512" spans="1:4" customFormat="1">
      <c r="A512" s="47" t="s">
        <v>13378</v>
      </c>
      <c r="B512" s="18" t="s">
        <v>14090</v>
      </c>
      <c r="C512" s="61" t="str">
        <f t="shared" si="17"/>
        <v>C05528:1</v>
      </c>
      <c r="D512" s="60" t="str">
        <f t="shared" si="16"/>
        <v>C05528 : 3-Sulfopyruvate</v>
      </c>
    </row>
    <row r="513" spans="1:4" customFormat="1">
      <c r="A513" t="s">
        <v>13203</v>
      </c>
      <c r="B513" s="18" t="s">
        <v>14091</v>
      </c>
      <c r="C513" s="61" t="str">
        <f t="shared" si="17"/>
        <v>C05623:1</v>
      </c>
      <c r="D513" s="60" t="str">
        <f t="shared" si="16"/>
        <v>C05623 : Isoquercitrin</v>
      </c>
    </row>
    <row r="514" spans="1:4" customFormat="1">
      <c r="A514" s="47" t="s">
        <v>13459</v>
      </c>
      <c r="B514" s="18" t="s">
        <v>14092</v>
      </c>
      <c r="C514" s="61" t="str">
        <f t="shared" si="17"/>
        <v>C05684:1</v>
      </c>
      <c r="D514" s="60" t="str">
        <f t="shared" ref="D514:D577" si="18">CONCATENATE(A514," : ",B514)</f>
        <v>C05684 : Selenite</v>
      </c>
    </row>
    <row r="515" spans="1:4" customFormat="1">
      <c r="A515" t="s">
        <v>13327</v>
      </c>
      <c r="B515" s="18" t="s">
        <v>14093</v>
      </c>
      <c r="C515" s="61" t="str">
        <f t="shared" si="17"/>
        <v>C05686:1</v>
      </c>
      <c r="D515" s="60" t="str">
        <f t="shared" si="18"/>
        <v>C05686 : Adenylylselenate</v>
      </c>
    </row>
    <row r="516" spans="1:4" customFormat="1">
      <c r="A516" s="47" t="s">
        <v>13500</v>
      </c>
      <c r="B516" s="18" t="s">
        <v>14094</v>
      </c>
      <c r="C516" s="61" t="str">
        <f t="shared" si="17"/>
        <v>C05688:1</v>
      </c>
      <c r="D516" s="60" t="str">
        <f t="shared" si="18"/>
        <v>C05688 : L-Selenocysteine</v>
      </c>
    </row>
    <row r="517" spans="1:4" customFormat="1">
      <c r="A517" t="s">
        <v>13375</v>
      </c>
      <c r="B517" s="18" t="s">
        <v>14095</v>
      </c>
      <c r="C517" s="61" t="str">
        <f t="shared" si="17"/>
        <v>C05691:1</v>
      </c>
      <c r="D517" s="60" t="str">
        <f t="shared" si="18"/>
        <v>C05691 : Se-Adenosylselenomethionine</v>
      </c>
    </row>
    <row r="518" spans="1:4" customFormat="1">
      <c r="A518" s="48" t="s">
        <v>13467</v>
      </c>
      <c r="B518" s="18" t="s">
        <v>14096</v>
      </c>
      <c r="C518" s="61" t="str">
        <f t="shared" si="17"/>
        <v>C05696:1</v>
      </c>
      <c r="D518" s="60" t="str">
        <f t="shared" si="18"/>
        <v>C05696 : 3'-Phosphoadenylylselenate</v>
      </c>
    </row>
    <row r="519" spans="1:4" customFormat="1">
      <c r="A519" t="s">
        <v>13328</v>
      </c>
      <c r="B519" s="18" t="s">
        <v>14097</v>
      </c>
      <c r="C519" s="61" t="str">
        <f t="shared" si="17"/>
        <v>C05697:1</v>
      </c>
      <c r="D519" s="60" t="str">
        <f t="shared" si="18"/>
        <v>C05697 : Selenate</v>
      </c>
    </row>
    <row r="520" spans="1:4" customFormat="1">
      <c r="A520" t="s">
        <v>13205</v>
      </c>
      <c r="B520" s="18" t="s">
        <v>14098</v>
      </c>
      <c r="C520" s="61" t="str">
        <f t="shared" si="17"/>
        <v>C05698:1</v>
      </c>
      <c r="D520" s="60" t="str">
        <f t="shared" si="18"/>
        <v>C05698 : Selenohomocysteine</v>
      </c>
    </row>
    <row r="521" spans="1:4" customFormat="1">
      <c r="A521" t="s">
        <v>13366</v>
      </c>
      <c r="B521" s="18" t="s">
        <v>14099</v>
      </c>
      <c r="C521" s="61" t="str">
        <f t="shared" ref="C521:C584" si="19">CONCATENATE(A521,":","1")</f>
        <v>C05703:1</v>
      </c>
      <c r="D521" s="60" t="str">
        <f t="shared" si="18"/>
        <v>C05703 : Methaneselenol</v>
      </c>
    </row>
    <row r="522" spans="1:4" customFormat="1">
      <c r="A522" s="47" t="s">
        <v>13539</v>
      </c>
      <c r="B522" s="18" t="s">
        <v>14100</v>
      </c>
      <c r="C522" s="61" t="str">
        <f t="shared" si="19"/>
        <v>C05712:1</v>
      </c>
      <c r="D522" s="60" t="str">
        <f t="shared" si="18"/>
        <v>C05712 : Cyanohydrin</v>
      </c>
    </row>
    <row r="523" spans="1:4" customFormat="1">
      <c r="A523" t="s">
        <v>13207</v>
      </c>
      <c r="B523" s="18" t="s">
        <v>14101</v>
      </c>
      <c r="C523" s="61" t="str">
        <f t="shared" si="19"/>
        <v>C05713:1</v>
      </c>
      <c r="D523" s="60" t="str">
        <f t="shared" si="18"/>
        <v>C05713 : Cyanoglycoside</v>
      </c>
    </row>
    <row r="524" spans="1:4" customFormat="1">
      <c r="A524" s="48" t="s">
        <v>13351</v>
      </c>
      <c r="B524" s="18" t="s">
        <v>14102</v>
      </c>
      <c r="C524" s="61" t="str">
        <f t="shared" si="19"/>
        <v>C05744:1</v>
      </c>
      <c r="D524" s="60" t="str">
        <f t="shared" si="18"/>
        <v>C05744 : Acetoacetyl-[acp]</v>
      </c>
    </row>
    <row r="525" spans="1:4" customFormat="1">
      <c r="A525" t="s">
        <v>13209</v>
      </c>
      <c r="B525" s="18" t="s">
        <v>14103</v>
      </c>
      <c r="C525" s="61" t="str">
        <f t="shared" si="19"/>
        <v>C05745:1</v>
      </c>
      <c r="D525" s="60" t="str">
        <f t="shared" si="18"/>
        <v>C05745 : Butyryl-[acp]</v>
      </c>
    </row>
    <row r="526" spans="1:4" customFormat="1">
      <c r="A526" s="48" t="s">
        <v>13359</v>
      </c>
      <c r="B526" s="18" t="s">
        <v>14104</v>
      </c>
      <c r="C526" s="61" t="str">
        <f t="shared" si="19"/>
        <v>C05746:1</v>
      </c>
      <c r="D526" s="60" t="str">
        <f t="shared" si="18"/>
        <v>C05746 : 3-Oxohexanoyl-[acp]</v>
      </c>
    </row>
    <row r="527" spans="1:4" customFormat="1">
      <c r="A527" s="19" t="s">
        <v>13211</v>
      </c>
      <c r="B527" s="18" t="s">
        <v>14105</v>
      </c>
      <c r="C527" s="61" t="str">
        <f t="shared" si="19"/>
        <v>C05747:1</v>
      </c>
      <c r="D527" s="60" t="str">
        <f t="shared" si="18"/>
        <v>C05747 : (3R)-3-Hydroxyhexanoyl-[acyl-carrier protein]</v>
      </c>
    </row>
    <row r="528" spans="1:4" customFormat="1">
      <c r="A528" t="s">
        <v>13212</v>
      </c>
      <c r="B528" s="18" t="s">
        <v>14106</v>
      </c>
      <c r="C528" s="61" t="str">
        <f t="shared" si="19"/>
        <v>C05749:1</v>
      </c>
      <c r="D528" s="60" t="str">
        <f t="shared" si="18"/>
        <v>C05749 : Hexanoyl-[acp]</v>
      </c>
    </row>
    <row r="529" spans="1:5">
      <c r="A529" s="48" t="s">
        <v>13353</v>
      </c>
      <c r="B529" s="18" t="s">
        <v>14107</v>
      </c>
      <c r="C529" s="61" t="str">
        <f t="shared" si="19"/>
        <v>C05750:1</v>
      </c>
      <c r="D529" s="60" t="str">
        <f t="shared" si="18"/>
        <v>C05750 : 3-Oxooctanoyl-[acp]</v>
      </c>
      <c r="E529"/>
    </row>
    <row r="530" spans="1:5">
      <c r="A530" t="s">
        <v>13213</v>
      </c>
      <c r="B530" s="18" t="s">
        <v>14108</v>
      </c>
      <c r="C530" s="61" t="str">
        <f t="shared" si="19"/>
        <v>C05752:1</v>
      </c>
      <c r="D530" s="60" t="str">
        <f t="shared" si="18"/>
        <v>C05752 : Octanoyl-[acp]</v>
      </c>
      <c r="E530"/>
    </row>
    <row r="531" spans="1:5">
      <c r="A531" s="48" t="s">
        <v>13352</v>
      </c>
      <c r="B531" s="18" t="s">
        <v>14109</v>
      </c>
      <c r="C531" s="61" t="str">
        <f t="shared" si="19"/>
        <v>C05753:1</v>
      </c>
      <c r="D531" s="60" t="str">
        <f t="shared" si="18"/>
        <v>C05753 : 3-Oxodecanoyl-[acp]</v>
      </c>
      <c r="E531"/>
    </row>
    <row r="532" spans="1:5">
      <c r="A532" t="s">
        <v>13214</v>
      </c>
      <c r="B532" s="18" t="s">
        <v>14110</v>
      </c>
      <c r="C532" s="61" t="str">
        <f t="shared" si="19"/>
        <v>C05755:1</v>
      </c>
      <c r="D532" s="60" t="str">
        <f t="shared" si="18"/>
        <v>C05755 : Decanoyl-[acp]</v>
      </c>
      <c r="E532"/>
    </row>
    <row r="533" spans="1:5">
      <c r="A533" s="47" t="s">
        <v>13361</v>
      </c>
      <c r="B533" s="31" t="s">
        <v>14111</v>
      </c>
      <c r="C533" s="61" t="str">
        <f t="shared" si="19"/>
        <v>C05756:1</v>
      </c>
      <c r="D533" s="60" t="str">
        <f t="shared" si="18"/>
        <v>C05756 : 3-Oxododecanoyl-[acp]</v>
      </c>
      <c r="E533"/>
    </row>
    <row r="534" spans="1:5">
      <c r="A534" t="s">
        <v>13215</v>
      </c>
      <c r="B534" s="18" t="s">
        <v>14111</v>
      </c>
      <c r="C534" s="61" t="str">
        <f t="shared" si="19"/>
        <v>C05757:1</v>
      </c>
      <c r="D534" s="60" t="str">
        <f t="shared" si="18"/>
        <v>C05757 : 3-Oxododecanoyl-[acp]</v>
      </c>
      <c r="E534"/>
    </row>
    <row r="535" spans="1:5">
      <c r="A535" s="48" t="s">
        <v>13358</v>
      </c>
      <c r="B535" s="18" t="s">
        <v>14112</v>
      </c>
      <c r="C535" s="61" t="str">
        <f t="shared" si="19"/>
        <v>C05759:1</v>
      </c>
      <c r="D535" s="60" t="str">
        <f t="shared" si="18"/>
        <v>C05759 : 3-Oxotetradecanoyl-[acp]</v>
      </c>
      <c r="E535"/>
    </row>
    <row r="536" spans="1:5">
      <c r="A536" t="s">
        <v>13216</v>
      </c>
      <c r="B536" s="18" t="s">
        <v>14113</v>
      </c>
      <c r="C536" s="61" t="str">
        <f t="shared" si="19"/>
        <v>C05761:1</v>
      </c>
      <c r="D536" s="60" t="str">
        <f t="shared" si="18"/>
        <v>C05761 : Tetradecanoyl-[acp]</v>
      </c>
      <c r="E536"/>
    </row>
    <row r="537" spans="1:5">
      <c r="A537" s="48" t="s">
        <v>13356</v>
      </c>
      <c r="B537" s="18" t="s">
        <v>14114</v>
      </c>
      <c r="C537" s="61" t="str">
        <f t="shared" si="19"/>
        <v>C05762:1</v>
      </c>
      <c r="D537" s="60" t="str">
        <f t="shared" si="18"/>
        <v>C05762 : 3-Oxohexadecanoyl-[acp]</v>
      </c>
      <c r="E537"/>
    </row>
    <row r="538" spans="1:5">
      <c r="A538" t="s">
        <v>13218</v>
      </c>
      <c r="B538" s="18" t="s">
        <v>14115</v>
      </c>
      <c r="C538" s="61" t="str">
        <f t="shared" si="19"/>
        <v>C05764:1</v>
      </c>
      <c r="D538" s="60" t="str">
        <f t="shared" si="18"/>
        <v>C05764 : Hexadecanoyl-[acp]</v>
      </c>
      <c r="E538"/>
    </row>
    <row r="539" spans="1:5">
      <c r="A539" t="s">
        <v>13329</v>
      </c>
      <c r="B539" s="18" t="s">
        <v>14116</v>
      </c>
      <c r="C539" s="61" t="str">
        <f t="shared" si="19"/>
        <v>C05774:1</v>
      </c>
      <c r="D539" s="60" t="str">
        <f t="shared" si="18"/>
        <v>C05774 : Cobinamide</v>
      </c>
      <c r="E539"/>
    </row>
    <row r="540" spans="1:5">
      <c r="A540" s="47" t="s">
        <v>13540</v>
      </c>
      <c r="B540" s="18" t="s">
        <v>14117</v>
      </c>
      <c r="C540" s="61" t="str">
        <f t="shared" si="19"/>
        <v>C05838:1</v>
      </c>
      <c r="D540" s="60" t="str">
        <f t="shared" si="18"/>
        <v>C05838 : cis-2-Hydroxycinnamate</v>
      </c>
      <c r="E540"/>
    </row>
    <row r="541" spans="1:5">
      <c r="A541" t="s">
        <v>13219</v>
      </c>
      <c r="B541" s="18" t="s">
        <v>14118</v>
      </c>
      <c r="C541" s="61" t="str">
        <f t="shared" si="19"/>
        <v>C05839:1</v>
      </c>
      <c r="D541" s="60" t="str">
        <f t="shared" si="18"/>
        <v>C05839 : cis-beta-D-Glucosyl-2-hydroxycinnamate</v>
      </c>
      <c r="E541"/>
    </row>
    <row r="542" spans="1:5">
      <c r="A542" s="47" t="s">
        <v>13443</v>
      </c>
      <c r="B542" s="18" t="s">
        <v>14119</v>
      </c>
      <c r="C542" s="61" t="str">
        <f t="shared" si="19"/>
        <v>C05840:1</v>
      </c>
      <c r="D542" s="60" t="str">
        <f t="shared" si="18"/>
        <v>C05840 : Iminoaspartate</v>
      </c>
      <c r="E542"/>
    </row>
    <row r="543" spans="1:5">
      <c r="A543" t="s">
        <v>13221</v>
      </c>
      <c r="B543" s="18" t="s">
        <v>14120</v>
      </c>
      <c r="C543" s="61" t="str">
        <f t="shared" si="19"/>
        <v>C05847:1</v>
      </c>
      <c r="D543" s="60" t="str">
        <f t="shared" si="18"/>
        <v>C05847 : all-trans-Polyprenyl diphosphate</v>
      </c>
      <c r="E543"/>
    </row>
    <row r="544" spans="1:5">
      <c r="A544" s="47" t="s">
        <v>13479</v>
      </c>
      <c r="B544" s="18" t="s">
        <v>14121</v>
      </c>
      <c r="C544" s="61" t="str">
        <f t="shared" si="19"/>
        <v>C05893:1</v>
      </c>
      <c r="D544" s="60" t="str">
        <f t="shared" si="18"/>
        <v>C05893 : Undecaprenyl-diphospho-N-acetylmuramoyl-(N-acetylglucosamine)-L-alanyl-gamma-D-glutamyl-L-lysyl-D-alanyl-D-alanine</v>
      </c>
      <c r="E544"/>
    </row>
    <row r="545" spans="1:4" customFormat="1">
      <c r="A545" t="s">
        <v>13223</v>
      </c>
      <c r="B545" s="18" t="s">
        <v>14122</v>
      </c>
      <c r="C545" s="61" t="str">
        <f t="shared" si="19"/>
        <v>C05897:1</v>
      </c>
      <c r="D545" s="60" t="str">
        <f t="shared" si="18"/>
        <v>C05897 : Undecaprenyl-diphospho-N-acetylmuramoyl-L-alanyl-D-glutamyl-meso-2,6-diaminopimeloyl-D-alanyl-D-alanine</v>
      </c>
    </row>
    <row r="546" spans="1:4" customFormat="1">
      <c r="A546" s="47" t="s">
        <v>13483</v>
      </c>
      <c r="B546" s="18" t="s">
        <v>14123</v>
      </c>
      <c r="C546" s="61" t="str">
        <f t="shared" si="19"/>
        <v>C05898:1</v>
      </c>
      <c r="D546" s="60" t="str">
        <f t="shared" si="18"/>
        <v>C05898 : Undecaprenyl-diphospho-N-acetylmuramoyl-(N-acetylglucosamine)-L-alanyl-D-glutamyl-meso-2,6-diaminopimeloyl-D-alanyl-D-alanine</v>
      </c>
    </row>
    <row r="547" spans="1:4" customFormat="1">
      <c r="A547" t="s">
        <v>13225</v>
      </c>
      <c r="B547" s="18" t="s">
        <v>14124</v>
      </c>
      <c r="C547" s="61" t="str">
        <f t="shared" si="19"/>
        <v>C05921:1</v>
      </c>
      <c r="D547" s="60" t="str">
        <f t="shared" si="18"/>
        <v>C05921 : Biotinyl-5'-AMP</v>
      </c>
    </row>
    <row r="548" spans="1:4" customFormat="1">
      <c r="A548" t="s">
        <v>13227</v>
      </c>
      <c r="B548" s="18" t="s">
        <v>14125</v>
      </c>
      <c r="C548" s="61" t="str">
        <f t="shared" si="19"/>
        <v>C05922:1</v>
      </c>
      <c r="D548" s="60" t="str">
        <f t="shared" si="18"/>
        <v>C05922 : Formamidopyrimidine nucleoside triphosphate</v>
      </c>
    </row>
    <row r="549" spans="1:4" customFormat="1">
      <c r="A549" t="s">
        <v>9740</v>
      </c>
      <c r="B549" s="18" t="s">
        <v>14126</v>
      </c>
      <c r="C549" s="61" t="str">
        <f t="shared" si="19"/>
        <v>C05923:1</v>
      </c>
      <c r="D549" s="60" t="str">
        <f t="shared" si="18"/>
        <v>C05923 : 2,5-Diaminopyrimidine nucleoside triphosphate</v>
      </c>
    </row>
    <row r="550" spans="1:4" customFormat="1">
      <c r="A550" s="47" t="s">
        <v>13425</v>
      </c>
      <c r="B550" s="18" t="s">
        <v>14127</v>
      </c>
      <c r="C550" s="61" t="str">
        <f t="shared" si="19"/>
        <v>C05938:1</v>
      </c>
      <c r="D550" s="60" t="str">
        <f t="shared" si="18"/>
        <v>C05938 : L-4-Hydroxyglutamate semialdehyde</v>
      </c>
    </row>
    <row r="551" spans="1:4" customFormat="1">
      <c r="A551" s="47" t="s">
        <v>13509</v>
      </c>
      <c r="B551" s="18" t="s">
        <v>14128</v>
      </c>
      <c r="C551" s="61" t="str">
        <f t="shared" si="19"/>
        <v>C05946:1</v>
      </c>
      <c r="D551" s="60" t="str">
        <f t="shared" si="18"/>
        <v>C05946 : (4R)-4-Hydroxy-2-oxoglutarate</v>
      </c>
    </row>
    <row r="552" spans="1:4" customFormat="1">
      <c r="A552" t="s">
        <v>13228</v>
      </c>
      <c r="B552" s="18" t="s">
        <v>14129</v>
      </c>
      <c r="C552" s="61" t="str">
        <f t="shared" si="19"/>
        <v>C05947:1</v>
      </c>
      <c r="D552" s="60" t="str">
        <f t="shared" si="18"/>
        <v>C05947 : L-erythro-4-Hydroxyglutamate</v>
      </c>
    </row>
    <row r="553" spans="1:4" customFormat="1">
      <c r="A553" s="47" t="s">
        <v>13470</v>
      </c>
      <c r="B553" s="18" t="s">
        <v>14130</v>
      </c>
      <c r="C553" s="61" t="str">
        <f t="shared" si="19"/>
        <v>C06006:1</v>
      </c>
      <c r="D553" s="60" t="str">
        <f t="shared" si="18"/>
        <v>C06006 : (S)-2-Aceto-2-hydroxybutanoate</v>
      </c>
    </row>
    <row r="554" spans="1:4" customFormat="1">
      <c r="A554" t="s">
        <v>13230</v>
      </c>
      <c r="B554" s="18" t="s">
        <v>14131</v>
      </c>
      <c r="C554" s="61" t="str">
        <f t="shared" si="19"/>
        <v>C06007:1</v>
      </c>
      <c r="D554" s="60" t="str">
        <f t="shared" si="18"/>
        <v>C06007 : (R)-2,3-Dihydroxy-3-methylpentanoate</v>
      </c>
    </row>
    <row r="555" spans="1:4" customFormat="1">
      <c r="A555" t="s">
        <v>13232</v>
      </c>
      <c r="B555" s="18" t="s">
        <v>14132</v>
      </c>
      <c r="C555" s="61" t="str">
        <f t="shared" si="19"/>
        <v>C06010:1</v>
      </c>
      <c r="D555" s="60" t="str">
        <f t="shared" si="18"/>
        <v>C06010 : (S)-2-Acetolactate</v>
      </c>
    </row>
    <row r="556" spans="1:4" customFormat="1">
      <c r="A556" s="1" t="s">
        <v>13234</v>
      </c>
      <c r="B556" s="18" t="s">
        <v>14133</v>
      </c>
      <c r="C556" s="61" t="str">
        <f t="shared" si="19"/>
        <v>C06022:1</v>
      </c>
      <c r="D556" s="60" t="str">
        <f t="shared" si="18"/>
        <v>C06022 : UDP-3-O-(3-hydroxytetradecanoyl)-D-glucosamine</v>
      </c>
    </row>
    <row r="557" spans="1:4" customFormat="1">
      <c r="A557" s="47" t="s">
        <v>13381</v>
      </c>
      <c r="B557" s="18" t="s">
        <v>14134</v>
      </c>
      <c r="C557" s="61" t="str">
        <f t="shared" si="19"/>
        <v>C06032:1</v>
      </c>
      <c r="D557" s="60" t="str">
        <f t="shared" si="18"/>
        <v>C06032 : D-erythro-3-Methylmalate</v>
      </c>
    </row>
    <row r="558" spans="1:4" customFormat="1">
      <c r="A558" s="47" t="s">
        <v>13518</v>
      </c>
      <c r="B558" s="18" t="s">
        <v>14135</v>
      </c>
      <c r="C558" s="61" t="str">
        <f t="shared" si="19"/>
        <v>C06054:1</v>
      </c>
      <c r="D558" s="60" t="str">
        <f t="shared" si="18"/>
        <v>C06054 : 2-Oxo-3-hydroxy-4-phosphobutanoate</v>
      </c>
    </row>
    <row r="559" spans="1:4" customFormat="1">
      <c r="A559" t="s">
        <v>13236</v>
      </c>
      <c r="B559" s="18" t="s">
        <v>14136</v>
      </c>
      <c r="C559" s="61" t="str">
        <f t="shared" si="19"/>
        <v>C06055:1</v>
      </c>
      <c r="D559" s="60" t="str">
        <f t="shared" si="18"/>
        <v>C06055 : O-Phospho-4-hydroxy-L-threonine</v>
      </c>
    </row>
    <row r="560" spans="1:4" customFormat="1">
      <c r="A560" s="47" t="s">
        <v>13567</v>
      </c>
      <c r="B560" s="18" t="s">
        <v>14137</v>
      </c>
      <c r="C560" s="61" t="str">
        <f t="shared" si="19"/>
        <v>C06056:1</v>
      </c>
      <c r="D560" s="60" t="str">
        <f t="shared" si="18"/>
        <v>C06056 : 4-Hydroxy-L-threonine</v>
      </c>
    </row>
    <row r="561" spans="1:5">
      <c r="A561" t="s">
        <v>13237</v>
      </c>
      <c r="B561" s="18" t="s">
        <v>14138</v>
      </c>
      <c r="C561" s="61" t="str">
        <f t="shared" si="19"/>
        <v>C06125:1</v>
      </c>
      <c r="D561" s="60" t="str">
        <f t="shared" si="18"/>
        <v>C06125 : Sulfatide</v>
      </c>
      <c r="E561"/>
    </row>
    <row r="562" spans="1:5">
      <c r="A562" s="47" t="s">
        <v>9741</v>
      </c>
      <c r="B562" s="18" t="s">
        <v>14139</v>
      </c>
      <c r="C562" s="61" t="str">
        <f t="shared" si="19"/>
        <v>C06148:1</v>
      </c>
      <c r="D562" s="60" t="str">
        <f t="shared" si="18"/>
        <v>C06148 : 2,5-Diamino-6-(5'-triphosphoryl-3',4'-trihydroxy-2'-oxopentyl)-amino-4-oxopyrimidine</v>
      </c>
      <c r="E562"/>
    </row>
    <row r="563" spans="1:5">
      <c r="A563" t="s">
        <v>13238</v>
      </c>
      <c r="B563" s="18" t="s">
        <v>14140</v>
      </c>
      <c r="C563" s="61" t="str">
        <f t="shared" si="19"/>
        <v>C06156:1</v>
      </c>
      <c r="D563" s="60" t="str">
        <f t="shared" si="18"/>
        <v>C06156 : alpha-D-Glucosamine 1-phosphate</v>
      </c>
      <c r="E563"/>
    </row>
    <row r="564" spans="1:5">
      <c r="A564" s="47" t="s">
        <v>13376</v>
      </c>
      <c r="B564" s="18" t="s">
        <v>14141</v>
      </c>
      <c r="C564" s="61" t="str">
        <f t="shared" si="19"/>
        <v>C06240:1</v>
      </c>
      <c r="D564" s="60" t="str">
        <f t="shared" si="18"/>
        <v>C06240 : UDP-N-acetyl-D-mannosaminouronate</v>
      </c>
      <c r="E564"/>
    </row>
    <row r="565" spans="1:5">
      <c r="A565" t="s">
        <v>13330</v>
      </c>
      <c r="B565" s="18" t="s">
        <v>14142</v>
      </c>
      <c r="C565" s="61" t="str">
        <f t="shared" si="19"/>
        <v>C06249:1</v>
      </c>
      <c r="D565" s="60" t="str">
        <f t="shared" si="18"/>
        <v>C06249 : Apo-[carboxylase]</v>
      </c>
      <c r="E565"/>
    </row>
    <row r="566" spans="1:5">
      <c r="A566" t="s">
        <v>13331</v>
      </c>
      <c r="B566" s="18" t="s">
        <v>14143</v>
      </c>
      <c r="C566" s="61" t="str">
        <f t="shared" si="19"/>
        <v>C06250:1</v>
      </c>
      <c r="D566" s="60" t="str">
        <f t="shared" si="18"/>
        <v>C06250 : Holo-[carboxylase]</v>
      </c>
      <c r="E566"/>
    </row>
    <row r="567" spans="1:5">
      <c r="A567" t="s">
        <v>13332</v>
      </c>
      <c r="B567" s="18" t="s">
        <v>14144</v>
      </c>
      <c r="C567" s="61" t="str">
        <f t="shared" si="19"/>
        <v>C06406:1</v>
      </c>
      <c r="D567" s="60" t="str">
        <f t="shared" si="18"/>
        <v>C06406 : Precorrin 3B</v>
      </c>
      <c r="E567"/>
    </row>
    <row r="568" spans="1:5">
      <c r="A568" t="s">
        <v>13333</v>
      </c>
      <c r="B568" s="18" t="s">
        <v>14145</v>
      </c>
      <c r="C568" s="61" t="str">
        <f t="shared" si="19"/>
        <v>C06407:1</v>
      </c>
      <c r="D568" s="60" t="str">
        <f t="shared" si="18"/>
        <v>C06407 : Precorrin 4</v>
      </c>
      <c r="E568"/>
    </row>
    <row r="569" spans="1:5">
      <c r="A569" s="47" t="s">
        <v>13384</v>
      </c>
      <c r="B569" s="18" t="s">
        <v>14146</v>
      </c>
      <c r="C569" s="61" t="str">
        <f t="shared" si="19"/>
        <v>C06416:1</v>
      </c>
      <c r="D569" s="60" t="str">
        <f t="shared" si="18"/>
        <v>C06416 : Precorrin 5</v>
      </c>
      <c r="E569"/>
    </row>
    <row r="570" spans="1:5">
      <c r="A570" t="s">
        <v>13240</v>
      </c>
      <c r="B570" s="18" t="s">
        <v>14147</v>
      </c>
      <c r="C570" s="61" t="str">
        <f t="shared" si="19"/>
        <v>C06441:1</v>
      </c>
      <c r="D570" s="60" t="str">
        <f t="shared" si="18"/>
        <v>C06441 : L-Xylulose 1-phosphate</v>
      </c>
      <c r="E570"/>
    </row>
    <row r="571" spans="1:5">
      <c r="A571" t="s">
        <v>13387</v>
      </c>
      <c r="B571" s="18" t="s">
        <v>14148</v>
      </c>
      <c r="C571" s="61" t="str">
        <f t="shared" si="19"/>
        <v>C06481:1</v>
      </c>
      <c r="D571" s="60" t="str">
        <f t="shared" si="18"/>
        <v>C06481 : L-Seryl-tRNA(Sec)</v>
      </c>
      <c r="E571"/>
    </row>
    <row r="572" spans="1:5">
      <c r="A572" t="s">
        <v>13334</v>
      </c>
      <c r="B572" s="18" t="s">
        <v>14149</v>
      </c>
      <c r="C572" s="61" t="str">
        <f t="shared" si="19"/>
        <v>C06504:1</v>
      </c>
      <c r="D572" s="60" t="str">
        <f t="shared" si="18"/>
        <v>C06504 : Cob(II)yrinate a,c diamide</v>
      </c>
      <c r="E572"/>
    </row>
    <row r="573" spans="1:5">
      <c r="A573" t="s">
        <v>13242</v>
      </c>
      <c r="B573" s="18" t="s">
        <v>14150</v>
      </c>
      <c r="C573" s="61" t="str">
        <f t="shared" si="19"/>
        <v>C06505:1</v>
      </c>
      <c r="D573" s="60" t="str">
        <f t="shared" si="18"/>
        <v>C06505 : Cob(I)yrinate a,c diamide</v>
      </c>
      <c r="E573"/>
    </row>
    <row r="574" spans="1:5">
      <c r="A574" s="47" t="s">
        <v>13446</v>
      </c>
      <c r="B574" s="18" t="s">
        <v>14151</v>
      </c>
      <c r="C574" s="61" t="str">
        <f t="shared" si="19"/>
        <v>C06506:1</v>
      </c>
      <c r="D574" s="60" t="str">
        <f t="shared" si="18"/>
        <v>C06506 : Adenosyl cobyrinate a,c diamide</v>
      </c>
      <c r="E574"/>
    </row>
    <row r="575" spans="1:5">
      <c r="A575" s="47" t="s">
        <v>13449</v>
      </c>
      <c r="B575" s="18" t="s">
        <v>14152</v>
      </c>
      <c r="C575" s="61" t="str">
        <f t="shared" si="19"/>
        <v>C06508:1</v>
      </c>
      <c r="D575" s="60" t="str">
        <f t="shared" si="18"/>
        <v>C06508 : Adenosyl cobinamide</v>
      </c>
      <c r="E575"/>
    </row>
    <row r="576" spans="1:5">
      <c r="A576" s="47" t="s">
        <v>13545</v>
      </c>
      <c r="B576" s="18" t="s">
        <v>14153</v>
      </c>
      <c r="C576" s="61" t="str">
        <f t="shared" si="19"/>
        <v>C06563:1</v>
      </c>
      <c r="D576" s="60" t="str">
        <f t="shared" si="18"/>
        <v>C06563 : Genistein</v>
      </c>
      <c r="E576"/>
    </row>
    <row r="577" spans="1:4" customFormat="1">
      <c r="A577" t="s">
        <v>13244</v>
      </c>
      <c r="B577" s="18" t="s">
        <v>14154</v>
      </c>
      <c r="C577" s="61" t="str">
        <f t="shared" si="19"/>
        <v>C07335:1</v>
      </c>
      <c r="D577" s="60" t="str">
        <f t="shared" si="18"/>
        <v>C07335 : 2-Amino-3-oxo-4-phosphonooxybutyrate</v>
      </c>
    </row>
    <row r="578" spans="1:4" customFormat="1">
      <c r="A578" t="s">
        <v>13246</v>
      </c>
      <c r="B578" s="18" t="s">
        <v>14155</v>
      </c>
      <c r="C578" s="61" t="str">
        <f t="shared" si="19"/>
        <v>C07648:1</v>
      </c>
      <c r="D578" s="60" t="str">
        <f t="shared" ref="D578:D591" si="20">CONCATENATE(A578," : ",B578)</f>
        <v>C07648 : Thioguanine</v>
      </c>
    </row>
    <row r="579" spans="1:4" customFormat="1">
      <c r="A579" t="s">
        <v>13247</v>
      </c>
      <c r="B579" s="18" t="s">
        <v>14156</v>
      </c>
      <c r="C579" s="61" t="str">
        <f t="shared" si="19"/>
        <v>C07649:1</v>
      </c>
      <c r="D579" s="60" t="str">
        <f t="shared" si="20"/>
        <v>C07649 : 5-FU</v>
      </c>
    </row>
    <row r="580" spans="1:4" customFormat="1">
      <c r="A580" s="47" t="s">
        <v>13538</v>
      </c>
      <c r="B580" s="18" t="s">
        <v>14157</v>
      </c>
      <c r="C580" s="61" t="str">
        <f t="shared" si="19"/>
        <v>C08325:1</v>
      </c>
      <c r="D580" s="60" t="str">
        <f t="shared" si="20"/>
        <v>C08325 : Amygdalin</v>
      </c>
    </row>
    <row r="581" spans="1:4" customFormat="1">
      <c r="A581" t="s">
        <v>13249</v>
      </c>
      <c r="B581" s="18" t="s">
        <v>14158</v>
      </c>
      <c r="C581" s="61" t="str">
        <f t="shared" si="19"/>
        <v>C08334:1</v>
      </c>
      <c r="D581" s="60" t="str">
        <f t="shared" si="20"/>
        <v>C08334 : Lotaustralin</v>
      </c>
    </row>
    <row r="582" spans="1:4" customFormat="1">
      <c r="A582" t="s">
        <v>13250</v>
      </c>
      <c r="B582" s="51" t="s">
        <v>14159</v>
      </c>
      <c r="C582" s="61" t="str">
        <f t="shared" si="19"/>
        <v>C09099:1</v>
      </c>
      <c r="D582" s="60" t="str">
        <f t="shared" si="20"/>
        <v>C09099 : Naringenin 7-O-beta-D-glucoside</v>
      </c>
    </row>
    <row r="583" spans="1:4" customFormat="1">
      <c r="A583" t="s">
        <v>13252</v>
      </c>
      <c r="B583" s="18" t="s">
        <v>14160</v>
      </c>
      <c r="C583" s="61" t="str">
        <f t="shared" si="19"/>
        <v>C09126:1</v>
      </c>
      <c r="D583" s="60" t="str">
        <f t="shared" si="20"/>
        <v>C09126 : Genistin</v>
      </c>
    </row>
    <row r="584" spans="1:4" customFormat="1">
      <c r="A584" t="s">
        <v>13510</v>
      </c>
      <c r="B584" s="18" t="s">
        <v>14161</v>
      </c>
      <c r="C584" s="61" t="str">
        <f t="shared" si="19"/>
        <v>C09306:1</v>
      </c>
      <c r="D584" s="60" t="str">
        <f t="shared" si="20"/>
        <v>C09306 : Sulfur dioxide</v>
      </c>
    </row>
    <row r="585" spans="1:4" customFormat="1">
      <c r="A585" s="47" t="s">
        <v>13544</v>
      </c>
      <c r="B585" s="18" t="s">
        <v>14162</v>
      </c>
      <c r="C585" s="61" t="str">
        <f t="shared" ref="C585:C648" si="21">CONCATENATE(A585,":","1")</f>
        <v>C10208:1</v>
      </c>
      <c r="D585" s="60" t="str">
        <f t="shared" si="20"/>
        <v>C10208 : Daidzein</v>
      </c>
    </row>
    <row r="586" spans="1:4" customFormat="1">
      <c r="A586" t="s">
        <v>13253</v>
      </c>
      <c r="B586" s="18" t="s">
        <v>14163</v>
      </c>
      <c r="C586" s="61" t="str">
        <f t="shared" si="21"/>
        <v>C10216:1</v>
      </c>
      <c r="D586" s="60" t="str">
        <f t="shared" si="20"/>
        <v>C10216 : Daidzin</v>
      </c>
    </row>
    <row r="587" spans="1:4" customFormat="1">
      <c r="A587" t="s">
        <v>13255</v>
      </c>
      <c r="B587" s="18" t="s">
        <v>14164</v>
      </c>
      <c r="C587" s="61" t="str">
        <f t="shared" si="21"/>
        <v>C11038:1</v>
      </c>
      <c r="D587" s="60" t="str">
        <f t="shared" si="20"/>
        <v>C11038 : 2'-Deoxy-5-hydroxymethylcytidine-5'-diphosphate</v>
      </c>
    </row>
    <row r="588" spans="1:4" customFormat="1">
      <c r="A588" t="s">
        <v>9820</v>
      </c>
      <c r="B588" s="18" t="s">
        <v>14165</v>
      </c>
      <c r="C588" s="61" t="str">
        <f t="shared" si="21"/>
        <v>C11039:1</v>
      </c>
      <c r="D588" s="60" t="str">
        <f t="shared" si="20"/>
        <v>C11039 : 2'-Deoxy-5-hydroxymethylcytidine-5'-triphosphate</v>
      </c>
    </row>
    <row r="589" spans="1:4" customFormat="1">
      <c r="A589" s="47" t="s">
        <v>13521</v>
      </c>
      <c r="B589" s="18" t="s">
        <v>14166</v>
      </c>
      <c r="C589" s="61" t="str">
        <f t="shared" si="21"/>
        <v>C11355:1</v>
      </c>
      <c r="D589" s="60" t="str">
        <f t="shared" si="20"/>
        <v>C11355 : 4-Amino-4-deoxychorismate</v>
      </c>
    </row>
    <row r="590" spans="1:4" customFormat="1">
      <c r="A590" t="s">
        <v>13256</v>
      </c>
      <c r="B590" s="18" t="s">
        <v>14167</v>
      </c>
      <c r="C590" s="61" t="str">
        <f t="shared" si="21"/>
        <v>C11434:1</v>
      </c>
      <c r="D590" s="60" t="str">
        <f t="shared" si="20"/>
        <v>C11434 : 2-C-Methyl-D-erythritol 4-phosphate</v>
      </c>
    </row>
    <row r="591" spans="1:4" customFormat="1">
      <c r="A591" t="s">
        <v>13258</v>
      </c>
      <c r="B591" s="18" t="s">
        <v>14168</v>
      </c>
      <c r="C591" s="61" t="str">
        <f t="shared" si="21"/>
        <v>C11435:1</v>
      </c>
      <c r="D591" s="60" t="str">
        <f t="shared" si="20"/>
        <v>C11435 : 4-(Cytidine 5'-diphospho)-2-C-methyl-D-erythritol</v>
      </c>
    </row>
    <row r="592" spans="1:4" customFormat="1">
      <c r="A592" t="s">
        <v>9697</v>
      </c>
      <c r="B592" s="18" t="s">
        <v>14169</v>
      </c>
      <c r="C592" s="61" t="str">
        <f t="shared" si="21"/>
        <v>C11436:1</v>
      </c>
      <c r="D592" s="60" t="str">
        <f t="shared" ref="D592:D655" si="22">CONCATENATE(A592," : ",B592)</f>
        <v>C11436 : 2-Phospho-4-(cytidine 5'-diphospho)-2-C-methyl-D-erythritol</v>
      </c>
    </row>
    <row r="593" spans="1:4" customFormat="1">
      <c r="A593" t="s">
        <v>13335</v>
      </c>
      <c r="B593" s="18" t="s">
        <v>14170</v>
      </c>
      <c r="C593" s="61" t="str">
        <f t="shared" si="21"/>
        <v>C11437:1</v>
      </c>
      <c r="D593" s="60" t="str">
        <f t="shared" si="22"/>
        <v>C11437 : 1-Deoxy-D-xylulose 5-phosphate</v>
      </c>
    </row>
    <row r="594" spans="1:4" customFormat="1">
      <c r="A594" t="s">
        <v>13260</v>
      </c>
      <c r="B594" s="18" t="s">
        <v>14171</v>
      </c>
      <c r="C594" s="61" t="str">
        <f t="shared" si="21"/>
        <v>C11439:1</v>
      </c>
      <c r="D594" s="60" t="str">
        <f t="shared" si="22"/>
        <v>C11439 : Formyl-L-methionyl peptide</v>
      </c>
    </row>
    <row r="595" spans="1:4" customFormat="1">
      <c r="A595" s="47" t="s">
        <v>13549</v>
      </c>
      <c r="B595" s="18" t="s">
        <v>14172</v>
      </c>
      <c r="C595" s="61" t="str">
        <f t="shared" si="21"/>
        <v>C11440:1</v>
      </c>
      <c r="D595" s="60" t="str">
        <f t="shared" si="22"/>
        <v>C11440 : Methionyl peptide</v>
      </c>
    </row>
    <row r="596" spans="1:4" customFormat="1">
      <c r="A596" s="47" t="s">
        <v>13570</v>
      </c>
      <c r="B596" s="18" t="s">
        <v>14173</v>
      </c>
      <c r="C596" s="61" t="str">
        <f t="shared" si="21"/>
        <v>C11453:1</v>
      </c>
      <c r="D596" s="60" t="str">
        <f t="shared" si="22"/>
        <v>C11453 : 2-C-Methyl-D-erythritol 2,4-cyclodiphosphate</v>
      </c>
    </row>
    <row r="597" spans="1:4" customFormat="1">
      <c r="A597" s="47" t="s">
        <v>13398</v>
      </c>
      <c r="B597" s="18" t="s">
        <v>14174</v>
      </c>
      <c r="C597" s="61" t="str">
        <f t="shared" si="21"/>
        <v>C11475:1</v>
      </c>
      <c r="D597" s="60" t="str">
        <f t="shared" si="22"/>
        <v>C11475 : DNA containing guanine</v>
      </c>
    </row>
    <row r="598" spans="1:4" customFormat="1">
      <c r="A598" t="s">
        <v>13262</v>
      </c>
      <c r="B598" s="18" t="s">
        <v>14175</v>
      </c>
      <c r="C598" s="61" t="str">
        <f t="shared" si="21"/>
        <v>C11537:1</v>
      </c>
      <c r="D598" s="60" t="str">
        <f t="shared" si="22"/>
        <v>C11537 : (2R)-3-Sulfolactate</v>
      </c>
    </row>
    <row r="599" spans="1:4" customFormat="1">
      <c r="A599" t="s">
        <v>13264</v>
      </c>
      <c r="B599" s="18" t="s">
        <v>14176</v>
      </c>
      <c r="C599" s="61" t="str">
        <f t="shared" si="21"/>
        <v>C11539:1</v>
      </c>
      <c r="D599" s="60" t="str">
        <f t="shared" si="22"/>
        <v>C11539 : Cobalt-precorrin 3</v>
      </c>
    </row>
    <row r="600" spans="1:4" customFormat="1">
      <c r="A600" s="47" t="s">
        <v>13461</v>
      </c>
      <c r="B600" s="18" t="s">
        <v>14177</v>
      </c>
      <c r="C600" s="61" t="str">
        <f t="shared" si="21"/>
        <v>C11540:1</v>
      </c>
      <c r="D600" s="60" t="str">
        <f t="shared" si="22"/>
        <v>C11540 : Cobalt-precorrin 4</v>
      </c>
    </row>
    <row r="601" spans="1:4" customFormat="1">
      <c r="A601" t="s">
        <v>13265</v>
      </c>
      <c r="B601" s="18" t="s">
        <v>14178</v>
      </c>
      <c r="C601" s="61" t="str">
        <f t="shared" si="21"/>
        <v>C11638:1</v>
      </c>
      <c r="D601" s="60" t="str">
        <f t="shared" si="22"/>
        <v>C11638 : 3-Amino-2-oxopropyl phosphate</v>
      </c>
    </row>
    <row r="602" spans="1:4" customFormat="1">
      <c r="A602" t="s">
        <v>13266</v>
      </c>
      <c r="B602" s="18" t="s">
        <v>14179</v>
      </c>
      <c r="C602" s="61" t="str">
        <f t="shared" si="21"/>
        <v>C11811:1</v>
      </c>
      <c r="D602" s="60" t="str">
        <f t="shared" si="22"/>
        <v>C11811 : 1-Hydroxy-2-methyl-2-butenyl 4-diphosphate</v>
      </c>
    </row>
    <row r="603" spans="1:4" customFormat="1">
      <c r="A603" s="47" t="s">
        <v>13569</v>
      </c>
      <c r="B603" s="18" t="s">
        <v>14180</v>
      </c>
      <c r="C603" s="61" t="str">
        <f t="shared" si="21"/>
        <v>C11823:1</v>
      </c>
      <c r="D603" s="60" t="str">
        <f t="shared" si="22"/>
        <v>C11823 : 2,3-Ene acid</v>
      </c>
    </row>
    <row r="604" spans="1:4" customFormat="1">
      <c r="A604" t="s">
        <v>10321</v>
      </c>
      <c r="B604" s="18" t="s">
        <v>14181</v>
      </c>
      <c r="C604" s="61" t="str">
        <f t="shared" si="21"/>
        <v>C11907:1</v>
      </c>
      <c r="D604" s="60" t="str">
        <f t="shared" si="22"/>
        <v>C11907 : dTDP-4-oxo-6-deoxy-D-glucose</v>
      </c>
    </row>
    <row r="605" spans="1:4" customFormat="1">
      <c r="A605" s="47" t="s">
        <v>13551</v>
      </c>
      <c r="B605" s="18" t="s">
        <v>14182</v>
      </c>
      <c r="C605" s="61" t="str">
        <f t="shared" si="21"/>
        <v>C12739:1</v>
      </c>
      <c r="D605" s="60" t="str">
        <f t="shared" si="22"/>
        <v>C12739 : 5'-Deoxy-5-fluorouridine</v>
      </c>
    </row>
    <row r="606" spans="1:4" customFormat="1">
      <c r="A606" t="s">
        <v>13360</v>
      </c>
      <c r="B606" s="18" t="s">
        <v>14183</v>
      </c>
      <c r="C606" s="61" t="str">
        <f t="shared" si="21"/>
        <v>C14818:1</v>
      </c>
      <c r="D606" s="60" t="str">
        <f t="shared" si="22"/>
        <v>C14818 : Fe2+</v>
      </c>
    </row>
    <row r="607" spans="1:4" customFormat="1">
      <c r="A607" t="s">
        <v>13336</v>
      </c>
      <c r="B607" s="18" t="s">
        <v>14184</v>
      </c>
      <c r="C607" s="61" t="str">
        <f t="shared" si="21"/>
        <v>C15498:1</v>
      </c>
      <c r="D607" s="60" t="str">
        <f t="shared" si="22"/>
        <v>C15498 : ROOH</v>
      </c>
    </row>
    <row r="608" spans="1:4" customFormat="1">
      <c r="A608" s="47" t="s">
        <v>13418</v>
      </c>
      <c r="B608" s="18" t="s">
        <v>14185</v>
      </c>
      <c r="C608" s="61" t="str">
        <f t="shared" si="21"/>
        <v>C15532:1</v>
      </c>
      <c r="D608" s="60" t="str">
        <f t="shared" si="22"/>
        <v>C15532 : N-Acetyl-L-citrulline</v>
      </c>
    </row>
    <row r="609" spans="1:4" customFormat="1">
      <c r="A609" s="47" t="s">
        <v>13559</v>
      </c>
      <c r="B609" s="18" t="s">
        <v>14186</v>
      </c>
      <c r="C609" s="61" t="str">
        <f t="shared" si="21"/>
        <v>C15547:1</v>
      </c>
      <c r="D609" s="60" t="str">
        <f t="shared" si="22"/>
        <v>C15547 : 1,4-Dihydroxy-2-naphthoyl-CoA</v>
      </c>
    </row>
    <row r="610" spans="1:4" customFormat="1">
      <c r="A610" t="s">
        <v>13337</v>
      </c>
      <c r="B610" s="18" t="s">
        <v>14187</v>
      </c>
      <c r="C610" s="61" t="str">
        <f t="shared" si="21"/>
        <v>C15556:1</v>
      </c>
      <c r="D610" s="60" t="str">
        <f t="shared" si="22"/>
        <v>C15556 : L-3,4-Dihydroxybutan-2-one 4-phosphate</v>
      </c>
    </row>
    <row r="611" spans="1:4" customFormat="1">
      <c r="A611" s="47" t="s">
        <v>13533</v>
      </c>
      <c r="B611" s="18" t="s">
        <v>14188</v>
      </c>
      <c r="C611" s="61" t="str">
        <f t="shared" si="21"/>
        <v>C15584:1</v>
      </c>
      <c r="D611" s="60" t="str">
        <f t="shared" si="22"/>
        <v>C15584 : Phenol</v>
      </c>
    </row>
    <row r="612" spans="1:4" customFormat="1">
      <c r="A612" s="47" t="s">
        <v>13460</v>
      </c>
      <c r="B612" s="18" t="s">
        <v>14189</v>
      </c>
      <c r="C612" s="61" t="str">
        <f t="shared" si="21"/>
        <v>C15653:1</v>
      </c>
      <c r="D612" s="60" t="str">
        <f t="shared" si="22"/>
        <v>C15653 : Peptide-L-methionine (R)-S-oxide</v>
      </c>
    </row>
    <row r="613" spans="1:4" customFormat="1">
      <c r="A613" t="s">
        <v>13268</v>
      </c>
      <c r="B613" s="18" t="s">
        <v>14190</v>
      </c>
      <c r="C613" s="61" t="str">
        <f t="shared" si="21"/>
        <v>C15667:1</v>
      </c>
      <c r="D613" s="60" t="str">
        <f t="shared" si="22"/>
        <v>C15667 : 5-Carboxyamino-1-(5-phospho-D-ribosyl)imidazole</v>
      </c>
    </row>
    <row r="614" spans="1:4" customFormat="1">
      <c r="A614" s="47" t="s">
        <v>13496</v>
      </c>
      <c r="B614" s="18" t="s">
        <v>14191</v>
      </c>
      <c r="C614" s="61" t="str">
        <f t="shared" si="21"/>
        <v>C15811:1</v>
      </c>
      <c r="D614" s="60" t="str">
        <f t="shared" si="22"/>
        <v>C15811 : [Enzyme]-cysteine</v>
      </c>
    </row>
    <row r="615" spans="1:4" customFormat="1">
      <c r="A615" t="s">
        <v>13338</v>
      </c>
      <c r="B615" s="18" t="s">
        <v>14192</v>
      </c>
      <c r="C615" s="61" t="str">
        <f t="shared" si="21"/>
        <v>C15812:1</v>
      </c>
      <c r="D615" s="60" t="str">
        <f t="shared" si="22"/>
        <v>C15812 : [Enzyme]-S-sulfanylcysteine</v>
      </c>
    </row>
    <row r="616" spans="1:4" customFormat="1">
      <c r="A616" s="47" t="s">
        <v>13454</v>
      </c>
      <c r="B616" s="18" t="s">
        <v>14193</v>
      </c>
      <c r="C616" s="61" t="str">
        <f t="shared" si="21"/>
        <v>C15972:1</v>
      </c>
      <c r="D616" s="60" t="str">
        <f t="shared" si="22"/>
        <v>C15972 : Enzyme N6-(lipoyl)lysine</v>
      </c>
    </row>
    <row r="617" spans="1:4" customFormat="1">
      <c r="A617" t="s">
        <v>13270</v>
      </c>
      <c r="B617" s="18" t="s">
        <v>14194</v>
      </c>
      <c r="C617" s="61" t="str">
        <f t="shared" si="21"/>
        <v>C15973:1</v>
      </c>
      <c r="D617" s="60" t="str">
        <f t="shared" si="22"/>
        <v>C15973 : Enzyme N6-(dihydrolipoyl)lysine</v>
      </c>
    </row>
    <row r="618" spans="1:4" customFormat="1">
      <c r="A618" t="s">
        <v>13271</v>
      </c>
      <c r="B618" s="18" t="s">
        <v>14195</v>
      </c>
      <c r="C618" s="61" t="str">
        <f t="shared" si="21"/>
        <v>C16219:1</v>
      </c>
      <c r="D618" s="60" t="str">
        <f t="shared" si="22"/>
        <v>C16219 : 3-Oxostearoyl-[acp]</v>
      </c>
    </row>
    <row r="619" spans="1:4" customFormat="1">
      <c r="A619" s="47" t="s">
        <v>13363</v>
      </c>
      <c r="B619" s="18" t="s">
        <v>14196</v>
      </c>
      <c r="C619" s="61" t="str">
        <f t="shared" si="21"/>
        <v>C16220:1</v>
      </c>
      <c r="D619" s="60" t="str">
        <f t="shared" si="22"/>
        <v>C16220 : (3R)-3-Hydroxyoctadecanoyl-[acyl-carrier protein]</v>
      </c>
    </row>
    <row r="620" spans="1:4" customFormat="1">
      <c r="A620" t="s">
        <v>13272</v>
      </c>
      <c r="B620" s="18" t="s">
        <v>14197</v>
      </c>
      <c r="C620" s="61" t="str">
        <f t="shared" si="21"/>
        <v>C16236:1</v>
      </c>
      <c r="D620" s="60" t="str">
        <f t="shared" si="22"/>
        <v>C16236 : [Protein]-N6-(octanoyl)-L-lysine</v>
      </c>
    </row>
    <row r="621" spans="1:4" customFormat="1">
      <c r="A621" s="47" t="s">
        <v>13452</v>
      </c>
      <c r="B621" s="18" t="s">
        <v>14198</v>
      </c>
      <c r="C621" s="61" t="str">
        <f t="shared" si="21"/>
        <v>C16237:1</v>
      </c>
      <c r="D621" s="60" t="str">
        <f t="shared" si="22"/>
        <v>C16237 : Protein N6-(lipoyl)lysine</v>
      </c>
    </row>
    <row r="622" spans="1:4" customFormat="1">
      <c r="A622" s="47" t="s">
        <v>13472</v>
      </c>
      <c r="B622" s="18" t="s">
        <v>14199</v>
      </c>
      <c r="C622" s="61" t="str">
        <f t="shared" si="21"/>
        <v>C16519:1</v>
      </c>
      <c r="D622" s="60" t="str">
        <f t="shared" si="22"/>
        <v>C16519 : 2-Succinyl-5-enolpyruvyl-6-hydroxy-3-cyclohexene-1-carboxylate</v>
      </c>
    </row>
    <row r="623" spans="1:4" customFormat="1">
      <c r="A623" t="s">
        <v>13274</v>
      </c>
      <c r="B623" s="18" t="s">
        <v>14200</v>
      </c>
      <c r="C623" s="61" t="str">
        <f t="shared" si="21"/>
        <v>C16614:1</v>
      </c>
      <c r="D623" s="60" t="str">
        <f t="shared" si="22"/>
        <v>C16614 : 6-Methylmercaptopurine</v>
      </c>
    </row>
    <row r="624" spans="1:4" customFormat="1">
      <c r="A624" s="47" t="s">
        <v>13493</v>
      </c>
      <c r="B624" s="18" t="s">
        <v>14201</v>
      </c>
      <c r="C624" s="61" t="str">
        <f t="shared" si="21"/>
        <v>C16615:1</v>
      </c>
      <c r="D624" s="60" t="str">
        <f t="shared" si="22"/>
        <v>C16615 : 6-Methylthiopurine 5'-monophosphate ribonucleotide</v>
      </c>
    </row>
    <row r="625" spans="1:4" customFormat="1">
      <c r="A625" t="s">
        <v>13275</v>
      </c>
      <c r="B625" s="18" t="s">
        <v>14202</v>
      </c>
      <c r="C625" s="61" t="str">
        <f t="shared" si="21"/>
        <v>C16618:1</v>
      </c>
      <c r="D625" s="60" t="str">
        <f t="shared" si="22"/>
        <v>C16618 : 6-Thioxanthine 5'-monophosphate</v>
      </c>
    </row>
    <row r="626" spans="1:4" customFormat="1">
      <c r="A626" s="47" t="s">
        <v>13494</v>
      </c>
      <c r="B626" s="18" t="s">
        <v>14203</v>
      </c>
      <c r="C626" s="61" t="str">
        <f t="shared" si="21"/>
        <v>C16619:1</v>
      </c>
      <c r="D626" s="60" t="str">
        <f t="shared" si="22"/>
        <v>C16619 : 6-Thioguanosine monophosphate</v>
      </c>
    </row>
    <row r="627" spans="1:4" customFormat="1">
      <c r="A627" s="47" t="s">
        <v>13487</v>
      </c>
      <c r="B627" s="18" t="s">
        <v>14204</v>
      </c>
      <c r="C627" s="61" t="str">
        <f t="shared" si="21"/>
        <v>C16634:1</v>
      </c>
      <c r="D627" s="60" t="str">
        <f t="shared" si="22"/>
        <v>C16634 : 5-Fluorouridine monophosphate</v>
      </c>
    </row>
    <row r="628" spans="1:4" customFormat="1">
      <c r="A628" t="s">
        <v>13276</v>
      </c>
      <c r="B628" s="18" t="s">
        <v>14205</v>
      </c>
      <c r="C628" s="61" t="str">
        <f t="shared" si="21"/>
        <v>C16635:1</v>
      </c>
      <c r="D628" s="60" t="str">
        <f t="shared" si="22"/>
        <v>C16635 : 5'-Deoxy-5-fluorocytidine</v>
      </c>
    </row>
    <row r="629" spans="1:4" customFormat="1">
      <c r="A629" t="s">
        <v>13040</v>
      </c>
      <c r="B629" s="18" t="s">
        <v>14206</v>
      </c>
      <c r="C629" s="61" t="str">
        <f t="shared" si="21"/>
        <v>C16636:1</v>
      </c>
      <c r="D629" s="60" t="str">
        <f t="shared" si="22"/>
        <v>C16636 : tRNA(Sec)</v>
      </c>
    </row>
    <row r="630" spans="1:4" customFormat="1">
      <c r="A630" s="47" t="s">
        <v>13371</v>
      </c>
      <c r="B630" s="18" t="s">
        <v>14207</v>
      </c>
      <c r="C630" s="61" t="str">
        <f t="shared" si="21"/>
        <v>C16663:1</v>
      </c>
      <c r="D630" s="60" t="str">
        <f t="shared" si="22"/>
        <v>C16663 : Tryparedoxin</v>
      </c>
    </row>
    <row r="631" spans="1:4" customFormat="1">
      <c r="A631" t="s">
        <v>13339</v>
      </c>
      <c r="B631" s="18" t="s">
        <v>14208</v>
      </c>
      <c r="C631" s="61" t="str">
        <f t="shared" si="21"/>
        <v>C16664:1</v>
      </c>
      <c r="D631" s="60" t="str">
        <f t="shared" si="22"/>
        <v>C16664 : Tryparedoxin disulfide</v>
      </c>
    </row>
    <row r="632" spans="1:4" customFormat="1">
      <c r="A632" t="s">
        <v>13340</v>
      </c>
      <c r="B632" s="18" t="s">
        <v>14209</v>
      </c>
      <c r="C632" s="61" t="str">
        <f t="shared" si="21"/>
        <v>C16675:1</v>
      </c>
      <c r="D632" s="60" t="str">
        <f t="shared" si="22"/>
        <v>C16675 : 7-Aminomethyl-7-carbaguanine</v>
      </c>
    </row>
    <row r="633" spans="1:4" customFormat="1">
      <c r="A633" t="s">
        <v>13277</v>
      </c>
      <c r="B633" s="18" t="s">
        <v>14210</v>
      </c>
      <c r="C633" s="61" t="str">
        <f t="shared" si="21"/>
        <v>C16832:1</v>
      </c>
      <c r="D633" s="60" t="str">
        <f t="shared" si="22"/>
        <v>C16832 : [Protein]-N6-[(R)-dihydrolipoyl]-L-lysine</v>
      </c>
    </row>
    <row r="634" spans="1:4" customFormat="1">
      <c r="A634" t="s">
        <v>13341</v>
      </c>
      <c r="B634" s="18" t="s">
        <v>14211</v>
      </c>
      <c r="C634" s="61" t="str">
        <f t="shared" si="21"/>
        <v>C17023:1</v>
      </c>
      <c r="D634" s="60" t="str">
        <f t="shared" si="22"/>
        <v>C17023 : Sulfur donor</v>
      </c>
    </row>
    <row r="635" spans="1:4" customFormat="1">
      <c r="A635" t="s">
        <v>13278</v>
      </c>
      <c r="B635" s="18" t="s">
        <v>14212</v>
      </c>
      <c r="C635" s="61" t="str">
        <f t="shared" si="21"/>
        <v>C17234:1</v>
      </c>
      <c r="D635" s="60" t="str">
        <f t="shared" si="22"/>
        <v>C17234 : 2-Aminobut-2-enoate</v>
      </c>
    </row>
    <row r="636" spans="1:4" customFormat="1">
      <c r="A636" s="47" t="s">
        <v>13529</v>
      </c>
      <c r="B636" s="18" t="s">
        <v>14213</v>
      </c>
      <c r="C636" s="61" t="str">
        <f t="shared" si="21"/>
        <v>C17322:1</v>
      </c>
      <c r="D636" s="60" t="str">
        <f t="shared" si="22"/>
        <v>C17322 : tRNA containing 2-thiouridine</v>
      </c>
    </row>
    <row r="637" spans="1:4" customFormat="1">
      <c r="A637" t="s">
        <v>13342</v>
      </c>
      <c r="B637" s="18" t="s">
        <v>14214</v>
      </c>
      <c r="C637" s="61" t="str">
        <f t="shared" si="21"/>
        <v>C17324:1</v>
      </c>
      <c r="D637" s="60" t="str">
        <f t="shared" si="22"/>
        <v>C17324 : tRNA adenine</v>
      </c>
    </row>
    <row r="638" spans="1:4" customFormat="1">
      <c r="A638" t="s">
        <v>13343</v>
      </c>
      <c r="B638" s="18" t="s">
        <v>14215</v>
      </c>
      <c r="C638" s="61" t="str">
        <f t="shared" si="21"/>
        <v>C17556:1</v>
      </c>
      <c r="D638" s="60" t="str">
        <f t="shared" si="22"/>
        <v>C17556 : di-trans,poly-cis-Undecaprenyl phosphate</v>
      </c>
    </row>
    <row r="639" spans="1:4" customFormat="1">
      <c r="A639" t="s">
        <v>10213</v>
      </c>
      <c r="B639" s="18" t="s">
        <v>14216</v>
      </c>
      <c r="C639" s="61" t="str">
        <f t="shared" si="21"/>
        <v>C18026:1</v>
      </c>
      <c r="D639" s="60" t="str">
        <f t="shared" si="22"/>
        <v>C18026 : (2S)-Ethylmalonyl-CoA</v>
      </c>
    </row>
    <row r="640" spans="1:4" customFormat="1">
      <c r="A640" s="50" t="s">
        <v>9268</v>
      </c>
      <c r="B640" s="18" t="s">
        <v>14217</v>
      </c>
      <c r="C640" s="61" t="str">
        <f t="shared" si="21"/>
        <v>C18094:1</v>
      </c>
      <c r="D640" s="60" t="str">
        <f t="shared" si="22"/>
        <v>C18094 : UDP-L-arabinofuranose</v>
      </c>
    </row>
    <row r="641" spans="1:4" customFormat="1">
      <c r="A641" s="47" t="s">
        <v>9545</v>
      </c>
      <c r="B641" s="18" t="s">
        <v>14218</v>
      </c>
      <c r="C641" s="61" t="str">
        <f t="shared" si="21"/>
        <v>C18096:1</v>
      </c>
      <c r="D641" s="60" t="str">
        <f t="shared" si="22"/>
        <v>C18096 : D-Allulose 6-phosphate</v>
      </c>
    </row>
    <row r="642" spans="1:4" customFormat="1">
      <c r="A642" s="1" t="s">
        <v>13279</v>
      </c>
      <c r="B642" s="18" t="s">
        <v>14219</v>
      </c>
      <c r="C642" s="61" t="str">
        <f t="shared" si="21"/>
        <v>C18172:1</v>
      </c>
      <c r="D642" s="60" t="str">
        <f t="shared" si="22"/>
        <v>C18172 : Carboxyspermidine</v>
      </c>
    </row>
    <row r="643" spans="1:4" customFormat="1">
      <c r="A643" t="s">
        <v>13281</v>
      </c>
      <c r="B643" s="18" t="s">
        <v>14220</v>
      </c>
      <c r="C643" s="61" t="str">
        <f t="shared" si="21"/>
        <v>C18174:1</v>
      </c>
      <c r="D643" s="60" t="str">
        <f t="shared" si="22"/>
        <v>C18174 : Carboxynorspermidine</v>
      </c>
    </row>
    <row r="644" spans="1:4" customFormat="1">
      <c r="A644" s="47" t="s">
        <v>13542</v>
      </c>
      <c r="B644" s="18" t="s">
        <v>14221</v>
      </c>
      <c r="C644" s="61" t="str">
        <f t="shared" si="21"/>
        <v>C18796:1</v>
      </c>
      <c r="D644" s="60" t="str">
        <f t="shared" si="22"/>
        <v>C18796 : (2R)-2-Hydroxy-2-methylbutanenitrile</v>
      </c>
    </row>
    <row r="645" spans="1:4" customFormat="1">
      <c r="A645" t="s">
        <v>13042</v>
      </c>
      <c r="B645" s="18" t="s">
        <v>14222</v>
      </c>
      <c r="C645" s="61" t="str">
        <f t="shared" si="21"/>
        <v>C18902:1</v>
      </c>
      <c r="D645" s="60" t="str">
        <f t="shared" si="22"/>
        <v>C18902 : Methylselenic acid</v>
      </c>
    </row>
    <row r="646" spans="1:4" customFormat="1">
      <c r="A646" s="47" t="s">
        <v>13373</v>
      </c>
      <c r="B646" s="18" t="s">
        <v>14223</v>
      </c>
      <c r="C646" s="61" t="str">
        <f t="shared" si="21"/>
        <v>C19647:1</v>
      </c>
      <c r="D646" s="60" t="str">
        <f t="shared" si="22"/>
        <v>C19647 : Epoxyqueuosine in tRNA</v>
      </c>
    </row>
    <row r="647" spans="1:4" customFormat="1">
      <c r="A647" t="s">
        <v>13282</v>
      </c>
      <c r="B647" s="18" t="s">
        <v>14224</v>
      </c>
      <c r="C647" s="61" t="str">
        <f t="shared" si="21"/>
        <v>C19673:1</v>
      </c>
      <c r="D647" s="60" t="str">
        <f t="shared" si="22"/>
        <v>C19673 : Malonyl-[acp] methyl ester</v>
      </c>
    </row>
    <row r="648" spans="1:4" customFormat="1">
      <c r="A648" t="s">
        <v>13283</v>
      </c>
      <c r="B648" s="18" t="s">
        <v>14225</v>
      </c>
      <c r="C648" s="61" t="str">
        <f t="shared" si="21"/>
        <v>C19722:1</v>
      </c>
      <c r="D648" s="60" t="str">
        <f t="shared" si="22"/>
        <v>C19722 : [tRNA(Ile2)]-cytidine34</v>
      </c>
    </row>
    <row r="649" spans="1:4" customFormat="1">
      <c r="A649" s="47" t="s">
        <v>13580</v>
      </c>
      <c r="B649" s="18" t="s">
        <v>14226</v>
      </c>
      <c r="C649" s="61" t="str">
        <f t="shared" ref="C649:C704" si="23">CONCATENATE(A649,":","1")</f>
        <v>C19723:1</v>
      </c>
      <c r="D649" s="60" t="str">
        <f t="shared" si="22"/>
        <v>C19723 : [tRNA(Ile2)]-lysidine34</v>
      </c>
    </row>
    <row r="650" spans="1:4" customFormat="1">
      <c r="A650" s="1" t="s">
        <v>13495</v>
      </c>
      <c r="B650" s="18" t="s">
        <v>14227</v>
      </c>
      <c r="C650" s="61" t="str">
        <f t="shared" si="23"/>
        <v>C19772:1</v>
      </c>
      <c r="D650" s="60" t="str">
        <f t="shared" si="22"/>
        <v>C19772 : alpha-D-Glucopyranosyl-diphospho-ditrans,octacis-undecaprenol</v>
      </c>
    </row>
    <row r="651" spans="1:4" customFormat="1">
      <c r="A651" s="47" t="s">
        <v>13502</v>
      </c>
      <c r="B651" s="18" t="s">
        <v>14228</v>
      </c>
      <c r="C651" s="61" t="str">
        <f t="shared" si="23"/>
        <v>C19847:1</v>
      </c>
      <c r="D651" s="60" t="str">
        <f t="shared" si="22"/>
        <v>C19847 : Demethylmenaquinol</v>
      </c>
    </row>
    <row r="652" spans="1:4" customFormat="1">
      <c r="A652" s="47" t="s">
        <v>10214</v>
      </c>
      <c r="B652" s="18" t="s">
        <v>14229</v>
      </c>
      <c r="C652" s="61" t="str">
        <f t="shared" si="23"/>
        <v>C20238:1</v>
      </c>
      <c r="D652" s="60" t="str">
        <f t="shared" si="22"/>
        <v>C20238 : (2R)-Ethylmalonyl-CoA</v>
      </c>
    </row>
    <row r="653" spans="1:4" customFormat="1">
      <c r="A653" s="47" t="s">
        <v>13388</v>
      </c>
      <c r="B653" s="18" t="s">
        <v>14230</v>
      </c>
      <c r="C653" s="61" t="str">
        <f t="shared" si="23"/>
        <v>C20258:1</v>
      </c>
      <c r="D653" s="60" t="str">
        <f t="shared" si="22"/>
        <v>C20258 : (2S,4S)-4-Hydroxy-2,3,4,5-tetrahydrodipicolinate</v>
      </c>
    </row>
    <row r="654" spans="1:4" customFormat="1">
      <c r="A654" t="s">
        <v>13285</v>
      </c>
      <c r="B654" s="18" t="s">
        <v>14231</v>
      </c>
      <c r="C654" s="61" t="str">
        <f t="shared" si="23"/>
        <v>C20372:1</v>
      </c>
      <c r="D654" s="60" t="str">
        <f t="shared" si="22"/>
        <v>C20372 : 3-Ketoglutaryl-[acp] methyl ester</v>
      </c>
    </row>
    <row r="655" spans="1:4" customFormat="1">
      <c r="A655" s="47" t="s">
        <v>13365</v>
      </c>
      <c r="B655" s="18" t="s">
        <v>14232</v>
      </c>
      <c r="C655" s="61" t="str">
        <f t="shared" si="23"/>
        <v>C20373:1</v>
      </c>
      <c r="D655" s="60" t="str">
        <f t="shared" si="22"/>
        <v>C20373 : 3-Hydroxyglutaryl-[acp] methyl ester</v>
      </c>
    </row>
    <row r="656" spans="1:4" customFormat="1">
      <c r="A656" t="s">
        <v>13286</v>
      </c>
      <c r="B656" s="31" t="s">
        <v>14233</v>
      </c>
      <c r="C656" s="61" t="str">
        <f t="shared" si="23"/>
        <v>C20375:1</v>
      </c>
      <c r="D656" s="60" t="str">
        <f t="shared" ref="D656:D704" si="24">CONCATENATE(A656," : ",B656)</f>
        <v>C20375 : Glutaryl-[acp] methyl ester</v>
      </c>
    </row>
    <row r="657" spans="1:4" customFormat="1">
      <c r="A657" t="s">
        <v>13287</v>
      </c>
      <c r="B657" s="18" t="s">
        <v>14234</v>
      </c>
      <c r="C657" s="61" t="str">
        <f t="shared" si="23"/>
        <v>C20376:1</v>
      </c>
      <c r="D657" s="60" t="str">
        <f t="shared" si="24"/>
        <v>C20376 : 3-Ketopimeloyl-[acp] methyl ester</v>
      </c>
    </row>
    <row r="658" spans="1:4" customFormat="1">
      <c r="A658" s="47" t="s">
        <v>13367</v>
      </c>
      <c r="B658" s="18" t="s">
        <v>14235</v>
      </c>
      <c r="C658" s="61" t="str">
        <f t="shared" si="23"/>
        <v>C20377:1</v>
      </c>
      <c r="D658" s="60" t="str">
        <f t="shared" si="24"/>
        <v>C20377 : 3-Hydroxypimeloyl-[acp] methyl ester</v>
      </c>
    </row>
    <row r="659" spans="1:4" customFormat="1">
      <c r="A659" t="s">
        <v>13344</v>
      </c>
      <c r="B659" s="18" t="s">
        <v>14236</v>
      </c>
      <c r="C659" s="61" t="str">
        <f t="shared" si="23"/>
        <v>C20446:1</v>
      </c>
      <c r="D659" s="60" t="str">
        <f t="shared" si="24"/>
        <v>C20446 : tRNA 7-aminomethyl-7-carbaguanine</v>
      </c>
    </row>
    <row r="660" spans="1:4" customFormat="1">
      <c r="A660" t="s">
        <v>13288</v>
      </c>
      <c r="B660" s="18" t="s">
        <v>14237</v>
      </c>
      <c r="C660" s="61" t="str">
        <f t="shared" si="23"/>
        <v>C20641:1</v>
      </c>
      <c r="D660" s="60" t="str">
        <f t="shared" si="24"/>
        <v>C20641 : L-Threonylcarbamoyladenylate</v>
      </c>
    </row>
    <row r="661" spans="1:4" customFormat="1">
      <c r="A661" t="s">
        <v>13345</v>
      </c>
      <c r="B661" s="18" t="s">
        <v>14238</v>
      </c>
      <c r="C661" s="61" t="str">
        <f t="shared" si="23"/>
        <v>C20648:1</v>
      </c>
      <c r="D661" s="60" t="str">
        <f t="shared" si="24"/>
        <v>C20648 : Adenine in rRNA</v>
      </c>
    </row>
    <row r="662" spans="1:4" customFormat="1">
      <c r="A662" s="47" t="s">
        <v>13428</v>
      </c>
      <c r="B662" s="18" t="s">
        <v>14239</v>
      </c>
      <c r="C662" s="61" t="str">
        <f t="shared" si="23"/>
        <v>C20751:1</v>
      </c>
      <c r="D662" s="60" t="str">
        <f t="shared" si="24"/>
        <v>C20751 : N6-L-Threonylcarbamoyladenine in tRNA</v>
      </c>
    </row>
    <row r="663" spans="1:4" customFormat="1">
      <c r="A663" t="s">
        <v>13289</v>
      </c>
      <c r="B663" s="18" t="s">
        <v>14240</v>
      </c>
      <c r="C663" s="61" t="str">
        <f t="shared" si="23"/>
        <v>C20756:1</v>
      </c>
      <c r="D663" s="60" t="str">
        <f t="shared" si="24"/>
        <v>C20756 : [Ribosomal protein uS12]-L-aspartate</v>
      </c>
    </row>
    <row r="664" spans="1:4" customFormat="1">
      <c r="A664" s="47" t="s">
        <v>13530</v>
      </c>
      <c r="B664" s="18" t="s">
        <v>14241</v>
      </c>
      <c r="C664" s="61" t="str">
        <f t="shared" si="23"/>
        <v>C20758:1</v>
      </c>
      <c r="D664" s="60" t="str">
        <f t="shared" si="24"/>
        <v>C20758 : [Ribosomal protein uS12]-3-methylthioaspartate</v>
      </c>
    </row>
    <row r="665" spans="1:4" customFormat="1">
      <c r="A665" s="48" t="s">
        <v>13386</v>
      </c>
      <c r="B665" s="18" t="s">
        <v>14242</v>
      </c>
      <c r="C665" s="61" t="str">
        <f t="shared" si="23"/>
        <v>C20796:1</v>
      </c>
      <c r="D665" s="60" t="str">
        <f t="shared" si="24"/>
        <v>C20796 : N6-Dimethyladenine in rRNA</v>
      </c>
    </row>
    <row r="666" spans="1:4" customFormat="1">
      <c r="A666" s="47" t="s">
        <v>13528</v>
      </c>
      <c r="B666" s="18" t="s">
        <v>14243</v>
      </c>
      <c r="C666" s="61" t="str">
        <f t="shared" si="23"/>
        <v>C20864:1</v>
      </c>
      <c r="D666" s="60" t="str">
        <f t="shared" si="24"/>
        <v>C20864 : 5'-Triphospho-[mRNA]</v>
      </c>
    </row>
    <row r="667" spans="1:4" customFormat="1">
      <c r="A667" t="s">
        <v>13290</v>
      </c>
      <c r="B667" s="18" t="s">
        <v>14244</v>
      </c>
      <c r="C667" s="61" t="str">
        <f t="shared" si="23"/>
        <v>C20904:1</v>
      </c>
      <c r="D667" s="60" t="str">
        <f t="shared" si="24"/>
        <v>C20904 : 2-Iminopropanoate</v>
      </c>
    </row>
    <row r="668" spans="1:4" customFormat="1">
      <c r="A668" t="s">
        <v>9443</v>
      </c>
      <c r="B668" s="18" t="s">
        <v>14245</v>
      </c>
      <c r="C668" s="61" t="str">
        <f t="shared" si="23"/>
        <v>C20905:1</v>
      </c>
      <c r="D668" s="60" t="str">
        <f t="shared" si="24"/>
        <v>C20905 : 2-Iminobutanoate</v>
      </c>
    </row>
    <row r="669" spans="1:4" customFormat="1">
      <c r="A669" s="47" t="s">
        <v>13477</v>
      </c>
      <c r="B669" s="18" t="s">
        <v>14246</v>
      </c>
      <c r="C669" s="61" t="str">
        <f t="shared" si="23"/>
        <v>C20960:1</v>
      </c>
      <c r="D669" s="60" t="str">
        <f t="shared" si="24"/>
        <v>C20960 : 3-Hydroxy-5-phosphooxypentane-2,4-dione</v>
      </c>
    </row>
    <row r="670" spans="1:4" customFormat="1">
      <c r="A670" t="s">
        <v>12977</v>
      </c>
      <c r="B670" s="18" t="s">
        <v>14247</v>
      </c>
      <c r="C670" s="61" t="str">
        <f t="shared" si="23"/>
        <v>C20969:1</v>
      </c>
      <c r="D670" s="60" t="str">
        <f t="shared" si="24"/>
        <v>C20969 : Carboxyphosphate</v>
      </c>
    </row>
    <row r="671" spans="1:4" customFormat="1">
      <c r="A671" t="s">
        <v>13291</v>
      </c>
      <c r="B671" s="18" t="s">
        <v>14248</v>
      </c>
      <c r="C671" s="61" t="str">
        <f t="shared" si="23"/>
        <v>C21028:1</v>
      </c>
      <c r="D671" s="60" t="str">
        <f t="shared" si="24"/>
        <v>C21028 : (R)-5,6-Dihydrothymine</v>
      </c>
    </row>
    <row r="672" spans="1:4" customFormat="1">
      <c r="A672" s="47" t="s">
        <v>9996</v>
      </c>
      <c r="B672" s="18" t="s">
        <v>14249</v>
      </c>
      <c r="C672" s="61" t="str">
        <f t="shared" si="23"/>
        <v>C21031:1</v>
      </c>
      <c r="D672" s="60" t="str">
        <f t="shared" si="24"/>
        <v>C21031 : 5-Hydroxymethylcytosine in DNA</v>
      </c>
    </row>
    <row r="673" spans="1:4" customFormat="1">
      <c r="A673" t="s">
        <v>13346</v>
      </c>
      <c r="B673" s="18" t="s">
        <v>14250</v>
      </c>
      <c r="C673" s="61" t="str">
        <f t="shared" si="23"/>
        <v>C21748:1</v>
      </c>
      <c r="D673" s="60" t="str">
        <f t="shared" si="24"/>
        <v>C21748 : 5-Fluorouridine diphosphate</v>
      </c>
    </row>
    <row r="674" spans="1:4" customFormat="1">
      <c r="A674" s="47" t="s">
        <v>13482</v>
      </c>
      <c r="B674" s="18" t="s">
        <v>14251</v>
      </c>
      <c r="C674" s="61" t="str">
        <f t="shared" si="23"/>
        <v>C21749:1</v>
      </c>
      <c r="D674" s="60" t="str">
        <f t="shared" si="24"/>
        <v>C21749 : 5-Fluorouridine triphosphate</v>
      </c>
    </row>
    <row r="675" spans="1:4" customFormat="1">
      <c r="A675" t="s">
        <v>13292</v>
      </c>
      <c r="B675" s="18" t="s">
        <v>14252</v>
      </c>
      <c r="C675" s="61" t="str">
        <f t="shared" si="23"/>
        <v>C21750:1</v>
      </c>
      <c r="D675" s="60" t="str">
        <f t="shared" si="24"/>
        <v>C21750 : 5-Fluorodeoxyuridine diphosphate</v>
      </c>
    </row>
    <row r="676" spans="1:4" customFormat="1">
      <c r="A676" s="5" t="s">
        <v>13293</v>
      </c>
      <c r="B676" s="18" t="s">
        <v>14253</v>
      </c>
      <c r="C676" s="61" t="str">
        <f t="shared" si="23"/>
        <v>C21751:1</v>
      </c>
      <c r="D676" s="60" t="str">
        <f t="shared" si="24"/>
        <v>C21751 : 5-Fluorodeoxyuridine triphosphate</v>
      </c>
    </row>
    <row r="677" spans="1:4" customFormat="1">
      <c r="A677" t="s">
        <v>12967</v>
      </c>
      <c r="B677" s="18" t="s">
        <v>14254</v>
      </c>
      <c r="C677" s="61" t="str">
        <f t="shared" si="23"/>
        <v>C22150:1</v>
      </c>
      <c r="D677" s="60" t="str">
        <f t="shared" si="24"/>
        <v>C22150 : Reduced [2Fe-2S] ferredoxin</v>
      </c>
    </row>
    <row r="678" spans="1:4" customFormat="1">
      <c r="A678" t="s">
        <v>13581</v>
      </c>
      <c r="B678" s="18" t="s">
        <v>14255</v>
      </c>
      <c r="C678" s="61" t="str">
        <f t="shared" si="23"/>
        <v>C22151:1</v>
      </c>
      <c r="D678" s="60" t="str">
        <f t="shared" si="24"/>
        <v>C22151 : Oxidized [2Fe-2S] ferredoxin</v>
      </c>
    </row>
    <row r="679" spans="1:4" customFormat="1">
      <c r="A679" t="s">
        <v>13347</v>
      </c>
      <c r="B679" s="18" t="s">
        <v>14256</v>
      </c>
      <c r="C679" s="61" t="str">
        <f t="shared" si="23"/>
        <v>C22154:1</v>
      </c>
      <c r="D679" s="60" t="str">
        <f t="shared" si="24"/>
        <v>C22154 : [Fe-S] cluster scaffold protein carrying a [4Fe-4S]2+ cluster</v>
      </c>
    </row>
    <row r="680" spans="1:4" customFormat="1">
      <c r="A680" s="47" t="s">
        <v>13497</v>
      </c>
      <c r="B680" s="18" t="s">
        <v>14257</v>
      </c>
      <c r="C680" s="61" t="str">
        <f t="shared" si="23"/>
        <v>C22155:1</v>
      </c>
      <c r="D680" s="60" t="str">
        <f t="shared" si="24"/>
        <v>C22155 : [Fe-S] cluster scaffold protein</v>
      </c>
    </row>
    <row r="681" spans="1:4" customFormat="1">
      <c r="A681" t="s">
        <v>12970</v>
      </c>
      <c r="B681" s="18" t="s">
        <v>14258</v>
      </c>
      <c r="C681" s="61" t="str">
        <f t="shared" si="23"/>
        <v>C22159:1</v>
      </c>
      <c r="D681" s="60" t="str">
        <f t="shared" si="24"/>
        <v>C22159 : Glycine cleavage system H]-N6-octanoyl-L-lysine</v>
      </c>
    </row>
    <row r="682" spans="1:4" customFormat="1">
      <c r="A682" t="s">
        <v>13295</v>
      </c>
      <c r="B682" s="18" t="s">
        <v>14259</v>
      </c>
      <c r="C682" s="61" t="str">
        <f t="shared" si="23"/>
        <v>C22160:1</v>
      </c>
      <c r="D682" s="60" t="str">
        <f t="shared" si="24"/>
        <v>C22160 : [Lipoyl-carrier protein E2]-N6-octanoyl-L-lysine</v>
      </c>
    </row>
    <row r="683" spans="1:4" customFormat="1">
      <c r="A683" t="s">
        <v>13297</v>
      </c>
      <c r="B683" s="51" t="s">
        <v>14260</v>
      </c>
      <c r="C683" s="61" t="str">
        <f t="shared" si="23"/>
        <v>C22395:1</v>
      </c>
      <c r="D683" s="60" t="str">
        <f t="shared" si="24"/>
        <v>C22395 : N6-Succino-2-amino-2'-deoxyadenylate</v>
      </c>
    </row>
    <row r="684" spans="1:4" customFormat="1">
      <c r="A684" t="s">
        <v>13348</v>
      </c>
      <c r="B684" s="18" t="s">
        <v>14261</v>
      </c>
      <c r="C684" s="61" t="str">
        <f t="shared" si="23"/>
        <v>C22409:1</v>
      </c>
      <c r="D684" s="60" t="str">
        <f t="shared" si="24"/>
        <v>C22409 : UDP-3-O-[(3R)-3-hydroxyacyl]-alpha-D-glucosamine</v>
      </c>
    </row>
    <row r="685" spans="1:4" customFormat="1">
      <c r="A685" s="47" t="s">
        <v>13476</v>
      </c>
      <c r="B685" s="18" t="s">
        <v>14262</v>
      </c>
      <c r="C685" s="61" t="str">
        <f t="shared" si="23"/>
        <v>C22410:1</v>
      </c>
      <c r="D685" s="60" t="str">
        <f t="shared" si="24"/>
        <v>C22410 : UDP-2-N,3-O-bis[(3R)-3-hydroxyacyl]-alpha-D-glucosamine</v>
      </c>
    </row>
    <row r="686" spans="1:4" customFormat="1">
      <c r="A686" s="47" t="s">
        <v>13422</v>
      </c>
      <c r="B686" s="18" t="s">
        <v>14263</v>
      </c>
      <c r="C686" s="61" t="str">
        <f t="shared" si="23"/>
        <v>C22418:1</v>
      </c>
      <c r="D686" s="60" t="str">
        <f t="shared" si="24"/>
        <v>C22418 : UDP-3-O-[(3R)-3-hydroxyacyl]-N-acetyl-alpha-D-glucosamine</v>
      </c>
    </row>
    <row r="687" spans="1:4" customFormat="1">
      <c r="A687" t="s">
        <v>13298</v>
      </c>
      <c r="B687" s="18" t="s">
        <v>14264</v>
      </c>
      <c r="C687" s="61" t="str">
        <f t="shared" si="23"/>
        <v>C22441:1</v>
      </c>
      <c r="D687" s="60" t="str">
        <f t="shared" si="24"/>
        <v>C22441 : dZMP</v>
      </c>
    </row>
    <row r="688" spans="1:4" customFormat="1">
      <c r="A688" t="s">
        <v>13300</v>
      </c>
      <c r="B688" s="18" t="s">
        <v>14265</v>
      </c>
      <c r="C688" s="61" t="str">
        <f t="shared" si="23"/>
        <v>C22442:1</v>
      </c>
      <c r="D688" s="60" t="str">
        <f t="shared" si="24"/>
        <v>C22442 : dZDP</v>
      </c>
    </row>
    <row r="689" spans="1:4" customFormat="1">
      <c r="A689" s="47" t="s">
        <v>13527</v>
      </c>
      <c r="B689" s="18" t="s">
        <v>14266</v>
      </c>
      <c r="C689" s="61" t="str">
        <f t="shared" si="23"/>
        <v>C22443:1</v>
      </c>
      <c r="D689" s="60" t="str">
        <f t="shared" si="24"/>
        <v>C22443 : dZTP</v>
      </c>
    </row>
    <row r="690" spans="1:4" customFormat="1">
      <c r="A690" t="s">
        <v>9431</v>
      </c>
      <c r="B690" s="18" t="s">
        <v>14267</v>
      </c>
      <c r="C690" s="61" t="str">
        <f t="shared" si="23"/>
        <v>C22458:1</v>
      </c>
      <c r="D690" s="60" t="str">
        <f t="shared" si="24"/>
        <v>C22458 : 8-Amino-7-(carboxyamino)nonanoate</v>
      </c>
    </row>
    <row r="691" spans="1:4" customFormat="1">
      <c r="A691" s="47" t="s">
        <v>9303</v>
      </c>
      <c r="B691" s="18" t="s">
        <v>14268</v>
      </c>
      <c r="C691" s="61" t="str">
        <f t="shared" si="23"/>
        <v>C22501:1</v>
      </c>
      <c r="D691" s="60" t="str">
        <f t="shared" si="24"/>
        <v>C22501 : alpha-D-Xylulofuranose</v>
      </c>
    </row>
    <row r="692" spans="1:4" customFormat="1">
      <c r="A692" s="47" t="s">
        <v>9305</v>
      </c>
      <c r="B692" s="18" t="s">
        <v>14269</v>
      </c>
      <c r="C692" s="61" t="str">
        <f t="shared" si="23"/>
        <v>C22502:1</v>
      </c>
      <c r="D692" s="60" t="str">
        <f t="shared" si="24"/>
        <v>C22502 : alpha-D-Fructofuranose</v>
      </c>
    </row>
    <row r="693" spans="1:4" customFormat="1">
      <c r="A693" t="s">
        <v>13301</v>
      </c>
      <c r="B693" s="18" t="s">
        <v>13793</v>
      </c>
      <c r="C693" s="61" t="str">
        <f t="shared" si="23"/>
        <v>G00289:1</v>
      </c>
      <c r="D693" s="60" t="str">
        <f t="shared" si="24"/>
        <v>G00289 : Cellobiose</v>
      </c>
    </row>
    <row r="694" spans="1:4" customFormat="1">
      <c r="A694" t="s">
        <v>13303</v>
      </c>
      <c r="B694" s="18" t="s">
        <v>14270</v>
      </c>
      <c r="C694" s="61" t="str">
        <f t="shared" si="23"/>
        <v>G10481:1</v>
      </c>
      <c r="D694" s="60" t="str">
        <f t="shared" si="24"/>
        <v>G10481 : 1,4-beta-D-Glucan</v>
      </c>
    </row>
    <row r="695" spans="1:4" customFormat="1">
      <c r="A695" s="47" t="s">
        <v>13484</v>
      </c>
      <c r="B695" s="18" t="s">
        <v>14271</v>
      </c>
      <c r="C695" s="61" t="str">
        <f t="shared" si="23"/>
        <v>G10550:1</v>
      </c>
      <c r="D695" s="60" t="str">
        <f t="shared" si="24"/>
        <v>G10550 : GlcNAc)1 (MurNAc)1 (D-Ala-D-Ala-Lys-D-Glu-Ala)1 (PP-Und)1</v>
      </c>
    </row>
    <row r="696" spans="1:4" customFormat="1">
      <c r="A696" t="s">
        <v>13304</v>
      </c>
      <c r="B696" s="18" t="s">
        <v>14272</v>
      </c>
      <c r="C696" s="61" t="str">
        <f t="shared" si="23"/>
        <v>G10551:1</v>
      </c>
      <c r="D696" s="60" t="str">
        <f t="shared" si="24"/>
        <v>G10551 : (MurNAc)1 (D-Ala-D-Ala-Lys-D-Glu-Ala)1 (PP-Und)1</v>
      </c>
    </row>
    <row r="697" spans="1:4" customFormat="1">
      <c r="A697" t="s">
        <v>13305</v>
      </c>
      <c r="B697" s="18" t="s">
        <v>14273</v>
      </c>
      <c r="C697" s="61" t="str">
        <f t="shared" si="23"/>
        <v>G10552:1</v>
      </c>
      <c r="D697" s="60" t="str">
        <f t="shared" si="24"/>
        <v>G10552 : (MurNAc)1 (D-Ala-D-Ala-Lys-gamma-D-Glu-Ala)1 (PP-Und)1</v>
      </c>
    </row>
    <row r="698" spans="1:4" customFormat="1">
      <c r="A698" s="47" t="s">
        <v>13481</v>
      </c>
      <c r="B698" s="18" t="s">
        <v>14274</v>
      </c>
      <c r="C698" s="61" t="str">
        <f t="shared" si="23"/>
        <v>G10553:1</v>
      </c>
      <c r="D698" s="60" t="str">
        <f t="shared" si="24"/>
        <v>G10553 : (GlcNAc)1 (MurNAc)1 (D-Ala-D-Ala-Lys-gamma-D-Glu-Ala)1 (PP-Und)1</v>
      </c>
    </row>
    <row r="699" spans="1:4" customFormat="1">
      <c r="A699" s="47" t="s">
        <v>13486</v>
      </c>
      <c r="B699" s="18" t="s">
        <v>14275</v>
      </c>
      <c r="C699" s="61" t="str">
        <f t="shared" si="23"/>
        <v>G10555:1</v>
      </c>
      <c r="D699" s="60" t="str">
        <f t="shared" si="24"/>
        <v>G10555 : (GlcNAc)1 (MurNAc)1 (D-Ala-D-Ala-A2pm-gamma-D-Glu-Ala)1 (PP-Und)1</v>
      </c>
    </row>
    <row r="700" spans="1:4" customFormat="1">
      <c r="A700" t="s">
        <v>13306</v>
      </c>
      <c r="B700" s="18" t="s">
        <v>14276</v>
      </c>
      <c r="C700" s="61" t="str">
        <f t="shared" si="23"/>
        <v>G10556:1</v>
      </c>
      <c r="D700" s="60" t="str">
        <f t="shared" si="24"/>
        <v>G10556 : (MurNAc)1 (D-Ala-D-Ala-A2pm-gamma-D-Glu-Ala)1 (PP-Und)1</v>
      </c>
    </row>
    <row r="701" spans="1:4" customFormat="1">
      <c r="A701" t="s">
        <v>13349</v>
      </c>
      <c r="B701" s="18" t="s">
        <v>14277</v>
      </c>
      <c r="C701" s="61" t="str">
        <f t="shared" si="23"/>
        <v>G10610:1</v>
      </c>
      <c r="D701" s="60" t="str">
        <f t="shared" si="24"/>
        <v>G10610 : UDP-N-acetyl-D-glucosamine</v>
      </c>
    </row>
    <row r="702" spans="1:4" customFormat="1">
      <c r="A702" s="47" t="s">
        <v>13439</v>
      </c>
      <c r="B702" s="18" t="s">
        <v>13599</v>
      </c>
      <c r="C702" s="61" t="str">
        <f t="shared" si="23"/>
        <v>G10619:1</v>
      </c>
      <c r="D702" s="60" t="str">
        <f t="shared" si="24"/>
        <v>G10619 : UDP</v>
      </c>
    </row>
    <row r="703" spans="1:4" customFormat="1">
      <c r="A703" s="47" t="s">
        <v>13535</v>
      </c>
      <c r="B703" s="18" t="s">
        <v>13946</v>
      </c>
      <c r="C703" s="61" t="str">
        <f t="shared" si="23"/>
        <v>G11121:1</v>
      </c>
      <c r="D703" s="60" t="str">
        <f t="shared" si="24"/>
        <v>G11121 : Galactosylceramide</v>
      </c>
    </row>
    <row r="704" spans="1:4" customFormat="1">
      <c r="A704" t="s">
        <v>13307</v>
      </c>
      <c r="B704" s="18" t="s">
        <v>14138</v>
      </c>
      <c r="C704" s="61" t="str">
        <f t="shared" si="23"/>
        <v>G11122:1</v>
      </c>
      <c r="D704" s="60" t="str">
        <f t="shared" si="24"/>
        <v>G11122 : Sulfatide</v>
      </c>
    </row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</sheetData>
  <sortState xmlns:xlrd2="http://schemas.microsoft.com/office/spreadsheetml/2017/richdata2" ref="A1:A3814">
    <sortCondition ref="A440:A3814"/>
  </sortState>
  <hyperlinks>
    <hyperlink ref="A43" r:id="rId1" display="https://www.genome.jp/entry/C00052" xr:uid="{AE19B0B5-3BEC-2940-BA13-4545B0EF109D}"/>
    <hyperlink ref="A270" r:id="rId2" display="https://www.genome.jp/entry/C00935" xr:uid="{BC0D44B4-B316-1E43-9B61-250E992D47C2}"/>
    <hyperlink ref="A274" r:id="rId3" display="https://www.kegg.jp/entry/C00966" xr:uid="{7C27E551-07F1-5847-8678-5AA3478648AD}"/>
    <hyperlink ref="A452" r:id="rId4" display="https://www.kegg.jp/entry/C04352" xr:uid="{5D0CD763-D8D0-D644-8926-57F5F9B93050}"/>
    <hyperlink ref="A76" r:id="rId5" display="https://www.kegg.jp/entry/C00096" xr:uid="{411D1B6F-E98B-3A4E-B8A1-95D02A7360E8}"/>
    <hyperlink ref="A261" r:id="rId6" display="https://www.kegg.jp/entry/C00868" xr:uid="{13F59D54-E7CB-814D-94AB-06BE78FDCFAA}"/>
    <hyperlink ref="A497" r:id="rId7" display="https://www.kegg.jp/entry/C05167" xr:uid="{A1A9E07C-C59C-5B40-9A71-F81B969C47EB}"/>
    <hyperlink ref="A439" r:id="rId8" display="https://www.kegg.jp/entry/C04188" xr:uid="{DBB9CADB-3946-7042-B401-8A00C837955E}"/>
    <hyperlink ref="A405" r:id="rId9" display="https://www.kegg.jp/entry/C03406" xr:uid="{1BB3EAD7-DFEE-E94B-A87D-36CF1DC62797}"/>
    <hyperlink ref="A296" r:id="rId10" display="https://www.kegg.jp/entry/C01172" xr:uid="{A6472C24-ACE4-514D-8387-CE881BE638A6}"/>
    <hyperlink ref="A642" r:id="rId11" display="https://www.kegg.jp/entry/C18172" xr:uid="{B5BBB9A6-D40C-0D43-BDE5-7978FB80226D}"/>
    <hyperlink ref="A420" r:id="rId12" display="https://www.genome.jp/entry/C03733" xr:uid="{C799C770-6C29-DE4A-BD62-D10D2476F044}"/>
    <hyperlink ref="A640" r:id="rId13" display="https://www.genome.jp/entry/C18094" xr:uid="{1BFDAEAC-4986-1C42-978A-D515A67B1588}"/>
    <hyperlink ref="A173" r:id="rId14" display="https://www.kegg.jp/entry/C00345" xr:uid="{28FAAE78-8DEA-0B47-A09D-87F91EFB1603}"/>
    <hyperlink ref="A373" r:id="rId15" display="https://www.kegg.jp/entry/C02764" xr:uid="{E9B9D666-7592-534F-AC6B-8E1C4ABF5A12}"/>
    <hyperlink ref="A267" r:id="rId16" display="https://www.kegg.jp/entry/C00905" xr:uid="{FFAB1924-997E-4B46-BBED-50FFC53CC13C}"/>
    <hyperlink ref="B274" r:id="rId17" display="https://www.kegg.jp/entry/C00966" xr:uid="{61BFFA7D-6A7F-DA40-A5DF-51DA276E2724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A3C5-C2A3-1E43-AE04-A3FD8B928136}">
  <dimension ref="A1:J4961"/>
  <sheetViews>
    <sheetView zoomScale="110" zoomScaleNormal="110" workbookViewId="0">
      <selection activeCell="C1" sqref="C1"/>
    </sheetView>
  </sheetViews>
  <sheetFormatPr defaultColWidth="11.1640625" defaultRowHeight="16"/>
  <cols>
    <col min="1" max="1" width="15.6640625" customWidth="1"/>
    <col min="3" max="3" width="6.75" customWidth="1"/>
    <col min="5" max="5" width="22.5" style="10" customWidth="1"/>
    <col min="6" max="6" width="38.83203125" style="10" customWidth="1"/>
    <col min="7" max="7" width="59.33203125" style="13" customWidth="1"/>
    <col min="8" max="8" width="39" style="13" customWidth="1"/>
    <col min="9" max="9" width="72" customWidth="1"/>
    <col min="10" max="10" width="185.1640625" customWidth="1"/>
  </cols>
  <sheetData>
    <row r="1" spans="1:10" s="32" customFormat="1">
      <c r="A1" s="32" t="s">
        <v>2</v>
      </c>
      <c r="B1" t="s">
        <v>3</v>
      </c>
      <c r="C1" s="32" t="s">
        <v>11428</v>
      </c>
      <c r="D1" s="32" t="s">
        <v>11423</v>
      </c>
      <c r="E1" s="10" t="s">
        <v>11426</v>
      </c>
      <c r="F1" s="10" t="s">
        <v>11881</v>
      </c>
      <c r="G1" s="13" t="s">
        <v>11427</v>
      </c>
      <c r="H1" s="13" t="s">
        <v>12310</v>
      </c>
      <c r="I1" s="32" t="s">
        <v>11424</v>
      </c>
      <c r="J1" s="32" t="s">
        <v>11425</v>
      </c>
    </row>
    <row r="2" spans="1:10">
      <c r="A2" s="19" t="s">
        <v>7654</v>
      </c>
      <c r="B2" s="1" t="s">
        <v>11429</v>
      </c>
      <c r="C2" s="32">
        <v>1</v>
      </c>
      <c r="D2" t="str">
        <f t="shared" ref="D2:D63" si="0">CONCATENATE("E",B2)</f>
        <v>E1_1_1_100</v>
      </c>
      <c r="E2" s="22" t="s">
        <v>10456</v>
      </c>
      <c r="F2" s="22" t="s">
        <v>11882</v>
      </c>
      <c r="G2" s="20" t="s">
        <v>10457</v>
      </c>
      <c r="H2" s="20" t="s">
        <v>12311</v>
      </c>
      <c r="I2" t="str">
        <f>CONCATENATE("(${Variables:",D2,"_kcat","} * ",D2," * ",F2,")","/(${Variables:",D2,"_km","} + (",D2," * ",F2,"))")</f>
        <v>(${Variables:E1_1_1_100_kcat} * E1_1_1_100 * C01271 * C00006 )/(${Variables:E1_1_1_100_km} + (E1_1_1_100 * C01271 * C00006 ))</v>
      </c>
      <c r="J2" t="str">
        <f t="shared" ref="J2:J33" si="1">CONCATENATE("r",C2,": ",E2," -&gt; ",G2," | ",I2)</f>
        <v>r1: C01271 + C00006  -&gt;  C00685 + C00005 + C00080 | (${Variables:E1_1_1_100_kcat} * E1_1_1_100 * C01271 * C00006 )/(${Variables:E1_1_1_100_km} + (E1_1_1_100 * C01271 * C00006 ))</v>
      </c>
    </row>
    <row r="3" spans="1:10">
      <c r="A3" s="19" t="s">
        <v>7654</v>
      </c>
      <c r="B3" s="1" t="s">
        <v>11429</v>
      </c>
      <c r="C3" s="32">
        <v>2</v>
      </c>
      <c r="D3" t="str">
        <f t="shared" si="0"/>
        <v>E1_1_1_100</v>
      </c>
      <c r="E3" s="22" t="s">
        <v>10458</v>
      </c>
      <c r="F3" s="22" t="s">
        <v>11883</v>
      </c>
      <c r="G3" s="20" t="s">
        <v>10459</v>
      </c>
      <c r="H3" s="20" t="s">
        <v>12312</v>
      </c>
      <c r="I3" t="str">
        <f t="shared" ref="I3:I66" si="2">CONCATENATE("(${Variables:",D3,"_kcat","} * ",D3," * ",F3,")","/(${Variables:",D3,"_km","} + (",D3," * ",F3,"))")</f>
        <v>(${Variables:E1_1_1_100_kcat} * E1_1_1_100 * C04618 * C00006 )/(${Variables:E1_1_1_100_km} + (E1_1_1_100 * C04618 * C00006 ))</v>
      </c>
      <c r="J3" t="str">
        <f t="shared" si="1"/>
        <v>r2: C04618 + C00006  -&gt;  C05744 + C00005 + C00080 | (${Variables:E1_1_1_100_kcat} * E1_1_1_100 * C04618 * C00006 )/(${Variables:E1_1_1_100_km} + (E1_1_1_100 * C04618 * C00006 ))</v>
      </c>
    </row>
    <row r="4" spans="1:10">
      <c r="A4" s="19" t="s">
        <v>7654</v>
      </c>
      <c r="B4" s="1" t="s">
        <v>11429</v>
      </c>
      <c r="C4" s="32">
        <v>3</v>
      </c>
      <c r="D4" t="str">
        <f t="shared" si="0"/>
        <v>E1_1_1_100</v>
      </c>
      <c r="E4" s="22" t="s">
        <v>10460</v>
      </c>
      <c r="F4" s="22" t="s">
        <v>11884</v>
      </c>
      <c r="G4" s="20" t="s">
        <v>10461</v>
      </c>
      <c r="H4" s="20" t="s">
        <v>12313</v>
      </c>
      <c r="I4" t="str">
        <f t="shared" si="2"/>
        <v>(${Variables:E1_1_1_100_kcat} * E1_1_1_100 * C04619 * C00006 )/(${Variables:E1_1_1_100_km} + (E1_1_1_100 * C04619 * C00006 ))</v>
      </c>
      <c r="J4" t="str">
        <f t="shared" si="1"/>
        <v>r3: C04619 + C00006  -&gt; C05753 + C00005 | (${Variables:E1_1_1_100_kcat} * E1_1_1_100 * C04619 * C00006 )/(${Variables:E1_1_1_100_km} + (E1_1_1_100 * C04619 * C00006 ))</v>
      </c>
    </row>
    <row r="5" spans="1:10">
      <c r="A5" s="19" t="s">
        <v>7654</v>
      </c>
      <c r="B5" s="1" t="s">
        <v>11429</v>
      </c>
      <c r="C5" s="32">
        <v>4</v>
      </c>
      <c r="D5" t="str">
        <f t="shared" si="0"/>
        <v>E1_1_1_100</v>
      </c>
      <c r="E5" s="22" t="s">
        <v>10462</v>
      </c>
      <c r="F5" s="22" t="s">
        <v>11885</v>
      </c>
      <c r="G5" s="20" t="s">
        <v>10463</v>
      </c>
      <c r="H5" s="20" t="s">
        <v>12314</v>
      </c>
      <c r="I5" t="str">
        <f t="shared" si="2"/>
        <v>(${Variables:E1_1_1_100_kcat} * E1_1_1_100 * C04620 * C00006 )/(${Variables:E1_1_1_100_km} + (E1_1_1_100 * C04620 * C00006 ))</v>
      </c>
      <c r="J5" t="str">
        <f t="shared" si="1"/>
        <v>r4: C04620 + C00006  -&gt;  C05750 + C00005 + C00080 | (${Variables:E1_1_1_100_kcat} * E1_1_1_100 * C04620 * C00006 )/(${Variables:E1_1_1_100_km} + (E1_1_1_100 * C04620 * C00006 ))</v>
      </c>
    </row>
    <row r="6" spans="1:10">
      <c r="A6" s="19" t="s">
        <v>7654</v>
      </c>
      <c r="B6" s="1" t="s">
        <v>11429</v>
      </c>
      <c r="C6" s="32">
        <v>5</v>
      </c>
      <c r="D6" t="str">
        <f t="shared" si="0"/>
        <v>E1_1_1_100</v>
      </c>
      <c r="E6" s="22" t="s">
        <v>10464</v>
      </c>
      <c r="F6" s="22" t="s">
        <v>11886</v>
      </c>
      <c r="G6" s="20" t="s">
        <v>10465</v>
      </c>
      <c r="H6" s="20" t="s">
        <v>12315</v>
      </c>
      <c r="I6" t="str">
        <f t="shared" si="2"/>
        <v>(${Variables:E1_1_1_100_kcat} * E1_1_1_100 * C04633 * C00006)/(${Variables:E1_1_1_100_km} + (E1_1_1_100 * C04633 * C00006))</v>
      </c>
      <c r="J6" t="str">
        <f t="shared" si="1"/>
        <v>r5: C04633 + C00006 -&gt;  C05762 + C00005 + C00080 | (${Variables:E1_1_1_100_kcat} * E1_1_1_100 * C04633 * C00006)/(${Variables:E1_1_1_100_km} + (E1_1_1_100 * C04633 * C00006))</v>
      </c>
    </row>
    <row r="7" spans="1:10">
      <c r="A7" s="19" t="s">
        <v>7654</v>
      </c>
      <c r="B7" s="1" t="s">
        <v>11429</v>
      </c>
      <c r="C7" s="32">
        <v>6</v>
      </c>
      <c r="D7" t="str">
        <f t="shared" si="0"/>
        <v>E1_1_1_100</v>
      </c>
      <c r="E7" s="22" t="s">
        <v>10466</v>
      </c>
      <c r="F7" s="22" t="s">
        <v>11887</v>
      </c>
      <c r="G7" s="20" t="s">
        <v>10467</v>
      </c>
      <c r="H7" s="20" t="s">
        <v>12316</v>
      </c>
      <c r="I7" t="str">
        <f t="shared" si="2"/>
        <v>(${Variables:E1_1_1_100_kcat} * E1_1_1_100 * C04688 * C00006 )/(${Variables:E1_1_1_100_km} + (E1_1_1_100 * C04688 * C00006 ))</v>
      </c>
      <c r="J7" t="str">
        <f t="shared" si="1"/>
        <v>r6: C04688 + C00006  -&gt;  C05759 + C00005 + C00080 | (${Variables:E1_1_1_100_kcat} * E1_1_1_100 * C04688 * C00006 )/(${Variables:E1_1_1_100_km} + (E1_1_1_100 * C04688 * C00006 ))</v>
      </c>
    </row>
    <row r="8" spans="1:10">
      <c r="A8" s="19" t="s">
        <v>7654</v>
      </c>
      <c r="B8" s="1" t="s">
        <v>11429</v>
      </c>
      <c r="C8" s="32">
        <v>7</v>
      </c>
      <c r="D8" t="str">
        <f t="shared" si="0"/>
        <v>E1_1_1_100</v>
      </c>
      <c r="E8" s="22" t="s">
        <v>10468</v>
      </c>
      <c r="F8" s="22" t="s">
        <v>11888</v>
      </c>
      <c r="G8" s="20" t="s">
        <v>10469</v>
      </c>
      <c r="H8" s="20" t="s">
        <v>12317</v>
      </c>
      <c r="I8" t="str">
        <f t="shared" si="2"/>
        <v>(${Variables:E1_1_1_100_kcat} * E1_1_1_100 * C05747 * C00006 )/(${Variables:E1_1_1_100_km} + (E1_1_1_100 * C05747 * C00006 ))</v>
      </c>
      <c r="J8" t="str">
        <f t="shared" si="1"/>
        <v>r7: C05747 + C00006  -&gt;  C05746 + C00005 + C00080 | (${Variables:E1_1_1_100_kcat} * E1_1_1_100 * C05747 * C00006 )/(${Variables:E1_1_1_100_km} + (E1_1_1_100 * C05747 * C00006 ))</v>
      </c>
    </row>
    <row r="9" spans="1:10">
      <c r="A9" s="19" t="s">
        <v>7654</v>
      </c>
      <c r="B9" s="1" t="s">
        <v>11429</v>
      </c>
      <c r="C9" s="32">
        <v>8</v>
      </c>
      <c r="D9" t="str">
        <f t="shared" si="0"/>
        <v>E1_1_1_100</v>
      </c>
      <c r="E9" s="10" t="s">
        <v>10470</v>
      </c>
      <c r="F9" s="10" t="s">
        <v>11889</v>
      </c>
      <c r="G9" s="13" t="s">
        <v>10471</v>
      </c>
      <c r="H9" s="13" t="s">
        <v>12318</v>
      </c>
      <c r="I9" t="str">
        <f t="shared" si="2"/>
        <v>(${Variables:E1_1_1_100_kcat} * E1_1_1_100 * C05757 * C00006 )/(${Variables:E1_1_1_100_km} + (E1_1_1_100 * C05757 * C00006 ))</v>
      </c>
      <c r="J9" t="str">
        <f t="shared" si="1"/>
        <v>r8: C05757 + C00006  -&gt;  C05756 + C00005 + C00080 | (${Variables:E1_1_1_100_kcat} * E1_1_1_100 * C05757 * C00006 )/(${Variables:E1_1_1_100_km} + (E1_1_1_100 * C05757 * C00006 ))</v>
      </c>
    </row>
    <row r="10" spans="1:10">
      <c r="A10" s="19" t="s">
        <v>7654</v>
      </c>
      <c r="B10" s="1" t="s">
        <v>11429</v>
      </c>
      <c r="C10" s="32">
        <v>9</v>
      </c>
      <c r="D10" t="str">
        <f t="shared" si="0"/>
        <v>E1_1_1_100</v>
      </c>
      <c r="E10" s="10" t="s">
        <v>10472</v>
      </c>
      <c r="F10" s="10" t="s">
        <v>11890</v>
      </c>
      <c r="G10" s="13" t="s">
        <v>10473</v>
      </c>
      <c r="H10" s="13" t="s">
        <v>12319</v>
      </c>
      <c r="I10" t="str">
        <f t="shared" si="2"/>
        <v>(${Variables:E1_1_1_100_kcat} * E1_1_1_100 * C16219 * C00005 * C00080 )/(${Variables:E1_1_1_100_km} + (E1_1_1_100 * C16219 * C00005 * C00080 ))</v>
      </c>
      <c r="J10" t="str">
        <f t="shared" si="1"/>
        <v>r9: C16219 + C00005 + C00080  -&gt;  C16220 + C00006 | (${Variables:E1_1_1_100_kcat} * E1_1_1_100 * C16219 * C00005 * C00080 )/(${Variables:E1_1_1_100_km} + (E1_1_1_100 * C16219 * C00005 * C00080 ))</v>
      </c>
    </row>
    <row r="11" spans="1:10">
      <c r="A11" s="19" t="s">
        <v>7654</v>
      </c>
      <c r="B11" s="1" t="s">
        <v>11429</v>
      </c>
      <c r="C11" s="32">
        <v>10</v>
      </c>
      <c r="D11" t="str">
        <f t="shared" si="0"/>
        <v>E1_1_1_100</v>
      </c>
      <c r="E11" s="10" t="s">
        <v>10474</v>
      </c>
      <c r="F11" s="10" t="s">
        <v>11891</v>
      </c>
      <c r="G11" s="13" t="s">
        <v>10475</v>
      </c>
      <c r="H11" s="13" t="s">
        <v>12320</v>
      </c>
      <c r="I11" t="str">
        <f t="shared" si="2"/>
        <v>(${Variables:E1_1_1_100_kcat} * E1_1_1_100 * C20372 * C00005 * C00080 )/(${Variables:E1_1_1_100_km} + (E1_1_1_100 * C20372 * C00005 * C00080 ))</v>
      </c>
      <c r="J11" t="str">
        <f t="shared" si="1"/>
        <v>r10: C20372 + C00005 + C00080  -&gt;  C20373 + C00006 | (${Variables:E1_1_1_100_kcat} * E1_1_1_100 * C20372 * C00005 * C00080 )/(${Variables:E1_1_1_100_km} + (E1_1_1_100 * C20372 * C00005 * C00080 ))</v>
      </c>
    </row>
    <row r="12" spans="1:10">
      <c r="A12" s="19" t="s">
        <v>7654</v>
      </c>
      <c r="B12" s="1" t="s">
        <v>11429</v>
      </c>
      <c r="C12" s="32">
        <v>11</v>
      </c>
      <c r="D12" t="str">
        <f t="shared" si="0"/>
        <v>E1_1_1_100</v>
      </c>
      <c r="E12" s="10" t="s">
        <v>10476</v>
      </c>
      <c r="F12" s="10" t="s">
        <v>11892</v>
      </c>
      <c r="G12" s="13" t="s">
        <v>10477</v>
      </c>
      <c r="H12" s="13" t="s">
        <v>12321</v>
      </c>
      <c r="I12" t="str">
        <f t="shared" si="2"/>
        <v>(${Variables:E1_1_1_100_kcat} * E1_1_1_100 * C20376 * C00005 * C00080 )/(${Variables:E1_1_1_100_km} + (E1_1_1_100 * C20376 * C00005 * C00080 ))</v>
      </c>
      <c r="J12" t="str">
        <f t="shared" si="1"/>
        <v>r11: C20376 + C00005 + C00080  -&gt;  C20377 + C00006 | (${Variables:E1_1_1_100_kcat} * E1_1_1_100 * C20376 * C00005 * C00080 )/(${Variables:E1_1_1_100_km} + (E1_1_1_100 * C20376 * C00005 * C00080 ))</v>
      </c>
    </row>
    <row r="13" spans="1:10">
      <c r="A13" s="19" t="s">
        <v>2140</v>
      </c>
      <c r="B13" s="1" t="s">
        <v>11430</v>
      </c>
      <c r="C13" s="32">
        <v>12</v>
      </c>
      <c r="D13" t="str">
        <f t="shared" si="0"/>
        <v>E1_1_1_133</v>
      </c>
      <c r="E13" s="10" t="s">
        <v>9674</v>
      </c>
      <c r="F13" s="10" t="s">
        <v>11893</v>
      </c>
      <c r="G13" s="13" t="s">
        <v>9675</v>
      </c>
      <c r="H13" s="13" t="s">
        <v>12322</v>
      </c>
      <c r="I13" t="str">
        <f t="shared" si="2"/>
        <v>(${Variables:E1_1_1_133_kcat} * E1_1_1_133 * C03319 * C00006 )/(${Variables:E1_1_1_133_km} + (E1_1_1_133 * C03319 * C00006 ))</v>
      </c>
      <c r="J13" t="str">
        <f t="shared" si="1"/>
        <v>r12: C03319 + C00006  -&gt;  C00688 + C00005 + C00080 | (${Variables:E1_1_1_133_kcat} * E1_1_1_133 * C03319 * C00006 )/(${Variables:E1_1_1_133_km} + (E1_1_1_133 * C03319 * C00006 ))</v>
      </c>
    </row>
    <row r="14" spans="1:10">
      <c r="A14" s="19" t="s">
        <v>4754</v>
      </c>
      <c r="B14" s="1" t="s">
        <v>11431</v>
      </c>
      <c r="C14" s="32">
        <v>13</v>
      </c>
      <c r="D14" t="str">
        <f t="shared" si="0"/>
        <v>E1_1_1_193</v>
      </c>
      <c r="E14" s="10" t="s">
        <v>10082</v>
      </c>
      <c r="F14" s="10" t="s">
        <v>11894</v>
      </c>
      <c r="G14" s="13" t="s">
        <v>10083</v>
      </c>
      <c r="H14" s="13" t="s">
        <v>12323</v>
      </c>
      <c r="I14" t="str">
        <f t="shared" si="2"/>
        <v>(${Variables:E1_1_1_193_kcat} * E1_1_1_193 * C04454 * C00006)/(${Variables:E1_1_1_193_km} + (E1_1_1_193 * C04454 * C00006))</v>
      </c>
      <c r="J14" t="str">
        <f t="shared" si="1"/>
        <v>r13: C04454 + C00006 -&gt;  C01268 + C00005 + C00080 | (${Variables:E1_1_1_193_kcat} * E1_1_1_193 * C04454 * C00006)/(${Variables:E1_1_1_193_km} + (E1_1_1_193 * C04454 * C00006))</v>
      </c>
    </row>
    <row r="15" spans="1:10">
      <c r="A15" s="19" t="s">
        <v>1889</v>
      </c>
      <c r="B15" s="1" t="s">
        <v>11432</v>
      </c>
      <c r="C15" s="32">
        <v>14</v>
      </c>
      <c r="D15" t="str">
        <f t="shared" si="0"/>
        <v>E1_1_1_205</v>
      </c>
      <c r="E15" s="10" t="s">
        <v>9629</v>
      </c>
      <c r="F15" s="10" t="s">
        <v>11895</v>
      </c>
      <c r="G15" s="13" t="s">
        <v>9630</v>
      </c>
      <c r="H15" s="13" t="s">
        <v>12324</v>
      </c>
      <c r="I15" t="str">
        <f t="shared" si="2"/>
        <v>(${Variables:E1_1_1_205_kcat} * E1_1_1_205 * C00130 * C00003 * C00001)/(${Variables:E1_1_1_205_km} + (E1_1_1_205 * C00130 * C00003 * C00001))</v>
      </c>
      <c r="J15" t="str">
        <f t="shared" si="1"/>
        <v>r14: C00130 + C00003 + C00001 -&gt;  C00655 + C00004 + C00080 | (${Variables:E1_1_1_205_kcat} * E1_1_1_205 * C00130 * C00003 * C00001)/(${Variables:E1_1_1_205_km} + (E1_1_1_205 * C00130 * C00003 * C00001))</v>
      </c>
    </row>
    <row r="16" spans="1:10">
      <c r="A16" s="19" t="s">
        <v>1889</v>
      </c>
      <c r="B16" s="1" t="s">
        <v>11432</v>
      </c>
      <c r="C16" s="32">
        <v>15</v>
      </c>
      <c r="D16" t="str">
        <f t="shared" si="0"/>
        <v>E1_1_1_205</v>
      </c>
      <c r="E16" s="10" t="s">
        <v>9631</v>
      </c>
      <c r="F16" s="10" t="s">
        <v>11896</v>
      </c>
      <c r="G16" s="13" t="s">
        <v>9632</v>
      </c>
      <c r="H16" s="13" t="s">
        <v>12325</v>
      </c>
      <c r="I16" t="str">
        <f t="shared" si="2"/>
        <v>(${Variables:E1_1_1_205_kcat} * E1_1_1_205 * C04646 * C00003 * C00001 )/(${Variables:E1_1_1_205_km} + (E1_1_1_205 * C04646 * C00003 * C00001 ))</v>
      </c>
      <c r="J16" t="str">
        <f t="shared" si="1"/>
        <v>r15: C04646 + C00003 + C00001  -&gt;  C16618 + C00004 + C00080 | (${Variables:E1_1_1_205_kcat} * E1_1_1_205 * C04646 * C00003 * C00001 )/(${Variables:E1_1_1_205_km} + (E1_1_1_205 * C04646 * C00003 * C00001 ))</v>
      </c>
    </row>
    <row r="17" spans="1:10" ht="19" customHeight="1">
      <c r="A17" s="19" t="s">
        <v>5700</v>
      </c>
      <c r="B17" s="1" t="s">
        <v>11432</v>
      </c>
      <c r="C17" s="32">
        <v>16</v>
      </c>
      <c r="D17" t="str">
        <f t="shared" si="0"/>
        <v>E1_1_1_205</v>
      </c>
      <c r="E17" s="21" t="s">
        <v>9629</v>
      </c>
      <c r="F17" s="21" t="s">
        <v>11895</v>
      </c>
      <c r="G17" s="13" t="s">
        <v>9633</v>
      </c>
      <c r="H17" s="13" t="s">
        <v>12326</v>
      </c>
      <c r="I17" t="str">
        <f t="shared" si="2"/>
        <v>(${Variables:E1_1_1_205_kcat} * E1_1_1_205 * C00130 * C00003 * C00001)/(${Variables:E1_1_1_205_km} + (E1_1_1_205 * C00130 * C00003 * C00001))</v>
      </c>
      <c r="J17" t="str">
        <f t="shared" si="1"/>
        <v>r16: C00130 + C00003 + C00001 -&gt; C00655 + C00004 + C00080 | (${Variables:E1_1_1_205_kcat} * E1_1_1_205 * C00130 * C00003 * C00001)/(${Variables:E1_1_1_205_km} + (E1_1_1_205 * C00130 * C00003 * C00001))</v>
      </c>
    </row>
    <row r="18" spans="1:10">
      <c r="A18" s="19" t="s">
        <v>5700</v>
      </c>
      <c r="B18" s="1" t="s">
        <v>11432</v>
      </c>
      <c r="C18" s="32">
        <v>17</v>
      </c>
      <c r="D18" t="str">
        <f t="shared" si="0"/>
        <v>E1_1_1_205</v>
      </c>
      <c r="E18" s="10" t="s">
        <v>9634</v>
      </c>
      <c r="F18" s="10" t="s">
        <v>11897</v>
      </c>
      <c r="G18" s="13" t="s">
        <v>9632</v>
      </c>
      <c r="H18" s="13" t="s">
        <v>12325</v>
      </c>
      <c r="I18" t="str">
        <f t="shared" si="2"/>
        <v>(${Variables:E1_1_1_205_kcat} * E1_1_1_205 * C04646 * C00003 * C00001)/(${Variables:E1_1_1_205_km} + (E1_1_1_205 * C04646 * C00003 * C00001))</v>
      </c>
      <c r="J18" t="str">
        <f t="shared" si="1"/>
        <v>r17: C04646 + C00003 + C00001 -&gt;  C16618 + C00004 + C00080 | (${Variables:E1_1_1_205_kcat} * E1_1_1_205 * C04646 * C00003 * C00001)/(${Variables:E1_1_1_205_km} + (E1_1_1_205 * C04646 * C00003 * C00001))</v>
      </c>
    </row>
    <row r="19" spans="1:10">
      <c r="A19" s="19" t="s">
        <v>8806</v>
      </c>
      <c r="B19" s="1" t="s">
        <v>11433</v>
      </c>
      <c r="C19" s="32">
        <v>18</v>
      </c>
      <c r="D19" t="str">
        <f t="shared" si="0"/>
        <v>E1_1_1_23</v>
      </c>
      <c r="E19" s="10" t="s">
        <v>12803</v>
      </c>
      <c r="F19" s="62" t="s">
        <v>25593</v>
      </c>
      <c r="G19" s="13" t="s">
        <v>10633</v>
      </c>
      <c r="H19" s="13" t="s">
        <v>12905</v>
      </c>
      <c r="I19" t="str">
        <f t="shared" si="2"/>
        <v>(${Variables:E1_1_1_23_kcat} * E1_1_1_23 * C00860 * C00003 * C00001 )/(${Variables:E1_1_1_23_km} + (E1_1_1_23 * C00860 * C00003 * C00001 ))</v>
      </c>
      <c r="J19" t="str">
        <f t="shared" si="1"/>
        <v>r18: C00860 + C00003 + C00001  -&gt;  C00135 + C00004 + C00080 | (${Variables:E1_1_1_23_kcat} * E1_1_1_23 * C00860 * C00003 * C00001 )/(${Variables:E1_1_1_23_km} + (E1_1_1_23 * C00860 * C00003 * C00001 ))</v>
      </c>
    </row>
    <row r="20" spans="1:10">
      <c r="A20" s="19" t="s">
        <v>8806</v>
      </c>
      <c r="B20" s="1" t="s">
        <v>11433</v>
      </c>
      <c r="C20" s="32">
        <v>19</v>
      </c>
      <c r="D20" t="str">
        <f t="shared" si="0"/>
        <v>E1_1_1_23</v>
      </c>
      <c r="E20" s="10" t="s">
        <v>10632</v>
      </c>
      <c r="F20" s="10" t="s">
        <v>11898</v>
      </c>
      <c r="G20" s="13" t="s">
        <v>10633</v>
      </c>
      <c r="H20" s="13" t="s">
        <v>12327</v>
      </c>
      <c r="I20" t="str">
        <f t="shared" si="2"/>
        <v>(${Variables:E1_1_1_23_kcat} * E1_1_1_23 * C01929 * C00001 * C00003 )/(${Variables:E1_1_1_23_km} + (E1_1_1_23 * C01929 * C00001 * C00003 ))</v>
      </c>
      <c r="J20" t="str">
        <f t="shared" si="1"/>
        <v>r19: C01929 + C00001 + C00003  -&gt;  C00135 + C00004 + C00080 | (${Variables:E1_1_1_23_kcat} * E1_1_1_23 * C01929 * C00001 * C00003 )/(${Variables:E1_1_1_23_km} + (E1_1_1_23 * C01929 * C00001 * C00003 ))</v>
      </c>
    </row>
    <row r="21" spans="1:10">
      <c r="A21" s="19" t="s">
        <v>8806</v>
      </c>
      <c r="B21" s="1" t="s">
        <v>11433</v>
      </c>
      <c r="C21" s="32">
        <v>20</v>
      </c>
      <c r="D21" t="str">
        <f t="shared" si="0"/>
        <v>E1_1_1_23</v>
      </c>
      <c r="E21" s="10" t="s">
        <v>10634</v>
      </c>
      <c r="F21" s="10" t="s">
        <v>11899</v>
      </c>
      <c r="G21" s="13" t="s">
        <v>10635</v>
      </c>
      <c r="H21" s="13" t="s">
        <v>12328</v>
      </c>
      <c r="I21" t="str">
        <f t="shared" si="2"/>
        <v>(${Variables:E1_1_1_23_kcat} * E1_1_1_23 * C00860 * C00003 )/(${Variables:E1_1_1_23_km} + (E1_1_1_23 * C00860 * C00003 ))</v>
      </c>
      <c r="J21" t="str">
        <f t="shared" si="1"/>
        <v>r20: C00860 + C00003  -&gt;  C01929 + C00004 + C00080 | (${Variables:E1_1_1_23_kcat} * E1_1_1_23 * C00860 * C00003 )/(${Variables:E1_1_1_23_km} + (E1_1_1_23 * C00860 * C00003 ))</v>
      </c>
    </row>
    <row r="22" spans="1:10">
      <c r="A22" s="19" t="s">
        <v>5946</v>
      </c>
      <c r="B22" s="1" t="s">
        <v>11434</v>
      </c>
      <c r="C22" s="32">
        <v>21</v>
      </c>
      <c r="D22" t="str">
        <f t="shared" si="0"/>
        <v>E1_1_1_262</v>
      </c>
      <c r="E22" s="10" t="s">
        <v>10216</v>
      </c>
      <c r="F22" s="10" t="s">
        <v>11900</v>
      </c>
      <c r="G22" s="13" t="s">
        <v>10217</v>
      </c>
      <c r="H22" s="13" t="s">
        <v>12329</v>
      </c>
      <c r="I22" t="str">
        <f t="shared" si="2"/>
        <v>(${Variables:E1_1_1_262_kcat} * E1_1_1_262 * C06055 * C00003 )/(${Variables:E1_1_1_262_km} + (E1_1_1_262 * C06055 * C00003 ))</v>
      </c>
      <c r="J22" t="str">
        <f t="shared" si="1"/>
        <v>r21: C06055 + C00003  -&gt;  C07335 + C00004 + C00080 | (${Variables:E1_1_1_262_kcat} * E1_1_1_262 * C06055 * C00003 )/(${Variables:E1_1_1_262_km} + (E1_1_1_262 * C06055 * C00003 ))</v>
      </c>
    </row>
    <row r="23" spans="1:10">
      <c r="A23" s="19" t="s">
        <v>5946</v>
      </c>
      <c r="B23" s="1" t="s">
        <v>11434</v>
      </c>
      <c r="C23" s="32">
        <v>22</v>
      </c>
      <c r="D23" t="str">
        <f t="shared" si="0"/>
        <v>E1_1_1_262</v>
      </c>
      <c r="E23" s="10" t="s">
        <v>10216</v>
      </c>
      <c r="F23" s="10" t="s">
        <v>11900</v>
      </c>
      <c r="G23" s="13" t="s">
        <v>10218</v>
      </c>
      <c r="H23" s="13" t="s">
        <v>12330</v>
      </c>
      <c r="I23" t="str">
        <f t="shared" si="2"/>
        <v>(${Variables:E1_1_1_262_kcat} * E1_1_1_262 * C06055 * C00003 )/(${Variables:E1_1_1_262_km} + (E1_1_1_262 * C06055 * C00003 ))</v>
      </c>
      <c r="J23" t="str">
        <f t="shared" si="1"/>
        <v>r22: C06055 + C00003  -&gt;  C11638 + C00004 + C00080 + C00011 | (${Variables:E1_1_1_262_kcat} * E1_1_1_262 * C06055 * C00003 )/(${Variables:E1_1_1_262_km} + (E1_1_1_262 * C06055 * C00003 ))</v>
      </c>
    </row>
    <row r="24" spans="1:10">
      <c r="A24" s="19" t="s">
        <v>5946</v>
      </c>
      <c r="B24" s="1" t="s">
        <v>11434</v>
      </c>
      <c r="C24" s="32">
        <v>23</v>
      </c>
      <c r="D24" t="str">
        <f t="shared" si="0"/>
        <v>E1_1_1_262</v>
      </c>
      <c r="E24" s="10" t="s">
        <v>10219</v>
      </c>
      <c r="F24" s="10" t="s">
        <v>10219</v>
      </c>
      <c r="G24" s="13" t="s">
        <v>10220</v>
      </c>
      <c r="H24" s="13" t="s">
        <v>12331</v>
      </c>
      <c r="I24" t="str">
        <f t="shared" si="2"/>
        <v>(${Variables:E1_1_1_262_kcat} * E1_1_1_262 * C07335 )/(${Variables:E1_1_1_262_km} + (E1_1_1_262 * C07335 ))</v>
      </c>
      <c r="J24" t="str">
        <f t="shared" si="1"/>
        <v>r23: C07335  -&gt;  C11638 + C00011 | (${Variables:E1_1_1_262_kcat} * E1_1_1_262 * C07335 )/(${Variables:E1_1_1_262_km} + (E1_1_1_262 * C07335 ))</v>
      </c>
    </row>
    <row r="25" spans="1:10">
      <c r="A25" s="19" t="s">
        <v>7283</v>
      </c>
      <c r="B25" s="1" t="s">
        <v>11435</v>
      </c>
      <c r="C25" s="32">
        <v>24</v>
      </c>
      <c r="D25" t="str">
        <f t="shared" si="0"/>
        <v>E1_1_1_267</v>
      </c>
      <c r="E25" s="10" t="s">
        <v>10366</v>
      </c>
      <c r="F25" s="10" t="s">
        <v>11901</v>
      </c>
      <c r="G25" s="13" t="s">
        <v>10367</v>
      </c>
      <c r="H25" s="13" t="s">
        <v>12332</v>
      </c>
      <c r="I25" t="str">
        <f t="shared" si="2"/>
        <v>(${Variables:E1_1_1_267_kcat} * E1_1_1_267 * C11434 * C00006 )/(${Variables:E1_1_1_267_km} + (E1_1_1_267 * C11434 * C00006 ))</v>
      </c>
      <c r="J25" t="str">
        <f t="shared" si="1"/>
        <v>r24: C11434 + C00006  -&gt;  C11437 + C00005 + C00080 | (${Variables:E1_1_1_267_kcat} * E1_1_1_267 * C11434 * C00006 )/(${Variables:E1_1_1_267_km} + (E1_1_1_267 * C11434 * C00006 ))</v>
      </c>
    </row>
    <row r="26" spans="1:10">
      <c r="A26" s="19" t="s">
        <v>6079</v>
      </c>
      <c r="B26" s="1" t="s">
        <v>11436</v>
      </c>
      <c r="C26" s="32">
        <v>25</v>
      </c>
      <c r="D26" t="str">
        <f t="shared" si="0"/>
        <v>E1_1_1_3</v>
      </c>
      <c r="E26" s="10" t="s">
        <v>10234</v>
      </c>
      <c r="F26" s="10" t="s">
        <v>11902</v>
      </c>
      <c r="G26" s="13" t="s">
        <v>10235</v>
      </c>
      <c r="H26" s="13" t="s">
        <v>12333</v>
      </c>
      <c r="I26" t="str">
        <f t="shared" si="2"/>
        <v>(${Variables:E1_1_1_3_kcat} * E1_1_1_3 * C00263 * C00003 )/(${Variables:E1_1_1_3_km} + (E1_1_1_3 * C00263 * C00003 ))</v>
      </c>
      <c r="J26" t="str">
        <f t="shared" si="1"/>
        <v>r25: C00263 + C00003  -&gt;  C00441 + C00004 + C00080 | (${Variables:E1_1_1_3_kcat} * E1_1_1_3 * C00263 * C00003 )/(${Variables:E1_1_1_3_km} + (E1_1_1_3 * C00263 * C00003 ))</v>
      </c>
    </row>
    <row r="27" spans="1:10">
      <c r="A27" s="19" t="s">
        <v>6079</v>
      </c>
      <c r="B27" s="1" t="s">
        <v>11436</v>
      </c>
      <c r="C27" s="32">
        <v>26</v>
      </c>
      <c r="D27" t="str">
        <f t="shared" si="0"/>
        <v>E1_1_1_3</v>
      </c>
      <c r="E27" s="10" t="s">
        <v>10236</v>
      </c>
      <c r="F27" s="10" t="s">
        <v>11903</v>
      </c>
      <c r="G27" s="13" t="s">
        <v>10237</v>
      </c>
      <c r="H27" s="13" t="s">
        <v>12334</v>
      </c>
      <c r="I27" t="str">
        <f t="shared" si="2"/>
        <v>(${Variables:E1_1_1_3_kcat} * E1_1_1_3 * C00263 * C00006 )/(${Variables:E1_1_1_3_km} + (E1_1_1_3 * C00263 * C00006 ))</v>
      </c>
      <c r="J27" t="str">
        <f t="shared" si="1"/>
        <v>r26: C00263 + C00006  -&gt;  C00441 + C00005 + C00080 | (${Variables:E1_1_1_3_kcat} * E1_1_1_3 * C00263 * C00006 )/(${Variables:E1_1_1_3_km} + (E1_1_1_3 * C00263 * C00006 ))</v>
      </c>
    </row>
    <row r="28" spans="1:10">
      <c r="A28" s="19" t="s">
        <v>7461</v>
      </c>
      <c r="B28" s="1" t="s">
        <v>11437</v>
      </c>
      <c r="C28" s="32">
        <v>27</v>
      </c>
      <c r="D28" t="str">
        <f t="shared" si="0"/>
        <v>E1_1_1_336</v>
      </c>
      <c r="E28" s="10" t="s">
        <v>12802</v>
      </c>
      <c r="F28" s="10" t="s">
        <v>12801</v>
      </c>
      <c r="G28" s="13" t="s">
        <v>12869</v>
      </c>
      <c r="H28" s="13" t="s">
        <v>12906</v>
      </c>
      <c r="I28" t="str">
        <f t="shared" si="2"/>
        <v>(${Variables:E1_1_1_336_kcat} * E1_1_1_336 * C01170 *  C00003 * C00001 )/(${Variables:E1_1_1_336_km} + (E1_1_1_336 * C01170 *  C00003 * C00001 ))</v>
      </c>
      <c r="J28" t="str">
        <f t="shared" si="1"/>
        <v>r27: C01170 + C00003 + C00001  -&gt;  C06240 + C00004 + C00080 | (${Variables:E1_1_1_336_kcat} * E1_1_1_336 * C01170 *  C00003 * C00001 )/(${Variables:E1_1_1_336_km} + (E1_1_1_336 * C01170 *  C00003 * C00001 ))</v>
      </c>
    </row>
    <row r="29" spans="1:10">
      <c r="A29" s="19" t="s">
        <v>7121</v>
      </c>
      <c r="B29" s="1" t="s">
        <v>11438</v>
      </c>
      <c r="C29" s="32">
        <v>28</v>
      </c>
      <c r="D29" t="str">
        <f t="shared" si="0"/>
        <v>E1_1_1_37</v>
      </c>
      <c r="E29" s="10" t="s">
        <v>10342</v>
      </c>
      <c r="F29" s="10" t="s">
        <v>11904</v>
      </c>
      <c r="G29" s="13" t="s">
        <v>10343</v>
      </c>
      <c r="H29" s="13" t="s">
        <v>12335</v>
      </c>
      <c r="I29" t="str">
        <f t="shared" si="2"/>
        <v>(${Variables:E1_1_1_37_kcat} * E1_1_1_37 * C00149 * C00003 )/(${Variables:E1_1_1_37_km} + (E1_1_1_37 * C00149 * C00003 ))</v>
      </c>
      <c r="J29" t="str">
        <f t="shared" si="1"/>
        <v>r28: C00149 + C00003  -&gt;  C00036 + C00004 + C00080 | (${Variables:E1_1_1_37_kcat} * E1_1_1_37 * C00149 * C00003 )/(${Variables:E1_1_1_37_km} + (E1_1_1_37 * C00149 * C00003 ))</v>
      </c>
    </row>
    <row r="30" spans="1:10">
      <c r="A30" s="19" t="s">
        <v>7121</v>
      </c>
      <c r="B30" s="1" t="s">
        <v>11438</v>
      </c>
      <c r="C30" s="32">
        <v>29</v>
      </c>
      <c r="D30" t="str">
        <f t="shared" si="0"/>
        <v>E1_1_1_37</v>
      </c>
      <c r="E30" s="10" t="s">
        <v>10344</v>
      </c>
      <c r="F30" s="10" t="s">
        <v>11905</v>
      </c>
      <c r="G30" s="13" t="s">
        <v>10345</v>
      </c>
      <c r="H30" s="13" t="s">
        <v>12336</v>
      </c>
      <c r="I30" t="str">
        <f t="shared" si="2"/>
        <v>(${Variables:E1_1_1_37_kcat} * E1_1_1_37 * C11537 * C00003)/(${Variables:E1_1_1_37_km} + (E1_1_1_37 * C11537 * C00003))</v>
      </c>
      <c r="J30" t="str">
        <f t="shared" si="1"/>
        <v>r29: C11537 + C00003 -&gt;  C05528 + C00004 + C00080 | (${Variables:E1_1_1_37_kcat} * E1_1_1_37 * C11537 * C00003)/(${Variables:E1_1_1_37_km} + (E1_1_1_37 * C11537 * C00003))</v>
      </c>
    </row>
    <row r="31" spans="1:10">
      <c r="A31" s="19" t="s">
        <v>402</v>
      </c>
      <c r="B31" s="1" t="s">
        <v>11439</v>
      </c>
      <c r="C31" s="32">
        <v>30</v>
      </c>
      <c r="D31" t="str">
        <f t="shared" si="0"/>
        <v>E1_1_1_44</v>
      </c>
      <c r="E31" s="10" t="s">
        <v>9842</v>
      </c>
      <c r="F31" s="10" t="s">
        <v>11906</v>
      </c>
      <c r="G31" s="11" t="s">
        <v>9348</v>
      </c>
      <c r="H31" s="11" t="s">
        <v>9348</v>
      </c>
      <c r="I31" t="str">
        <f t="shared" si="2"/>
        <v>(${Variables:E1_1_1_44_kcat} * E1_1_1_44 * C01236 * C00001)/(${Variables:E1_1_1_44_km} + (E1_1_1_44 * C01236 * C00001))</v>
      </c>
      <c r="J31" t="str">
        <f t="shared" si="1"/>
        <v>r30: C01236 + C00001 -&gt; C00345 | (${Variables:E1_1_1_44_kcat} * E1_1_1_44 * C01236 * C00001)/(${Variables:E1_1_1_44_km} + (E1_1_1_44 * C01236 * C00001))</v>
      </c>
    </row>
    <row r="32" spans="1:10">
      <c r="A32" s="19" t="s">
        <v>1183</v>
      </c>
      <c r="B32" s="1" t="s">
        <v>11440</v>
      </c>
      <c r="C32" s="32">
        <v>31</v>
      </c>
      <c r="D32" t="str">
        <f t="shared" si="0"/>
        <v>E1_1_1_85</v>
      </c>
      <c r="E32" s="10" t="s">
        <v>11719</v>
      </c>
      <c r="F32" s="10" t="s">
        <v>11907</v>
      </c>
      <c r="G32" s="13" t="s">
        <v>9471</v>
      </c>
      <c r="H32" s="13" t="s">
        <v>9471</v>
      </c>
      <c r="I32" t="str">
        <f t="shared" si="2"/>
        <v>(${Variables:E1_1_1_85_kcat} * E1_1_1_85 * C00233 * C00011)/(${Variables:E1_1_1_85_km} + (E1_1_1_85 * C00233 * C00011))</v>
      </c>
      <c r="J32" t="str">
        <f t="shared" si="1"/>
        <v>r31: C00233 + C00011 -&gt; C04236 | (${Variables:E1_1_1_85_kcat} * E1_1_1_85 * C00233 * C00011)/(${Variables:E1_1_1_85_km} + (E1_1_1_85 * C00233 * C00011))</v>
      </c>
    </row>
    <row r="33" spans="1:10">
      <c r="A33" s="19" t="s">
        <v>1183</v>
      </c>
      <c r="B33" s="1" t="s">
        <v>11440</v>
      </c>
      <c r="C33" s="32">
        <v>32</v>
      </c>
      <c r="D33" t="str">
        <f t="shared" si="0"/>
        <v>E1_1_1_85</v>
      </c>
      <c r="E33" s="10" t="s">
        <v>11720</v>
      </c>
      <c r="F33" s="10" t="s">
        <v>11908</v>
      </c>
      <c r="G33" s="13" t="s">
        <v>11721</v>
      </c>
      <c r="H33" s="13" t="s">
        <v>12337</v>
      </c>
      <c r="I33" t="str">
        <f t="shared" si="2"/>
        <v>(${Variables:E1_1_1_85_kcat} * E1_1_1_85 * C04411 * C00003 )/(${Variables:E1_1_1_85_km} + (E1_1_1_85 * C04411 * C00003 ))</v>
      </c>
      <c r="J33" t="str">
        <f t="shared" si="1"/>
        <v>r32: C04411 + C00003  -&gt; C04236 + C00004 + C00080 | (${Variables:E1_1_1_85_kcat} * E1_1_1_85 * C04411 * C00003 )/(${Variables:E1_1_1_85_km} + (E1_1_1_85 * C04411 * C00003 ))</v>
      </c>
    </row>
    <row r="34" spans="1:10">
      <c r="A34" s="19" t="s">
        <v>1183</v>
      </c>
      <c r="B34" s="1" t="s">
        <v>11440</v>
      </c>
      <c r="C34" s="32">
        <v>33</v>
      </c>
      <c r="D34" t="str">
        <f t="shared" si="0"/>
        <v>E1_1_1_85</v>
      </c>
      <c r="E34" s="10" t="s">
        <v>11720</v>
      </c>
      <c r="F34" s="10" t="s">
        <v>11908</v>
      </c>
      <c r="G34" s="13" t="s">
        <v>11722</v>
      </c>
      <c r="H34" s="13" t="s">
        <v>12338</v>
      </c>
      <c r="I34" t="str">
        <f t="shared" si="2"/>
        <v>(${Variables:E1_1_1_85_kcat} * E1_1_1_85 * C04411 * C00003 )/(${Variables:E1_1_1_85_km} + (E1_1_1_85 * C04411 * C00003 ))</v>
      </c>
      <c r="J34" t="str">
        <f t="shared" ref="J34:J64" si="3">CONCATENATE("r",C34,": ",E34," -&gt; ",G34," | ",I34)</f>
        <v>r33: C04411 + C00003  -&gt;  C00233 + C00011 + C00004 + C00080 | (${Variables:E1_1_1_85_kcat} * E1_1_1_85 * C04411 * C00003 )/(${Variables:E1_1_1_85_km} + (E1_1_1_85 * C04411 * C00003 ))</v>
      </c>
    </row>
    <row r="35" spans="1:10">
      <c r="A35" s="19" t="s">
        <v>1183</v>
      </c>
      <c r="B35" s="1" t="s">
        <v>11440</v>
      </c>
      <c r="C35" s="32">
        <v>34</v>
      </c>
      <c r="D35" t="str">
        <f t="shared" si="0"/>
        <v>E1_1_1_85</v>
      </c>
      <c r="E35" s="10" t="s">
        <v>11723</v>
      </c>
      <c r="F35" s="10" t="s">
        <v>11909</v>
      </c>
      <c r="G35" s="13" t="s">
        <v>11724</v>
      </c>
      <c r="H35" s="13" t="s">
        <v>12339</v>
      </c>
      <c r="I35" t="str">
        <f t="shared" si="2"/>
        <v>(${Variables:E1_1_1_85_kcat} * E1_1_1_85 * C00109 * C00011 * C00004 * C00080)/(${Variables:E1_1_1_85_km} + (E1_1_1_85 * C00109 * C00011 * C00004 * C00080))</v>
      </c>
      <c r="J35" t="str">
        <f t="shared" si="3"/>
        <v>r34: C00109 + C00011 + C00004 + C00080 -&gt; C06032 + C00003 | (${Variables:E1_1_1_85_kcat} * E1_1_1_85 * C00109 * C00011 * C00004 * C00080)/(${Variables:E1_1_1_85_km} + (E1_1_1_85 * C00109 * C00011 * C00004 * C00080))</v>
      </c>
    </row>
    <row r="36" spans="1:10">
      <c r="A36" s="19" t="s">
        <v>5862</v>
      </c>
      <c r="B36" s="1" t="s">
        <v>11441</v>
      </c>
      <c r="C36" s="32">
        <v>35</v>
      </c>
      <c r="D36" t="str">
        <f t="shared" si="0"/>
        <v>E1_1_1_94</v>
      </c>
      <c r="E36" s="10" t="s">
        <v>10192</v>
      </c>
      <c r="F36" s="10" t="s">
        <v>11910</v>
      </c>
      <c r="G36" s="13" t="s">
        <v>10193</v>
      </c>
      <c r="H36" s="13" t="s">
        <v>12340</v>
      </c>
      <c r="I36" t="str">
        <f t="shared" si="2"/>
        <v>(${Variables:E1_1_1_94_kcat} * E1_1_1_94 * C00093 * C00003 )/(${Variables:E1_1_1_94_km} + (E1_1_1_94 * C00093 * C00003 ))</v>
      </c>
      <c r="J36" t="str">
        <f t="shared" si="3"/>
        <v>r35: C00093 + C00003  -&gt;  C00111 + C00004 + C00080 | (${Variables:E1_1_1_94_kcat} * E1_1_1_94 * C00093 * C00003 )/(${Variables:E1_1_1_94_km} + (E1_1_1_94 * C00093 * C00003 ))</v>
      </c>
    </row>
    <row r="37" spans="1:10">
      <c r="A37" s="19" t="s">
        <v>5862</v>
      </c>
      <c r="B37" s="1" t="s">
        <v>11441</v>
      </c>
      <c r="C37" s="32">
        <v>36</v>
      </c>
      <c r="D37" t="str">
        <f t="shared" si="0"/>
        <v>E1_1_1_94</v>
      </c>
      <c r="E37" s="10" t="s">
        <v>10194</v>
      </c>
      <c r="F37" s="10" t="s">
        <v>11911</v>
      </c>
      <c r="G37" s="13" t="s">
        <v>10195</v>
      </c>
      <c r="H37" s="13" t="s">
        <v>12341</v>
      </c>
      <c r="I37" t="str">
        <f t="shared" si="2"/>
        <v>(${Variables:E1_1_1_94_kcat} * E1_1_1_94 * C00093 * C00006 )/(${Variables:E1_1_1_94_km} + (E1_1_1_94 * C00093 * C00006 ))</v>
      </c>
      <c r="J37" t="str">
        <f t="shared" si="3"/>
        <v>r36: C00093 + C00006  -&gt;  C00111 + C00005 + C00080 | (${Variables:E1_1_1_94_kcat} * E1_1_1_94 * C00093 * C00006 )/(${Variables:E1_1_1_94_km} + (E1_1_1_94 * C00093 * C00006 ))</v>
      </c>
    </row>
    <row r="38" spans="1:10">
      <c r="A38" s="19" t="s">
        <v>4080</v>
      </c>
      <c r="B38" s="1" t="s">
        <v>11442</v>
      </c>
      <c r="C38" s="32">
        <v>37</v>
      </c>
      <c r="D38" t="str">
        <f t="shared" si="0"/>
        <v>E1_11_1_24</v>
      </c>
      <c r="E38" s="10" t="s">
        <v>9952</v>
      </c>
      <c r="F38" s="10" t="s">
        <v>11912</v>
      </c>
      <c r="G38" s="13" t="s">
        <v>9953</v>
      </c>
      <c r="H38" s="13" t="s">
        <v>12342</v>
      </c>
      <c r="I38" t="str">
        <f t="shared" si="2"/>
        <v>(${Variables:E1_11_1_24_kcat} * E1_11_1_24 * C00342 * C15498)/(${Variables:E1_11_1_24_km} + (E1_11_1_24 * C00342 * C15498))</v>
      </c>
      <c r="J38" t="str">
        <f t="shared" si="3"/>
        <v>r37: C00342 + C15498 -&gt; C00343 + C00001 + C01335 | (${Variables:E1_11_1_24_kcat} * E1_11_1_24 * C00342 * C15498)/(${Variables:E1_11_1_24_km} + (E1_11_1_24 * C00342 * C15498))</v>
      </c>
    </row>
    <row r="39" spans="1:10">
      <c r="A39" s="19" t="s">
        <v>7743</v>
      </c>
      <c r="B39" s="1" t="s">
        <v>11442</v>
      </c>
      <c r="C39" s="32">
        <v>38</v>
      </c>
      <c r="D39" t="str">
        <f t="shared" si="0"/>
        <v>E1_11_1_24</v>
      </c>
      <c r="E39" s="22" t="s">
        <v>9952</v>
      </c>
      <c r="F39" s="22" t="s">
        <v>11912</v>
      </c>
      <c r="G39" s="20" t="s">
        <v>9953</v>
      </c>
      <c r="H39" s="20" t="s">
        <v>12342</v>
      </c>
      <c r="I39" t="str">
        <f t="shared" si="2"/>
        <v>(${Variables:E1_11_1_24_kcat} * E1_11_1_24 * C00342 * C15498)/(${Variables:E1_11_1_24_km} + (E1_11_1_24 * C00342 * C15498))</v>
      </c>
      <c r="J39" t="str">
        <f t="shared" si="3"/>
        <v>r38: C00342 + C15498 -&gt; C00343 + C00001 + C01335 | (${Variables:E1_11_1_24_kcat} * E1_11_1_24 * C00342 * C15498)/(${Variables:E1_11_1_24_km} + (E1_11_1_24 * C00342 * C15498))</v>
      </c>
    </row>
    <row r="40" spans="1:10">
      <c r="A40" s="19" t="s">
        <v>2993</v>
      </c>
      <c r="B40" s="1" t="s">
        <v>11443</v>
      </c>
      <c r="C40" s="32">
        <v>39</v>
      </c>
      <c r="D40" t="str">
        <f t="shared" si="0"/>
        <v>E1_17_1_8</v>
      </c>
      <c r="E40" s="10" t="s">
        <v>9793</v>
      </c>
      <c r="F40" s="10" t="s">
        <v>11913</v>
      </c>
      <c r="G40" s="13" t="s">
        <v>9794</v>
      </c>
      <c r="H40" s="13" t="s">
        <v>12343</v>
      </c>
      <c r="I40" t="str">
        <f t="shared" si="2"/>
        <v>(${Variables:E1_17_1_8_kcat} * E1_17_1_8 * C03972 * C00003 * C00001)/(${Variables:E1_17_1_8_km} + (E1_17_1_8 * C03972 * C00003 * C00001))</v>
      </c>
      <c r="J40" t="str">
        <f t="shared" si="3"/>
        <v>r39: C03972 + C00003 + C00001 -&gt;  C20258 + C00004 + C00080 | (${Variables:E1_17_1_8_kcat} * E1_17_1_8 * C03972 * C00003 * C00001)/(${Variables:E1_17_1_8_km} + (E1_17_1_8 * C03972 * C00003 * C00001))</v>
      </c>
    </row>
    <row r="41" spans="1:10">
      <c r="A41" s="19" t="s">
        <v>2993</v>
      </c>
      <c r="B41" s="1" t="s">
        <v>11443</v>
      </c>
      <c r="C41" s="32">
        <v>40</v>
      </c>
      <c r="D41" t="str">
        <f t="shared" si="0"/>
        <v>E1_17_1_8</v>
      </c>
      <c r="E41" s="10" t="s">
        <v>9795</v>
      </c>
      <c r="F41" s="10" t="s">
        <v>11914</v>
      </c>
      <c r="G41" s="13" t="s">
        <v>9796</v>
      </c>
      <c r="H41" s="13" t="s">
        <v>12344</v>
      </c>
      <c r="I41" t="str">
        <f t="shared" si="2"/>
        <v>(${Variables:E1_17_1_8_kcat} * E1_17_1_8 * C03972 * C00006 * C00001)/(${Variables:E1_17_1_8_km} + (E1_17_1_8 * C03972 * C00006 * C00001))</v>
      </c>
      <c r="J41" t="str">
        <f t="shared" si="3"/>
        <v>r40: C03972 + C00006 + C00001 -&gt; C20258 + C00005 + C00080 | (${Variables:E1_17_1_8_kcat} * E1_17_1_8 * C03972 * C00006 * C00001)/(${Variables:E1_17_1_8_km} + (E1_17_1_8 * C03972 * C00006 * C00001))</v>
      </c>
    </row>
    <row r="42" spans="1:10">
      <c r="A42" s="19" t="s">
        <v>5534</v>
      </c>
      <c r="B42" s="1" t="s">
        <v>11444</v>
      </c>
      <c r="C42" s="32">
        <v>41</v>
      </c>
      <c r="D42" t="str">
        <f t="shared" si="0"/>
        <v>E1_17_4_1</v>
      </c>
      <c r="E42" s="10" t="s">
        <v>10162</v>
      </c>
      <c r="F42" s="10" t="s">
        <v>11915</v>
      </c>
      <c r="G42" s="13" t="s">
        <v>10163</v>
      </c>
      <c r="H42" s="13" t="s">
        <v>12345</v>
      </c>
      <c r="I42" t="str">
        <f t="shared" si="2"/>
        <v>(${Variables:E1_17_4_1_kcat} * E1_17_4_1 * C04232 * C00343 * C00001 )/(${Variables:E1_17_4_1_km} + (E1_17_4_1 * C04232 * C00343 * C00001 ))</v>
      </c>
      <c r="J42" t="str">
        <f t="shared" si="3"/>
        <v>r41: C04232 + C00343 + C00001  -&gt; C03723 + C00342 | (${Variables:E1_17_4_1_kcat} * E1_17_4_1 * C04232 * C00343 * C00001 )/(${Variables:E1_17_4_1_km} + (E1_17_4_1 * C04232 * C00343 * C00001 ))</v>
      </c>
    </row>
    <row r="43" spans="1:10">
      <c r="A43" s="19" t="s">
        <v>5534</v>
      </c>
      <c r="B43" s="1" t="s">
        <v>11444</v>
      </c>
      <c r="C43" s="32">
        <v>42</v>
      </c>
      <c r="D43" t="str">
        <f t="shared" si="0"/>
        <v>E1_17_4_1</v>
      </c>
      <c r="E43" s="10" t="s">
        <v>10164</v>
      </c>
      <c r="F43" s="10" t="s">
        <v>11916</v>
      </c>
      <c r="G43" s="13" t="s">
        <v>10165</v>
      </c>
      <c r="H43" s="13" t="s">
        <v>12346</v>
      </c>
      <c r="I43" t="str">
        <f t="shared" si="2"/>
        <v>(${Variables:E1_17_4_1_kcat} * E1_17_4_1 * C00206 * C00343 * C00001 )/(${Variables:E1_17_4_1_km} + (E1_17_4_1 * C00206 * C00343 * C00001 ))</v>
      </c>
      <c r="J43" t="str">
        <f t="shared" si="3"/>
        <v>r42: C00206 + C00343 + C00001  -&gt;  C00342 + C00008 | (${Variables:E1_17_4_1_kcat} * E1_17_4_1 * C00206 * C00343 * C00001 )/(${Variables:E1_17_4_1_km} + (E1_17_4_1 * C00206 * C00343 * C00001 ))</v>
      </c>
    </row>
    <row r="44" spans="1:10">
      <c r="A44" s="19" t="s">
        <v>5534</v>
      </c>
      <c r="B44" s="1" t="s">
        <v>11444</v>
      </c>
      <c r="C44" s="32">
        <v>43</v>
      </c>
      <c r="D44" t="str">
        <f t="shared" si="0"/>
        <v>E1_17_4_1</v>
      </c>
      <c r="E44" s="10" t="s">
        <v>10166</v>
      </c>
      <c r="F44" s="10" t="s">
        <v>11917</v>
      </c>
      <c r="G44" s="13" t="s">
        <v>10167</v>
      </c>
      <c r="H44" s="13" t="s">
        <v>12347</v>
      </c>
      <c r="I44" t="str">
        <f t="shared" si="2"/>
        <v>(${Variables:E1_17_4_1_kcat} * E1_17_4_1 * C01346 * C00343 * C00001 )/(${Variables:E1_17_4_1_km} + (E1_17_4_1 * C01346 * C00343 * C00001 ))</v>
      </c>
      <c r="J44" t="str">
        <f t="shared" si="3"/>
        <v>r43: C01346 + C00343 + C00001  -&gt;  C00342 + C00015 | (${Variables:E1_17_4_1_kcat} * E1_17_4_1 * C01346 * C00343 * C00001 )/(${Variables:E1_17_4_1_km} + (E1_17_4_1 * C01346 * C00343 * C00001 ))</v>
      </c>
    </row>
    <row r="45" spans="1:10">
      <c r="A45" s="19" t="s">
        <v>5534</v>
      </c>
      <c r="B45" s="1" t="s">
        <v>11444</v>
      </c>
      <c r="C45" s="32">
        <v>44</v>
      </c>
      <c r="D45" t="str">
        <f t="shared" si="0"/>
        <v>E1_17_4_1</v>
      </c>
      <c r="E45" s="10" t="s">
        <v>10168</v>
      </c>
      <c r="F45" s="10" t="s">
        <v>11918</v>
      </c>
      <c r="G45" s="13" t="s">
        <v>10169</v>
      </c>
      <c r="H45" s="13" t="s">
        <v>12348</v>
      </c>
      <c r="I45" t="str">
        <f t="shared" si="2"/>
        <v>(${Variables:E1_17_4_1_kcat} * E1_17_4_1 * C00361 * C00343 * C00001 )/(${Variables:E1_17_4_1_km} + (E1_17_4_1 * C00361 * C00343 * C00001 ))</v>
      </c>
      <c r="J45" t="str">
        <f t="shared" si="3"/>
        <v>r44: C00361 + C00343 + C00001  -&gt;  C00035 + C00342 | (${Variables:E1_17_4_1_kcat} * E1_17_4_1 * C00361 * C00343 * C00001 )/(${Variables:E1_17_4_1_km} + (E1_17_4_1 * C00361 * C00343 * C00001 ))</v>
      </c>
    </row>
    <row r="46" spans="1:10">
      <c r="A46" s="19" t="s">
        <v>5534</v>
      </c>
      <c r="B46" s="1" t="s">
        <v>11444</v>
      </c>
      <c r="C46" s="32">
        <v>45</v>
      </c>
      <c r="D46" t="str">
        <f t="shared" si="0"/>
        <v>E1_17_4_1</v>
      </c>
      <c r="E46" s="10" t="s">
        <v>10170</v>
      </c>
      <c r="F46" s="10" t="s">
        <v>11919</v>
      </c>
      <c r="G46" s="13" t="s">
        <v>10171</v>
      </c>
      <c r="H46" s="13" t="s">
        <v>12349</v>
      </c>
      <c r="I46" t="str">
        <f t="shared" si="2"/>
        <v>(${Variables:E1_17_4_1_kcat} * E1_17_4_1 * C00705 * C00343 * C00001 )/(${Variables:E1_17_4_1_km} + (E1_17_4_1 * C00705 * C00343 * C00001 ))</v>
      </c>
      <c r="J46" t="str">
        <f t="shared" si="3"/>
        <v>r45: C00705 + C00343 + C00001  -&gt; C00342 + C00112 | (${Variables:E1_17_4_1_kcat} * E1_17_4_1 * C00705 * C00343 * C00001 )/(${Variables:E1_17_4_1_km} + (E1_17_4_1 * C00705 * C00343 * C00001 ))</v>
      </c>
    </row>
    <row r="47" spans="1:10">
      <c r="A47" s="19" t="s">
        <v>5534</v>
      </c>
      <c r="B47" s="1" t="s">
        <v>11444</v>
      </c>
      <c r="C47" s="32">
        <v>46</v>
      </c>
      <c r="D47" t="str">
        <f t="shared" si="0"/>
        <v>E1_17_4_1</v>
      </c>
      <c r="E47" s="10" t="s">
        <v>10172</v>
      </c>
      <c r="F47" s="10" t="s">
        <v>11920</v>
      </c>
      <c r="G47" s="13" t="s">
        <v>10173</v>
      </c>
      <c r="H47" s="13" t="s">
        <v>12350</v>
      </c>
      <c r="I47" t="str">
        <f t="shared" si="2"/>
        <v>(${Variables:E1_17_4_1_kcat} * E1_17_4_1 * C04232 * C16664 * C00001)/(${Variables:E1_17_4_1_km} + (E1_17_4_1 * C04232 * C16664 * C00001))</v>
      </c>
      <c r="J47" t="str">
        <f t="shared" si="3"/>
        <v>r46: C04232 + C16664 + C00001 -&gt;  C03723 + C16663 | (${Variables:E1_17_4_1_kcat} * E1_17_4_1 * C04232 * C16664 * C00001)/(${Variables:E1_17_4_1_km} + (E1_17_4_1 * C04232 * C16664 * C00001))</v>
      </c>
    </row>
    <row r="48" spans="1:10">
      <c r="A48" s="19" t="s">
        <v>5534</v>
      </c>
      <c r="B48" s="1" t="s">
        <v>11444</v>
      </c>
      <c r="C48" s="32">
        <v>47</v>
      </c>
      <c r="D48" t="str">
        <f t="shared" si="0"/>
        <v>E1_17_4_1</v>
      </c>
      <c r="E48" s="10" t="s">
        <v>10174</v>
      </c>
      <c r="F48" s="10" t="s">
        <v>11921</v>
      </c>
      <c r="G48" s="13" t="s">
        <v>10175</v>
      </c>
      <c r="H48" s="13" t="s">
        <v>12351</v>
      </c>
      <c r="I48" t="str">
        <f t="shared" si="2"/>
        <v>(${Variables:E1_17_4_1_kcat} * E1_17_4_1 * C04232 * C03170 * C00001)/(${Variables:E1_17_4_1_km} + (E1_17_4_1 * C04232 * C03170 * C00001))</v>
      </c>
      <c r="J48" t="str">
        <f t="shared" si="3"/>
        <v>r47: C04232 + C03170 + C00001 -&gt; C03723 + C02090 | (${Variables:E1_17_4_1_kcat} * E1_17_4_1 * C04232 * C03170 * C00001)/(${Variables:E1_17_4_1_km} + (E1_17_4_1 * C04232 * C03170 * C00001))</v>
      </c>
    </row>
    <row r="49" spans="1:10">
      <c r="A49" s="19" t="s">
        <v>5534</v>
      </c>
      <c r="B49" s="1" t="s">
        <v>11444</v>
      </c>
      <c r="C49" s="32">
        <v>48</v>
      </c>
      <c r="D49" t="str">
        <f t="shared" si="0"/>
        <v>E1_17_4_1</v>
      </c>
      <c r="E49" s="10" t="s">
        <v>10176</v>
      </c>
      <c r="F49" s="10" t="s">
        <v>11922</v>
      </c>
      <c r="G49" s="13" t="s">
        <v>10177</v>
      </c>
      <c r="H49" s="13" t="s">
        <v>12352</v>
      </c>
      <c r="I49" t="str">
        <f t="shared" si="2"/>
        <v>(${Variables:E1_17_4_1_kcat} * E1_17_4_1 * C21750 * C00343 * C00001)/(${Variables:E1_17_4_1_km} + (E1_17_4_1 * C21750 * C00343 * C00001))</v>
      </c>
      <c r="J49" t="str">
        <f t="shared" si="3"/>
        <v>r48: C21750 + C00343 + C00001 -&gt;  C21748 + C00342 | (${Variables:E1_17_4_1_kcat} * E1_17_4_1 * C21750 * C00343 * C00001)/(${Variables:E1_17_4_1_km} + (E1_17_4_1 * C21750 * C00343 * C00001))</v>
      </c>
    </row>
    <row r="50" spans="1:10">
      <c r="A50" s="19" t="s">
        <v>4136</v>
      </c>
      <c r="B50" s="25" t="s">
        <v>11445</v>
      </c>
      <c r="C50" s="32">
        <v>49</v>
      </c>
      <c r="D50" t="str">
        <f t="shared" si="0"/>
        <v>E1_17_4_2</v>
      </c>
      <c r="E50" s="10" t="s">
        <v>9981</v>
      </c>
      <c r="F50" s="10" t="s">
        <v>11923</v>
      </c>
      <c r="G50" s="13" t="s">
        <v>9982</v>
      </c>
      <c r="H50" s="13" t="s">
        <v>12353</v>
      </c>
      <c r="I50" t="str">
        <f t="shared" si="2"/>
        <v>(${Variables:E1_17_4_2_kcat} * E1_17_4_2 * C00677 * C00343 * C00001)/(${Variables:E1_17_4_2_km} + (E1_17_4_2 * C00677 * C00343 * C00001))</v>
      </c>
      <c r="J50" t="str">
        <f t="shared" si="3"/>
        <v>r49: C00677 + C00343 + C00001 -&gt;  C03802 + C00342 | (${Variables:E1_17_4_2_kcat} * E1_17_4_2 * C00677 * C00343 * C00001)/(${Variables:E1_17_4_2_km} + (E1_17_4_2 * C00677 * C00343 * C00001))</v>
      </c>
    </row>
    <row r="51" spans="1:10">
      <c r="A51" s="19" t="s">
        <v>4136</v>
      </c>
      <c r="B51" s="25" t="s">
        <v>11445</v>
      </c>
      <c r="C51" s="32">
        <v>50</v>
      </c>
      <c r="D51" t="str">
        <f t="shared" si="0"/>
        <v>E1_17_4_2</v>
      </c>
      <c r="E51" s="10" t="s">
        <v>9983</v>
      </c>
      <c r="F51" s="10" t="s">
        <v>11924</v>
      </c>
      <c r="G51" s="13" t="s">
        <v>9984</v>
      </c>
      <c r="H51" s="13" t="s">
        <v>12354</v>
      </c>
      <c r="I51" t="str">
        <f t="shared" si="2"/>
        <v>(${Variables:E1_17_4_2_kcat} * E1_17_4_2 * C00131 * C00343 * C00001 )/(${Variables:E1_17_4_2_km} + (E1_17_4_2 * C00131 * C00343 * C00001 ))</v>
      </c>
      <c r="J51" t="str">
        <f t="shared" si="3"/>
        <v>r50: C00131 + C00343 + C00001  -&gt;  C00002 + C00342 | (${Variables:E1_17_4_2_kcat} * E1_17_4_2 * C00131 * C00343 * C00001 )/(${Variables:E1_17_4_2_km} + (E1_17_4_2 * C00131 * C00343 * C00001 ))</v>
      </c>
    </row>
    <row r="52" spans="1:10">
      <c r="A52" s="19" t="s">
        <v>4136</v>
      </c>
      <c r="B52" s="25" t="s">
        <v>11445</v>
      </c>
      <c r="C52" s="32">
        <v>51</v>
      </c>
      <c r="D52" t="str">
        <f t="shared" si="0"/>
        <v>E1_17_4_2</v>
      </c>
      <c r="E52" s="10" t="s">
        <v>9985</v>
      </c>
      <c r="F52" s="10" t="s">
        <v>11925</v>
      </c>
      <c r="G52" s="13" t="s">
        <v>9986</v>
      </c>
      <c r="H52" s="13" t="s">
        <v>12355</v>
      </c>
      <c r="I52" t="str">
        <f t="shared" si="2"/>
        <v>(${Variables:E1_17_4_2_kcat} * E1_17_4_2 * C00286 * C00343 * C00001)/(${Variables:E1_17_4_2_km} + (E1_17_4_2 * C00286 * C00343 * C00001))</v>
      </c>
      <c r="J52" t="str">
        <f t="shared" si="3"/>
        <v>r51: C00286 + C00343 + C00001 -&gt; C00044 + C00342 | (${Variables:E1_17_4_2_kcat} * E1_17_4_2 * C00286 * C00343 * C00001)/(${Variables:E1_17_4_2_km} + (E1_17_4_2 * C00286 * C00343 * C00001))</v>
      </c>
    </row>
    <row r="53" spans="1:10">
      <c r="A53" s="19" t="s">
        <v>4136</v>
      </c>
      <c r="B53" s="25" t="s">
        <v>11445</v>
      </c>
      <c r="C53" s="32">
        <v>52</v>
      </c>
      <c r="D53" t="str">
        <f t="shared" si="0"/>
        <v>E1_17_4_2</v>
      </c>
      <c r="E53" s="10" t="s">
        <v>9987</v>
      </c>
      <c r="F53" s="10" t="s">
        <v>11926</v>
      </c>
      <c r="G53" s="13" t="s">
        <v>9988</v>
      </c>
      <c r="H53" s="13" t="s">
        <v>12356</v>
      </c>
      <c r="I53" t="str">
        <f t="shared" si="2"/>
        <v>(${Variables:E1_17_4_2_kcat} * E1_17_4_2 * C00458 * C00343 * C00001)/(${Variables:E1_17_4_2_km} + (E1_17_4_2 * C00458 * C00343 * C00001))</v>
      </c>
      <c r="J53" t="str">
        <f t="shared" si="3"/>
        <v>r52: C00458 + C00343 + C00001 -&gt;  C00063 + C00342 | (${Variables:E1_17_4_2_kcat} * E1_17_4_2 * C00458 * C00343 * C00001)/(${Variables:E1_17_4_2_km} + (E1_17_4_2 * C00458 * C00343 * C00001))</v>
      </c>
    </row>
    <row r="54" spans="1:10">
      <c r="A54" s="19" t="s">
        <v>4136</v>
      </c>
      <c r="B54" s="25" t="s">
        <v>11445</v>
      </c>
      <c r="C54" s="32">
        <v>53</v>
      </c>
      <c r="D54" t="str">
        <f t="shared" si="0"/>
        <v>E1_17_4_2</v>
      </c>
      <c r="E54" s="10" t="s">
        <v>9989</v>
      </c>
      <c r="F54" s="10" t="s">
        <v>11927</v>
      </c>
      <c r="G54" s="13" t="s">
        <v>9990</v>
      </c>
      <c r="H54" s="13" t="s">
        <v>12357</v>
      </c>
      <c r="I54" t="str">
        <f t="shared" si="2"/>
        <v>(${Variables:E1_17_4_2_kcat} * E1_17_4_2 * C00460 * C00343 * C00001)/(${Variables:E1_17_4_2_km} + (E1_17_4_2 * C00460 * C00343 * C00001))</v>
      </c>
      <c r="J54" t="str">
        <f t="shared" si="3"/>
        <v>r53: C00460 + C00343 + C00001 -&gt;  C00075 + C00342 | (${Variables:E1_17_4_2_kcat} * E1_17_4_2 * C00460 * C00343 * C00001)/(${Variables:E1_17_4_2_km} + (E1_17_4_2 * C00460 * C00343 * C00001))</v>
      </c>
    </row>
    <row r="55" spans="1:10">
      <c r="A55" s="19" t="s">
        <v>4829</v>
      </c>
      <c r="B55" s="1" t="s">
        <v>11446</v>
      </c>
      <c r="C55" s="32">
        <v>54</v>
      </c>
      <c r="D55" t="str">
        <f t="shared" si="0"/>
        <v>E1_17_7_4</v>
      </c>
      <c r="E55" s="10" t="s">
        <v>12804</v>
      </c>
      <c r="F55" s="10" t="s">
        <v>12836</v>
      </c>
      <c r="G55" s="13" t="s">
        <v>12870</v>
      </c>
      <c r="H55" s="13" t="s">
        <v>12907</v>
      </c>
      <c r="I55" t="str">
        <f t="shared" si="2"/>
        <v>(${Variables:E1_17_7_4_kcat} * E1_17_7_4 * C11811 * C00138 *  C00080 )/(${Variables:E1_17_7_4_km} + (E1_17_7_4 * C11811 * C00138 *  C00080 ))</v>
      </c>
      <c r="J55" t="str">
        <f t="shared" si="3"/>
        <v>r54: C11811 +  C00138 + C00080  -&gt; C00129 + C00139 + C00001 | (${Variables:E1_17_7_4_kcat} * E1_17_7_4 * C11811 * C00138 *  C00080 )/(${Variables:E1_17_7_4_km} + (E1_17_7_4 * C11811 * C00138 *  C00080 ))</v>
      </c>
    </row>
    <row r="56" spans="1:10">
      <c r="A56" s="19" t="s">
        <v>4829</v>
      </c>
      <c r="B56" s="1" t="s">
        <v>11446</v>
      </c>
      <c r="C56" s="32">
        <v>55</v>
      </c>
      <c r="D56" t="str">
        <f t="shared" si="0"/>
        <v>E1_17_7_4</v>
      </c>
      <c r="E56" s="10" t="s">
        <v>12805</v>
      </c>
      <c r="F56" s="10" t="s">
        <v>12837</v>
      </c>
      <c r="G56" s="13" t="s">
        <v>12871</v>
      </c>
      <c r="H56" s="13" t="s">
        <v>12908</v>
      </c>
      <c r="I56" t="str">
        <f t="shared" si="2"/>
        <v>(${Variables:E1_17_7_4_kcat} * E1_17_7_4 * C00235 *  C00139 * C00001 )/(${Variables:E1_17_7_4_km} + (E1_17_7_4 * C00235 *  C00139 * C00001 ))</v>
      </c>
      <c r="J56" t="str">
        <f t="shared" si="3"/>
        <v>r55: C00235 +  C00139 + C00001  -&gt; C11811 + C00138 + C00080 | (${Variables:E1_17_7_4_kcat} * E1_17_7_4 * C00235 *  C00139 * C00001 )/(${Variables:E1_17_7_4_km} + (E1_17_7_4 * C00235 *  C00139 * C00001 ))</v>
      </c>
    </row>
    <row r="57" spans="1:10">
      <c r="A57" s="19" t="s">
        <v>3440</v>
      </c>
      <c r="B57" s="1" t="s">
        <v>11447</v>
      </c>
      <c r="C57" s="32">
        <v>56</v>
      </c>
      <c r="D57" t="str">
        <f t="shared" si="0"/>
        <v>E1_17_99_6</v>
      </c>
      <c r="E57" s="10" t="s">
        <v>9880</v>
      </c>
      <c r="F57" s="10" t="s">
        <v>11928</v>
      </c>
      <c r="G57" s="13" t="s">
        <v>9881</v>
      </c>
      <c r="H57" s="13" t="s">
        <v>12358</v>
      </c>
      <c r="I57" t="str">
        <f t="shared" si="2"/>
        <v>(${Variables:E1_17_99_6_kcat} * E1_17_99_6 * C01978 * C00028 * C00001 )/(${Variables:E1_17_99_6_km} + (E1_17_99_6 * C01978 * C00028 * C00001 ))</v>
      </c>
      <c r="J57" t="str">
        <f t="shared" si="3"/>
        <v>r56: C01978 + C00028 + C00001  -&gt;  C19647 + C00030 | (${Variables:E1_17_99_6_kcat} * E1_17_99_6 * C01978 * C00028 * C00001 )/(${Variables:E1_17_99_6_km} + (E1_17_99_6 * C01978 * C00028 * C00001 ))</v>
      </c>
    </row>
    <row r="58" spans="1:10">
      <c r="A58" s="19" t="s">
        <v>3743</v>
      </c>
      <c r="B58" s="1" t="s">
        <v>11448</v>
      </c>
      <c r="C58" s="32">
        <v>57</v>
      </c>
      <c r="D58" t="str">
        <f t="shared" si="0"/>
        <v>E1_2_1_11</v>
      </c>
      <c r="E58" s="10" t="s">
        <v>9915</v>
      </c>
      <c r="F58" s="10" t="s">
        <v>11929</v>
      </c>
      <c r="G58" s="13" t="s">
        <v>9916</v>
      </c>
      <c r="H58" s="13" t="s">
        <v>12359</v>
      </c>
      <c r="I58" t="str">
        <f t="shared" si="2"/>
        <v>(${Variables:E1_2_1_11_kcat} * E1_2_1_11 * C00441 * C00009 * C00006)/(${Variables:E1_2_1_11_km} + (E1_2_1_11 * C00441 * C00009 * C00006))</v>
      </c>
      <c r="J58" t="str">
        <f t="shared" si="3"/>
        <v>r57: C00441 + C00009 + C00006 -&gt;  C03082 + C00005 + C00080 | (${Variables:E1_2_1_11_kcat} * E1_2_1_11 * C00441 * C00009 * C00006)/(${Variables:E1_2_1_11_km} + (E1_2_1_11 * C00441 * C00009 * C00006))</v>
      </c>
    </row>
    <row r="59" spans="1:10">
      <c r="A59" s="19" t="s">
        <v>5656</v>
      </c>
      <c r="B59" s="1" t="s">
        <v>11449</v>
      </c>
      <c r="C59" s="32">
        <v>58</v>
      </c>
      <c r="D59" t="str">
        <f t="shared" si="0"/>
        <v>E1_2_1_38</v>
      </c>
      <c r="E59" s="10" t="s">
        <v>12781</v>
      </c>
      <c r="F59" s="10" t="s">
        <v>12783</v>
      </c>
      <c r="G59" s="13" t="s">
        <v>12782</v>
      </c>
      <c r="H59" s="13" t="s">
        <v>12784</v>
      </c>
      <c r="I59" t="str">
        <f t="shared" si="2"/>
        <v>(${Variables:E1_2_1_38_kcat} * E1_2_1_38 * C01250 * C00009 * C00006 )/(${Variables:E1_2_1_38_km} + (E1_2_1_38 * C01250 * C00009 * C00006 ))</v>
      </c>
      <c r="J59" t="str">
        <f t="shared" si="3"/>
        <v>r58: C01250 + C00009 + C00006  -&gt; C04133 + C00005 + C00080 | (${Variables:E1_2_1_38_kcat} * E1_2_1_38 * C01250 * C00009 * C00006 )/(${Variables:E1_2_1_38_km} + (E1_2_1_38 * C01250 * C00009 * C00006 ))</v>
      </c>
    </row>
    <row r="60" spans="1:10">
      <c r="A60" s="19" t="s">
        <v>1631</v>
      </c>
      <c r="B60" s="1" t="s">
        <v>11450</v>
      </c>
      <c r="C60" s="32">
        <v>59</v>
      </c>
      <c r="D60" t="str">
        <f t="shared" si="0"/>
        <v>E1_2_1_41</v>
      </c>
      <c r="E60" s="10" t="s">
        <v>9592</v>
      </c>
      <c r="F60" s="10" t="s">
        <v>11930</v>
      </c>
      <c r="G60" s="13" t="s">
        <v>9594</v>
      </c>
      <c r="H60" s="13" t="s">
        <v>12360</v>
      </c>
      <c r="I60" t="str">
        <f t="shared" si="2"/>
        <v>(${Variables:E1_2_1_41_kcat} * E1_2_1_41 * C01165 * C00009 * C00006)/(${Variables:E1_2_1_41_km} + (E1_2_1_41 * C01165 * C00009 * C00006))</v>
      </c>
      <c r="J60" t="str">
        <f t="shared" si="3"/>
        <v>r59: C01165 + C00009 + C00006 -&gt;  C03287 + C00005 + C00080 | (${Variables:E1_2_1_41_kcat} * E1_2_1_41 * C01165 * C00009 * C00006)/(${Variables:E1_2_1_41_km} + (E1_2_1_41 * C01165 * C00009 * C00006))</v>
      </c>
    </row>
    <row r="61" spans="1:10">
      <c r="A61" s="19" t="s">
        <v>1617</v>
      </c>
      <c r="B61" s="1" t="s">
        <v>11451</v>
      </c>
      <c r="C61" s="32">
        <v>60</v>
      </c>
      <c r="D61" t="str">
        <f t="shared" si="0"/>
        <v>E1_2_1_88</v>
      </c>
      <c r="E61" s="10" t="s">
        <v>9582</v>
      </c>
      <c r="F61" s="10" t="s">
        <v>11931</v>
      </c>
      <c r="G61" s="13" t="s">
        <v>9583</v>
      </c>
      <c r="H61" s="13" t="s">
        <v>12361</v>
      </c>
      <c r="I61" t="str">
        <f t="shared" si="2"/>
        <v>(${Variables:E1_2_1_88_kcat} * E1_2_1_88 * C01165 * C00003 * C00001)/(${Variables:E1_2_1_88_km} + (E1_2_1_88 * C01165 * C00003 * C00001))</v>
      </c>
      <c r="J61" t="str">
        <f t="shared" si="3"/>
        <v>r60: C01165 + C00003 + C00001 -&gt; C00025 + C00004 + C00080 | (${Variables:E1_2_1_88_kcat} * E1_2_1_88 * C01165 * C00003 * C00001)/(${Variables:E1_2_1_88_km} + (E1_2_1_88 * C01165 * C00003 * C00001))</v>
      </c>
    </row>
    <row r="62" spans="1:10">
      <c r="A62" s="19" t="s">
        <v>1617</v>
      </c>
      <c r="B62" s="1" t="s">
        <v>11451</v>
      </c>
      <c r="C62" s="32">
        <v>61</v>
      </c>
      <c r="D62" t="str">
        <f t="shared" si="0"/>
        <v>E1_2_1_88</v>
      </c>
      <c r="E62" s="10" t="s">
        <v>12806</v>
      </c>
      <c r="F62" s="10" t="s">
        <v>12838</v>
      </c>
      <c r="G62" s="13" t="s">
        <v>9584</v>
      </c>
      <c r="H62" s="13" t="s">
        <v>12362</v>
      </c>
      <c r="I62" t="str">
        <f t="shared" si="2"/>
        <v>(${Variables:E1_2_1_88_kcat} * E1_2_1_88 * C03912 * C00003 * C00001)/(${Variables:E1_2_1_88_km} + (E1_2_1_88 * C03912 * C00003 * C00001))</v>
      </c>
      <c r="J62" t="str">
        <f t="shared" si="3"/>
        <v>r61: C03912 + C00003 + C00001 -&gt;  C00025 + C00004 + C00080 | (${Variables:E1_2_1_88_kcat} * E1_2_1_88 * C03912 * C00003 * C00001)/(${Variables:E1_2_1_88_km} + (E1_2_1_88 * C03912 * C00003 * C00001))</v>
      </c>
    </row>
    <row r="63" spans="1:10">
      <c r="A63" s="19" t="s">
        <v>1617</v>
      </c>
      <c r="B63" s="1" t="s">
        <v>11451</v>
      </c>
      <c r="C63" s="32">
        <v>62</v>
      </c>
      <c r="D63" t="str">
        <f t="shared" si="0"/>
        <v>E1_2_1_88</v>
      </c>
      <c r="E63" s="10" t="s">
        <v>12807</v>
      </c>
      <c r="F63" s="10" t="s">
        <v>12839</v>
      </c>
      <c r="G63" s="13" t="s">
        <v>9588</v>
      </c>
      <c r="H63" s="13" t="s">
        <v>12364</v>
      </c>
      <c r="I63" t="str">
        <f t="shared" si="2"/>
        <v>(${Variables:E1_2_1_88_kcat} * E1_2_1_88 * C03912 * C00006 * C00001 )/(${Variables:E1_2_1_88_km} + (E1_2_1_88 * C03912 * C00006 * C00001 ))</v>
      </c>
      <c r="J63" t="str">
        <f t="shared" si="3"/>
        <v>r62: C03912 + C00006 + C00001  -&gt;  C00025 + C00005 + C00080 | (${Variables:E1_2_1_88_kcat} * E1_2_1_88 * C03912 * C00006 * C00001 )/(${Variables:E1_2_1_88_km} + (E1_2_1_88 * C03912 * C00006 * C00001 ))</v>
      </c>
    </row>
    <row r="64" spans="1:10">
      <c r="A64" s="19" t="s">
        <v>1617</v>
      </c>
      <c r="B64" s="1" t="s">
        <v>11451</v>
      </c>
      <c r="C64" s="32">
        <v>63</v>
      </c>
      <c r="D64" t="str">
        <f t="shared" ref="D64:D123" si="4">CONCATENATE("E",B64)</f>
        <v>E1_2_1_88</v>
      </c>
      <c r="E64" s="10" t="s">
        <v>12808</v>
      </c>
      <c r="F64" s="10" t="s">
        <v>12840</v>
      </c>
      <c r="G64" s="13" t="s">
        <v>9585</v>
      </c>
      <c r="H64" s="13" t="s">
        <v>11932</v>
      </c>
      <c r="I64" t="str">
        <f t="shared" si="2"/>
        <v>(${Variables:E1_2_1_88_kcat} * E1_2_1_88 * C04281 * C00003 * C00001)/(${Variables:E1_2_1_88_km} + (E1_2_1_88 * C04281 * C00003 * C00001))</v>
      </c>
      <c r="J64" t="str">
        <f t="shared" si="3"/>
        <v>r63: C04281 + C00003 +  C00001 -&gt; C05947 + C00004 + C00080 | (${Variables:E1_2_1_88_kcat} * E1_2_1_88 * C04281 * C00003 * C00001)/(${Variables:E1_2_1_88_km} + (E1_2_1_88 * C04281 * C00003 * C00001))</v>
      </c>
    </row>
    <row r="65" spans="1:10">
      <c r="A65" s="19" t="s">
        <v>1617</v>
      </c>
      <c r="B65" s="1" t="s">
        <v>11451</v>
      </c>
      <c r="C65" s="32">
        <v>64</v>
      </c>
      <c r="D65" t="str">
        <f t="shared" si="4"/>
        <v>E1_2_1_88</v>
      </c>
      <c r="E65" s="10" t="s">
        <v>12809</v>
      </c>
      <c r="F65" s="10" t="s">
        <v>12841</v>
      </c>
      <c r="G65" s="13" t="s">
        <v>12789</v>
      </c>
      <c r="H65" s="13" t="s">
        <v>12909</v>
      </c>
      <c r="I65" t="str">
        <f t="shared" si="2"/>
        <v>(${Variables:E1_2_1_88_kcat} * E1_2_1_88 * C04281 * C00006 * C00001)/(${Variables:E1_2_1_88_km} + (E1_2_1_88 * C04281 * C00006 * C00001))</v>
      </c>
      <c r="J65" t="str">
        <f t="shared" ref="J65:J96" si="5">CONCATENATE("r",C65,": ",E65," -&gt; ",G65," | ",I65)</f>
        <v>r64: C04281 + C00006 +  C00001 -&gt; C05947 + C00005 + C00080 | (${Variables:E1_2_1_88_kcat} * E1_2_1_88 * C04281 * C00006 * C00001)/(${Variables:E1_2_1_88_km} + (E1_2_1_88 * C04281 * C00006 * C00001))</v>
      </c>
    </row>
    <row r="66" spans="1:10">
      <c r="A66" s="19" t="s">
        <v>1617</v>
      </c>
      <c r="B66" s="1" t="s">
        <v>11451</v>
      </c>
      <c r="C66" s="32">
        <v>65</v>
      </c>
      <c r="D66" t="str">
        <f t="shared" si="4"/>
        <v>E1_2_1_88</v>
      </c>
      <c r="E66" s="10" t="s">
        <v>9585</v>
      </c>
      <c r="F66" s="10" t="s">
        <v>11932</v>
      </c>
      <c r="G66" s="13" t="s">
        <v>9586</v>
      </c>
      <c r="H66" s="13" t="s">
        <v>12363</v>
      </c>
      <c r="I66" t="str">
        <f t="shared" si="2"/>
        <v>(${Variables:E1_2_1_88_kcat} * E1_2_1_88 * C05947 * C00004 * C00080)/(${Variables:E1_2_1_88_km} + (E1_2_1_88 * C05947 * C00004 * C00080))</v>
      </c>
      <c r="J66" t="str">
        <f t="shared" si="5"/>
        <v>r65: C05947 + C00004 + C00080 -&gt; C05938 + C00003 + C00001 | (${Variables:E1_2_1_88_kcat} * E1_2_1_88 * C05947 * C00004 * C00080)/(${Variables:E1_2_1_88_km} + (E1_2_1_88 * C05947 * C00004 * C00080))</v>
      </c>
    </row>
    <row r="67" spans="1:10">
      <c r="A67" s="19" t="s">
        <v>1617</v>
      </c>
      <c r="B67" s="1" t="s">
        <v>11451</v>
      </c>
      <c r="C67" s="32">
        <v>66</v>
      </c>
      <c r="D67" t="str">
        <f t="shared" si="4"/>
        <v>E1_2_1_88</v>
      </c>
      <c r="E67" s="10" t="s">
        <v>9587</v>
      </c>
      <c r="F67" s="10" t="s">
        <v>11933</v>
      </c>
      <c r="G67" s="13" t="s">
        <v>9588</v>
      </c>
      <c r="H67" s="13" t="s">
        <v>12364</v>
      </c>
      <c r="I67" t="str">
        <f t="shared" ref="I67:I130" si="6">CONCATENATE("(${Variables:",D67,"_kcat","} * ",D67," * ",F67,")","/(${Variables:",D67,"_km","} + (",D67," * ",F67,"))")</f>
        <v>(${Variables:E1_2_1_88_kcat} * E1_2_1_88 * C01165 * C00006 * C00001)/(${Variables:E1_2_1_88_km} + (E1_2_1_88 * C01165 * C00006 * C00001))</v>
      </c>
      <c r="J67" t="str">
        <f t="shared" si="5"/>
        <v>r66: C01165 + C00006 + C00001 -&gt;  C00025 + C00005 + C00080 | (${Variables:E1_2_1_88_kcat} * E1_2_1_88 * C01165 * C00006 * C00001)/(${Variables:E1_2_1_88_km} + (E1_2_1_88 * C01165 * C00006 * C00001))</v>
      </c>
    </row>
    <row r="68" spans="1:10">
      <c r="A68" s="19" t="s">
        <v>8416</v>
      </c>
      <c r="B68" s="1" t="s">
        <v>11452</v>
      </c>
      <c r="C68" s="32">
        <v>67</v>
      </c>
      <c r="D68" t="str">
        <f t="shared" si="4"/>
        <v>E1_3_1_1</v>
      </c>
      <c r="E68" s="10" t="s">
        <v>10521</v>
      </c>
      <c r="F68" s="10" t="s">
        <v>11934</v>
      </c>
      <c r="G68" s="13" t="s">
        <v>10522</v>
      </c>
      <c r="H68" s="13" t="s">
        <v>12365</v>
      </c>
      <c r="I68" t="str">
        <f t="shared" si="6"/>
        <v>(${Variables:E1_3_1_1_kcat} * E1_3_1_1 * C00906 * C00003 )/(${Variables:E1_3_1_1_km} + (E1_3_1_1 * C00906 * C00003 ))</v>
      </c>
      <c r="J68" t="str">
        <f t="shared" si="5"/>
        <v>r67: C00906 + C00003  -&gt;  C00178 + C00004 + C00080 | (${Variables:E1_3_1_1_kcat} * E1_3_1_1 * C00906 * C00003 )/(${Variables:E1_3_1_1_km} + (E1_3_1_1 * C00906 * C00003 ))</v>
      </c>
    </row>
    <row r="69" spans="1:10">
      <c r="A69" s="19" t="s">
        <v>8416</v>
      </c>
      <c r="B69" s="1" t="s">
        <v>11452</v>
      </c>
      <c r="C69" s="32">
        <v>68</v>
      </c>
      <c r="D69" t="str">
        <f t="shared" si="4"/>
        <v>E1_3_1_1</v>
      </c>
      <c r="E69" s="10" t="s">
        <v>10523</v>
      </c>
      <c r="F69" s="10" t="s">
        <v>11935</v>
      </c>
      <c r="G69" s="13" t="s">
        <v>10524</v>
      </c>
      <c r="H69" s="13" t="s">
        <v>12366</v>
      </c>
      <c r="I69" t="str">
        <f t="shared" si="6"/>
        <v>(${Variables:E1_3_1_1_kcat} * E1_3_1_1 * C21028 * C00003 )/(${Variables:E1_3_1_1_km} + (E1_3_1_1 * C21028 * C00003 ))</v>
      </c>
      <c r="J69" t="str">
        <f t="shared" si="5"/>
        <v>r68: C21028 + C00003  -&gt; C00178 + C00004 + C00080 | (${Variables:E1_3_1_1_kcat} * E1_3_1_1 * C21028 * C00003 )/(${Variables:E1_3_1_1_km} + (E1_3_1_1 * C21028 * C00003 ))</v>
      </c>
    </row>
    <row r="70" spans="1:10">
      <c r="A70" s="19" t="s">
        <v>8416</v>
      </c>
      <c r="B70" s="1" t="s">
        <v>11452</v>
      </c>
      <c r="C70" s="32">
        <v>69</v>
      </c>
      <c r="D70" t="str">
        <f t="shared" si="4"/>
        <v>E1_3_1_1</v>
      </c>
      <c r="E70" s="10" t="s">
        <v>10525</v>
      </c>
      <c r="F70" s="10" t="s">
        <v>11936</v>
      </c>
      <c r="G70" s="13" t="s">
        <v>10526</v>
      </c>
      <c r="H70" s="13" t="s">
        <v>12367</v>
      </c>
      <c r="I70" t="str">
        <f t="shared" si="6"/>
        <v>(${Variables:E1_3_1_1_kcat} * E1_3_1_1 * C00429 * C00003)/(${Variables:E1_3_1_1_km} + (E1_3_1_1 * C00429 * C00003))</v>
      </c>
      <c r="J70" t="str">
        <f t="shared" si="5"/>
        <v>r69: C00429 + C00003 -&gt; C00106 + C00004 + C00080 | (${Variables:E1_3_1_1_kcat} * E1_3_1_1 * C00429 * C00003)/(${Variables:E1_3_1_1_km} + (E1_3_1_1 * C00429 * C00003))</v>
      </c>
    </row>
    <row r="71" spans="1:10">
      <c r="A71" s="19" t="s">
        <v>8536</v>
      </c>
      <c r="B71" s="1" t="s">
        <v>11453</v>
      </c>
      <c r="C71" s="32">
        <v>70</v>
      </c>
      <c r="D71" t="str">
        <f t="shared" si="4"/>
        <v>E1_3_1_14</v>
      </c>
      <c r="E71" s="10" t="s">
        <v>10552</v>
      </c>
      <c r="F71" s="10" t="s">
        <v>11937</v>
      </c>
      <c r="G71" s="13" t="s">
        <v>10553</v>
      </c>
      <c r="H71" s="13" t="s">
        <v>12368</v>
      </c>
      <c r="I71" t="str">
        <f t="shared" si="6"/>
        <v>(${Variables:E1_3_1_14_kcat} * E1_3_1_14 * C00337 * C00003 )/(${Variables:E1_3_1_14_km} + (E1_3_1_14 * C00337 * C00003 ))</v>
      </c>
      <c r="J71" t="str">
        <f t="shared" si="5"/>
        <v>r70: C00337 + C00003  -&gt; C00295 + C00080 + C00004 | (${Variables:E1_3_1_14_kcat} * E1_3_1_14 * C00337 * C00003 )/(${Variables:E1_3_1_14_km} + (E1_3_1_14 * C00337 * C00003 ))</v>
      </c>
    </row>
    <row r="72" spans="1:10">
      <c r="A72" s="19" t="s">
        <v>8460</v>
      </c>
      <c r="B72" s="1" t="s">
        <v>11454</v>
      </c>
      <c r="C72" s="32">
        <v>71</v>
      </c>
      <c r="D72" t="str">
        <f t="shared" si="4"/>
        <v>E1_3_1_98</v>
      </c>
      <c r="E72" s="10" t="s">
        <v>10530</v>
      </c>
      <c r="F72" s="10" t="s">
        <v>11938</v>
      </c>
      <c r="G72" s="13" t="s">
        <v>10532</v>
      </c>
      <c r="H72" s="13" t="s">
        <v>12369</v>
      </c>
      <c r="I72" t="str">
        <f t="shared" si="6"/>
        <v>(${Variables:E1_3_1_98_kcat} * E1_3_1_98 * C01050 * C00006 )/(${Variables:E1_3_1_98_km} + (E1_3_1_98 * C01050 * C00006 ))</v>
      </c>
      <c r="J72" t="str">
        <f t="shared" si="5"/>
        <v>r71: C01050 + C00006  -&gt;  C04631 + C00005 + C00080 | (${Variables:E1_3_1_98_kcat} * E1_3_1_98 * C01050 * C00006 )/(${Variables:E1_3_1_98_km} + (E1_3_1_98 * C01050 * C00006 ))</v>
      </c>
    </row>
    <row r="73" spans="1:10">
      <c r="A73" s="19" t="s">
        <v>8460</v>
      </c>
      <c r="B73" s="1" t="s">
        <v>11454</v>
      </c>
      <c r="C73" s="32">
        <v>72</v>
      </c>
      <c r="D73" t="str">
        <f t="shared" si="4"/>
        <v>E1_3_1_98</v>
      </c>
      <c r="E73" s="10" t="s">
        <v>10533</v>
      </c>
      <c r="F73" s="10" t="s">
        <v>11939</v>
      </c>
      <c r="G73" s="13" t="s">
        <v>10534</v>
      </c>
      <c r="H73" s="13" t="s">
        <v>12370</v>
      </c>
      <c r="I73" t="str">
        <f t="shared" si="6"/>
        <v>(${Variables:E1_3_1_98_kcat} * E1_3_1_98 * C01050 * C00003 )/(${Variables:E1_3_1_98_km} + (E1_3_1_98 * C01050 * C00003 ))</v>
      </c>
      <c r="J73" t="str">
        <f t="shared" si="5"/>
        <v>r72: C01050 + C00003  -&gt; C04631 + C00004 + C00080 | (${Variables:E1_3_1_98_kcat} * E1_3_1_98 * C01050 * C00003 )/(${Variables:E1_3_1_98_km} + (E1_3_1_98 * C01050 * C00003 ))</v>
      </c>
    </row>
    <row r="74" spans="1:10">
      <c r="A74" s="19" t="s">
        <v>7289</v>
      </c>
      <c r="B74" s="1" t="s">
        <v>11455</v>
      </c>
      <c r="C74" s="32">
        <v>73</v>
      </c>
      <c r="D74" t="str">
        <f t="shared" si="4"/>
        <v>E1_4_1_1</v>
      </c>
      <c r="E74" s="10" t="s">
        <v>10369</v>
      </c>
      <c r="F74" s="10" t="s">
        <v>11940</v>
      </c>
      <c r="G74" s="13" t="s">
        <v>10370</v>
      </c>
      <c r="H74" s="13" t="s">
        <v>12371</v>
      </c>
      <c r="I74" t="str">
        <f t="shared" si="6"/>
        <v>(${Variables:E1_4_1_1_kcat} * E1_4_1_1 * C00041 * C00003 * C00001 )/(${Variables:E1_4_1_1_km} + (E1_4_1_1 * C00041 * C00003 * C00001 ))</v>
      </c>
      <c r="J74" t="str">
        <f t="shared" si="5"/>
        <v>r73: C00041 + C00003 + C00001  -&gt; C00022 + C00014 + C00004 + C00080 | (${Variables:E1_4_1_1_kcat} * E1_4_1_1 * C00041 * C00003 * C00001 )/(${Variables:E1_4_1_1_km} + (E1_4_1_1 * C00041 * C00003 * C00001 ))</v>
      </c>
    </row>
    <row r="75" spans="1:10">
      <c r="A75" s="19" t="s">
        <v>7289</v>
      </c>
      <c r="B75" s="1" t="s">
        <v>11455</v>
      </c>
      <c r="C75" s="32">
        <v>74</v>
      </c>
      <c r="D75" t="str">
        <f t="shared" si="4"/>
        <v>E1_4_1_1</v>
      </c>
      <c r="E75" s="10" t="s">
        <v>10151</v>
      </c>
      <c r="F75" s="10" t="s">
        <v>11941</v>
      </c>
      <c r="G75" s="13" t="s">
        <v>10371</v>
      </c>
      <c r="H75" s="13" t="s">
        <v>12372</v>
      </c>
      <c r="I75" t="str">
        <f t="shared" si="6"/>
        <v>(${Variables:E1_4_1_1_kcat} * E1_4_1_1 * C05167 * C00001 * C00003)/(${Variables:E1_4_1_1_km} + (E1_4_1_1 * C05167 * C00001 * C00003))</v>
      </c>
      <c r="J75" t="str">
        <f t="shared" si="5"/>
        <v>r74: C05167 + C00001 + C00003 -&gt; C00161 + C00014 + C00004 + C00080 | (${Variables:E1_4_1_1_kcat} * E1_4_1_1 * C05167 * C00001 * C00003)/(${Variables:E1_4_1_1_km} + (E1_4_1_1 * C05167 * C00001 * C00003))</v>
      </c>
    </row>
    <row r="76" spans="1:10">
      <c r="A76" s="19" t="s">
        <v>7289</v>
      </c>
      <c r="B76" s="1" t="s">
        <v>11455</v>
      </c>
      <c r="C76" s="32">
        <v>75</v>
      </c>
      <c r="D76" t="str">
        <f t="shared" si="4"/>
        <v>E1_4_1_1</v>
      </c>
      <c r="E76" s="10" t="s">
        <v>10153</v>
      </c>
      <c r="F76" s="10" t="s">
        <v>11942</v>
      </c>
      <c r="G76" s="13" t="s">
        <v>10372</v>
      </c>
      <c r="H76" s="13" t="s">
        <v>12373</v>
      </c>
      <c r="I76" t="str">
        <f t="shared" si="6"/>
        <v>(${Variables:E1_4_1_1_kcat} * E1_4_1_1 * C05167 * C00001 * C00006 )/(${Variables:E1_4_1_1_km} + (E1_4_1_1 * C05167 * C00001 * C00006 ))</v>
      </c>
      <c r="J76" t="str">
        <f t="shared" si="5"/>
        <v>r75: C05167 + C00001 + C00006  -&gt;  C00161 + C00014 + C00005 + C00080 | (${Variables:E1_4_1_1_kcat} * E1_4_1_1 * C05167 * C00001 * C00006 )/(${Variables:E1_4_1_1_km} + (E1_4_1_1 * C05167 * C00001 * C00006 ))</v>
      </c>
    </row>
    <row r="77" spans="1:10">
      <c r="A77" s="19" t="s">
        <v>7289</v>
      </c>
      <c r="B77" s="1" t="s">
        <v>11455</v>
      </c>
      <c r="C77" s="32">
        <v>76</v>
      </c>
      <c r="D77" t="str">
        <f t="shared" si="4"/>
        <v>E1_4_1_1</v>
      </c>
      <c r="E77" s="10" t="s">
        <v>10373</v>
      </c>
      <c r="F77" s="10" t="s">
        <v>11943</v>
      </c>
      <c r="G77" s="13" t="s">
        <v>10374</v>
      </c>
      <c r="H77" s="13" t="s">
        <v>12374</v>
      </c>
      <c r="I77" t="str">
        <f t="shared" si="6"/>
        <v>(${Variables:E1_4_1_1_kcat} * E1_4_1_1 * C00037 * C00001 * C00003 )/(${Variables:E1_4_1_1_km} + (E1_4_1_1 * C00037 * C00001 * C00003 ))</v>
      </c>
      <c r="J77" t="str">
        <f t="shared" si="5"/>
        <v>r76: C00037 + C00001 + C00003  -&gt;  C00048 + C00014 + C00004 + C00080 | (${Variables:E1_4_1_1_kcat} * E1_4_1_1 * C00037 * C00001 * C00003 )/(${Variables:E1_4_1_1_km} + (E1_4_1_1 * C00037 * C00001 * C00003 ))</v>
      </c>
    </row>
    <row r="78" spans="1:10">
      <c r="A78" s="19" t="s">
        <v>4731</v>
      </c>
      <c r="B78" s="1" t="s">
        <v>11456</v>
      </c>
      <c r="C78" s="32">
        <v>77</v>
      </c>
      <c r="D78" t="str">
        <f t="shared" si="4"/>
        <v>E1_4_1_13</v>
      </c>
      <c r="E78" s="10" t="s">
        <v>12810</v>
      </c>
      <c r="F78" s="62" t="s">
        <v>12842</v>
      </c>
      <c r="G78" s="13" t="s">
        <v>10068</v>
      </c>
      <c r="H78" s="13" t="s">
        <v>12375</v>
      </c>
      <c r="I78" t="str">
        <f t="shared" si="6"/>
        <v>(${Variables:E1_4_1_13_kcat} * E1_4_1_13 * C00025 * C00006 )/(${Variables:E1_4_1_13_km} + (E1_4_1_13 * C00025 * C00006 ))</v>
      </c>
      <c r="J78" t="str">
        <f t="shared" si="5"/>
        <v>r77: C00025 + C00006  -&gt;  C00064 + C00026 + C00005 + C00080 | (${Variables:E1_4_1_13_kcat} * E1_4_1_13 * C00025 * C00006 )/(${Variables:E1_4_1_13_km} + (E1_4_1_13 * C00025 * C00006 ))</v>
      </c>
    </row>
    <row r="79" spans="1:10">
      <c r="A79" s="19" t="s">
        <v>4731</v>
      </c>
      <c r="B79" s="1" t="s">
        <v>11456</v>
      </c>
      <c r="C79" s="32">
        <v>78</v>
      </c>
      <c r="D79" t="str">
        <f t="shared" si="4"/>
        <v>E1_4_1_13</v>
      </c>
      <c r="E79" s="10" t="s">
        <v>10069</v>
      </c>
      <c r="F79" s="10" t="s">
        <v>11944</v>
      </c>
      <c r="G79" s="13" t="s">
        <v>10070</v>
      </c>
      <c r="H79" s="13" t="s">
        <v>12376</v>
      </c>
      <c r="I79" t="str">
        <f t="shared" si="6"/>
        <v>(${Variables:E1_4_1_13_kcat} * E1_4_1_13 * C00025 * C00006 * C00001)/(${Variables:E1_4_1_13_km} + (E1_4_1_13 * C00025 * C00006 * C00001))</v>
      </c>
      <c r="J79" t="str">
        <f t="shared" si="5"/>
        <v>r78: C00025 + C00006 + C00001 -&gt;  C00026 + C00014 + C00005 + C00080 | (${Variables:E1_4_1_13_kcat} * E1_4_1_13 * C00025 * C00006 * C00001)/(${Variables:E1_4_1_13_km} + (E1_4_1_13 * C00025 * C00006 * C00001))</v>
      </c>
    </row>
    <row r="80" spans="1:10">
      <c r="A80" s="19" t="s">
        <v>4731</v>
      </c>
      <c r="B80" s="1" t="s">
        <v>11456</v>
      </c>
      <c r="C80" s="32">
        <v>79</v>
      </c>
      <c r="D80" t="str">
        <f t="shared" si="4"/>
        <v>E1_4_1_13</v>
      </c>
      <c r="E80" s="10" t="s">
        <v>10071</v>
      </c>
      <c r="F80" s="10" t="s">
        <v>11945</v>
      </c>
      <c r="G80" s="13" t="s">
        <v>10072</v>
      </c>
      <c r="H80" s="13" t="s">
        <v>12377</v>
      </c>
      <c r="I80" t="str">
        <f t="shared" si="6"/>
        <v>(${Variables:E1_4_1_13_kcat} * E1_4_1_13 * C00064 * C00001 )/(${Variables:E1_4_1_13_km} + (E1_4_1_13 * C00064 * C00001 ))</v>
      </c>
      <c r="J80" t="str">
        <f t="shared" si="5"/>
        <v>r79: C00064 + C00001  -&gt;  C00025 + C00014 | (${Variables:E1_4_1_13_kcat} * E1_4_1_13 * C00064 * C00001 )/(${Variables:E1_4_1_13_km} + (E1_4_1_13 * C00064 * C00001 ))</v>
      </c>
    </row>
    <row r="81" spans="1:10">
      <c r="A81" s="19" t="s">
        <v>6231</v>
      </c>
      <c r="B81" s="1" t="s">
        <v>11456</v>
      </c>
      <c r="C81" s="32">
        <v>80</v>
      </c>
      <c r="D81" t="str">
        <f t="shared" si="4"/>
        <v>E1_4_1_13</v>
      </c>
      <c r="E81" s="22" t="s">
        <v>12811</v>
      </c>
      <c r="F81" s="22" t="s">
        <v>12842</v>
      </c>
      <c r="G81" s="20" t="s">
        <v>10068</v>
      </c>
      <c r="H81" s="20" t="s">
        <v>12375</v>
      </c>
      <c r="I81" t="str">
        <f t="shared" si="6"/>
        <v>(${Variables:E1_4_1_13_kcat} * E1_4_1_13 * C00025 * C00006 )/(${Variables:E1_4_1_13_km} + (E1_4_1_13 * C00025 * C00006 ))</v>
      </c>
      <c r="J81" t="str">
        <f t="shared" si="5"/>
        <v>r80:  C00025 + C00006  -&gt;  C00064 + C00026 + C00005 + C00080 | (${Variables:E1_4_1_13_kcat} * E1_4_1_13 * C00025 * C00006 )/(${Variables:E1_4_1_13_km} + (E1_4_1_13 * C00025 * C00006 ))</v>
      </c>
    </row>
    <row r="82" spans="1:10">
      <c r="A82" s="19" t="s">
        <v>6231</v>
      </c>
      <c r="B82" s="1" t="s">
        <v>11456</v>
      </c>
      <c r="C82" s="32">
        <v>81</v>
      </c>
      <c r="D82" t="str">
        <f t="shared" si="4"/>
        <v>E1_4_1_13</v>
      </c>
      <c r="E82" s="22" t="s">
        <v>10069</v>
      </c>
      <c r="F82" s="22" t="s">
        <v>11944</v>
      </c>
      <c r="G82" s="20" t="s">
        <v>10070</v>
      </c>
      <c r="H82" s="20" t="s">
        <v>12376</v>
      </c>
      <c r="I82" t="str">
        <f t="shared" si="6"/>
        <v>(${Variables:E1_4_1_13_kcat} * E1_4_1_13 * C00025 * C00006 * C00001)/(${Variables:E1_4_1_13_km} + (E1_4_1_13 * C00025 * C00006 * C00001))</v>
      </c>
      <c r="J82" t="str">
        <f t="shared" si="5"/>
        <v>r81: C00025 + C00006 + C00001 -&gt;  C00026 + C00014 + C00005 + C00080 | (${Variables:E1_4_1_13_kcat} * E1_4_1_13 * C00025 * C00006 * C00001)/(${Variables:E1_4_1_13_km} + (E1_4_1_13 * C00025 * C00006 * C00001))</v>
      </c>
    </row>
    <row r="83" spans="1:10">
      <c r="A83" s="19" t="s">
        <v>6231</v>
      </c>
      <c r="B83" s="1" t="s">
        <v>11456</v>
      </c>
      <c r="C83" s="32">
        <v>82</v>
      </c>
      <c r="D83" t="str">
        <f t="shared" si="4"/>
        <v>E1_4_1_13</v>
      </c>
      <c r="E83" s="22" t="s">
        <v>10071</v>
      </c>
      <c r="F83" s="22" t="s">
        <v>11945</v>
      </c>
      <c r="G83" s="20" t="s">
        <v>10072</v>
      </c>
      <c r="H83" s="20" t="s">
        <v>12377</v>
      </c>
      <c r="I83" t="str">
        <f t="shared" si="6"/>
        <v>(${Variables:E1_4_1_13_kcat} * E1_4_1_13 * C00064 * C00001 )/(${Variables:E1_4_1_13_km} + (E1_4_1_13 * C00064 * C00001 ))</v>
      </c>
      <c r="J83" t="str">
        <f t="shared" si="5"/>
        <v>r82: C00064 + C00001  -&gt;  C00025 + C00014 | (${Variables:E1_4_1_13_kcat} * E1_4_1_13 * C00064 * C00001 )/(${Variables:E1_4_1_13_km} + (E1_4_1_13 * C00064 * C00001 ))</v>
      </c>
    </row>
    <row r="84" spans="1:10">
      <c r="A84" s="19" t="s">
        <v>4512</v>
      </c>
      <c r="B84" s="1" t="s">
        <v>11457</v>
      </c>
      <c r="C84" s="32">
        <v>83</v>
      </c>
      <c r="D84" t="str">
        <f t="shared" si="4"/>
        <v>E1_4_1_16</v>
      </c>
      <c r="E84" s="10" t="s">
        <v>10038</v>
      </c>
      <c r="F84" s="10" t="s">
        <v>11946</v>
      </c>
      <c r="G84" s="13" t="s">
        <v>10039</v>
      </c>
      <c r="H84" s="13" t="s">
        <v>12378</v>
      </c>
      <c r="I84" t="str">
        <f t="shared" si="6"/>
        <v>(${Variables:E1_4_1_16_kcat} * E1_4_1_16 * C00680 * C00006 * C00001 )/(${Variables:E1_4_1_16_km} + (E1_4_1_16 * C00680 * C00006 * C00001 ))</v>
      </c>
      <c r="J84" t="str">
        <f t="shared" si="5"/>
        <v>r83: C00680 + C00006 + C00001  -&gt;  C03871 + C00014 + C00005 + C00080 | (${Variables:E1_4_1_16_kcat} * E1_4_1_16 * C00680 * C00006 * C00001 )/(${Variables:E1_4_1_16_km} + (E1_4_1_16 * C00680 * C00006 * C00001 ))</v>
      </c>
    </row>
    <row r="85" spans="1:10">
      <c r="A85" s="19" t="s">
        <v>4930</v>
      </c>
      <c r="B85" s="1" t="s">
        <v>11458</v>
      </c>
      <c r="C85" s="32">
        <v>84</v>
      </c>
      <c r="D85" t="str">
        <f t="shared" si="4"/>
        <v>E1_4_1_4</v>
      </c>
      <c r="E85" s="10" t="s">
        <v>10149</v>
      </c>
      <c r="F85" s="10" t="s">
        <v>11947</v>
      </c>
      <c r="G85" s="13" t="s">
        <v>10150</v>
      </c>
      <c r="H85" s="13" t="s">
        <v>12379</v>
      </c>
      <c r="I85" t="str">
        <f t="shared" si="6"/>
        <v>(${Variables:E1_4_1_4_kcat} * E1_4_1_4 * C00025 * C00006 * C00001 )/(${Variables:E1_4_1_4_km} + (E1_4_1_4 * C00025 * C00006 * C00001 ))</v>
      </c>
      <c r="J85" t="str">
        <f t="shared" si="5"/>
        <v>r84: C00025 + C00006 + C00001  -&gt; C00026 + C00014 + C00005 + C00080 | (${Variables:E1_4_1_4_kcat} * E1_4_1_4 * C00025 * C00006 * C00001 )/(${Variables:E1_4_1_4_km} + (E1_4_1_4 * C00025 * C00006 * C00001 ))</v>
      </c>
    </row>
    <row r="86" spans="1:10">
      <c r="A86" s="19" t="s">
        <v>4930</v>
      </c>
      <c r="B86" s="1" t="s">
        <v>11458</v>
      </c>
      <c r="C86" s="32">
        <v>85</v>
      </c>
      <c r="D86" t="str">
        <f t="shared" si="4"/>
        <v>E1_4_1_4</v>
      </c>
      <c r="E86" s="10" t="s">
        <v>10151</v>
      </c>
      <c r="F86" s="10" t="s">
        <v>11941</v>
      </c>
      <c r="G86" s="13" t="s">
        <v>10152</v>
      </c>
      <c r="H86" s="13" t="s">
        <v>12380</v>
      </c>
      <c r="I86" t="str">
        <f t="shared" si="6"/>
        <v>(${Variables:E1_4_1_4_kcat} * E1_4_1_4 * C05167 * C00001 * C00003)/(${Variables:E1_4_1_4_km} + (E1_4_1_4 * C05167 * C00001 * C00003))</v>
      </c>
      <c r="J86" t="str">
        <f t="shared" si="5"/>
        <v>r85: C05167 + C00001 + C00003 -&gt;  C00161 + C00014 + C00004 + C00080 | (${Variables:E1_4_1_4_kcat} * E1_4_1_4 * C05167 * C00001 * C00003)/(${Variables:E1_4_1_4_km} + (E1_4_1_4 * C05167 * C00001 * C00003))</v>
      </c>
    </row>
    <row r="87" spans="1:10">
      <c r="A87" s="19" t="s">
        <v>4930</v>
      </c>
      <c r="B87" s="1" t="s">
        <v>11458</v>
      </c>
      <c r="C87" s="32">
        <v>86</v>
      </c>
      <c r="D87" t="str">
        <f t="shared" si="4"/>
        <v>E1_4_1_4</v>
      </c>
      <c r="E87" s="10" t="s">
        <v>10153</v>
      </c>
      <c r="F87" s="10" t="s">
        <v>11942</v>
      </c>
      <c r="G87" s="13" t="s">
        <v>10372</v>
      </c>
      <c r="H87" s="13" t="s">
        <v>12373</v>
      </c>
      <c r="I87" t="str">
        <f t="shared" si="6"/>
        <v>(${Variables:E1_4_1_4_kcat} * E1_4_1_4 * C05167 * C00001 * C00006 )/(${Variables:E1_4_1_4_km} + (E1_4_1_4 * C05167 * C00001 * C00006 ))</v>
      </c>
      <c r="J87" t="str">
        <f t="shared" si="5"/>
        <v>r86: C05167 + C00001 + C00006  -&gt;  C00161 + C00014 + C00005 + C00080 | (${Variables:E1_4_1_4_kcat} * E1_4_1_4 * C05167 * C00001 * C00006 )/(${Variables:E1_4_1_4_km} + (E1_4_1_4 * C05167 * C00001 * C00006 ))</v>
      </c>
    </row>
    <row r="88" spans="1:10">
      <c r="A88" s="19" t="s">
        <v>4966</v>
      </c>
      <c r="B88" s="1" t="s">
        <v>11458</v>
      </c>
      <c r="C88" s="32">
        <v>87</v>
      </c>
      <c r="D88" t="str">
        <f t="shared" si="4"/>
        <v>E1_4_1_4</v>
      </c>
      <c r="E88" s="10" t="s">
        <v>10149</v>
      </c>
      <c r="F88" s="10" t="s">
        <v>11947</v>
      </c>
      <c r="G88" s="13" t="s">
        <v>10150</v>
      </c>
      <c r="H88" s="13" t="s">
        <v>12379</v>
      </c>
      <c r="I88" t="str">
        <f t="shared" si="6"/>
        <v>(${Variables:E1_4_1_4_kcat} * E1_4_1_4 * C00025 * C00006 * C00001 )/(${Variables:E1_4_1_4_km} + (E1_4_1_4 * C00025 * C00006 * C00001 ))</v>
      </c>
      <c r="J88" t="str">
        <f t="shared" si="5"/>
        <v>r87: C00025 + C00006 + C00001  -&gt; C00026 + C00014 + C00005 + C00080 | (${Variables:E1_4_1_4_kcat} * E1_4_1_4 * C00025 * C00006 * C00001 )/(${Variables:E1_4_1_4_km} + (E1_4_1_4 * C00025 * C00006 * C00001 ))</v>
      </c>
    </row>
    <row r="89" spans="1:10">
      <c r="A89" s="19" t="s">
        <v>4966</v>
      </c>
      <c r="B89" s="1" t="s">
        <v>11458</v>
      </c>
      <c r="C89" s="32">
        <v>88</v>
      </c>
      <c r="D89" t="str">
        <f t="shared" si="4"/>
        <v>E1_4_1_4</v>
      </c>
      <c r="E89" s="10" t="s">
        <v>10151</v>
      </c>
      <c r="F89" s="10" t="s">
        <v>11941</v>
      </c>
      <c r="G89" s="13" t="s">
        <v>10152</v>
      </c>
      <c r="H89" s="13" t="s">
        <v>12380</v>
      </c>
      <c r="I89" t="str">
        <f t="shared" si="6"/>
        <v>(${Variables:E1_4_1_4_kcat} * E1_4_1_4 * C05167 * C00001 * C00003)/(${Variables:E1_4_1_4_km} + (E1_4_1_4 * C05167 * C00001 * C00003))</v>
      </c>
      <c r="J89" t="str">
        <f t="shared" si="5"/>
        <v>r88: C05167 + C00001 + C00003 -&gt;  C00161 + C00014 + C00004 + C00080 | (${Variables:E1_4_1_4_kcat} * E1_4_1_4 * C05167 * C00001 * C00003)/(${Variables:E1_4_1_4_km} + (E1_4_1_4 * C05167 * C00001 * C00003))</v>
      </c>
    </row>
    <row r="90" spans="1:10">
      <c r="A90" s="19" t="s">
        <v>4966</v>
      </c>
      <c r="B90" s="1" t="s">
        <v>11458</v>
      </c>
      <c r="C90" s="32">
        <v>89</v>
      </c>
      <c r="D90" t="str">
        <f t="shared" si="4"/>
        <v>E1_4_1_4</v>
      </c>
      <c r="E90" s="10" t="s">
        <v>10153</v>
      </c>
      <c r="F90" s="10" t="s">
        <v>11942</v>
      </c>
      <c r="G90" s="13" t="s">
        <v>10372</v>
      </c>
      <c r="H90" s="13" t="s">
        <v>12373</v>
      </c>
      <c r="I90" t="str">
        <f t="shared" si="6"/>
        <v>(${Variables:E1_4_1_4_kcat} * E1_4_1_4 * C05167 * C00001 * C00006 )/(${Variables:E1_4_1_4_km} + (E1_4_1_4 * C05167 * C00001 * C00006 ))</v>
      </c>
      <c r="J90" t="str">
        <f t="shared" si="5"/>
        <v>r89: C05167 + C00001 + C00006  -&gt;  C00161 + C00014 + C00005 + C00080 | (${Variables:E1_4_1_4_kcat} * E1_4_1_4 * C05167 * C00001 * C00006 )/(${Variables:E1_4_1_4_km} + (E1_4_1_4 * C05167 * C00001 * C00006 ))</v>
      </c>
    </row>
    <row r="91" spans="1:10">
      <c r="A91" s="19" t="s">
        <v>3325</v>
      </c>
      <c r="B91" s="1" t="s">
        <v>11459</v>
      </c>
      <c r="C91" s="32">
        <v>90</v>
      </c>
      <c r="D91" t="str">
        <f t="shared" si="4"/>
        <v>E1_4_3_16</v>
      </c>
      <c r="E91" s="10" t="s">
        <v>9831</v>
      </c>
      <c r="F91" s="10" t="s">
        <v>11948</v>
      </c>
      <c r="G91" s="13" t="s">
        <v>9832</v>
      </c>
      <c r="H91" s="13" t="s">
        <v>12381</v>
      </c>
      <c r="I91" t="str">
        <f t="shared" si="6"/>
        <v>(${Variables:E1_4_3_16_kcat} * E1_4_3_16 * C00049 * C00007 )/(${Variables:E1_4_3_16_km} + (E1_4_3_16 * C00049 * C00007 ))</v>
      </c>
      <c r="J91" t="str">
        <f t="shared" si="5"/>
        <v>r90: C00049 + C00007  -&gt;  C05840 + C00027 | (${Variables:E1_4_3_16_kcat} * E1_4_3_16 * C00049 * C00007 )/(${Variables:E1_4_3_16_km} + (E1_4_3_16 * C00049 * C00007 ))</v>
      </c>
    </row>
    <row r="92" spans="1:10">
      <c r="A92" s="19" t="s">
        <v>3325</v>
      </c>
      <c r="B92" s="1" t="s">
        <v>11459</v>
      </c>
      <c r="C92" s="32">
        <v>91</v>
      </c>
      <c r="D92" t="str">
        <f t="shared" si="4"/>
        <v>E1_4_3_16</v>
      </c>
      <c r="E92" s="10" t="s">
        <v>9833</v>
      </c>
      <c r="F92" s="10" t="s">
        <v>11949</v>
      </c>
      <c r="G92" s="13" t="s">
        <v>9834</v>
      </c>
      <c r="H92" s="13" t="s">
        <v>12382</v>
      </c>
      <c r="I92" t="str">
        <f t="shared" si="6"/>
        <v>(${Variables:E1_4_3_16_kcat} * E1_4_3_16 * C00049 * C00001 * C00007 )/(${Variables:E1_4_3_16_km} + (E1_4_3_16 * C00049 * C00001 * C00007 ))</v>
      </c>
      <c r="J92" t="str">
        <f t="shared" si="5"/>
        <v>r91: C00049 + C00001 + C00007  -&gt;  C00036 + C00014 + C00027 | (${Variables:E1_4_3_16_kcat} * E1_4_3_16 * C00049 * C00001 * C00007 )/(${Variables:E1_4_3_16_km} + (E1_4_3_16 * C00049 * C00001 * C00007 ))</v>
      </c>
    </row>
    <row r="93" spans="1:10">
      <c r="A93" s="19" t="s">
        <v>7260</v>
      </c>
      <c r="B93" s="1" t="s">
        <v>11460</v>
      </c>
      <c r="C93" s="32">
        <v>92</v>
      </c>
      <c r="D93" t="str">
        <f t="shared" si="4"/>
        <v>E1_4_4_2</v>
      </c>
      <c r="E93" s="10" t="s">
        <v>10360</v>
      </c>
      <c r="F93" s="10" t="s">
        <v>11950</v>
      </c>
      <c r="G93" s="13" t="s">
        <v>10361</v>
      </c>
      <c r="H93" s="13" t="s">
        <v>12383</v>
      </c>
      <c r="I93" t="str">
        <f t="shared" si="6"/>
        <v>(${Variables:E1_4_4_2_kcat} * E1_4_4_2 * C00037 * C02051)/(${Variables:E1_4_4_2_km} + (E1_4_4_2 * C00037 * C02051))</v>
      </c>
      <c r="J93" t="str">
        <f t="shared" si="5"/>
        <v>r92: C00037 + C02051 -&gt;  C01242 + C00011 | (${Variables:E1_4_4_2_kcat} * E1_4_4_2 * C00037 * C02051)/(${Variables:E1_4_4_2_km} + (E1_4_4_2 * C00037 * C02051))</v>
      </c>
    </row>
    <row r="94" spans="1:10">
      <c r="A94" s="19" t="s">
        <v>1612</v>
      </c>
      <c r="B94" s="1" t="s">
        <v>11461</v>
      </c>
      <c r="C94" s="32">
        <v>93</v>
      </c>
      <c r="D94" t="str">
        <f t="shared" si="4"/>
        <v>E1_5_1_2</v>
      </c>
      <c r="E94" s="10" t="s">
        <v>11725</v>
      </c>
      <c r="F94" s="10" t="s">
        <v>11951</v>
      </c>
      <c r="G94" s="13" t="s">
        <v>11726</v>
      </c>
      <c r="H94" s="13" t="s">
        <v>12384</v>
      </c>
      <c r="I94" t="str">
        <f t="shared" si="6"/>
        <v>(${Variables:E1_5_1_2_kcat} * E1_5_1_2 * C00148 * C00003)/(${Variables:E1_5_1_2_km} + (E1_5_1_2 * C00148 * C00003))</v>
      </c>
      <c r="J94" t="str">
        <f t="shared" si="5"/>
        <v>r93: C00148 + C00003 -&gt;  C03912 + C00004 + C00080 | (${Variables:E1_5_1_2_kcat} * E1_5_1_2 * C00148 * C00003)/(${Variables:E1_5_1_2_km} + (E1_5_1_2 * C00148 * C00003))</v>
      </c>
    </row>
    <row r="95" spans="1:10">
      <c r="A95" s="19" t="s">
        <v>1612</v>
      </c>
      <c r="B95" s="1" t="s">
        <v>11461</v>
      </c>
      <c r="C95" s="32">
        <v>94</v>
      </c>
      <c r="D95" t="str">
        <f t="shared" si="4"/>
        <v>E1_5_1_2</v>
      </c>
      <c r="E95" s="10" t="s">
        <v>11727</v>
      </c>
      <c r="F95" s="10" t="s">
        <v>11952</v>
      </c>
      <c r="G95" s="13" t="s">
        <v>11728</v>
      </c>
      <c r="H95" s="13" t="s">
        <v>12385</v>
      </c>
      <c r="I95" t="str">
        <f t="shared" si="6"/>
        <v>(${Variables:E1_5_1_2_kcat} * E1_5_1_2 * C00148 * C00006 )/(${Variables:E1_5_1_2_km} + (E1_5_1_2 * C00148 * C00006 ))</v>
      </c>
      <c r="J95" t="str">
        <f t="shared" si="5"/>
        <v>r94: C00148 + C00006  -&gt; C03912 + C00005 + C00080 | (${Variables:E1_5_1_2_kcat} * E1_5_1_2 * C00148 * C00006 )/(${Variables:E1_5_1_2_km} + (E1_5_1_2 * C00148 * C00006 ))</v>
      </c>
    </row>
    <row r="96" spans="1:10">
      <c r="A96" s="19" t="s">
        <v>1612</v>
      </c>
      <c r="B96" s="1" t="s">
        <v>11461</v>
      </c>
      <c r="C96" s="32">
        <v>95</v>
      </c>
      <c r="D96" t="str">
        <f t="shared" si="4"/>
        <v>E1_5_1_2</v>
      </c>
      <c r="E96" s="10" t="s">
        <v>11729</v>
      </c>
      <c r="F96" s="10" t="s">
        <v>11953</v>
      </c>
      <c r="G96" s="13" t="s">
        <v>12910</v>
      </c>
      <c r="H96" s="13" t="s">
        <v>12913</v>
      </c>
      <c r="I96" t="str">
        <f t="shared" si="6"/>
        <v>(${Variables:E1_5_1_2_kcat} * E1_5_1_2 * C01157 * C00003 )/(${Variables:E1_5_1_2_km} + (E1_5_1_2 * C01157 * C00003 ))</v>
      </c>
      <c r="J96" t="str">
        <f t="shared" si="5"/>
        <v>r95: C01157 + C00003  -&gt; C04281 + C00004 + C00080 | (${Variables:E1_5_1_2_kcat} * E1_5_1_2 * C01157 * C00003 )/(${Variables:E1_5_1_2_km} + (E1_5_1_2 * C01157 * C00003 ))</v>
      </c>
    </row>
    <row r="97" spans="1:10">
      <c r="A97" s="19" t="s">
        <v>1612</v>
      </c>
      <c r="B97" s="1" t="s">
        <v>11461</v>
      </c>
      <c r="C97" s="32">
        <v>96</v>
      </c>
      <c r="D97" t="str">
        <f t="shared" si="4"/>
        <v>E1_5_1_2</v>
      </c>
      <c r="E97" s="10" t="s">
        <v>12844</v>
      </c>
      <c r="F97" s="10" t="s">
        <v>12843</v>
      </c>
      <c r="G97" s="13" t="s">
        <v>12911</v>
      </c>
      <c r="H97" s="13" t="s">
        <v>12914</v>
      </c>
      <c r="I97" t="str">
        <f t="shared" si="6"/>
        <v>(${Variables:E1_5_1_2_kcat} * E1_5_1_2 * C01157  * C00006 )/(${Variables:E1_5_1_2_km} + (E1_5_1_2 * C01157  * C00006 ))</v>
      </c>
      <c r="J97" t="str">
        <f t="shared" ref="J97:J124" si="7">CONCATENATE("r",C97,": ",E97," -&gt; ",G97," | ",I97)</f>
        <v>r96: C01157 + C00006  -&gt; C04281 + C00005 + C00080 | (${Variables:E1_5_1_2_kcat} * E1_5_1_2 * C01157  * C00006 )/(${Variables:E1_5_1_2_km} + (E1_5_1_2 * C01157  * C00006 ))</v>
      </c>
    </row>
    <row r="98" spans="1:10">
      <c r="A98" s="19" t="s">
        <v>6334</v>
      </c>
      <c r="B98" s="1" t="s">
        <v>11462</v>
      </c>
      <c r="C98" s="32">
        <v>97</v>
      </c>
      <c r="D98" t="str">
        <f t="shared" si="4"/>
        <v>E1_5_1_20</v>
      </c>
      <c r="E98" s="10" t="s">
        <v>11730</v>
      </c>
      <c r="F98" s="10" t="s">
        <v>11954</v>
      </c>
      <c r="G98" s="13" t="s">
        <v>12912</v>
      </c>
      <c r="H98" s="13" t="s">
        <v>12915</v>
      </c>
      <c r="I98" t="str">
        <f t="shared" si="6"/>
        <v>(${Variables:E1_5_1_20_kcat} * E1_5_1_20 * C00440 * C00006 )/(${Variables:E1_5_1_20_km} + (E1_5_1_20 * C00440 * C00006 ))</v>
      </c>
      <c r="J98" t="str">
        <f t="shared" si="7"/>
        <v>r97: C00440 + C00006  -&gt; C00143 + C00005 + C00080 | (${Variables:E1_5_1_20_kcat} * E1_5_1_20 * C00440 * C00006 )/(${Variables:E1_5_1_20_km} + (E1_5_1_20 * C00440 * C00006 ))</v>
      </c>
    </row>
    <row r="99" spans="1:10">
      <c r="A99" s="19" t="s">
        <v>6334</v>
      </c>
      <c r="B99" s="1" t="s">
        <v>11462</v>
      </c>
      <c r="C99" s="32">
        <v>98</v>
      </c>
      <c r="D99" t="str">
        <f t="shared" si="4"/>
        <v>E1_5_1_20</v>
      </c>
      <c r="E99" s="62" t="s">
        <v>25600</v>
      </c>
      <c r="F99" s="62" t="s">
        <v>25601</v>
      </c>
      <c r="G99" s="13" t="s">
        <v>11731</v>
      </c>
      <c r="H99" s="13" t="s">
        <v>12386</v>
      </c>
      <c r="I99" t="str">
        <f t="shared" si="6"/>
        <v>(${Variables:E1_5_1_20_kcat} * E1_5_1_20 * C00440 * C00003 )/(${Variables:E1_5_1_20_km} + (E1_5_1_20 * C00440 * C00003 ))</v>
      </c>
      <c r="J99" t="str">
        <f t="shared" si="7"/>
        <v>r98: C00440 + C00003  -&gt;  C00143 + C00004 + C00080 | (${Variables:E1_5_1_20_kcat} * E1_5_1_20 * C00440 * C00003 )/(${Variables:E1_5_1_20_km} + (E1_5_1_20 * C00440 * C00003 ))</v>
      </c>
    </row>
    <row r="100" spans="1:10">
      <c r="A100" s="19" t="s">
        <v>336</v>
      </c>
      <c r="B100" s="1" t="s">
        <v>11463</v>
      </c>
      <c r="C100" s="32">
        <v>99</v>
      </c>
      <c r="D100" t="str">
        <f t="shared" si="4"/>
        <v>E1_7_2_2</v>
      </c>
      <c r="E100" s="10" t="s">
        <v>12812</v>
      </c>
      <c r="F100" s="10" t="s">
        <v>12845</v>
      </c>
      <c r="G100" s="13" t="s">
        <v>12872</v>
      </c>
      <c r="H100" s="13" t="s">
        <v>12916</v>
      </c>
      <c r="I100" t="str">
        <f t="shared" si="6"/>
        <v>(${Variables:E1_7_2_2_kcat} * E1_7_2_2 * C00014 *  C00001 *  C00125)/(${Variables:E1_7_2_2_km} + (E1_7_2_2 * C00014 *  C00001 *  C00125))</v>
      </c>
      <c r="J100" t="str">
        <f t="shared" si="7"/>
        <v>r99: C00014 +  C00001 +  C00125 -&gt; C00088 + C00126 + C00080 | (${Variables:E1_7_2_2_kcat} * E1_7_2_2 * C00014 *  C00001 *  C00125)/(${Variables:E1_7_2_2_km} + (E1_7_2_2 * C00014 *  C00001 *  C00125))</v>
      </c>
    </row>
    <row r="101" spans="1:10">
      <c r="A101" s="19" t="s">
        <v>5738</v>
      </c>
      <c r="B101" s="1" t="s">
        <v>11463</v>
      </c>
      <c r="C101" s="32">
        <v>100</v>
      </c>
      <c r="D101" t="str">
        <f t="shared" si="4"/>
        <v>E1_7_2_2</v>
      </c>
      <c r="E101" s="10" t="s">
        <v>12813</v>
      </c>
      <c r="F101" s="10" t="s">
        <v>12846</v>
      </c>
      <c r="G101" s="13" t="s">
        <v>12872</v>
      </c>
      <c r="H101" s="13" t="s">
        <v>12916</v>
      </c>
      <c r="I101" t="str">
        <f t="shared" si="6"/>
        <v>(${Variables:E1_7_2_2_kcat} * E1_7_2_2 * C00014 * C00001 * C00125)/(${Variables:E1_7_2_2_km} + (E1_7_2_2 * C00014 * C00001 * C00125))</v>
      </c>
      <c r="J101" t="str">
        <f t="shared" si="7"/>
        <v>r100: C00014 + C00001 + C00125 -&gt; C00088 + C00126 + C00080 | (${Variables:E1_7_2_2_kcat} * E1_7_2_2 * C00014 * C00001 * C00125)/(${Variables:E1_7_2_2_km} + (E1_7_2_2 * C00014 * C00001 * C00125))</v>
      </c>
    </row>
    <row r="102" spans="1:10">
      <c r="A102" s="19" t="s">
        <v>5742</v>
      </c>
      <c r="B102" s="1" t="s">
        <v>11463</v>
      </c>
      <c r="C102" s="32">
        <v>101</v>
      </c>
      <c r="D102" t="str">
        <f t="shared" si="4"/>
        <v>E1_7_2_2</v>
      </c>
      <c r="E102" s="10" t="s">
        <v>12814</v>
      </c>
      <c r="F102" s="10" t="s">
        <v>12846</v>
      </c>
      <c r="G102" s="13" t="s">
        <v>12872</v>
      </c>
      <c r="H102" s="13" t="s">
        <v>12916</v>
      </c>
      <c r="I102" t="str">
        <f t="shared" si="6"/>
        <v>(${Variables:E1_7_2_2_kcat} * E1_7_2_2 * C00014 * C00001 * C00125)/(${Variables:E1_7_2_2_km} + (E1_7_2_2 * C00014 * C00001 * C00125))</v>
      </c>
      <c r="J102" t="str">
        <f t="shared" si="7"/>
        <v>r101: C00014 + C00001 +  C00125 -&gt; C00088 + C00126 + C00080 | (${Variables:E1_7_2_2_kcat} * E1_7_2_2 * C00014 * C00001 * C00125)/(${Variables:E1_7_2_2_km} + (E1_7_2_2 * C00014 * C00001 * C00125))</v>
      </c>
    </row>
    <row r="103" spans="1:10">
      <c r="A103" s="19" t="s">
        <v>6452</v>
      </c>
      <c r="B103" s="1" t="s">
        <v>11464</v>
      </c>
      <c r="C103" s="32">
        <v>102</v>
      </c>
      <c r="D103" t="str">
        <f t="shared" si="4"/>
        <v>E1_7_99_1</v>
      </c>
      <c r="E103" s="10" t="s">
        <v>10286</v>
      </c>
      <c r="F103" s="10" t="s">
        <v>11955</v>
      </c>
      <c r="G103" s="13" t="s">
        <v>10287</v>
      </c>
      <c r="H103" s="13" t="s">
        <v>12387</v>
      </c>
      <c r="I103" t="str">
        <f t="shared" si="6"/>
        <v>(${Variables:E1_7_99_1_kcat} * E1_7_99_1 * C00028 * C00014 * C00001)/(${Variables:E1_7_99_1_km} + (E1_7_99_1 * C00028 * C00014 * C00001))</v>
      </c>
      <c r="J103" t="str">
        <f t="shared" si="7"/>
        <v>r102: C00028 + C00014 + C00001 -&gt;  C00192 + C00030 | (${Variables:E1_7_99_1_kcat} * E1_7_99_1 * C00028 * C00014 * C00001)/(${Variables:E1_7_99_1_km} + (E1_7_99_1 * C00028 * C00014 * C00001))</v>
      </c>
    </row>
    <row r="104" spans="1:10">
      <c r="A104" s="19" t="s">
        <v>6452</v>
      </c>
      <c r="B104" s="1" t="s">
        <v>11464</v>
      </c>
      <c r="C104" s="32">
        <v>103</v>
      </c>
      <c r="D104" t="str">
        <f t="shared" si="4"/>
        <v>E1_7_99_1</v>
      </c>
      <c r="E104" s="10" t="s">
        <v>10289</v>
      </c>
      <c r="F104" s="10" t="s">
        <v>11956</v>
      </c>
      <c r="G104" s="13" t="s">
        <v>10290</v>
      </c>
      <c r="H104" s="13" t="s">
        <v>12388</v>
      </c>
      <c r="I104" t="str">
        <f t="shared" si="6"/>
        <v>(${Variables:E1_7_99_1_kcat} * E1_7_99_1 * C00014 * C00003 * C00001 )/(${Variables:E1_7_99_1_km} + (E1_7_99_1 * C00014 * C00003 * C00001 ))</v>
      </c>
      <c r="J104" t="str">
        <f t="shared" si="7"/>
        <v>r103: C00014 + C00003 + C00001  -&gt; C00192 + C00004 + C00080 | (${Variables:E1_7_99_1_kcat} * E1_7_99_1 * C00014 * C00003 * C00001 )/(${Variables:E1_7_99_1_km} + (E1_7_99_1 * C00014 * C00003 * C00001 ))</v>
      </c>
    </row>
    <row r="105" spans="1:10">
      <c r="A105" s="19" t="s">
        <v>308</v>
      </c>
      <c r="B105" s="1" t="s">
        <v>11465</v>
      </c>
      <c r="C105" s="32">
        <v>104</v>
      </c>
      <c r="D105" t="str">
        <f t="shared" si="4"/>
        <v>E1_8_1_4</v>
      </c>
      <c r="E105" s="10" t="s">
        <v>11732</v>
      </c>
      <c r="F105" s="10" t="s">
        <v>11957</v>
      </c>
      <c r="G105" s="13" t="s">
        <v>11733</v>
      </c>
      <c r="H105" s="13" t="s">
        <v>12389</v>
      </c>
      <c r="I105" t="str">
        <f t="shared" si="6"/>
        <v>(${Variables:E1_8_1_4_kcat} * E1_8_1_4 * C16832 * C00003)/(${Variables:E1_8_1_4_km} + (E1_8_1_4 * C16832 * C00003))</v>
      </c>
      <c r="J105" t="str">
        <f t="shared" si="7"/>
        <v>r104: C16832 + C00003 -&gt; C16237 + C00004 + C00080 | (${Variables:E1_8_1_4_kcat} * E1_8_1_4 * C16832 * C00003)/(${Variables:E1_8_1_4_km} + (E1_8_1_4 * C16832 * C00003))</v>
      </c>
    </row>
    <row r="106" spans="1:10">
      <c r="A106" s="19" t="s">
        <v>3375</v>
      </c>
      <c r="B106" s="1" t="s">
        <v>11465</v>
      </c>
      <c r="C106" s="32">
        <v>105</v>
      </c>
      <c r="D106" t="str">
        <f t="shared" si="4"/>
        <v>E1_8_1_4</v>
      </c>
      <c r="E106" s="10" t="s">
        <v>11732</v>
      </c>
      <c r="F106" s="10" t="s">
        <v>11957</v>
      </c>
      <c r="G106" s="13" t="s">
        <v>9835</v>
      </c>
      <c r="H106" s="13" t="s">
        <v>12390</v>
      </c>
      <c r="I106" t="str">
        <f t="shared" si="6"/>
        <v>(${Variables:E1_8_1_4_kcat} * E1_8_1_4 * C16832 * C00003)/(${Variables:E1_8_1_4_km} + (E1_8_1_4 * C16832 * C00003))</v>
      </c>
      <c r="J106" t="str">
        <f t="shared" si="7"/>
        <v>r105: C16832 + C00003 -&gt;  C16237 + C00004 + C00080 | (${Variables:E1_8_1_4_kcat} * E1_8_1_4 * C16832 * C00003)/(${Variables:E1_8_1_4_km} + (E1_8_1_4 * C16832 * C00003))</v>
      </c>
    </row>
    <row r="107" spans="1:10">
      <c r="A107" s="19" t="s">
        <v>3375</v>
      </c>
      <c r="B107" s="1" t="s">
        <v>11465</v>
      </c>
      <c r="C107" s="32">
        <v>106</v>
      </c>
      <c r="D107" t="str">
        <f t="shared" si="4"/>
        <v>E1_8_1_4</v>
      </c>
      <c r="E107" s="10" t="s">
        <v>9836</v>
      </c>
      <c r="F107" s="10" t="s">
        <v>11958</v>
      </c>
      <c r="G107" s="13" t="s">
        <v>9837</v>
      </c>
      <c r="H107" s="13" t="s">
        <v>12391</v>
      </c>
      <c r="I107" t="str">
        <f t="shared" si="6"/>
        <v>(${Variables:E1_8_1_4_kcat} * E1_8_1_4 * C02972 * C00003 )/(${Variables:E1_8_1_4_km} + (E1_8_1_4 * C02972 * C00003 ))</v>
      </c>
      <c r="J107" t="str">
        <f t="shared" si="7"/>
        <v>r106: C02972 + C00003  -&gt;  C02051 + C00004 + C00080 | (${Variables:E1_8_1_4_kcat} * E1_8_1_4 * C02972 * C00003 )/(${Variables:E1_8_1_4_km} + (E1_8_1_4 * C02972 * C00003 ))</v>
      </c>
    </row>
    <row r="108" spans="1:10">
      <c r="A108" s="19" t="s">
        <v>3375</v>
      </c>
      <c r="B108" s="1" t="s">
        <v>11465</v>
      </c>
      <c r="C108" s="32">
        <v>107</v>
      </c>
      <c r="D108" t="str">
        <f t="shared" si="4"/>
        <v>E1_8_1_4</v>
      </c>
      <c r="E108" s="10" t="s">
        <v>9838</v>
      </c>
      <c r="F108" s="10" t="s">
        <v>11959</v>
      </c>
      <c r="G108" s="13" t="s">
        <v>9839</v>
      </c>
      <c r="H108" s="13" t="s">
        <v>12392</v>
      </c>
      <c r="I108" t="str">
        <f t="shared" si="6"/>
        <v>(${Variables:E1_8_1_4_kcat} * E1_8_1_4 * C15973 * C00003 )/(${Variables:E1_8_1_4_km} + (E1_8_1_4 * C15973 * C00003 ))</v>
      </c>
      <c r="J108" t="str">
        <f t="shared" si="7"/>
        <v>r107: C15973 + C00003  -&gt; C15972 + C00004 + C00080 | (${Variables:E1_8_1_4_kcat} * E1_8_1_4 * C15973 * C00003 )/(${Variables:E1_8_1_4_km} + (E1_8_1_4 * C15973 * C00003 ))</v>
      </c>
    </row>
    <row r="109" spans="1:10">
      <c r="A109" s="19" t="s">
        <v>3375</v>
      </c>
      <c r="B109" s="1" t="s">
        <v>11465</v>
      </c>
      <c r="C109" s="32">
        <v>108</v>
      </c>
      <c r="D109" t="str">
        <f t="shared" si="4"/>
        <v>E1_8_1_4</v>
      </c>
      <c r="E109" s="10" t="s">
        <v>9840</v>
      </c>
      <c r="F109" s="10" t="s">
        <v>11960</v>
      </c>
      <c r="G109" s="13" t="s">
        <v>9841</v>
      </c>
      <c r="H109" s="13" t="s">
        <v>12393</v>
      </c>
      <c r="I109" t="str">
        <f t="shared" si="6"/>
        <v>(${Variables:E1_8_1_4_kcat} * E1_8_1_4 * C00579 * C00003 )/(${Variables:E1_8_1_4_km} + (E1_8_1_4 * C00579 * C00003 ))</v>
      </c>
      <c r="J109" t="str">
        <f t="shared" si="7"/>
        <v>r108: C00579 + C00003  -&gt;  C00248 + C00004 + C00080 | (${Variables:E1_8_1_4_kcat} * E1_8_1_4 * C00579 * C00003 )/(${Variables:E1_8_1_4_km} + (E1_8_1_4 * C00579 * C00003 ))</v>
      </c>
    </row>
    <row r="110" spans="1:10">
      <c r="A110" s="19" t="s">
        <v>7145</v>
      </c>
      <c r="B110" s="1" t="s">
        <v>11466</v>
      </c>
      <c r="C110" s="32">
        <v>109</v>
      </c>
      <c r="D110" t="str">
        <f t="shared" si="4"/>
        <v>E1_8_1_9</v>
      </c>
      <c r="E110" s="10" t="s">
        <v>10347</v>
      </c>
      <c r="F110" s="10" t="s">
        <v>11961</v>
      </c>
      <c r="G110" s="13" t="s">
        <v>10348</v>
      </c>
      <c r="H110" s="13" t="s">
        <v>12394</v>
      </c>
      <c r="I110" t="str">
        <f t="shared" si="6"/>
        <v>(${Variables:E1_8_1_9_kcat} * E1_8_1_9 * C00342 * C00006 )/(${Variables:E1_8_1_9_km} + (E1_8_1_9 * C00342 * C00006 ))</v>
      </c>
      <c r="J110" t="str">
        <f t="shared" si="7"/>
        <v>r109: C00342 + C00006  -&gt;  C00343 + C00005 + C00080 | (${Variables:E1_8_1_9_kcat} * E1_8_1_9 * C00342 * C00006 )/(${Variables:E1_8_1_9_km} + (E1_8_1_9 * C00342 * C00006 ))</v>
      </c>
    </row>
    <row r="111" spans="1:10">
      <c r="A111" s="19" t="s">
        <v>7145</v>
      </c>
      <c r="B111" s="1" t="s">
        <v>11466</v>
      </c>
      <c r="C111" s="32">
        <v>110</v>
      </c>
      <c r="D111" t="str">
        <f t="shared" si="4"/>
        <v>E1_8_1_9</v>
      </c>
      <c r="E111" s="10" t="s">
        <v>10349</v>
      </c>
      <c r="F111" s="10" t="s">
        <v>11962</v>
      </c>
      <c r="G111" s="13" t="s">
        <v>10350</v>
      </c>
      <c r="H111" s="13" t="s">
        <v>12395</v>
      </c>
      <c r="I111" t="str">
        <f t="shared" si="6"/>
        <v>(${Variables:E1_8_1_9_kcat} * E1_8_1_9 * C00097 * C00051 * C00006)/(${Variables:E1_8_1_9_km} + (E1_8_1_9 * C00097 * C00051 * C00006))</v>
      </c>
      <c r="J111" t="str">
        <f t="shared" si="7"/>
        <v>r110: C00097 + C00051 + C00006 -&gt;  C05526 + C00005 | (${Variables:E1_8_1_9_kcat} * E1_8_1_9 * C00097 * C00051 * C00006)/(${Variables:E1_8_1_9_km} + (E1_8_1_9 * C00097 * C00051 * C00006))</v>
      </c>
    </row>
    <row r="112" spans="1:10">
      <c r="A112" s="19" t="s">
        <v>7145</v>
      </c>
      <c r="B112" s="1" t="s">
        <v>11466</v>
      </c>
      <c r="C112" s="32">
        <v>111</v>
      </c>
      <c r="D112" t="str">
        <f t="shared" si="4"/>
        <v>E1_8_1_9</v>
      </c>
      <c r="E112" s="10" t="s">
        <v>12815</v>
      </c>
      <c r="F112" s="10" t="s">
        <v>12847</v>
      </c>
      <c r="G112" s="13" t="s">
        <v>25602</v>
      </c>
      <c r="H112" s="13" t="s">
        <v>12917</v>
      </c>
      <c r="I112" t="str">
        <f t="shared" si="6"/>
        <v>(${Variables:E1_8_1_9_kcat} * E1_8_1_9 * C01528 * C00006 * C00001 )/(${Variables:E1_8_1_9_km} + (E1_8_1_9 * C01528 * C00006 * C00001 ))</v>
      </c>
      <c r="J112" t="str">
        <f t="shared" si="7"/>
        <v>r111: C01528 +  C00006 +  C00001  -&gt;  C05684 + C00005 + C00080 | (${Variables:E1_8_1_9_kcat} * E1_8_1_9 * C01528 * C00006 * C00001 )/(${Variables:E1_8_1_9_km} + (E1_8_1_9 * C01528 * C00006 * C00001 ))</v>
      </c>
    </row>
    <row r="113" spans="1:10">
      <c r="A113" s="19" t="s">
        <v>7145</v>
      </c>
      <c r="B113" s="1" t="s">
        <v>11466</v>
      </c>
      <c r="C113" s="32">
        <v>112</v>
      </c>
      <c r="D113" t="str">
        <f t="shared" si="4"/>
        <v>E1_8_1_9</v>
      </c>
      <c r="E113" s="10" t="s">
        <v>12816</v>
      </c>
      <c r="F113" s="10" t="s">
        <v>12848</v>
      </c>
      <c r="G113" s="13" t="s">
        <v>12873</v>
      </c>
      <c r="H113" s="13" t="s">
        <v>12918</v>
      </c>
      <c r="I113" t="str">
        <f t="shared" si="6"/>
        <v>(${Variables:E1_8_1_9_kcat} * E1_8_1_9 *  C00005 * C00080 * C18902 )/(${Variables:E1_8_1_9_km} + (E1_8_1_9 *  C00005 * C00080 * C18902 ))</v>
      </c>
      <c r="J113" t="str">
        <f t="shared" si="7"/>
        <v>r112:  C00005 +  C00080 + C18902  -&gt; C00006 + C00001 + C05703 | (${Variables:E1_8_1_9_kcat} * E1_8_1_9 *  C00005 * C00080 * C18902 )/(${Variables:E1_8_1_9_km} + (E1_8_1_9 *  C00005 * C00080 * C18902 ))</v>
      </c>
    </row>
    <row r="114" spans="1:10">
      <c r="A114" s="19" t="s">
        <v>1136</v>
      </c>
      <c r="B114" s="1" t="s">
        <v>11467</v>
      </c>
      <c r="C114" s="32">
        <v>113</v>
      </c>
      <c r="D114" t="str">
        <f t="shared" si="4"/>
        <v>E1_8_4_12</v>
      </c>
      <c r="E114" s="10" t="s">
        <v>11734</v>
      </c>
      <c r="F114" s="10" t="s">
        <v>11963</v>
      </c>
      <c r="G114" s="13" t="s">
        <v>11735</v>
      </c>
      <c r="H114" s="13" t="s">
        <v>12396</v>
      </c>
      <c r="I114" t="str">
        <f t="shared" si="6"/>
        <v>(${Variables:E1_8_4_12_kcat} * E1_8_4_12 * C03023 * C00343 * C00001)/(${Variables:E1_8_4_12_km} + (E1_8_4_12 * C03023 * C00343 * C00001))</v>
      </c>
      <c r="J114" t="str">
        <f t="shared" si="7"/>
        <v>r113: C03023 + C00343 + C00001 -&gt; C15653 + C00342 | (${Variables:E1_8_4_12_kcat} * E1_8_4_12 * C03023 * C00343 * C00001)/(${Variables:E1_8_4_12_km} + (E1_8_4_12 * C03023 * C00343 * C00001))</v>
      </c>
    </row>
    <row r="115" spans="1:10">
      <c r="A115" s="19" t="s">
        <v>4072</v>
      </c>
      <c r="B115" s="1" t="s">
        <v>11468</v>
      </c>
      <c r="C115" s="32">
        <v>114</v>
      </c>
      <c r="D115" t="str">
        <f t="shared" si="4"/>
        <v>E1_97_1_4</v>
      </c>
      <c r="E115" s="10" t="s">
        <v>9945</v>
      </c>
      <c r="F115" s="10" t="s">
        <v>11964</v>
      </c>
      <c r="G115" s="13" t="s">
        <v>9946</v>
      </c>
      <c r="H115" s="13" t="s">
        <v>12397</v>
      </c>
      <c r="I115" t="str">
        <f t="shared" si="6"/>
        <v>(${Variables:E1_97_1_4_kcat} * E1_97_1_4 * C00019 * C05196 * C05197)/(${Variables:E1_97_1_4_km} + (E1_97_1_4 * C00019 * C05196 * C05197))</v>
      </c>
      <c r="J115" t="str">
        <f t="shared" si="7"/>
        <v>r114: C00019 + C05196 + C05197 -&gt;  C05198 + C00073 + C05199 + C05312 | (${Variables:E1_97_1_4_kcat} * E1_97_1_4 * C00019 * C05196 * C05197)/(${Variables:E1_97_1_4_km} + (E1_97_1_4 * C00019 * C05196 * C05197))</v>
      </c>
    </row>
    <row r="116" spans="1:10">
      <c r="A116" s="19" t="s">
        <v>7173</v>
      </c>
      <c r="B116" s="1" t="s">
        <v>11469</v>
      </c>
      <c r="C116" s="32">
        <v>115</v>
      </c>
      <c r="D116" t="str">
        <f t="shared" si="4"/>
        <v>E2_1_1_13</v>
      </c>
      <c r="E116" s="10" t="s">
        <v>10351</v>
      </c>
      <c r="F116" s="10" t="s">
        <v>11965</v>
      </c>
      <c r="G116" s="13" t="s">
        <v>10352</v>
      </c>
      <c r="H116" s="13" t="s">
        <v>12398</v>
      </c>
      <c r="I116" t="str">
        <f t="shared" si="6"/>
        <v>(${Variables:E2_1_1_13_kcat} * E2_1_1_13 * C00440 * C00155 )/(${Variables:E2_1_1_13_km} + (E2_1_1_13 * C00440 * C00155 ))</v>
      </c>
      <c r="J116" t="str">
        <f t="shared" si="7"/>
        <v>r115: C00440 + C00155  -&gt; C00101 + C00073 | (${Variables:E2_1_1_13_kcat} * E2_1_1_13 * C00440 * C00155 )/(${Variables:E2_1_1_13_km} + (E2_1_1_13 * C00440 * C00155 ))</v>
      </c>
    </row>
    <row r="117" spans="1:10">
      <c r="A117" s="19" t="s">
        <v>7173</v>
      </c>
      <c r="B117" s="1" t="s">
        <v>11469</v>
      </c>
      <c r="C117" s="32">
        <v>116</v>
      </c>
      <c r="D117" t="str">
        <f t="shared" si="4"/>
        <v>E2_1_1_13</v>
      </c>
      <c r="E117" s="10" t="s">
        <v>10354</v>
      </c>
      <c r="F117" s="10" t="s">
        <v>11966</v>
      </c>
      <c r="G117" s="13" t="s">
        <v>10355</v>
      </c>
      <c r="H117" s="13" t="s">
        <v>12399</v>
      </c>
      <c r="I117" t="str">
        <f t="shared" si="6"/>
        <v>(${Variables:E2_1_1_13_kcat} * E2_1_1_13 * C05698 * C04489 )/(${Variables:E2_1_1_13_km} + (E2_1_1_13 * C05698 * C04489 ))</v>
      </c>
      <c r="J117" t="str">
        <f t="shared" si="7"/>
        <v>r116: C05698 + C04489  -&gt;  C05335 + C04144 | (${Variables:E2_1_1_13_kcat} * E2_1_1_13 * C05698 * C04489 )/(${Variables:E2_1_1_13_km} + (E2_1_1_13 * C05698 * C04489 ))</v>
      </c>
    </row>
    <row r="118" spans="1:10">
      <c r="A118" s="19" t="s">
        <v>8619</v>
      </c>
      <c r="B118" s="1" t="s">
        <v>11470</v>
      </c>
      <c r="C118" s="32">
        <v>117</v>
      </c>
      <c r="D118" t="str">
        <f t="shared" si="4"/>
        <v>E2_1_1_131</v>
      </c>
      <c r="E118" s="10" t="s">
        <v>10588</v>
      </c>
      <c r="F118" s="10" t="s">
        <v>11967</v>
      </c>
      <c r="G118" s="13" t="s">
        <v>10589</v>
      </c>
      <c r="H118" s="13" t="s">
        <v>12400</v>
      </c>
      <c r="I118" t="str">
        <f t="shared" si="6"/>
        <v>(${Variables:E2_1_1_131_kcat} * E2_1_1_131 * C00019 * C06406 )/(${Variables:E2_1_1_131_km} + (E2_1_1_131 * C00019 * C06406 ))</v>
      </c>
      <c r="J118" t="str">
        <f t="shared" si="7"/>
        <v>r117: C00019 + C06406  -&gt;  C00021 + C06407 | (${Variables:E2_1_1_131_kcat} * E2_1_1_131 * C00019 * C06406 )/(${Variables:E2_1_1_131_km} + (E2_1_1_131 * C00019 * C06406 ))</v>
      </c>
    </row>
    <row r="119" spans="1:10">
      <c r="A119" s="19" t="s">
        <v>8619</v>
      </c>
      <c r="B119" s="1" t="s">
        <v>11470</v>
      </c>
      <c r="C119" s="32">
        <v>118</v>
      </c>
      <c r="D119" t="str">
        <f t="shared" si="4"/>
        <v>E2_1_1_131</v>
      </c>
      <c r="E119" s="10" t="s">
        <v>10590</v>
      </c>
      <c r="F119" s="10" t="s">
        <v>11968</v>
      </c>
      <c r="G119" s="13" t="s">
        <v>10591</v>
      </c>
      <c r="H119" s="13" t="s">
        <v>12401</v>
      </c>
      <c r="I119" t="str">
        <f t="shared" si="6"/>
        <v>(${Variables:E2_1_1_131_kcat} * E2_1_1_131 * C11539 * C00019 )/(${Variables:E2_1_1_131_km} + (E2_1_1_131 * C11539 * C00019 ))</v>
      </c>
      <c r="J119" t="str">
        <f t="shared" si="7"/>
        <v>r118: C11539 + C00019  -&gt; C11540 + C00021 | (${Variables:E2_1_1_131_kcat} * E2_1_1_131 * C11539 * C00019 )/(${Variables:E2_1_1_131_km} + (E2_1_1_131 * C11539 * C00019 ))</v>
      </c>
    </row>
    <row r="120" spans="1:10">
      <c r="A120" s="19" t="s">
        <v>8623</v>
      </c>
      <c r="B120" s="1" t="s">
        <v>11471</v>
      </c>
      <c r="C120" s="32">
        <v>119</v>
      </c>
      <c r="D120" t="str">
        <f t="shared" si="4"/>
        <v>E2_1_1_133</v>
      </c>
      <c r="E120" s="10" t="s">
        <v>10593</v>
      </c>
      <c r="F120" s="10" t="s">
        <v>11969</v>
      </c>
      <c r="G120" s="13" t="s">
        <v>10594</v>
      </c>
      <c r="H120" s="13" t="s">
        <v>12402</v>
      </c>
      <c r="I120" t="str">
        <f t="shared" si="6"/>
        <v>(${Variables:E2_1_1_133_kcat} * E2_1_1_133 * C00019 * C06407)/(${Variables:E2_1_1_133_km} + (E2_1_1_133 * C00019 * C06407))</v>
      </c>
      <c r="J120" t="str">
        <f t="shared" si="7"/>
        <v>r119: C00019 + C06407 -&gt;  C00021 + C06416 | (${Variables:E2_1_1_133_kcat} * E2_1_1_133 * C00019 * C06407)/(${Variables:E2_1_1_133_km} + (E2_1_1_133 * C00019 * C06407))</v>
      </c>
    </row>
    <row r="121" spans="1:10">
      <c r="A121" s="19" t="s">
        <v>2315</v>
      </c>
      <c r="B121" s="1" t="s">
        <v>11472</v>
      </c>
      <c r="C121" s="32">
        <v>120</v>
      </c>
      <c r="D121" t="str">
        <f t="shared" si="4"/>
        <v>E2_1_1_182</v>
      </c>
      <c r="E121" s="10" t="s">
        <v>12957</v>
      </c>
      <c r="F121" s="10" t="s">
        <v>12849</v>
      </c>
      <c r="G121" s="13" t="s">
        <v>12874</v>
      </c>
      <c r="H121" s="13" t="s">
        <v>12919</v>
      </c>
      <c r="I121" t="str">
        <f t="shared" si="6"/>
        <v>(${Variables:E2_1_1_182_kcat} * E2_1_1_182 * C00019 * C20648 )/(${Variables:E2_1_1_182_km} + (E2_1_1_182 * C00019 * C20648 ))</v>
      </c>
      <c r="J121" t="str">
        <f t="shared" si="7"/>
        <v>r120: C00019 + C20648  -&gt;  C00021 + C20796 | (${Variables:E2_1_1_182_kcat} * E2_1_1_182 * C00019 * C20648 )/(${Variables:E2_1_1_182_km} + (E2_1_1_182 * C00019 * C20648 ))</v>
      </c>
    </row>
    <row r="122" spans="1:10">
      <c r="A122" s="19" t="s">
        <v>869</v>
      </c>
      <c r="B122" s="1" t="s">
        <v>11473</v>
      </c>
      <c r="C122" s="32">
        <v>121</v>
      </c>
      <c r="D122" t="str">
        <f t="shared" si="4"/>
        <v>E2_1_1_197</v>
      </c>
      <c r="E122" s="10" t="s">
        <v>11736</v>
      </c>
      <c r="F122" s="10" t="s">
        <v>11970</v>
      </c>
      <c r="G122" s="13" t="s">
        <v>11737</v>
      </c>
      <c r="H122" s="13" t="s">
        <v>12403</v>
      </c>
      <c r="I122" t="str">
        <f t="shared" si="6"/>
        <v>(${Variables:E2_1_1_197_kcat} * E2_1_1_197 * C00019 * C01209 )/(${Variables:E2_1_1_197_km} + (E2_1_1_197 * C00019 * C01209 ))</v>
      </c>
      <c r="J122" t="str">
        <f t="shared" si="7"/>
        <v>r121: C00019 + C01209  -&gt;  C00021 + C19673 | (${Variables:E2_1_1_197_kcat} * E2_1_1_197 * C00019 * C01209 )/(${Variables:E2_1_1_197_km} + (E2_1_1_197 * C00019 * C01209 ))</v>
      </c>
    </row>
    <row r="123" spans="1:10">
      <c r="A123" s="19" t="s">
        <v>8304</v>
      </c>
      <c r="B123" s="1" t="s">
        <v>11474</v>
      </c>
      <c r="C123" s="32">
        <v>122</v>
      </c>
      <c r="D123" t="str">
        <f t="shared" si="4"/>
        <v>E2_1_1_228</v>
      </c>
      <c r="E123" s="10" t="s">
        <v>12956</v>
      </c>
      <c r="F123" s="62" t="s">
        <v>25607</v>
      </c>
      <c r="G123" s="13" t="s">
        <v>10514</v>
      </c>
      <c r="H123" s="13" t="s">
        <v>12404</v>
      </c>
      <c r="I123" t="str">
        <f t="shared" si="6"/>
        <v>(${Variables:E2_1_1_228_kcat} * E2_1_1_228 * C00019 * C01977 )/(${Variables:E2_1_1_228_km} + (E2_1_1_228 * C00019 * C01977 ))</v>
      </c>
      <c r="J123" t="str">
        <f t="shared" si="7"/>
        <v>r122: C00019 + C01977  -&gt;  C00021 + C04157 | (${Variables:E2_1_1_228_kcat} * E2_1_1_228 * C00019 * C01977 )/(${Variables:E2_1_1_228_km} + (E2_1_1_228 * C00019 * C01977 ))</v>
      </c>
    </row>
    <row r="124" spans="1:10">
      <c r="A124" s="19" t="s">
        <v>4678</v>
      </c>
      <c r="B124" s="1" t="s">
        <v>11475</v>
      </c>
      <c r="C124" s="32">
        <v>123</v>
      </c>
      <c r="D124" t="str">
        <f t="shared" ref="D124:D131" si="8">CONCATENATE("E",B124)</f>
        <v>E2_1_1_33</v>
      </c>
      <c r="E124" s="10" t="s">
        <v>10063</v>
      </c>
      <c r="F124" s="10" t="s">
        <v>11971</v>
      </c>
      <c r="G124" s="13" t="s">
        <v>10064</v>
      </c>
      <c r="H124" s="13" t="s">
        <v>12405</v>
      </c>
      <c r="I124" t="str">
        <f t="shared" si="6"/>
        <v>(${Variables:E2_1_1_33_kcat} * E2_1_1_33 * C00019 * C01977)/(${Variables:E2_1_1_33_km} + (E2_1_1_33 * C00019 * C01977))</v>
      </c>
      <c r="J124" t="str">
        <f t="shared" si="7"/>
        <v>r123: C00019 + C01977 -&gt; C00021 + C04160 | (${Variables:E2_1_1_33_kcat} * E2_1_1_33 * C00019 * C01977)/(${Variables:E2_1_1_33_km} + (E2_1_1_33 * C00019 * C01977))</v>
      </c>
    </row>
    <row r="125" spans="1:10">
      <c r="A125" s="19" t="s">
        <v>3251</v>
      </c>
      <c r="B125" s="1" t="s">
        <v>11476</v>
      </c>
      <c r="C125" s="32">
        <v>124</v>
      </c>
      <c r="D125" t="str">
        <f t="shared" si="8"/>
        <v>E2_1_1_37</v>
      </c>
      <c r="E125" s="21" t="s">
        <v>9823</v>
      </c>
      <c r="F125" s="21" t="s">
        <v>11972</v>
      </c>
      <c r="G125" s="13" t="s">
        <v>9824</v>
      </c>
      <c r="H125" s="13" t="s">
        <v>12406</v>
      </c>
      <c r="I125" t="str">
        <f t="shared" si="6"/>
        <v>(${Variables:E2_1_1_37_kcat} * E2_1_1_37 * C00019 * C00039)/(${Variables:E2_1_1_37_km} + (E2_1_1_37 * C00019 * C00039))</v>
      </c>
      <c r="J125" t="str">
        <f t="shared" ref="J125:J137" si="9">CONCATENATE("r",C125,": ",E125," -&gt; ",G125," | ",I125)</f>
        <v>r124: C00019 + C00039 -&gt;  C00021 + C02967 | (${Variables:E2_1_1_37_kcat} * E2_1_1_37 * C00019 * C00039)/(${Variables:E2_1_1_37_km} + (E2_1_1_37 * C00019 * C00039))</v>
      </c>
    </row>
    <row r="126" spans="1:10">
      <c r="A126" s="19" t="s">
        <v>3251</v>
      </c>
      <c r="B126" s="1" t="s">
        <v>11476</v>
      </c>
      <c r="C126" s="32">
        <v>125</v>
      </c>
      <c r="D126" t="str">
        <f t="shared" si="8"/>
        <v>E2_1_1_37</v>
      </c>
      <c r="E126" s="21" t="s">
        <v>9825</v>
      </c>
      <c r="F126" s="21" t="s">
        <v>11973</v>
      </c>
      <c r="G126" s="13" t="s">
        <v>9826</v>
      </c>
      <c r="H126" s="13" t="s">
        <v>12407</v>
      </c>
      <c r="I126" t="str">
        <f t="shared" si="6"/>
        <v>(${Variables:E2_1_1_37_kcat} * E2_1_1_37 * C00019 * C00856)/(${Variables:E2_1_1_37_km} + (E2_1_1_37 * C00019 * C00856))</v>
      </c>
      <c r="J126" t="str">
        <f t="shared" si="9"/>
        <v>r125: C00019 + C00856 -&gt; C00021 + C02967 | (${Variables:E2_1_1_37_kcat} * E2_1_1_37 * C00019 * C00856)/(${Variables:E2_1_1_37_km} + (E2_1_1_37 * C00019 * C00856))</v>
      </c>
    </row>
    <row r="127" spans="1:10">
      <c r="A127" s="19" t="s">
        <v>6539</v>
      </c>
      <c r="B127" s="1" t="s">
        <v>11476</v>
      </c>
      <c r="C127" s="32">
        <v>126</v>
      </c>
      <c r="D127" t="str">
        <f t="shared" si="8"/>
        <v>E2_1_1_37</v>
      </c>
      <c r="E127" s="10" t="s">
        <v>10291</v>
      </c>
      <c r="F127" s="10" t="s">
        <v>11974</v>
      </c>
      <c r="G127" s="13" t="s">
        <v>9824</v>
      </c>
      <c r="H127" s="13" t="s">
        <v>12406</v>
      </c>
      <c r="I127" t="str">
        <f t="shared" si="6"/>
        <v>(${Variables:E2_1_1_37_kcat} * E2_1_1_37 * C00019 * C00039 )/(${Variables:E2_1_1_37_km} + (E2_1_1_37 * C00019 * C00039 ))</v>
      </c>
      <c r="J127" t="str">
        <f t="shared" si="9"/>
        <v>r126: C00019 + C00039  -&gt;  C00021 + C02967 | (${Variables:E2_1_1_37_kcat} * E2_1_1_37 * C00019 * C00039 )/(${Variables:E2_1_1_37_km} + (E2_1_1_37 * C00019 * C00039 ))</v>
      </c>
    </row>
    <row r="128" spans="1:10">
      <c r="A128" s="19" t="s">
        <v>6539</v>
      </c>
      <c r="B128" s="1" t="s">
        <v>11476</v>
      </c>
      <c r="C128" s="32">
        <v>127</v>
      </c>
      <c r="D128" t="str">
        <f t="shared" si="8"/>
        <v>E2_1_1_37</v>
      </c>
      <c r="E128" s="10" t="s">
        <v>10292</v>
      </c>
      <c r="F128" s="10" t="s">
        <v>11975</v>
      </c>
      <c r="G128" s="13" t="s">
        <v>9826</v>
      </c>
      <c r="H128" s="13" t="s">
        <v>12407</v>
      </c>
      <c r="I128" t="str">
        <f t="shared" si="6"/>
        <v>(${Variables:E2_1_1_37_kcat} * E2_1_1_37 * C00019 * C00856 )/(${Variables:E2_1_1_37_km} + (E2_1_1_37 * C00019 * C00856 ))</v>
      </c>
      <c r="J128" t="str">
        <f t="shared" si="9"/>
        <v>r127: C00019 + C00856  -&gt; C00021 + C02967 | (${Variables:E2_1_1_37_kcat} * E2_1_1_37 * C00019 * C00856 )/(${Variables:E2_1_1_37_km} + (E2_1_1_37 * C00019 * C00856 ))</v>
      </c>
    </row>
    <row r="129" spans="1:10">
      <c r="A129" s="19" t="s">
        <v>4847</v>
      </c>
      <c r="B129" s="1" t="s">
        <v>11477</v>
      </c>
      <c r="C129" s="32">
        <v>128</v>
      </c>
      <c r="D129" t="str">
        <f t="shared" si="8"/>
        <v>E2_1_1_45</v>
      </c>
      <c r="E129" s="10" t="s">
        <v>10109</v>
      </c>
      <c r="F129" s="10" t="s">
        <v>11976</v>
      </c>
      <c r="G129" s="13" t="s">
        <v>10110</v>
      </c>
      <c r="H129" s="13" t="s">
        <v>12408</v>
      </c>
      <c r="I129" t="str">
        <f t="shared" si="6"/>
        <v>(${Variables:E2_1_1_45_kcat} * E2_1_1_45 * C00365 * C00143)/(${Variables:E2_1_1_45_km} + (E2_1_1_45 * C00365 * C00143))</v>
      </c>
      <c r="J129" t="str">
        <f t="shared" si="9"/>
        <v>r128: C00365 + C00143 -&gt;  C00415 + C00364 | (${Variables:E2_1_1_45_kcat} * E2_1_1_45 * C00365 * C00143)/(${Variables:E2_1_1_45_km} + (E2_1_1_45 * C00365 * C00143))</v>
      </c>
    </row>
    <row r="130" spans="1:10">
      <c r="A130" s="19" t="s">
        <v>1121</v>
      </c>
      <c r="B130" s="1" t="s">
        <v>11478</v>
      </c>
      <c r="C130" s="32">
        <v>129</v>
      </c>
      <c r="D130" t="str">
        <f t="shared" si="8"/>
        <v>E2_1_1_63</v>
      </c>
      <c r="E130" s="10" t="s">
        <v>11738</v>
      </c>
      <c r="F130" s="10" t="s">
        <v>11977</v>
      </c>
      <c r="G130" s="13" t="s">
        <v>12875</v>
      </c>
      <c r="H130" s="13" t="s">
        <v>12876</v>
      </c>
      <c r="I130" t="str">
        <f t="shared" si="6"/>
        <v>(${Variables:E2_1_1_63_kcat} * E2_1_1_63 * C04250 * C02743)/(${Variables:E2_1_1_63_km} + (E2_1_1_63 * C04250 * C02743))</v>
      </c>
      <c r="J130" t="str">
        <f t="shared" si="9"/>
        <v>r129: C04250 + C02743 -&gt; C03800 + C11475 | (${Variables:E2_1_1_63_kcat} * E2_1_1_63 * C04250 * C02743)/(${Variables:E2_1_1_63_km} + (E2_1_1_63 * C04250 * C02743))</v>
      </c>
    </row>
    <row r="131" spans="1:10">
      <c r="A131" s="19" t="s">
        <v>1398</v>
      </c>
      <c r="B131" s="1" t="s">
        <v>11479</v>
      </c>
      <c r="C131" s="32">
        <v>130</v>
      </c>
      <c r="D131" t="str">
        <f t="shared" si="8"/>
        <v>E2_1_1_72</v>
      </c>
      <c r="E131" s="10" t="s">
        <v>11739</v>
      </c>
      <c r="F131" s="10" t="s">
        <v>11978</v>
      </c>
      <c r="G131" s="13" t="s">
        <v>11740</v>
      </c>
      <c r="H131" s="13" t="s">
        <v>12409</v>
      </c>
      <c r="I131" t="str">
        <f t="shared" ref="I131:I194" si="10">CONCATENATE("(${Variables:",D131,"_kcat","} * ",D131," * ",F131,")","/(${Variables:",D131,"_km","} + (",D131," * ",F131,"))")</f>
        <v>(${Variables:E2_1_1_72_kcat} * E2_1_1_72 * C00019 * C00821 )/(${Variables:E2_1_1_72_km} + (E2_1_1_72 * C00019 * C00821 ))</v>
      </c>
      <c r="J131" t="str">
        <f t="shared" si="9"/>
        <v>r130: C00019 + C00821  -&gt; C00021 + C03391 | (${Variables:E2_1_1_72_kcat} * E2_1_1_72 * C00019 * C00821 )/(${Variables:E2_1_1_72_km} + (E2_1_1_72 * C00019 * C00821 ))</v>
      </c>
    </row>
    <row r="132" spans="1:10">
      <c r="A132" s="19" t="s">
        <v>8143</v>
      </c>
      <c r="B132" s="1" t="s">
        <v>11479</v>
      </c>
      <c r="C132" s="32">
        <v>131</v>
      </c>
      <c r="D132" t="str">
        <f>CONCATENATE("E",B132)</f>
        <v>E2_1_1_72</v>
      </c>
      <c r="E132" s="10" t="s">
        <v>11741</v>
      </c>
      <c r="F132" s="10" t="s">
        <v>11979</v>
      </c>
      <c r="G132" s="13" t="s">
        <v>11740</v>
      </c>
      <c r="H132" s="13" t="s">
        <v>12409</v>
      </c>
      <c r="I132" t="str">
        <f t="shared" si="10"/>
        <v>(${Variables:E2_1_1_72_kcat} * E2_1_1_72 * C00019 * C00821)/(${Variables:E2_1_1_72_km} + (E2_1_1_72 * C00019 * C00821))</v>
      </c>
      <c r="J132" t="str">
        <f t="shared" si="9"/>
        <v>r131: C00019 + C00821 -&gt; C00021 + C03391 | (${Variables:E2_1_1_72_kcat} * E2_1_1_72 * C00019 * C00821)/(${Variables:E2_1_1_72_km} + (E2_1_1_72 * C00019 * C00821))</v>
      </c>
    </row>
    <row r="133" spans="1:10">
      <c r="A133" s="19" t="s">
        <v>6201</v>
      </c>
      <c r="B133" s="1" t="s">
        <v>11480</v>
      </c>
      <c r="C133" s="32">
        <v>132</v>
      </c>
      <c r="D133" t="str">
        <f t="shared" ref="D133:D142" si="11">CONCATENATE("E",B133)</f>
        <v>E2_1_2_10</v>
      </c>
      <c r="E133" s="10" t="s">
        <v>10241</v>
      </c>
      <c r="F133" s="10" t="s">
        <v>11980</v>
      </c>
      <c r="G133" s="13" t="s">
        <v>10242</v>
      </c>
      <c r="H133" s="13" t="s">
        <v>12410</v>
      </c>
      <c r="I133" t="str">
        <f t="shared" si="10"/>
        <v>(${Variables:E2_1_2_10_kcat} * E2_1_2_10 * C01242 * C00101 )/(${Variables:E2_1_2_10_km} + (E2_1_2_10 * C01242 * C00101 ))</v>
      </c>
      <c r="J133" t="str">
        <f t="shared" si="9"/>
        <v>r132: C01242 + C00101  -&gt;  C02972 + C00143 + C00014 | (${Variables:E2_1_2_10_kcat} * E2_1_2_10 * C01242 * C00101 )/(${Variables:E2_1_2_10_km} + (E2_1_2_10 * C01242 * C00101 ))</v>
      </c>
    </row>
    <row r="134" spans="1:10">
      <c r="A134" s="19" t="s">
        <v>6201</v>
      </c>
      <c r="B134" s="1" t="s">
        <v>11480</v>
      </c>
      <c r="C134" s="32">
        <v>133</v>
      </c>
      <c r="D134" t="str">
        <f t="shared" si="11"/>
        <v>E2_1_2_10</v>
      </c>
      <c r="E134" s="10" t="s">
        <v>10243</v>
      </c>
      <c r="F134" s="10" t="s">
        <v>10243</v>
      </c>
      <c r="G134" s="13" t="s">
        <v>10244</v>
      </c>
      <c r="H134" s="13" t="s">
        <v>12411</v>
      </c>
      <c r="I134" t="str">
        <f t="shared" si="10"/>
        <v>(${Variables:E2_1_2_10_kcat} * E2_1_2_10 * C03479 )/(${Variables:E2_1_2_10_km} + (E2_1_2_10 * C03479 ))</v>
      </c>
      <c r="J134" t="str">
        <f t="shared" si="9"/>
        <v>r133: C03479  -&gt; C00445 + C00001 | (${Variables:E2_1_2_10_kcat} * E2_1_2_10 * C03479 )/(${Variables:E2_1_2_10_km} + (E2_1_2_10 * C03479 ))</v>
      </c>
    </row>
    <row r="135" spans="1:10" ht="17" customHeight="1">
      <c r="A135" s="19" t="s">
        <v>134</v>
      </c>
      <c r="B135" s="1" t="s">
        <v>11481</v>
      </c>
      <c r="C135" s="32">
        <v>134</v>
      </c>
      <c r="D135" t="str">
        <f t="shared" si="11"/>
        <v>E2_1_2_11</v>
      </c>
      <c r="E135" s="21" t="s">
        <v>11742</v>
      </c>
      <c r="F135" s="21" t="s">
        <v>11981</v>
      </c>
      <c r="G135" s="23" t="s">
        <v>11743</v>
      </c>
      <c r="H135" s="23" t="s">
        <v>12412</v>
      </c>
      <c r="I135" t="str">
        <f t="shared" si="10"/>
        <v>(${Variables:E2_1_2_11_kcat} * E2_1_2_11 * C00143 * C00141 * C00001 )/(${Variables:E2_1_2_11_km} + (E2_1_2_11 * C00143 * C00141 * C00001 ))</v>
      </c>
      <c r="J135" t="str">
        <f t="shared" si="9"/>
        <v>r134: C00143 + C00141 + C00001  -&gt; C00101 + C00966 | (${Variables:E2_1_2_11_kcat} * E2_1_2_11 * C00143 * C00141 * C00001 )/(${Variables:E2_1_2_11_km} + (E2_1_2_11 * C00143 * C00141 * C00001 ))</v>
      </c>
    </row>
    <row r="136" spans="1:10">
      <c r="A136" s="19" t="s">
        <v>134</v>
      </c>
      <c r="B136" s="1" t="s">
        <v>11481</v>
      </c>
      <c r="C136" s="32">
        <v>135</v>
      </c>
      <c r="D136" t="str">
        <f t="shared" si="11"/>
        <v>E2_1_2_11</v>
      </c>
      <c r="E136" s="11" t="s">
        <v>9284</v>
      </c>
      <c r="F136" s="11" t="s">
        <v>9284</v>
      </c>
      <c r="G136" s="34" t="s">
        <v>11744</v>
      </c>
      <c r="H136" s="34" t="s">
        <v>12413</v>
      </c>
      <c r="I136" t="str">
        <f t="shared" si="10"/>
        <v>(${Variables:E2_1_2_11_kcat} * E2_1_2_11 * C00966)/(${Variables:E2_1_2_11_km} + (E2_1_2_11 * C00966))</v>
      </c>
      <c r="J136" t="str">
        <f t="shared" si="9"/>
        <v>r135: C00966 -&gt;  C00141 + C00067 | (${Variables:E2_1_2_11_kcat} * E2_1_2_11 * C00966)/(${Variables:E2_1_2_11_km} + (E2_1_2_11 * C00966))</v>
      </c>
    </row>
    <row r="137" spans="1:10">
      <c r="A137" s="19" t="s">
        <v>797</v>
      </c>
      <c r="B137" s="1" t="s">
        <v>11482</v>
      </c>
      <c r="C137" s="32">
        <v>136</v>
      </c>
      <c r="D137" t="str">
        <f t="shared" si="11"/>
        <v>E2_1_2_3</v>
      </c>
      <c r="E137" s="10" t="s">
        <v>11745</v>
      </c>
      <c r="F137" s="10" t="s">
        <v>11982</v>
      </c>
      <c r="G137" s="10" t="s">
        <v>11746</v>
      </c>
      <c r="H137" s="10" t="s">
        <v>12414</v>
      </c>
      <c r="I137" t="str">
        <f t="shared" si="10"/>
        <v>(${Variables:E2_1_2_3_kcat} * E2_1_2_3 * C00234 * C04677 )/(${Variables:E2_1_2_3_km} + (E2_1_2_3 * C00234 * C04677 ))</v>
      </c>
      <c r="J137" t="str">
        <f t="shared" si="9"/>
        <v>r136: C00234 + C04677  -&gt;  C00101 + C04734 | (${Variables:E2_1_2_3_kcat} * E2_1_2_3 * C00234 * C04677 )/(${Variables:E2_1_2_3_km} + (E2_1_2_3 * C00234 * C04677 ))</v>
      </c>
    </row>
    <row r="138" spans="1:10">
      <c r="A138" s="19" t="s">
        <v>4665</v>
      </c>
      <c r="B138" s="1" t="s">
        <v>11483</v>
      </c>
      <c r="C138" s="32">
        <v>137</v>
      </c>
      <c r="D138" t="str">
        <f t="shared" si="11"/>
        <v>E2_1_2_5</v>
      </c>
      <c r="E138" s="10" t="s">
        <v>10050</v>
      </c>
      <c r="F138" s="10" t="s">
        <v>11983</v>
      </c>
      <c r="G138" s="13" t="s">
        <v>10051</v>
      </c>
      <c r="H138" s="13" t="s">
        <v>12415</v>
      </c>
      <c r="I138" t="str">
        <f t="shared" si="10"/>
        <v>(${Variables:E2_1_2_5_kcat} * E2_1_2_5 * C00664 * C00025)/(${Variables:E2_1_2_5_km} + (E2_1_2_5 * C00664 * C00025))</v>
      </c>
      <c r="J138" t="str">
        <f t="shared" ref="J138:J200" si="12">CONCATENATE("r",C138,": ",E138," -&gt; ",G138," | ",I138)</f>
        <v>r137: C00664 + C00025 -&gt;  C00101 + C00439 | (${Variables:E2_1_2_5_kcat} * E2_1_2_5 * C00664 * C00025)/(${Variables:E2_1_2_5_km} + (E2_1_2_5 * C00664 * C00025))</v>
      </c>
    </row>
    <row r="139" spans="1:10">
      <c r="A139" s="19" t="s">
        <v>4665</v>
      </c>
      <c r="B139" s="1" t="s">
        <v>11483</v>
      </c>
      <c r="C139" s="32">
        <v>138</v>
      </c>
      <c r="D139" t="str">
        <f t="shared" si="11"/>
        <v>E2_1_2_5</v>
      </c>
      <c r="E139" s="10" t="s">
        <v>10052</v>
      </c>
      <c r="F139" s="10" t="s">
        <v>11984</v>
      </c>
      <c r="G139" s="13" t="s">
        <v>10053</v>
      </c>
      <c r="H139" s="13" t="s">
        <v>12416</v>
      </c>
      <c r="I139" t="str">
        <f t="shared" si="10"/>
        <v>(${Variables:E2_1_2_5_kcat} * E2_1_2_5 * C03479 * C00025)/(${Variables:E2_1_2_5_km} + (E2_1_2_5 * C03479 * C00025))</v>
      </c>
      <c r="J139" t="str">
        <f t="shared" si="12"/>
        <v>r138: C03479 + C00025 -&gt;  C00101 + C01045 | (${Variables:E2_1_2_5_kcat} * E2_1_2_5 * C03479 * C00025)/(${Variables:E2_1_2_5_km} + (E2_1_2_5 * C03479 * C00025))</v>
      </c>
    </row>
    <row r="140" spans="1:10">
      <c r="A140" s="19" t="s">
        <v>6408</v>
      </c>
      <c r="B140" s="1" t="s">
        <v>11484</v>
      </c>
      <c r="C140" s="32">
        <v>139</v>
      </c>
      <c r="D140" t="str">
        <f t="shared" si="11"/>
        <v>E2_1_2_9</v>
      </c>
      <c r="E140" s="10" t="s">
        <v>10277</v>
      </c>
      <c r="F140" s="10" t="s">
        <v>11985</v>
      </c>
      <c r="G140" s="13" t="s">
        <v>10278</v>
      </c>
      <c r="H140" s="13" t="s">
        <v>12417</v>
      </c>
      <c r="I140" t="str">
        <f t="shared" si="10"/>
        <v>(${Variables:E2_1_2_9_kcat} * E2_1_2_9 * C02430 * C00234)/(${Variables:E2_1_2_9_km} + (E2_1_2_9 * C02430 * C00234))</v>
      </c>
      <c r="J140" t="str">
        <f t="shared" si="12"/>
        <v>r139: C02430 + C00234 -&gt;  C00101 + C03294 | (${Variables:E2_1_2_9_kcat} * E2_1_2_9 * C02430 * C00234)/(${Variables:E2_1_2_9_km} + (E2_1_2_9 * C02430 * C00234))</v>
      </c>
    </row>
    <row r="141" spans="1:10">
      <c r="A141" s="19" t="s">
        <v>8981</v>
      </c>
      <c r="B141" s="1" t="s">
        <v>11485</v>
      </c>
      <c r="C141" s="32">
        <v>140</v>
      </c>
      <c r="D141" t="str">
        <f t="shared" si="11"/>
        <v>E2_1_3_2</v>
      </c>
      <c r="E141" s="21" t="s">
        <v>10652</v>
      </c>
      <c r="F141" s="21" t="s">
        <v>11986</v>
      </c>
      <c r="G141" s="13" t="s">
        <v>10653</v>
      </c>
      <c r="H141" s="13" t="s">
        <v>12418</v>
      </c>
      <c r="I141" t="str">
        <f t="shared" si="10"/>
        <v>(${Variables:E2_1_3_2_kcat} * E2_1_3_2 * C00169 * C00049 )/(${Variables:E2_1_3_2_km} + (E2_1_3_2 * C00169 * C00049 ))</v>
      </c>
      <c r="J141" t="str">
        <f t="shared" si="12"/>
        <v>r140: C00169 + C00049  -&gt; C00009 + C00438 | (${Variables:E2_1_3_2_kcat} * E2_1_3_2 * C00169 * C00049 )/(${Variables:E2_1_3_2_km} + (E2_1_3_2 * C00169 * C00049 ))</v>
      </c>
    </row>
    <row r="142" spans="1:10">
      <c r="A142" s="19" t="s">
        <v>1636</v>
      </c>
      <c r="B142" s="1" t="s">
        <v>11486</v>
      </c>
      <c r="C142" s="32">
        <v>141</v>
      </c>
      <c r="D142" t="str">
        <f t="shared" si="11"/>
        <v>E2_1_3_9</v>
      </c>
      <c r="E142" s="10" t="s">
        <v>9596</v>
      </c>
      <c r="F142" s="10" t="s">
        <v>11987</v>
      </c>
      <c r="G142" s="13" t="s">
        <v>9597</v>
      </c>
      <c r="H142" s="13" t="s">
        <v>12419</v>
      </c>
      <c r="I142" t="str">
        <f t="shared" si="10"/>
        <v>(${Variables:E2_1_3_9_kcat} * E2_1_3_9 * C00169 * C00437)/(${Variables:E2_1_3_9_km} + (E2_1_3_9 * C00169 * C00437))</v>
      </c>
      <c r="J142" t="str">
        <f t="shared" si="12"/>
        <v>r141: C00169 + C00437 -&gt;  C00009 + C15532 | (${Variables:E2_1_3_9_kcat} * E2_1_3_9 * C00169 * C00437)/(${Variables:E2_1_3_9_km} + (E2_1_3_9 * C00169 * C00437))</v>
      </c>
    </row>
    <row r="143" spans="1:10">
      <c r="A143" s="19" t="s">
        <v>1216</v>
      </c>
      <c r="B143" s="1" t="s">
        <v>11487</v>
      </c>
      <c r="C143" s="32">
        <v>142</v>
      </c>
      <c r="D143" t="str">
        <f>CONCATENATE("E",B143)</f>
        <v>E2_2_1_6</v>
      </c>
      <c r="E143" s="10" t="s">
        <v>11747</v>
      </c>
      <c r="F143" s="10" t="s">
        <v>11988</v>
      </c>
      <c r="G143" s="13" t="s">
        <v>12877</v>
      </c>
      <c r="H143" s="13" t="s">
        <v>12877</v>
      </c>
      <c r="I143" t="str">
        <f t="shared" si="10"/>
        <v>(${Variables:E2_2_1_6_kcat} * E2_2_1_6 * C00900 * C00011)/(${Variables:E2_2_1_6_km} + (E2_2_1_6 * C00900 * C00011))</v>
      </c>
      <c r="J143" t="str">
        <f t="shared" si="12"/>
        <v>r142: C00900 + C00011 -&gt; C00022 | (${Variables:E2_2_1_6_kcat} * E2_2_1_6 * C00900 * C00011)/(${Variables:E2_2_1_6_km} + (E2_2_1_6 * C00900 * C00011))</v>
      </c>
    </row>
    <row r="144" spans="1:10">
      <c r="A144" s="19" t="s">
        <v>1216</v>
      </c>
      <c r="B144" s="1" t="s">
        <v>11487</v>
      </c>
      <c r="C144" s="32">
        <v>143</v>
      </c>
      <c r="D144" t="str">
        <f t="shared" ref="D144:D162" si="13">CONCATENATE("E",B144)</f>
        <v>E2_2_1_6</v>
      </c>
      <c r="E144" s="10" t="s">
        <v>11748</v>
      </c>
      <c r="F144" s="10" t="s">
        <v>11989</v>
      </c>
      <c r="G144" s="13" t="s">
        <v>12877</v>
      </c>
      <c r="H144" s="13" t="s">
        <v>12877</v>
      </c>
      <c r="I144" t="str">
        <f t="shared" si="10"/>
        <v>(${Variables:E2_2_1_6_kcat} * E2_2_1_6 * C06010 * C00011 )/(${Variables:E2_2_1_6_km} + (E2_2_1_6 * C06010 * C00011 ))</v>
      </c>
      <c r="J144" t="str">
        <f t="shared" si="12"/>
        <v>r143: C06010 + C00011  -&gt; C00022 | (${Variables:E2_2_1_6_kcat} * E2_2_1_6 * C06010 * C00011 )/(${Variables:E2_2_1_6_km} + (E2_2_1_6 * C06010 * C00011 ))</v>
      </c>
    </row>
    <row r="145" spans="1:10">
      <c r="A145" s="19" t="s">
        <v>1216</v>
      </c>
      <c r="B145" s="1" t="s">
        <v>11487</v>
      </c>
      <c r="C145" s="32">
        <v>144</v>
      </c>
      <c r="D145" t="str">
        <f t="shared" si="13"/>
        <v>E2_2_1_6</v>
      </c>
      <c r="E145" s="10" t="s">
        <v>11749</v>
      </c>
      <c r="F145" s="10" t="s">
        <v>11990</v>
      </c>
      <c r="G145" s="13" t="s">
        <v>11750</v>
      </c>
      <c r="H145" s="13" t="s">
        <v>12420</v>
      </c>
      <c r="I145" t="str">
        <f t="shared" si="10"/>
        <v>(${Variables:E2_2_1_6_kcat} * E2_2_1_6 * C00022* C00068)/(${Variables:E2_2_1_6_km} + (E2_2_1_6 * C00022* C00068))</v>
      </c>
      <c r="J145" t="str">
        <f t="shared" si="12"/>
        <v>r144: C00022+ C00068 -&gt; C05125 + C00011 | (${Variables:E2_2_1_6_kcat} * E2_2_1_6 * C00022* C00068)/(${Variables:E2_2_1_6_km} + (E2_2_1_6 * C00022* C00068))</v>
      </c>
    </row>
    <row r="146" spans="1:10">
      <c r="A146" s="19" t="s">
        <v>1216</v>
      </c>
      <c r="B146" s="1" t="s">
        <v>11487</v>
      </c>
      <c r="C146" s="32">
        <v>145</v>
      </c>
      <c r="D146" t="str">
        <f t="shared" si="13"/>
        <v>E2_2_1_6</v>
      </c>
      <c r="E146" s="10" t="s">
        <v>11751</v>
      </c>
      <c r="F146" s="10" t="s">
        <v>11991</v>
      </c>
      <c r="G146" s="13" t="s">
        <v>11752</v>
      </c>
      <c r="H146" s="13" t="s">
        <v>12421</v>
      </c>
      <c r="I146" t="str">
        <f t="shared" si="10"/>
        <v>(${Variables:E2_2_1_6_kcat} * E2_2_1_6 * C00900 * C00068 )/(${Variables:E2_2_1_6_km} + (E2_2_1_6 * C00900 * C00068 ))</v>
      </c>
      <c r="J146" t="str">
        <f t="shared" si="12"/>
        <v>r145: C00900 + C00068  -&gt; C05125 + C00022 | (${Variables:E2_2_1_6_kcat} * E2_2_1_6 * C00900 * C00068 )/(${Variables:E2_2_1_6_km} + (E2_2_1_6 * C00900 * C00068 ))</v>
      </c>
    </row>
    <row r="147" spans="1:10">
      <c r="A147" s="19" t="s">
        <v>1216</v>
      </c>
      <c r="B147" s="1" t="s">
        <v>11487</v>
      </c>
      <c r="C147" s="32">
        <v>146</v>
      </c>
      <c r="D147" t="str">
        <f t="shared" si="13"/>
        <v>E2_2_1_6</v>
      </c>
      <c r="E147" s="10" t="s">
        <v>11753</v>
      </c>
      <c r="F147" s="10" t="s">
        <v>11992</v>
      </c>
      <c r="G147" s="13" t="s">
        <v>11754</v>
      </c>
      <c r="H147" s="13" t="s">
        <v>12422</v>
      </c>
      <c r="I147" t="str">
        <f t="shared" si="10"/>
        <v>(${Variables:E2_2_1_6_kcat} * E2_2_1_6 * C06010 * C00068 )/(${Variables:E2_2_1_6_km} + (E2_2_1_6 * C06010 * C00068 ))</v>
      </c>
      <c r="J147" t="str">
        <f t="shared" si="12"/>
        <v>r146: C06010 + C00068  -&gt;  C05125 + C00022 | (${Variables:E2_2_1_6_kcat} * E2_2_1_6 * C06010 * C00068 )/(${Variables:E2_2_1_6_km} + (E2_2_1_6 * C06010 * C00068 ))</v>
      </c>
    </row>
    <row r="148" spans="1:10">
      <c r="A148" s="19" t="s">
        <v>1216</v>
      </c>
      <c r="B148" s="1" t="s">
        <v>11487</v>
      </c>
      <c r="C148" s="32">
        <v>147</v>
      </c>
      <c r="D148" t="str">
        <f t="shared" si="13"/>
        <v>E2_2_1_6</v>
      </c>
      <c r="E148" s="10" t="s">
        <v>11755</v>
      </c>
      <c r="F148" s="10" t="s">
        <v>11993</v>
      </c>
      <c r="G148" s="13" t="s">
        <v>11756</v>
      </c>
      <c r="H148" s="13" t="s">
        <v>12423</v>
      </c>
      <c r="I148" t="str">
        <f t="shared" si="10"/>
        <v>(${Variables:E2_2_1_6_kcat} * E2_2_1_6 * C00109 * C05125 )/(${Variables:E2_2_1_6_km} + (E2_2_1_6 * C00109 * C05125 ))</v>
      </c>
      <c r="J148" t="str">
        <f t="shared" si="12"/>
        <v>r147: C00109 + C05125  -&gt; C06006 + C00068 | (${Variables:E2_2_1_6_kcat} * E2_2_1_6 * C00109 * C05125 )/(${Variables:E2_2_1_6_km} + (E2_2_1_6 * C00109 * C05125 ))</v>
      </c>
    </row>
    <row r="149" spans="1:10">
      <c r="A149" s="19" t="s">
        <v>1216</v>
      </c>
      <c r="B149" s="1" t="s">
        <v>11487</v>
      </c>
      <c r="C149" s="32">
        <v>148</v>
      </c>
      <c r="D149" t="str">
        <f t="shared" si="13"/>
        <v>E2_2_1_6</v>
      </c>
      <c r="E149" s="10" t="s">
        <v>11757</v>
      </c>
      <c r="F149" s="10" t="s">
        <v>11994</v>
      </c>
      <c r="G149" s="13" t="s">
        <v>11758</v>
      </c>
      <c r="H149" s="13" t="s">
        <v>12424</v>
      </c>
      <c r="I149" t="str">
        <f t="shared" si="10"/>
        <v>(${Variables:E2_2_1_6_kcat} * E2_2_1_6 * C00022 * C00109 )/(${Variables:E2_2_1_6_km} + (E2_2_1_6 * C00022 * C00109 ))</v>
      </c>
      <c r="J149" t="str">
        <f t="shared" si="12"/>
        <v>r148: C00022 + C00109  -&gt; C06006 + C00011 | (${Variables:E2_2_1_6_kcat} * E2_2_1_6 * C00022 * C00109 )/(${Variables:E2_2_1_6_km} + (E2_2_1_6 * C00022 * C00109 ))</v>
      </c>
    </row>
    <row r="150" spans="1:10">
      <c r="A150" s="19" t="s">
        <v>1219</v>
      </c>
      <c r="B150" s="1" t="s">
        <v>11487</v>
      </c>
      <c r="C150" s="32">
        <v>149</v>
      </c>
      <c r="D150" t="str">
        <f t="shared" si="13"/>
        <v>E2_2_1_6</v>
      </c>
      <c r="E150" s="10" t="s">
        <v>11747</v>
      </c>
      <c r="F150" s="10" t="s">
        <v>11988</v>
      </c>
      <c r="G150" s="13" t="s">
        <v>12877</v>
      </c>
      <c r="H150" s="13" t="s">
        <v>12877</v>
      </c>
      <c r="I150" t="str">
        <f t="shared" si="10"/>
        <v>(${Variables:E2_2_1_6_kcat} * E2_2_1_6 * C00900 * C00011)/(${Variables:E2_2_1_6_km} + (E2_2_1_6 * C00900 * C00011))</v>
      </c>
      <c r="J150" t="str">
        <f t="shared" si="12"/>
        <v>r149: C00900 + C00011 -&gt; C00022 | (${Variables:E2_2_1_6_kcat} * E2_2_1_6 * C00900 * C00011)/(${Variables:E2_2_1_6_km} + (E2_2_1_6 * C00900 * C00011))</v>
      </c>
    </row>
    <row r="151" spans="1:10">
      <c r="A151" s="19" t="s">
        <v>1219</v>
      </c>
      <c r="B151" s="1" t="s">
        <v>11487</v>
      </c>
      <c r="C151" s="32">
        <v>150</v>
      </c>
      <c r="D151" t="str">
        <f t="shared" si="13"/>
        <v>E2_2_1_6</v>
      </c>
      <c r="E151" s="10" t="s">
        <v>11748</v>
      </c>
      <c r="F151" s="10" t="s">
        <v>11989</v>
      </c>
      <c r="G151" s="13" t="s">
        <v>12877</v>
      </c>
      <c r="H151" s="13" t="s">
        <v>12877</v>
      </c>
      <c r="I151" t="str">
        <f t="shared" si="10"/>
        <v>(${Variables:E2_2_1_6_kcat} * E2_2_1_6 * C06010 * C00011 )/(${Variables:E2_2_1_6_km} + (E2_2_1_6 * C06010 * C00011 ))</v>
      </c>
      <c r="J151" t="str">
        <f t="shared" si="12"/>
        <v>r150: C06010 + C00011  -&gt; C00022 | (${Variables:E2_2_1_6_kcat} * E2_2_1_6 * C06010 * C00011 )/(${Variables:E2_2_1_6_km} + (E2_2_1_6 * C06010 * C00011 ))</v>
      </c>
    </row>
    <row r="152" spans="1:10">
      <c r="A152" s="19" t="s">
        <v>1219</v>
      </c>
      <c r="B152" s="1" t="s">
        <v>11487</v>
      </c>
      <c r="C152" s="32">
        <v>151</v>
      </c>
      <c r="D152" t="str">
        <f t="shared" si="13"/>
        <v>E2_2_1_6</v>
      </c>
      <c r="E152" s="10" t="s">
        <v>11749</v>
      </c>
      <c r="F152" s="10" t="s">
        <v>11990</v>
      </c>
      <c r="G152" s="13" t="s">
        <v>11750</v>
      </c>
      <c r="H152" s="13" t="s">
        <v>12420</v>
      </c>
      <c r="I152" t="str">
        <f t="shared" si="10"/>
        <v>(${Variables:E2_2_1_6_kcat} * E2_2_1_6 * C00022* C00068)/(${Variables:E2_2_1_6_km} + (E2_2_1_6 * C00022* C00068))</v>
      </c>
      <c r="J152" t="str">
        <f t="shared" si="12"/>
        <v>r151: C00022+ C00068 -&gt; C05125 + C00011 | (${Variables:E2_2_1_6_kcat} * E2_2_1_6 * C00022* C00068)/(${Variables:E2_2_1_6_km} + (E2_2_1_6 * C00022* C00068))</v>
      </c>
    </row>
    <row r="153" spans="1:10">
      <c r="A153" s="19" t="s">
        <v>1219</v>
      </c>
      <c r="B153" s="1" t="s">
        <v>11487</v>
      </c>
      <c r="C153" s="32">
        <v>152</v>
      </c>
      <c r="D153" t="str">
        <f t="shared" si="13"/>
        <v>E2_2_1_6</v>
      </c>
      <c r="E153" s="10" t="s">
        <v>11751</v>
      </c>
      <c r="F153" s="10" t="s">
        <v>11991</v>
      </c>
      <c r="G153" s="13" t="s">
        <v>11752</v>
      </c>
      <c r="H153" s="13" t="s">
        <v>12421</v>
      </c>
      <c r="I153" t="str">
        <f t="shared" si="10"/>
        <v>(${Variables:E2_2_1_6_kcat} * E2_2_1_6 * C00900 * C00068 )/(${Variables:E2_2_1_6_km} + (E2_2_1_6 * C00900 * C00068 ))</v>
      </c>
      <c r="J153" t="str">
        <f t="shared" si="12"/>
        <v>r152: C00900 + C00068  -&gt; C05125 + C00022 | (${Variables:E2_2_1_6_kcat} * E2_2_1_6 * C00900 * C00068 )/(${Variables:E2_2_1_6_km} + (E2_2_1_6 * C00900 * C00068 ))</v>
      </c>
    </row>
    <row r="154" spans="1:10">
      <c r="A154" s="19" t="s">
        <v>1219</v>
      </c>
      <c r="B154" s="1" t="s">
        <v>11487</v>
      </c>
      <c r="C154" s="32">
        <v>153</v>
      </c>
      <c r="D154" t="str">
        <f t="shared" si="13"/>
        <v>E2_2_1_6</v>
      </c>
      <c r="E154" s="10" t="s">
        <v>11753</v>
      </c>
      <c r="F154" s="10" t="s">
        <v>11992</v>
      </c>
      <c r="G154" s="13" t="s">
        <v>11752</v>
      </c>
      <c r="H154" s="13" t="s">
        <v>12422</v>
      </c>
      <c r="I154" t="str">
        <f t="shared" si="10"/>
        <v>(${Variables:E2_2_1_6_kcat} * E2_2_1_6 * C06010 * C00068 )/(${Variables:E2_2_1_6_km} + (E2_2_1_6 * C06010 * C00068 ))</v>
      </c>
      <c r="J154" t="str">
        <f t="shared" si="12"/>
        <v>r153: C06010 + C00068  -&gt; C05125 + C00022 | (${Variables:E2_2_1_6_kcat} * E2_2_1_6 * C06010 * C00068 )/(${Variables:E2_2_1_6_km} + (E2_2_1_6 * C06010 * C00068 ))</v>
      </c>
    </row>
    <row r="155" spans="1:10">
      <c r="A155" s="19" t="s">
        <v>1219</v>
      </c>
      <c r="B155" s="1" t="s">
        <v>11487</v>
      </c>
      <c r="C155" s="32">
        <v>154</v>
      </c>
      <c r="D155" t="str">
        <f t="shared" si="13"/>
        <v>E2_2_1_6</v>
      </c>
      <c r="E155" s="10" t="s">
        <v>11755</v>
      </c>
      <c r="F155" s="10" t="s">
        <v>11993</v>
      </c>
      <c r="G155" s="13" t="s">
        <v>11756</v>
      </c>
      <c r="H155" s="13" t="s">
        <v>12423</v>
      </c>
      <c r="I155" t="str">
        <f t="shared" si="10"/>
        <v>(${Variables:E2_2_1_6_kcat} * E2_2_1_6 * C00109 * C05125 )/(${Variables:E2_2_1_6_km} + (E2_2_1_6 * C00109 * C05125 ))</v>
      </c>
      <c r="J155" t="str">
        <f t="shared" si="12"/>
        <v>r154: C00109 + C05125  -&gt; C06006 + C00068 | (${Variables:E2_2_1_6_kcat} * E2_2_1_6 * C00109 * C05125 )/(${Variables:E2_2_1_6_km} + (E2_2_1_6 * C00109 * C05125 ))</v>
      </c>
    </row>
    <row r="156" spans="1:10">
      <c r="A156" s="19" t="s">
        <v>1219</v>
      </c>
      <c r="B156" s="1" t="s">
        <v>11487</v>
      </c>
      <c r="C156" s="32">
        <v>155</v>
      </c>
      <c r="D156" t="str">
        <f t="shared" si="13"/>
        <v>E2_2_1_6</v>
      </c>
      <c r="E156" s="10" t="s">
        <v>11757</v>
      </c>
      <c r="F156" s="10" t="s">
        <v>11994</v>
      </c>
      <c r="G156" s="13" t="s">
        <v>11758</v>
      </c>
      <c r="H156" s="13" t="s">
        <v>12424</v>
      </c>
      <c r="I156" t="str">
        <f t="shared" si="10"/>
        <v>(${Variables:E2_2_1_6_kcat} * E2_2_1_6 * C00022 * C00109 )/(${Variables:E2_2_1_6_km} + (E2_2_1_6 * C00022 * C00109 ))</v>
      </c>
      <c r="J156" t="str">
        <f t="shared" si="12"/>
        <v>r155: C00022 + C00109  -&gt; C06006 + C00011 | (${Variables:E2_2_1_6_kcat} * E2_2_1_6 * C00022 * C00109 )/(${Variables:E2_2_1_6_km} + (E2_2_1_6 * C00022 * C00109 ))</v>
      </c>
    </row>
    <row r="157" spans="1:10">
      <c r="A157" s="19" t="s">
        <v>2486</v>
      </c>
      <c r="B157" s="1" t="s">
        <v>11488</v>
      </c>
      <c r="C157" s="32">
        <v>156</v>
      </c>
      <c r="D157" t="str">
        <f t="shared" si="13"/>
        <v>E2_2_1_7</v>
      </c>
      <c r="E157" s="10" t="s">
        <v>9718</v>
      </c>
      <c r="F157" s="10" t="s">
        <v>11995</v>
      </c>
      <c r="G157" s="13" t="s">
        <v>9719</v>
      </c>
      <c r="H157" s="13" t="s">
        <v>12425</v>
      </c>
      <c r="I157" t="str">
        <f t="shared" si="10"/>
        <v>(${Variables:E2_2_1_7_kcat} * E2_2_1_7 * C00022 * C00118 )/(${Variables:E2_2_1_7_km} + (E2_2_1_7 * C00022 * C00118 ))</v>
      </c>
      <c r="J157" t="str">
        <f t="shared" si="12"/>
        <v>r156: C00022 + C00118  -&gt; C11437 + C00011 | (${Variables:E2_2_1_7_kcat} * E2_2_1_7 * C00022 * C00118 )/(${Variables:E2_2_1_7_km} + (E2_2_1_7 * C00022 * C00118 ))</v>
      </c>
    </row>
    <row r="158" spans="1:10">
      <c r="A158" s="19" t="s">
        <v>8484</v>
      </c>
      <c r="B158" s="1" t="s">
        <v>11489</v>
      </c>
      <c r="C158" s="32">
        <v>157</v>
      </c>
      <c r="D158" t="str">
        <f t="shared" si="13"/>
        <v>E2_2_1_9</v>
      </c>
      <c r="E158" s="10" t="s">
        <v>10541</v>
      </c>
      <c r="F158" s="10" t="s">
        <v>11996</v>
      </c>
      <c r="G158" s="13" t="s">
        <v>25603</v>
      </c>
      <c r="H158" s="13" t="s">
        <v>12426</v>
      </c>
      <c r="I158" t="str">
        <f t="shared" si="10"/>
        <v>(${Variables:E2_2_1_9_kcat} * E2_2_1_9 * C00885 * C00026 )/(${Variables:E2_2_1_9_km} + (E2_2_1_9 * C00885 * C00026 ))</v>
      </c>
      <c r="J158" t="str">
        <f t="shared" si="12"/>
        <v>r157: C00885 + C00026  -&gt; C16519 + C00011 + C16519 + C00011 | (${Variables:E2_2_1_9_kcat} * E2_2_1_9 * C00885 * C00026 )/(${Variables:E2_2_1_9_km} + (E2_2_1_9 * C00885 * C00026 ))</v>
      </c>
    </row>
    <row r="159" spans="1:10">
      <c r="A159" s="19" t="s">
        <v>1283</v>
      </c>
      <c r="B159" s="1" t="s">
        <v>11490</v>
      </c>
      <c r="C159" s="32">
        <v>158</v>
      </c>
      <c r="D159" t="str">
        <f t="shared" si="13"/>
        <v>E2_3_1_129</v>
      </c>
      <c r="E159" s="10" t="s">
        <v>11759</v>
      </c>
      <c r="F159" s="10" t="s">
        <v>11997</v>
      </c>
      <c r="G159" s="13" t="s">
        <v>11760</v>
      </c>
      <c r="H159" s="13" t="s">
        <v>12427</v>
      </c>
      <c r="I159" t="str">
        <f t="shared" si="10"/>
        <v>(${Variables:E2_3_1_129_kcat} * E2_3_1_129 * C01271 * C00043)/(${Variables:E2_3_1_129_km} + (E2_3_1_129 * C01271 * C00043))</v>
      </c>
      <c r="J159" t="str">
        <f t="shared" si="12"/>
        <v>r158: C01271 + C00043 -&gt; C00229 + C22418 | (${Variables:E2_3_1_129_kcat} * E2_3_1_129 * C01271 * C00043)/(${Variables:E2_3_1_129_km} + (E2_3_1_129 * C01271 * C00043))</v>
      </c>
    </row>
    <row r="160" spans="1:10">
      <c r="A160" s="19" t="s">
        <v>1283</v>
      </c>
      <c r="B160" s="1" t="s">
        <v>11490</v>
      </c>
      <c r="C160" s="32">
        <v>159</v>
      </c>
      <c r="D160" t="str">
        <f t="shared" si="13"/>
        <v>E2_3_1_129</v>
      </c>
      <c r="E160" s="10" t="s">
        <v>11761</v>
      </c>
      <c r="F160" s="10" t="s">
        <v>11998</v>
      </c>
      <c r="G160" s="13" t="s">
        <v>10340</v>
      </c>
      <c r="H160" s="13" t="s">
        <v>12428</v>
      </c>
      <c r="I160" t="str">
        <f t="shared" si="10"/>
        <v>(${Variables:E2_3_1_129_kcat} * E2_3_1_129 * C04688 * C00043)/(${Variables:E2_3_1_129_km} + (E2_3_1_129 * C04688 * C00043))</v>
      </c>
      <c r="J160" t="str">
        <f t="shared" si="12"/>
        <v>r159: C04688 + C00043 -&gt;  C00229 + C04738 | (${Variables:E2_3_1_129_kcat} * E2_3_1_129 * C04688 * C00043)/(${Variables:E2_3_1_129_km} + (E2_3_1_129 * C04688 * C00043))</v>
      </c>
    </row>
    <row r="161" spans="1:10">
      <c r="A161" s="19" t="s">
        <v>7117</v>
      </c>
      <c r="B161" s="1" t="s">
        <v>11490</v>
      </c>
      <c r="C161" s="32">
        <v>160</v>
      </c>
      <c r="D161" t="str">
        <f t="shared" si="13"/>
        <v>E2_3_1_129</v>
      </c>
      <c r="E161" s="10" t="s">
        <v>10337</v>
      </c>
      <c r="F161" s="10" t="s">
        <v>11999</v>
      </c>
      <c r="G161" s="13" t="s">
        <v>10338</v>
      </c>
      <c r="H161" s="13" t="s">
        <v>12429</v>
      </c>
      <c r="I161" t="str">
        <f t="shared" si="10"/>
        <v>(${Variables:E2_3_1_129_kcat} * E2_3_1_129 * C01271 * C00043 )/(${Variables:E2_3_1_129_km} + (E2_3_1_129 * C01271 * C00043 ))</v>
      </c>
      <c r="J161" t="str">
        <f t="shared" si="12"/>
        <v>r160: C01271 + C00043  -&gt;  C00229 + C22418 | (${Variables:E2_3_1_129_kcat} * E2_3_1_129 * C01271 * C00043 )/(${Variables:E2_3_1_129_km} + (E2_3_1_129 * C01271 * C00043 ))</v>
      </c>
    </row>
    <row r="162" spans="1:10">
      <c r="A162" s="19" t="s">
        <v>7117</v>
      </c>
      <c r="B162" s="1" t="s">
        <v>11490</v>
      </c>
      <c r="C162" s="32">
        <v>161</v>
      </c>
      <c r="D162" t="str">
        <f t="shared" si="13"/>
        <v>E2_3_1_129</v>
      </c>
      <c r="E162" s="10" t="s">
        <v>10339</v>
      </c>
      <c r="F162" s="10" t="s">
        <v>12000</v>
      </c>
      <c r="G162" s="13" t="s">
        <v>10340</v>
      </c>
      <c r="H162" s="13" t="s">
        <v>12428</v>
      </c>
      <c r="I162" t="str">
        <f t="shared" si="10"/>
        <v>(${Variables:E2_3_1_129_kcat} * E2_3_1_129 * C04688 * C00043 )/(${Variables:E2_3_1_129_km} + (E2_3_1_129 * C04688 * C00043 ))</v>
      </c>
      <c r="J162" t="str">
        <f t="shared" si="12"/>
        <v>r161: C04688 + C00043  -&gt;  C00229 + C04738 | (${Variables:E2_3_1_129_kcat} * E2_3_1_129 * C04688 * C00043 )/(${Variables:E2_3_1_129_km} + (E2_3_1_129 * C04688 * C00043 ))</v>
      </c>
    </row>
    <row r="163" spans="1:10">
      <c r="A163" s="19" t="s">
        <v>2849</v>
      </c>
      <c r="B163" s="25" t="s">
        <v>11491</v>
      </c>
      <c r="C163" s="32">
        <v>162</v>
      </c>
      <c r="D163" t="str">
        <f>CONCATENATE("E",B163)</f>
        <v>E2_3_1_179</v>
      </c>
      <c r="E163" s="10" t="s">
        <v>9768</v>
      </c>
      <c r="F163" s="10" t="s">
        <v>12001</v>
      </c>
      <c r="G163" s="13" t="s">
        <v>9769</v>
      </c>
      <c r="H163" s="13" t="s">
        <v>12430</v>
      </c>
      <c r="I163" t="str">
        <f t="shared" si="10"/>
        <v>(${Variables:E2_3_1_179_kcat} * E2_3_1_179 * C00173 * C01209 )/(${Variables:E2_3_1_179_km} + (E2_3_1_179 * C00173 * C01209 ))</v>
      </c>
      <c r="J163" t="str">
        <f t="shared" si="12"/>
        <v>r162: C00173 + C01209  -&gt; C00685 + C00011 + C00229 | (${Variables:E2_3_1_179_kcat} * E2_3_1_179 * C00173 * C01209 )/(${Variables:E2_3_1_179_km} + (E2_3_1_179 * C00173 * C01209 ))</v>
      </c>
    </row>
    <row r="164" spans="1:10">
      <c r="A164" s="19" t="s">
        <v>2849</v>
      </c>
      <c r="B164" s="25" t="s">
        <v>11491</v>
      </c>
      <c r="C164" s="32">
        <v>163</v>
      </c>
      <c r="D164" t="str">
        <f t="shared" ref="D164:D183" si="14">CONCATENATE("E",B164)</f>
        <v>E2_3_1_179</v>
      </c>
      <c r="E164" s="10" t="s">
        <v>9770</v>
      </c>
      <c r="F164" s="10" t="s">
        <v>12002</v>
      </c>
      <c r="G164" s="13" t="s">
        <v>12879</v>
      </c>
      <c r="H164" s="13" t="s">
        <v>12431</v>
      </c>
      <c r="I164" t="str">
        <f t="shared" si="10"/>
        <v>(${Variables:E2_3_1_179_kcat} * E2_3_1_179 * C03939 * C01209 )/(${Variables:E2_3_1_179_km} + (E2_3_1_179 * C03939 * C01209 ))</v>
      </c>
      <c r="J164" t="str">
        <f t="shared" si="12"/>
        <v>r163: C03939 + C01209  -&gt; C05744 + C00011 + C00229 | (${Variables:E2_3_1_179_kcat} * E2_3_1_179 * C03939 * C01209 )/(${Variables:E2_3_1_179_km} + (E2_3_1_179 * C03939 * C01209 ))</v>
      </c>
    </row>
    <row r="165" spans="1:10">
      <c r="A165" s="19" t="s">
        <v>2849</v>
      </c>
      <c r="B165" s="25" t="s">
        <v>11491</v>
      </c>
      <c r="C165" s="32">
        <v>164</v>
      </c>
      <c r="D165" t="str">
        <f t="shared" si="14"/>
        <v>E2_3_1_179</v>
      </c>
      <c r="E165" s="10" t="s">
        <v>9771</v>
      </c>
      <c r="F165" s="10" t="s">
        <v>12003</v>
      </c>
      <c r="G165" s="13" t="s">
        <v>9772</v>
      </c>
      <c r="H165" s="13" t="s">
        <v>12432</v>
      </c>
      <c r="I165" t="str">
        <f t="shared" si="10"/>
        <v>(${Variables:E2_3_1_179_kcat} * E2_3_1_179 * C05223 * C01209)/(${Variables:E2_3_1_179_km} + (E2_3_1_179 * C05223 * C01209))</v>
      </c>
      <c r="J165" t="str">
        <f t="shared" si="12"/>
        <v>r164: C05223 + C01209 -&gt; C05759 + C00011 + C00229 | (${Variables:E2_3_1_179_kcat} * E2_3_1_179 * C05223 * C01209)/(${Variables:E2_3_1_179_km} + (E2_3_1_179 * C05223 * C01209))</v>
      </c>
    </row>
    <row r="166" spans="1:10">
      <c r="A166" s="19" t="s">
        <v>2849</v>
      </c>
      <c r="B166" s="25" t="s">
        <v>11491</v>
      </c>
      <c r="C166" s="32">
        <v>165</v>
      </c>
      <c r="D166" t="str">
        <f t="shared" si="14"/>
        <v>E2_3_1_179</v>
      </c>
      <c r="E166" s="10" t="s">
        <v>9773</v>
      </c>
      <c r="F166" s="10" t="s">
        <v>12004</v>
      </c>
      <c r="G166" s="13" t="s">
        <v>12878</v>
      </c>
      <c r="H166" s="13" t="s">
        <v>12433</v>
      </c>
      <c r="I166" t="str">
        <f t="shared" si="10"/>
        <v>(${Variables:E2_3_1_179_kcat} * E2_3_1_179 * C05745 * C01209 )/(${Variables:E2_3_1_179_km} + (E2_3_1_179 * C05745 * C01209 ))</v>
      </c>
      <c r="J166" t="str">
        <f t="shared" si="12"/>
        <v>r165: C05745 + C01209  -&gt; C05746 + C00011 + C00229 | (${Variables:E2_3_1_179_kcat} * E2_3_1_179 * C05745 * C01209 )/(${Variables:E2_3_1_179_km} + (E2_3_1_179 * C05745 * C01209 ))</v>
      </c>
    </row>
    <row r="167" spans="1:10">
      <c r="A167" s="19" t="s">
        <v>2849</v>
      </c>
      <c r="B167" s="25" t="s">
        <v>11491</v>
      </c>
      <c r="C167" s="32">
        <v>166</v>
      </c>
      <c r="D167" t="str">
        <f t="shared" si="14"/>
        <v>E2_3_1_179</v>
      </c>
      <c r="E167" s="10" t="s">
        <v>9774</v>
      </c>
      <c r="F167" s="10" t="s">
        <v>12005</v>
      </c>
      <c r="G167" s="13" t="s">
        <v>9775</v>
      </c>
      <c r="H167" s="13" t="s">
        <v>12434</v>
      </c>
      <c r="I167" t="str">
        <f t="shared" si="10"/>
        <v>(${Variables:E2_3_1_179_kcat} * E2_3_1_179 * C05749 * C01209)/(${Variables:E2_3_1_179_km} + (E2_3_1_179 * C05749 * C01209))</v>
      </c>
      <c r="J167" t="str">
        <f t="shared" si="12"/>
        <v>r166: C05749 + C01209 -&gt; C05750 + C00011 + C00229 | (${Variables:E2_3_1_179_kcat} * E2_3_1_179 * C05749 * C01209)/(${Variables:E2_3_1_179_km} + (E2_3_1_179 * C05749 * C01209))</v>
      </c>
    </row>
    <row r="168" spans="1:10">
      <c r="A168" s="19" t="s">
        <v>2849</v>
      </c>
      <c r="B168" s="25" t="s">
        <v>11491</v>
      </c>
      <c r="C168" s="32">
        <v>167</v>
      </c>
      <c r="D168" t="str">
        <f t="shared" si="14"/>
        <v>E2_3_1_179</v>
      </c>
      <c r="E168" s="10" t="s">
        <v>9776</v>
      </c>
      <c r="F168" s="10" t="s">
        <v>12006</v>
      </c>
      <c r="G168" s="13" t="s">
        <v>9777</v>
      </c>
      <c r="H168" s="13" t="s">
        <v>12435</v>
      </c>
      <c r="I168" t="str">
        <f t="shared" si="10"/>
        <v>(${Variables:E2_3_1_179_kcat} * E2_3_1_179 * C05752 * C01209 )/(${Variables:E2_3_1_179_km} + (E2_3_1_179 * C05752 * C01209 ))</v>
      </c>
      <c r="J168" t="str">
        <f t="shared" si="12"/>
        <v>r167: C05752 + C01209  -&gt;  C05753 + C00011 + C00229 | (${Variables:E2_3_1_179_kcat} * E2_3_1_179 * C05752 * C01209 )/(${Variables:E2_3_1_179_km} + (E2_3_1_179 * C05752 * C01209 ))</v>
      </c>
    </row>
    <row r="169" spans="1:10">
      <c r="A169" s="19" t="s">
        <v>2849</v>
      </c>
      <c r="B169" s="25" t="s">
        <v>11491</v>
      </c>
      <c r="C169" s="32">
        <v>168</v>
      </c>
      <c r="D169" t="str">
        <f t="shared" si="14"/>
        <v>E2_3_1_179</v>
      </c>
      <c r="E169" s="10" t="s">
        <v>9778</v>
      </c>
      <c r="F169" s="10" t="s">
        <v>12007</v>
      </c>
      <c r="G169" s="13" t="s">
        <v>9779</v>
      </c>
      <c r="H169" s="13" t="s">
        <v>12436</v>
      </c>
      <c r="I169" t="str">
        <f t="shared" si="10"/>
        <v>(${Variables:E2_3_1_179_kcat} * E2_3_1_179 * C05755 * C01209 )/(${Variables:E2_3_1_179_km} + (E2_3_1_179 * C05755 * C01209 ))</v>
      </c>
      <c r="J169" t="str">
        <f t="shared" si="12"/>
        <v>r168: C05755 + C01209  -&gt; C05756 + C00011 + C00229 | (${Variables:E2_3_1_179_kcat} * E2_3_1_179 * C05755 * C01209 )/(${Variables:E2_3_1_179_km} + (E2_3_1_179 * C05755 * C01209 ))</v>
      </c>
    </row>
    <row r="170" spans="1:10">
      <c r="A170" s="19" t="s">
        <v>2849</v>
      </c>
      <c r="B170" s="25" t="s">
        <v>11491</v>
      </c>
      <c r="C170" s="32">
        <v>169</v>
      </c>
      <c r="D170" t="str">
        <f t="shared" si="14"/>
        <v>E2_3_1_179</v>
      </c>
      <c r="E170" s="10" t="s">
        <v>9780</v>
      </c>
      <c r="F170" s="10" t="s">
        <v>12008</v>
      </c>
      <c r="G170" s="13" t="s">
        <v>9781</v>
      </c>
      <c r="H170" s="13" t="s">
        <v>12437</v>
      </c>
      <c r="I170" t="str">
        <f t="shared" si="10"/>
        <v>(${Variables:E2_3_1_179_kcat} * E2_3_1_179 * C05761 * C01209 )/(${Variables:E2_3_1_179_km} + (E2_3_1_179 * C05761 * C01209 ))</v>
      </c>
      <c r="J170" t="str">
        <f t="shared" si="12"/>
        <v>r169: C05761 + C01209  -&gt;  C05762 + C00011 + C00229 | (${Variables:E2_3_1_179_kcat} * E2_3_1_179 * C05761 * C01209 )/(${Variables:E2_3_1_179_km} + (E2_3_1_179 * C05761 * C01209 ))</v>
      </c>
    </row>
    <row r="171" spans="1:10">
      <c r="A171" s="19" t="s">
        <v>2849</v>
      </c>
      <c r="B171" s="25" t="s">
        <v>11491</v>
      </c>
      <c r="C171" s="32">
        <v>170</v>
      </c>
      <c r="D171" t="str">
        <f t="shared" si="14"/>
        <v>E2_3_1_179</v>
      </c>
      <c r="E171" s="10" t="s">
        <v>9782</v>
      </c>
      <c r="F171" s="10" t="s">
        <v>12009</v>
      </c>
      <c r="G171" s="13" t="s">
        <v>9783</v>
      </c>
      <c r="H171" s="13" t="s">
        <v>12438</v>
      </c>
      <c r="I171" t="str">
        <f t="shared" si="10"/>
        <v>(${Variables:E2_3_1_179_kcat} * E2_3_1_179 * C05764 * C01209)/(${Variables:E2_3_1_179_km} + (E2_3_1_179 * C05764 * C01209))</v>
      </c>
      <c r="J171" t="str">
        <f t="shared" si="12"/>
        <v>r170: C05764 + C01209 -&gt;  C16219 + C00229 + C00011 | (${Variables:E2_3_1_179_kcat} * E2_3_1_179 * C05764 * C01209)/(${Variables:E2_3_1_179_km} + (E2_3_1_179 * C05764 * C01209))</v>
      </c>
    </row>
    <row r="172" spans="1:10">
      <c r="A172" s="19" t="s">
        <v>2849</v>
      </c>
      <c r="B172" s="25" t="s">
        <v>11491</v>
      </c>
      <c r="C172" s="32">
        <v>171</v>
      </c>
      <c r="D172" t="str">
        <f t="shared" si="14"/>
        <v>E2_3_1_179</v>
      </c>
      <c r="E172" s="10" t="s">
        <v>9784</v>
      </c>
      <c r="F172" s="10" t="s">
        <v>12010</v>
      </c>
      <c r="G172" s="13" t="s">
        <v>9785</v>
      </c>
      <c r="H172" s="13" t="s">
        <v>12439</v>
      </c>
      <c r="I172" t="str">
        <f t="shared" si="10"/>
        <v>(${Variables:E2_3_1_179_kcat} * E2_3_1_179 * C19673 * C01209)/(${Variables:E2_3_1_179_km} + (E2_3_1_179 * C19673 * C01209))</v>
      </c>
      <c r="J172" t="str">
        <f t="shared" si="12"/>
        <v>r171: C19673 + C01209 -&gt; C20372 + C00011 + C00229 | (${Variables:E2_3_1_179_kcat} * E2_3_1_179 * C19673 * C01209)/(${Variables:E2_3_1_179_km} + (E2_3_1_179 * C19673 * C01209))</v>
      </c>
    </row>
    <row r="173" spans="1:10">
      <c r="A173" s="19" t="s">
        <v>2849</v>
      </c>
      <c r="B173" s="25" t="s">
        <v>11491</v>
      </c>
      <c r="C173" s="32">
        <v>172</v>
      </c>
      <c r="D173" t="str">
        <f t="shared" si="14"/>
        <v>E2_3_1_179</v>
      </c>
      <c r="E173" s="10" t="s">
        <v>9786</v>
      </c>
      <c r="F173" s="10" t="s">
        <v>12011</v>
      </c>
      <c r="G173" s="13" t="s">
        <v>9787</v>
      </c>
      <c r="H173" s="13" t="s">
        <v>12440</v>
      </c>
      <c r="I173" t="str">
        <f t="shared" si="10"/>
        <v>(${Variables:E2_3_1_179_kcat} * E2_3_1_179 * C20375 * C01209)/(${Variables:E2_3_1_179_km} + (E2_3_1_179 * C20375 * C01209))</v>
      </c>
      <c r="J173" t="str">
        <f t="shared" si="12"/>
        <v>r172: C20375 + C01209 -&gt; C20376 + C00011 + C00229 | (${Variables:E2_3_1_179_kcat} * E2_3_1_179 * C20375 * C01209)/(${Variables:E2_3_1_179_km} + (E2_3_1_179 * C20375 * C01209))</v>
      </c>
    </row>
    <row r="174" spans="1:10">
      <c r="A174" s="19" t="s">
        <v>1278</v>
      </c>
      <c r="B174" s="1" t="s">
        <v>11492</v>
      </c>
      <c r="C174" s="32">
        <v>173</v>
      </c>
      <c r="D174" t="str">
        <f t="shared" si="14"/>
        <v>E2_3_1_191</v>
      </c>
      <c r="E174" s="11" t="s">
        <v>11762</v>
      </c>
      <c r="F174" s="11" t="s">
        <v>12012</v>
      </c>
      <c r="G174" s="13" t="s">
        <v>11763</v>
      </c>
      <c r="H174" s="13" t="s">
        <v>12441</v>
      </c>
      <c r="I174" t="str">
        <f t="shared" si="10"/>
        <v>(${Variables:E2_3_1_191_kcat} * E2_3_1_191 * C01271 * C22409)/(${Variables:E2_3_1_191_km} + (E2_3_1_191 * C01271 * C22409))</v>
      </c>
      <c r="J174" t="str">
        <f t="shared" si="12"/>
        <v>r173: C01271 + C22409 -&gt;  C22410 + C00229 | (${Variables:E2_3_1_191_kcat} * E2_3_1_191 * C01271 * C22409)/(${Variables:E2_3_1_191_km} + (E2_3_1_191 * C01271 * C22409))</v>
      </c>
    </row>
    <row r="175" spans="1:10">
      <c r="A175" s="19" t="s">
        <v>1278</v>
      </c>
      <c r="B175" s="1" t="s">
        <v>11492</v>
      </c>
      <c r="C175" s="32">
        <v>174</v>
      </c>
      <c r="D175" t="str">
        <f t="shared" si="14"/>
        <v>E2_3_1_191</v>
      </c>
      <c r="E175" s="11" t="s">
        <v>11764</v>
      </c>
      <c r="F175" s="11" t="s">
        <v>12013</v>
      </c>
      <c r="G175" s="13" t="s">
        <v>11765</v>
      </c>
      <c r="H175" s="13" t="s">
        <v>12442</v>
      </c>
      <c r="I175" t="str">
        <f t="shared" si="10"/>
        <v>(${Variables:E2_3_1_191_kcat} * E2_3_1_191 * C06022 * C04688)/(${Variables:E2_3_1_191_km} + (E2_3_1_191 * C06022 * C04688))</v>
      </c>
      <c r="J175" t="str">
        <f t="shared" si="12"/>
        <v>r174: C06022 + C04688 -&gt; C04652 + C00229 | (${Variables:E2_3_1_191_kcat} * E2_3_1_191 * C06022 * C04688)/(${Variables:E2_3_1_191_km} + (E2_3_1_191 * C06022 * C04688))</v>
      </c>
    </row>
    <row r="176" spans="1:10">
      <c r="A176" s="19" t="s">
        <v>7386</v>
      </c>
      <c r="B176" s="1" t="s">
        <v>11493</v>
      </c>
      <c r="C176" s="32">
        <v>175</v>
      </c>
      <c r="D176" t="str">
        <f t="shared" si="14"/>
        <v>E2_3_1_234</v>
      </c>
      <c r="E176" s="10" t="s">
        <v>10395</v>
      </c>
      <c r="F176" s="10" t="s">
        <v>12014</v>
      </c>
      <c r="G176" s="13" t="s">
        <v>10396</v>
      </c>
      <c r="H176" s="13" t="s">
        <v>12443</v>
      </c>
      <c r="I176" t="str">
        <f t="shared" si="10"/>
        <v>(${Variables:E2_3_1_234_kcat} * E2_3_1_234 * C20641 * C17324 )/(${Variables:E2_3_1_234_km} + (E2_3_1_234 * C20641 * C17324 ))</v>
      </c>
      <c r="J176" t="str">
        <f t="shared" si="12"/>
        <v>r175: C20641 + C17324  -&gt; C00020 + C20751 | (${Variables:E2_3_1_234_kcat} * E2_3_1_234 * C20641 * C17324 )/(${Variables:E2_3_1_234_km} + (E2_3_1_234 * C20641 * C17324 ))</v>
      </c>
    </row>
    <row r="177" spans="1:10">
      <c r="A177" s="19" t="s">
        <v>432</v>
      </c>
      <c r="B177" s="1" t="s">
        <v>11494</v>
      </c>
      <c r="C177" s="32">
        <v>176</v>
      </c>
      <c r="D177" t="str">
        <f t="shared" si="14"/>
        <v>E2_3_1_245</v>
      </c>
      <c r="E177" s="10" t="s">
        <v>11766</v>
      </c>
      <c r="F177" s="10" t="s">
        <v>12015</v>
      </c>
      <c r="G177" s="13" t="s">
        <v>11767</v>
      </c>
      <c r="H177" s="13" t="s">
        <v>12444</v>
      </c>
      <c r="I177" t="str">
        <f t="shared" si="10"/>
        <v>(${Variables:E2_3_1_245_kcat} * E2_3_1_245 * C00111 * C00024 )/(${Variables:E2_3_1_245_km} + (E2_3_1_245 * C00111 * C00024 ))</v>
      </c>
      <c r="J177" t="str">
        <f t="shared" si="12"/>
        <v>r176: C00111 + C00024  -&gt;  C20960 + C00010 | (${Variables:E2_3_1_245_kcat} * E2_3_1_245 * C00111 * C00024 )/(${Variables:E2_3_1_245_km} + (E2_3_1_245 * C00111 * C00024 ))</v>
      </c>
    </row>
    <row r="178" spans="1:10">
      <c r="A178" s="19" t="s">
        <v>8300</v>
      </c>
      <c r="B178" s="1" t="s">
        <v>11495</v>
      </c>
      <c r="C178" s="32">
        <v>177</v>
      </c>
      <c r="D178" t="str">
        <f t="shared" si="14"/>
        <v>E2_3_1_29</v>
      </c>
      <c r="E178" s="10" t="s">
        <v>10511</v>
      </c>
      <c r="F178" s="10" t="s">
        <v>12016</v>
      </c>
      <c r="G178" s="13" t="s">
        <v>10512</v>
      </c>
      <c r="H178" s="13" t="s">
        <v>12445</v>
      </c>
      <c r="I178" t="str">
        <f t="shared" si="10"/>
        <v>(${Variables:E2_3_1_29_kcat} * E2_3_1_29 * C00024 * C00037 )/(${Variables:E2_3_1_29_km} + (E2_3_1_29 * C00024 * C00037 ))</v>
      </c>
      <c r="J178" t="str">
        <f t="shared" si="12"/>
        <v>r177: C00024 + C00037  -&gt;  C00010 + C03508 | (${Variables:E2_3_1_29_kcat} * E2_3_1_29 * C00024 * C00037 )/(${Variables:E2_3_1_29_km} + (E2_3_1_29 * C00024 * C00037 ))</v>
      </c>
    </row>
    <row r="179" spans="1:10">
      <c r="A179" s="19" t="s">
        <v>6366</v>
      </c>
      <c r="B179" s="1" t="s">
        <v>11496</v>
      </c>
      <c r="C179" s="32">
        <v>178</v>
      </c>
      <c r="D179" t="str">
        <f t="shared" si="14"/>
        <v>E2_3_1_39</v>
      </c>
      <c r="E179" s="10" t="s">
        <v>10274</v>
      </c>
      <c r="F179" s="10" t="s">
        <v>12017</v>
      </c>
      <c r="G179" s="13" t="s">
        <v>10275</v>
      </c>
      <c r="H179" s="13" t="s">
        <v>12446</v>
      </c>
      <c r="I179" t="str">
        <f t="shared" si="10"/>
        <v>(${Variables:E2_3_1_39_kcat} * E2_3_1_39 * C00083 * C00229)/(${Variables:E2_3_1_39_km} + (E2_3_1_39 * C00083 * C00229))</v>
      </c>
      <c r="J179" t="str">
        <f t="shared" si="12"/>
        <v>r178: C00083 + C00229 -&gt;  C00010 + C01209 | (${Variables:E2_3_1_39_kcat} * E2_3_1_39 * C00083 * C00229)/(${Variables:E2_3_1_39_km} + (E2_3_1_39 * C00083 * C00229))</v>
      </c>
    </row>
    <row r="180" spans="1:10">
      <c r="A180" s="19" t="s">
        <v>7664</v>
      </c>
      <c r="B180" s="1" t="s">
        <v>11497</v>
      </c>
      <c r="C180" s="32">
        <v>179</v>
      </c>
      <c r="D180" t="str">
        <f t="shared" si="14"/>
        <v>E2_3_1_46</v>
      </c>
      <c r="E180" s="10" t="s">
        <v>10479</v>
      </c>
      <c r="F180" s="10" t="s">
        <v>12018</v>
      </c>
      <c r="G180" s="13" t="s">
        <v>10480</v>
      </c>
      <c r="H180" s="13" t="s">
        <v>12447</v>
      </c>
      <c r="I180" t="str">
        <f t="shared" si="10"/>
        <v>(${Variables:E2_3_1_46_kcat} * E2_3_1_46 * C00091 * C00263 )/(${Variables:E2_3_1_46_km} + (E2_3_1_46 * C00091 * C00263 ))</v>
      </c>
      <c r="J180" t="str">
        <f t="shared" si="12"/>
        <v>r179: C00091 + C00263  -&gt; C00010 + C01118 | (${Variables:E2_3_1_46_kcat} * E2_3_1_46 * C00091 * C00263 )/(${Variables:E2_3_1_46_km} + (E2_3_1_46 * C00091 * C00263 ))</v>
      </c>
    </row>
    <row r="181" spans="1:10">
      <c r="A181" s="19" t="s">
        <v>4069</v>
      </c>
      <c r="B181" s="1" t="s">
        <v>11498</v>
      </c>
      <c r="C181" s="32">
        <v>180</v>
      </c>
      <c r="D181" t="str">
        <f t="shared" si="14"/>
        <v>E2_3_1_54</v>
      </c>
      <c r="E181" s="10" t="s">
        <v>9939</v>
      </c>
      <c r="F181" s="10" t="s">
        <v>12019</v>
      </c>
      <c r="G181" s="13" t="s">
        <v>9940</v>
      </c>
      <c r="H181" s="13" t="s">
        <v>12448</v>
      </c>
      <c r="I181" t="str">
        <f t="shared" si="10"/>
        <v>(${Variables:E2_3_1_54_kcat} * E2_3_1_54 * C00024 * C00058 )/(${Variables:E2_3_1_54_km} + (E2_3_1_54 * C00024 * C00058 ))</v>
      </c>
      <c r="J181" t="str">
        <f t="shared" si="12"/>
        <v>r180: C00024 + C00058  -&gt; C00010 + C00022 | (${Variables:E2_3_1_54_kcat} * E2_3_1_54 * C00024 * C00058 )/(${Variables:E2_3_1_54_km} + (E2_3_1_54 * C00024 * C00058 ))</v>
      </c>
    </row>
    <row r="182" spans="1:10">
      <c r="A182" s="19" t="s">
        <v>4069</v>
      </c>
      <c r="B182" s="1" t="s">
        <v>11498</v>
      </c>
      <c r="C182" s="32">
        <v>181</v>
      </c>
      <c r="D182" t="str">
        <f t="shared" si="14"/>
        <v>E2_3_1_54</v>
      </c>
      <c r="E182" s="10" t="s">
        <v>9942</v>
      </c>
      <c r="F182" s="10" t="s">
        <v>12020</v>
      </c>
      <c r="G182" s="13" t="s">
        <v>9943</v>
      </c>
      <c r="H182" s="13" t="s">
        <v>12449</v>
      </c>
      <c r="I182" t="str">
        <f t="shared" si="10"/>
        <v>(${Variables:E2_3_1_54_kcat} * E2_3_1_54 * C00109 * C00010 )/(${Variables:E2_3_1_54_km} + (E2_3_1_54 * C00109 * C00010 ))</v>
      </c>
      <c r="J182" t="str">
        <f t="shared" si="12"/>
        <v>r181: C00109 + C00010  -&gt;  C00100 + C00058 | (${Variables:E2_3_1_54_kcat} * E2_3_1_54 * C00109 * C00010 )/(${Variables:E2_3_1_54_km} + (E2_3_1_54 * C00109 * C00010 ))</v>
      </c>
    </row>
    <row r="183" spans="1:10">
      <c r="A183" s="19" t="s">
        <v>4017</v>
      </c>
      <c r="B183" s="1" t="s">
        <v>11499</v>
      </c>
      <c r="C183" s="32">
        <v>182</v>
      </c>
      <c r="D183" t="str">
        <f t="shared" si="14"/>
        <v>E2_3_1_8</v>
      </c>
      <c r="E183" s="21" t="s">
        <v>9932</v>
      </c>
      <c r="F183" s="21" t="s">
        <v>12021</v>
      </c>
      <c r="G183" s="13" t="s">
        <v>9933</v>
      </c>
      <c r="H183" s="13" t="s">
        <v>12450</v>
      </c>
      <c r="I183" t="str">
        <f t="shared" si="10"/>
        <v>(${Variables:E2_3_1_8_kcat} * E2_3_1_8 * C00024 * C00009)/(${Variables:E2_3_1_8_km} + (E2_3_1_8 * C00024 * C00009))</v>
      </c>
      <c r="J183" t="str">
        <f t="shared" si="12"/>
        <v>r182: C00024 + C00009 -&gt;  C00010 + C00227 | (${Variables:E2_3_1_8_kcat} * E2_3_1_8 * C00024 * C00009)/(${Variables:E2_3_1_8_km} + (E2_3_1_8 * C00024 * C00009))</v>
      </c>
    </row>
    <row r="184" spans="1:10">
      <c r="A184" s="19" t="s">
        <v>4017</v>
      </c>
      <c r="B184" s="1" t="s">
        <v>11499</v>
      </c>
      <c r="C184" s="32">
        <v>183</v>
      </c>
      <c r="D184" t="str">
        <f>CONCATENATE("E",B184)</f>
        <v>E2_3_1_8</v>
      </c>
      <c r="E184" s="21" t="s">
        <v>9934</v>
      </c>
      <c r="F184" s="21" t="s">
        <v>12022</v>
      </c>
      <c r="G184" s="13" t="s">
        <v>9935</v>
      </c>
      <c r="H184" s="13" t="s">
        <v>12451</v>
      </c>
      <c r="I184" t="str">
        <f t="shared" si="10"/>
        <v>(${Variables:E2_3_1_8_kcat} * E2_3_1_8 * C00100 * C00009 )/(${Variables:E2_3_1_8_km} + (E2_3_1_8 * C00100 * C00009 ))</v>
      </c>
      <c r="J184" t="str">
        <f t="shared" si="12"/>
        <v>r183: C00100 + C00009  -&gt;  C02876 + C00010 | (${Variables:E2_3_1_8_kcat} * E2_3_1_8 * C00100 * C00009 )/(${Variables:E2_3_1_8_km} + (E2_3_1_8 * C00100 * C00009 ))</v>
      </c>
    </row>
    <row r="185" spans="1:10">
      <c r="A185" s="19" t="s">
        <v>1196</v>
      </c>
      <c r="B185" s="1" t="s">
        <v>11500</v>
      </c>
      <c r="C185" s="32">
        <v>184</v>
      </c>
      <c r="D185" t="str">
        <f t="shared" ref="D185:D245" si="15">CONCATENATE("E",B185)</f>
        <v>E2_3_3_13</v>
      </c>
      <c r="E185" s="10" t="s">
        <v>11768</v>
      </c>
      <c r="F185" s="10" t="s">
        <v>12023</v>
      </c>
      <c r="G185" s="13" t="s">
        <v>11769</v>
      </c>
      <c r="H185" s="13" t="s">
        <v>12452</v>
      </c>
      <c r="I185" t="str">
        <f t="shared" si="10"/>
        <v>(${Variables:E2_3_3_13_kcat} * E2_3_3_13 * C02504 * C00010)/(${Variables:E2_3_3_13_km} + (E2_3_3_13 * C02504 * C00010))</v>
      </c>
      <c r="J185" t="str">
        <f t="shared" si="12"/>
        <v>r184: C02504 + C00010 -&gt;  C00024 + C00141 + C00001 | (${Variables:E2_3_3_13_kcat} * E2_3_3_13 * C02504 * C00010)/(${Variables:E2_3_3_13_km} + (E2_3_3_13 * C02504 * C00010))</v>
      </c>
    </row>
    <row r="186" spans="1:10">
      <c r="A186" s="19" t="s">
        <v>2423</v>
      </c>
      <c r="B186" s="1" t="s">
        <v>11501</v>
      </c>
      <c r="C186" s="32">
        <v>185</v>
      </c>
      <c r="D186" t="str">
        <f t="shared" si="15"/>
        <v>E2_4_1_182</v>
      </c>
      <c r="E186" s="10" t="s">
        <v>9712</v>
      </c>
      <c r="F186" s="10" t="s">
        <v>12024</v>
      </c>
      <c r="G186" s="13" t="s">
        <v>9713</v>
      </c>
      <c r="H186" s="13" t="s">
        <v>12453</v>
      </c>
      <c r="I186" t="str">
        <f t="shared" si="10"/>
        <v>(${Variables:E2_4_1_182_kcat} * E2_4_1_182 * C04652 * C04824)/(${Variables:E2_4_1_182_km} + (E2_4_1_182 * C04652 * C04824))</v>
      </c>
      <c r="J186" t="str">
        <f t="shared" si="12"/>
        <v>r185: C04652 + C04824 -&gt;  C00015 + C04932 | (${Variables:E2_4_1_182_kcat} * E2_4_1_182 * C04652 * C04824)/(${Variables:E2_4_1_182_km} + (E2_4_1_182 * C04652 * C04824))</v>
      </c>
    </row>
    <row r="187" spans="1:10">
      <c r="A187" s="19" t="s">
        <v>2087</v>
      </c>
      <c r="B187" s="1" t="s">
        <v>11502</v>
      </c>
      <c r="C187" s="32">
        <v>186</v>
      </c>
      <c r="D187" t="str">
        <f t="shared" si="15"/>
        <v>E2_4_1_227</v>
      </c>
      <c r="E187" s="10" t="s">
        <v>9655</v>
      </c>
      <c r="F187" s="10" t="s">
        <v>12025</v>
      </c>
      <c r="G187" s="13" t="s">
        <v>9656</v>
      </c>
      <c r="H187" s="13" t="s">
        <v>12454</v>
      </c>
      <c r="I187" t="str">
        <f t="shared" si="10"/>
        <v>(${Variables:E2_4_1_227_kcat} * E2_4_1_227 * C04851 * C00043 )/(${Variables:E2_4_1_227_km} + (E2_4_1_227 * C04851 * C00043 ))</v>
      </c>
      <c r="J187" t="str">
        <f t="shared" si="12"/>
        <v>r186: C04851 + C00043  -&gt; C05893 + C00015 | (${Variables:E2_4_1_227_kcat} * E2_4_1_227 * C04851 * C00043 )/(${Variables:E2_4_1_227_km} + (E2_4_1_227 * C04851 * C00043 ))</v>
      </c>
    </row>
    <row r="188" spans="1:10">
      <c r="A188" s="19" t="s">
        <v>2087</v>
      </c>
      <c r="B188" s="1" t="s">
        <v>11502</v>
      </c>
      <c r="C188" s="32">
        <v>187</v>
      </c>
      <c r="D188" t="str">
        <f t="shared" si="15"/>
        <v>E2_4_1_227</v>
      </c>
      <c r="E188" s="10" t="s">
        <v>9657</v>
      </c>
      <c r="F188" s="10" t="s">
        <v>12026</v>
      </c>
      <c r="G188" s="13" t="s">
        <v>9658</v>
      </c>
      <c r="H188" s="13" t="s">
        <v>12455</v>
      </c>
      <c r="I188" t="str">
        <f t="shared" si="10"/>
        <v>(${Variables:E2_4_1_227_kcat} * E2_4_1_227 * G10552 * G10610)/(${Variables:E2_4_1_227_km} + (E2_4_1_227 * G10552 * G10610))</v>
      </c>
      <c r="J188" t="str">
        <f t="shared" si="12"/>
        <v>r187: G10552 + G10610 -&gt;  G10553 + G10619 | (${Variables:E2_4_1_227_kcat} * E2_4_1_227 * G10552 * G10610)/(${Variables:E2_4_1_227_km} + (E2_4_1_227 * G10552 * G10610))</v>
      </c>
    </row>
    <row r="189" spans="1:10">
      <c r="A189" s="19" t="s">
        <v>2087</v>
      </c>
      <c r="B189" s="1" t="s">
        <v>11502</v>
      </c>
      <c r="C189" s="32">
        <v>188</v>
      </c>
      <c r="D189" t="str">
        <f t="shared" si="15"/>
        <v>E2_4_1_227</v>
      </c>
      <c r="E189" s="10" t="s">
        <v>9659</v>
      </c>
      <c r="F189" s="10" t="s">
        <v>12027</v>
      </c>
      <c r="G189" s="13" t="s">
        <v>9660</v>
      </c>
      <c r="H189" s="13" t="s">
        <v>12456</v>
      </c>
      <c r="I189" t="str">
        <f t="shared" si="10"/>
        <v>(${Variables:E2_4_1_227_kcat} * E2_4_1_227 * C05897 * C00043)/(${Variables:E2_4_1_227_km} + (E2_4_1_227 * C05897 * C00043))</v>
      </c>
      <c r="J189" t="str">
        <f t="shared" si="12"/>
        <v>r188: C05897 + C00043 -&gt;  C05898 + C00015 | (${Variables:E2_4_1_227_kcat} * E2_4_1_227 * C05897 * C00043)/(${Variables:E2_4_1_227_km} + (E2_4_1_227 * C05897 * C00043))</v>
      </c>
    </row>
    <row r="190" spans="1:10">
      <c r="A190" s="19" t="s">
        <v>2087</v>
      </c>
      <c r="B190" s="1" t="s">
        <v>11502</v>
      </c>
      <c r="C190" s="32">
        <v>189</v>
      </c>
      <c r="D190" t="str">
        <f t="shared" si="15"/>
        <v>E2_4_1_227</v>
      </c>
      <c r="E190" s="10" t="s">
        <v>9661</v>
      </c>
      <c r="F190" s="10" t="s">
        <v>12028</v>
      </c>
      <c r="G190" s="13" t="s">
        <v>9662</v>
      </c>
      <c r="H190" s="13" t="s">
        <v>12457</v>
      </c>
      <c r="I190" t="str">
        <f t="shared" si="10"/>
        <v>(${Variables:E2_4_1_227_kcat} * E2_4_1_227 * G10551 * G10610 )/(${Variables:E2_4_1_227_km} + (E2_4_1_227 * G10551 * G10610 ))</v>
      </c>
      <c r="J190" t="str">
        <f t="shared" si="12"/>
        <v>r189: G10551 + G10610  -&gt;  G10550 + G10619 | (${Variables:E2_4_1_227_kcat} * E2_4_1_227 * G10551 * G10610 )/(${Variables:E2_4_1_227_km} + (E2_4_1_227 * G10551 * G10610 ))</v>
      </c>
    </row>
    <row r="191" spans="1:10">
      <c r="A191" s="19" t="s">
        <v>2087</v>
      </c>
      <c r="B191" s="1" t="s">
        <v>11502</v>
      </c>
      <c r="C191" s="32">
        <v>190</v>
      </c>
      <c r="D191" t="str">
        <f t="shared" si="15"/>
        <v>E2_4_1_227</v>
      </c>
      <c r="E191" s="10" t="s">
        <v>9663</v>
      </c>
      <c r="F191" s="10" t="s">
        <v>12029</v>
      </c>
      <c r="G191" s="13" t="s">
        <v>9664</v>
      </c>
      <c r="H191" s="13" t="s">
        <v>12458</v>
      </c>
      <c r="I191" t="str">
        <f t="shared" si="10"/>
        <v>(${Variables:E2_4_1_227_kcat} * E2_4_1_227 * G10556 * G10610)/(${Variables:E2_4_1_227_km} + (E2_4_1_227 * G10556 * G10610))</v>
      </c>
      <c r="J191" t="str">
        <f t="shared" si="12"/>
        <v>r190: G10556 + G10610 -&gt; G10555 + G10619 | (${Variables:E2_4_1_227_kcat} * E2_4_1_227 * G10556 * G10610)/(${Variables:E2_4_1_227_km} + (E2_4_1_227 * G10556 * G10610))</v>
      </c>
    </row>
    <row r="192" spans="1:10">
      <c r="A192" s="19" t="s">
        <v>4746</v>
      </c>
      <c r="B192" s="1" t="s">
        <v>11503</v>
      </c>
      <c r="C192" s="32">
        <v>191</v>
      </c>
      <c r="D192" t="str">
        <f t="shared" si="15"/>
        <v>E2_4_2_10</v>
      </c>
      <c r="E192" s="10" t="s">
        <v>10077</v>
      </c>
      <c r="F192" s="10" t="s">
        <v>12030</v>
      </c>
      <c r="G192" s="13" t="s">
        <v>10078</v>
      </c>
      <c r="H192" s="13" t="s">
        <v>12459</v>
      </c>
      <c r="I192" t="str">
        <f t="shared" si="10"/>
        <v>(${Variables:E2_4_2_10_kcat} * E2_4_2_10 * C01103 * C00013 )/(${Variables:E2_4_2_10_km} + (E2_4_2_10 * C01103 * C00013 ))</v>
      </c>
      <c r="J192" t="str">
        <f t="shared" si="12"/>
        <v>r191: C01103 + C00013  -&gt;  C00295 + C00119 | (${Variables:E2_4_2_10_kcat} * E2_4_2_10 * C01103 * C00013 )/(${Variables:E2_4_2_10_km} + (E2_4_2_10 * C01103 * C00013 ))</v>
      </c>
    </row>
    <row r="193" spans="1:10">
      <c r="A193" s="19" t="s">
        <v>4746</v>
      </c>
      <c r="B193" s="1" t="s">
        <v>11503</v>
      </c>
      <c r="C193" s="32">
        <v>192</v>
      </c>
      <c r="D193" t="str">
        <f t="shared" si="15"/>
        <v>E2_4_2_10</v>
      </c>
      <c r="E193" s="10" t="s">
        <v>10079</v>
      </c>
      <c r="F193" s="10" t="s">
        <v>12031</v>
      </c>
      <c r="G193" s="13" t="s">
        <v>10080</v>
      </c>
      <c r="H193" s="13" t="s">
        <v>12460</v>
      </c>
      <c r="I193" t="str">
        <f t="shared" si="10"/>
        <v>(${Variables:E2_4_2_10_kcat} * E2_4_2_10 * C07649 * C00119 )/(${Variables:E2_4_2_10_km} + (E2_4_2_10 * C07649 * C00119 ))</v>
      </c>
      <c r="J193" t="str">
        <f t="shared" si="12"/>
        <v>r192: C07649 + C00119  -&gt;  C16634 + C00013 | (${Variables:E2_4_2_10_kcat} * E2_4_2_10 * C07649 * C00119 )/(${Variables:E2_4_2_10_km} + (E2_4_2_10 * C07649 * C00119 ))</v>
      </c>
    </row>
    <row r="194" spans="1:10">
      <c r="A194" s="19" t="s">
        <v>8808</v>
      </c>
      <c r="B194" s="1" t="s">
        <v>11504</v>
      </c>
      <c r="C194" s="32">
        <v>193</v>
      </c>
      <c r="D194" t="str">
        <f t="shared" si="15"/>
        <v>E2_4_2_17</v>
      </c>
      <c r="E194" s="10" t="s">
        <v>10637</v>
      </c>
      <c r="F194" s="10" t="s">
        <v>12032</v>
      </c>
      <c r="G194" s="13" t="s">
        <v>10638</v>
      </c>
      <c r="H194" s="13" t="s">
        <v>12461</v>
      </c>
      <c r="I194" t="str">
        <f t="shared" si="10"/>
        <v>(${Variables:E2_4_2_17_kcat} * E2_4_2_17 * C02739 * C00013 )/(${Variables:E2_4_2_17_km} + (E2_4_2_17 * C02739 * C00013 ))</v>
      </c>
      <c r="J194" t="str">
        <f t="shared" si="12"/>
        <v>r193: C02739 + C00013  -&gt; C00002 + C00119 | (${Variables:E2_4_2_17_kcat} * E2_4_2_17 * C02739 * C00013 )/(${Variables:E2_4_2_17_km} + (E2_4_2_17 * C02739 * C00013 ))</v>
      </c>
    </row>
    <row r="195" spans="1:10">
      <c r="A195" s="19" t="s">
        <v>515</v>
      </c>
      <c r="B195" s="1" t="s">
        <v>11505</v>
      </c>
      <c r="C195" s="32">
        <v>194</v>
      </c>
      <c r="D195" t="str">
        <f t="shared" si="15"/>
        <v>E2_4_2_18</v>
      </c>
      <c r="E195" s="10" t="s">
        <v>11770</v>
      </c>
      <c r="F195" s="10" t="s">
        <v>12033</v>
      </c>
      <c r="G195" s="13" t="s">
        <v>11771</v>
      </c>
      <c r="H195" s="13" t="s">
        <v>12462</v>
      </c>
      <c r="I195" t="str">
        <f t="shared" ref="I195:I258" si="16">CONCATENATE("(${Variables:",D195,"_kcat","} * ",D195," * ",F195,")","/(${Variables:",D195,"_km","} + (",D195," * ",F195,"))")</f>
        <v>(${Variables:E2_4_2_18_kcat} * E2_4_2_18 * C04302 * C00013)/(${Variables:E2_4_2_18_km} + (E2_4_2_18 * C04302 * C00013))</v>
      </c>
      <c r="J195" t="str">
        <f t="shared" si="12"/>
        <v>r194: C04302 + C00013 -&gt;  C00108 + C00119 | (${Variables:E2_4_2_18_kcat} * E2_4_2_18 * C04302 * C00013)/(${Variables:E2_4_2_18_km} + (E2_4_2_18 * C04302 * C00013))</v>
      </c>
    </row>
    <row r="196" spans="1:10">
      <c r="A196" s="19" t="s">
        <v>1237</v>
      </c>
      <c r="B196" s="1" t="s">
        <v>11506</v>
      </c>
      <c r="C196" s="32">
        <v>195</v>
      </c>
      <c r="D196" t="str">
        <f t="shared" si="15"/>
        <v>E2_4_2_19</v>
      </c>
      <c r="E196" s="10" t="s">
        <v>11772</v>
      </c>
      <c r="F196" s="10" t="s">
        <v>12034</v>
      </c>
      <c r="G196" s="13" t="s">
        <v>12790</v>
      </c>
      <c r="H196" s="13" t="s">
        <v>12791</v>
      </c>
      <c r="I196" t="str">
        <f t="shared" si="16"/>
        <v>(${Variables:E2_4_2_19_kcat} * E2_4_2_19 * C01185 * C00013 * C00011 )/(${Variables:E2_4_2_19_km} + (E2_4_2_19 * C01185 * C00013 * C00011 ))</v>
      </c>
      <c r="J196" t="str">
        <f t="shared" si="12"/>
        <v>r195: C01185 + C00013 + C00011  -&gt;  C03722 + C00119 | (${Variables:E2_4_2_19_kcat} * E2_4_2_19 * C01185 * C00013 * C00011 )/(${Variables:E2_4_2_19_km} + (E2_4_2_19 * C01185 * C00013 * C00011 ))</v>
      </c>
    </row>
    <row r="197" spans="1:10">
      <c r="A197" s="19" t="s">
        <v>5503</v>
      </c>
      <c r="B197" s="1" t="s">
        <v>11507</v>
      </c>
      <c r="C197" s="32">
        <v>196</v>
      </c>
      <c r="D197" t="str">
        <f t="shared" si="15"/>
        <v>E2_4_2_21</v>
      </c>
      <c r="E197" s="10" t="s">
        <v>10159</v>
      </c>
      <c r="F197" s="10" t="s">
        <v>12035</v>
      </c>
      <c r="G197" s="13" t="s">
        <v>10160</v>
      </c>
      <c r="H197" s="13" t="s">
        <v>12463</v>
      </c>
      <c r="I197" t="str">
        <f t="shared" si="16"/>
        <v>(${Variables:E2_4_2_21_kcat} * E2_4_2_21 * C01185 * C03114 )/(${Variables:E2_4_2_21_km} + (E2_4_2_21 * C01185 * C03114 ))</v>
      </c>
      <c r="J197" t="str">
        <f t="shared" si="12"/>
        <v>r196: C01185 + C03114  -&gt; C00253 + C04778 + C00080 | (${Variables:E2_4_2_21_kcat} * E2_4_2_21 * C01185 * C03114 )/(${Variables:E2_4_2_21_km} + (E2_4_2_21 * C01185 * C03114 ))</v>
      </c>
    </row>
    <row r="198" spans="1:10">
      <c r="A198" s="19" t="s">
        <v>7643</v>
      </c>
      <c r="B198" s="1" t="s">
        <v>11508</v>
      </c>
      <c r="C198" s="32">
        <v>197</v>
      </c>
      <c r="D198" t="str">
        <f t="shared" si="15"/>
        <v>E2_4_2_22</v>
      </c>
      <c r="E198" s="10" t="s">
        <v>10450</v>
      </c>
      <c r="F198" s="10" t="s">
        <v>12036</v>
      </c>
      <c r="G198" s="13" t="s">
        <v>10451</v>
      </c>
      <c r="H198" s="13" t="s">
        <v>12464</v>
      </c>
      <c r="I198" t="str">
        <f t="shared" si="16"/>
        <v>(${Variables:E2_4_2_22_kcat} * E2_4_2_22 * C00655 * C00013 )/(${Variables:E2_4_2_22_km} + (E2_4_2_22 * C00655 * C00013 ))</v>
      </c>
      <c r="J198" t="str">
        <f t="shared" si="12"/>
        <v>r197: C00655 + C00013  -&gt;  C00385 + C00119 | (${Variables:E2_4_2_22_kcat} * E2_4_2_22 * C00655 * C00013 )/(${Variables:E2_4_2_22_km} + (E2_4_2_22 * C00655 * C00013 ))</v>
      </c>
    </row>
    <row r="199" spans="1:10">
      <c r="A199" s="19" t="s">
        <v>7643</v>
      </c>
      <c r="B199" s="1" t="s">
        <v>11508</v>
      </c>
      <c r="C199" s="32">
        <v>198</v>
      </c>
      <c r="D199" t="str">
        <f t="shared" si="15"/>
        <v>E2_4_2_22</v>
      </c>
      <c r="E199" s="10" t="s">
        <v>10452</v>
      </c>
      <c r="F199" s="10" t="s">
        <v>12037</v>
      </c>
      <c r="G199" s="13" t="s">
        <v>10453</v>
      </c>
      <c r="H199" s="13" t="s">
        <v>12465</v>
      </c>
      <c r="I199" t="str">
        <f t="shared" si="16"/>
        <v>(${Variables:E2_4_2_22_kcat} * E2_4_2_22 * C00144 * C00013 )/(${Variables:E2_4_2_22_km} + (E2_4_2_22 * C00144 * C00013 ))</v>
      </c>
      <c r="J199" t="str">
        <f t="shared" si="12"/>
        <v>r198: C00144 + C00013  -&gt;  C00242 + C00119 | (${Variables:E2_4_2_22_kcat} * E2_4_2_22 * C00144 * C00013 )/(${Variables:E2_4_2_22_km} + (E2_4_2_22 * C00144 * C00013 ))</v>
      </c>
    </row>
    <row r="200" spans="1:10">
      <c r="A200" s="19" t="s">
        <v>216</v>
      </c>
      <c r="B200" s="1" t="s">
        <v>11509</v>
      </c>
      <c r="C200" s="32">
        <v>199</v>
      </c>
      <c r="D200" t="str">
        <f t="shared" si="15"/>
        <v>E2_4_2_29</v>
      </c>
      <c r="E200" s="10" t="s">
        <v>11773</v>
      </c>
      <c r="F200" s="10" t="s">
        <v>12038</v>
      </c>
      <c r="G200" s="13" t="s">
        <v>11774</v>
      </c>
      <c r="H200" s="13" t="s">
        <v>12466</v>
      </c>
      <c r="I200" t="str">
        <f t="shared" si="16"/>
        <v>(${Variables:E2_4_2_29_kcat} * E2_4_2_29 * C01977 * C16675)/(${Variables:E2_4_2_29_km} + (E2_4_2_29 * C01977 * C16675))</v>
      </c>
      <c r="J200" t="str">
        <f t="shared" si="12"/>
        <v>r199: C01977 + C16675 -&gt; C20446 + C00242 | (${Variables:E2_4_2_29_kcat} * E2_4_2_29 * C01977 * C16675)/(${Variables:E2_4_2_29_km} + (E2_4_2_29 * C01977 * C16675))</v>
      </c>
    </row>
    <row r="201" spans="1:10">
      <c r="A201" s="19" t="s">
        <v>829</v>
      </c>
      <c r="B201" s="1" t="s">
        <v>11510</v>
      </c>
      <c r="C201" s="32">
        <v>200</v>
      </c>
      <c r="D201" t="str">
        <f t="shared" si="15"/>
        <v>E2_4_2_8</v>
      </c>
      <c r="E201" s="10" t="s">
        <v>11775</v>
      </c>
      <c r="F201" s="10" t="s">
        <v>12039</v>
      </c>
      <c r="G201" s="13" t="s">
        <v>11776</v>
      </c>
      <c r="H201" s="13" t="s">
        <v>12467</v>
      </c>
      <c r="I201" t="str">
        <f t="shared" si="16"/>
        <v>(${Variables:E2_4_2_8_kcat} * E2_4_2_8 * C00130 * C00013)/(${Variables:E2_4_2_8_km} + (E2_4_2_8 * C00130 * C00013))</v>
      </c>
      <c r="J201" t="str">
        <f t="shared" ref="J201:J262" si="17">CONCATENATE("r",C201,": ",E201," -&gt; ",G201," | ",I201)</f>
        <v>r200: C00130 + C00013 -&gt;  C00262 + C00119 | (${Variables:E2_4_2_8_kcat} * E2_4_2_8 * C00130 * C00013)/(${Variables:E2_4_2_8_km} + (E2_4_2_8 * C00130 * C00013))</v>
      </c>
    </row>
    <row r="202" spans="1:10">
      <c r="A202" s="19" t="s">
        <v>829</v>
      </c>
      <c r="B202" s="1" t="s">
        <v>11510</v>
      </c>
      <c r="C202" s="32">
        <v>201</v>
      </c>
      <c r="D202" t="str">
        <f t="shared" si="15"/>
        <v>E2_4_2_8</v>
      </c>
      <c r="E202" s="21" t="s">
        <v>11777</v>
      </c>
      <c r="F202" s="21" t="s">
        <v>12040</v>
      </c>
      <c r="G202" s="13" t="s">
        <v>10453</v>
      </c>
      <c r="H202" s="13" t="s">
        <v>12465</v>
      </c>
      <c r="I202" t="str">
        <f t="shared" si="16"/>
        <v>(${Variables:E2_4_2_8_kcat} * E2_4_2_8 * C00144 * C00013)/(${Variables:E2_4_2_8_km} + (E2_4_2_8 * C00144 * C00013))</v>
      </c>
      <c r="J202" t="str">
        <f t="shared" si="17"/>
        <v>r201: C00144 + C00013 -&gt;  C00242 + C00119 | (${Variables:E2_4_2_8_kcat} * E2_4_2_8 * C00144 * C00013)/(${Variables:E2_4_2_8_km} + (E2_4_2_8 * C00144 * C00013))</v>
      </c>
    </row>
    <row r="203" spans="1:10">
      <c r="A203" s="19" t="s">
        <v>829</v>
      </c>
      <c r="B203" s="1" t="s">
        <v>11510</v>
      </c>
      <c r="C203" s="32">
        <v>202</v>
      </c>
      <c r="D203" t="str">
        <f t="shared" si="15"/>
        <v>E2_4_2_8</v>
      </c>
      <c r="E203" s="10" t="s">
        <v>10450</v>
      </c>
      <c r="F203" s="10" t="s">
        <v>12036</v>
      </c>
      <c r="G203" s="13" t="s">
        <v>11778</v>
      </c>
      <c r="H203" s="13" t="s">
        <v>12468</v>
      </c>
      <c r="I203" t="str">
        <f t="shared" si="16"/>
        <v>(${Variables:E2_4_2_8_kcat} * E2_4_2_8 * C00655 * C00013 )/(${Variables:E2_4_2_8_km} + (E2_4_2_8 * C00655 * C00013 ))</v>
      </c>
      <c r="J203" t="str">
        <f t="shared" si="17"/>
        <v>r202: C00655 + C00013  -&gt; C00385 + C00119 | (${Variables:E2_4_2_8_kcat} * E2_4_2_8 * C00655 * C00013 )/(${Variables:E2_4_2_8_km} + (E2_4_2_8 * C00655 * C00013 ))</v>
      </c>
    </row>
    <row r="204" spans="1:10">
      <c r="A204" s="19" t="s">
        <v>829</v>
      </c>
      <c r="B204" s="1" t="s">
        <v>11510</v>
      </c>
      <c r="C204" s="32">
        <v>203</v>
      </c>
      <c r="D204" t="str">
        <f t="shared" si="15"/>
        <v>E2_4_2_8</v>
      </c>
      <c r="E204" s="10" t="s">
        <v>11779</v>
      </c>
      <c r="F204" s="10" t="s">
        <v>12041</v>
      </c>
      <c r="G204" s="13" t="s">
        <v>11780</v>
      </c>
      <c r="H204" s="13" t="s">
        <v>12469</v>
      </c>
      <c r="I204" t="str">
        <f t="shared" si="16"/>
        <v>(${Variables:E2_4_2_8_kcat} * E2_4_2_8 * C02380 * C00119 )/(${Variables:E2_4_2_8_km} + (E2_4_2_8 * C02380 * C00119 ))</v>
      </c>
      <c r="J204" t="str">
        <f t="shared" si="17"/>
        <v>r203: C02380 + C00119  -&gt; C04646 + C00013 | (${Variables:E2_4_2_8_kcat} * E2_4_2_8 * C02380 * C00119 )/(${Variables:E2_4_2_8_km} + (E2_4_2_8 * C02380 * C00119 ))</v>
      </c>
    </row>
    <row r="205" spans="1:10">
      <c r="A205" s="19" t="s">
        <v>829</v>
      </c>
      <c r="B205" s="1" t="s">
        <v>11510</v>
      </c>
      <c r="C205" s="32">
        <v>204</v>
      </c>
      <c r="D205" t="str">
        <f t="shared" si="15"/>
        <v>E2_4_2_8</v>
      </c>
      <c r="E205" s="10" t="s">
        <v>11781</v>
      </c>
      <c r="F205" s="10" t="s">
        <v>12042</v>
      </c>
      <c r="G205" s="13" t="s">
        <v>11782</v>
      </c>
      <c r="H205" s="13" t="s">
        <v>12470</v>
      </c>
      <c r="I205" t="str">
        <f t="shared" si="16"/>
        <v>(${Variables:E2_4_2_8_kcat} * E2_4_2_8 * C16614 * C00119)/(${Variables:E2_4_2_8_km} + (E2_4_2_8 * C16614 * C00119))</v>
      </c>
      <c r="J205" t="str">
        <f t="shared" si="17"/>
        <v>r204: C16614 + C00119 -&gt; C16615 + C00013 | (${Variables:E2_4_2_8_kcat} * E2_4_2_8 * C16614 * C00119)/(${Variables:E2_4_2_8_km} + (E2_4_2_8 * C16614 * C00119))</v>
      </c>
    </row>
    <row r="206" spans="1:10">
      <c r="A206" s="19" t="s">
        <v>829</v>
      </c>
      <c r="B206" s="1" t="s">
        <v>11510</v>
      </c>
      <c r="C206" s="32">
        <v>205</v>
      </c>
      <c r="D206" t="str">
        <f t="shared" si="15"/>
        <v>E2_4_2_8</v>
      </c>
      <c r="E206" s="10" t="s">
        <v>11783</v>
      </c>
      <c r="F206" s="10" t="s">
        <v>12043</v>
      </c>
      <c r="G206" s="13" t="s">
        <v>11784</v>
      </c>
      <c r="H206" s="13" t="s">
        <v>12471</v>
      </c>
      <c r="I206" t="str">
        <f t="shared" si="16"/>
        <v>(${Variables:E2_4_2_8_kcat} * E2_4_2_8 * C07648 * C00119 )/(${Variables:E2_4_2_8_km} + (E2_4_2_8 * C07648 * C00119 ))</v>
      </c>
      <c r="J206" t="str">
        <f t="shared" si="17"/>
        <v>r205: C07648 + C00119  -&gt;  C16619 + C00013 | (${Variables:E2_4_2_8_kcat} * E2_4_2_8 * C07648 * C00119 )/(${Variables:E2_4_2_8_km} + (E2_4_2_8 * C07648 * C00119 ))</v>
      </c>
    </row>
    <row r="207" spans="1:10">
      <c r="A207" s="19" t="s">
        <v>8454</v>
      </c>
      <c r="B207" s="1" t="s">
        <v>11511</v>
      </c>
      <c r="C207" s="32">
        <v>206</v>
      </c>
      <c r="D207" t="str">
        <f t="shared" si="15"/>
        <v>E2_4_2_9</v>
      </c>
      <c r="E207" s="10" t="s">
        <v>10132</v>
      </c>
      <c r="F207" s="10" t="s">
        <v>12044</v>
      </c>
      <c r="G207" s="13" t="s">
        <v>10529</v>
      </c>
      <c r="H207" s="13" t="s">
        <v>12472</v>
      </c>
      <c r="I207" t="str">
        <f t="shared" si="16"/>
        <v>(${Variables:E2_4_2_9_kcat} * E2_4_2_9 * C00105 * C00013)/(${Variables:E2_4_2_9_km} + (E2_4_2_9 * C00105 * C00013))</v>
      </c>
      <c r="J207" t="str">
        <f t="shared" si="17"/>
        <v>r206: C00105 + C00013 -&gt;  C00106 + C00119 | (${Variables:E2_4_2_9_kcat} * E2_4_2_9 * C00105 * C00013)/(${Variables:E2_4_2_9_km} + (E2_4_2_9 * C00105 * C00013))</v>
      </c>
    </row>
    <row r="208" spans="1:10">
      <c r="A208" s="19" t="s">
        <v>1919</v>
      </c>
      <c r="B208" s="1" t="s">
        <v>11512</v>
      </c>
      <c r="C208" s="32">
        <v>207</v>
      </c>
      <c r="D208" t="str">
        <f t="shared" si="15"/>
        <v>E2_4_99_17</v>
      </c>
      <c r="E208" s="10" t="s">
        <v>9648</v>
      </c>
      <c r="F208" s="10" t="s">
        <v>12045</v>
      </c>
      <c r="G208" s="13" t="s">
        <v>9649</v>
      </c>
      <c r="H208" s="13" t="s">
        <v>12473</v>
      </c>
      <c r="I208" t="str">
        <f t="shared" si="16"/>
        <v>(${Variables:E2_4_99_17_kcat} * E2_4_99_17 * C00019 * C20446)/(${Variables:E2_4_99_17_km} + (E2_4_99_17 * C00019 * C20446))</v>
      </c>
      <c r="J208" t="str">
        <f t="shared" si="17"/>
        <v>r207: C00019 + C20446 -&gt; C00073 + C00147 + C19647 | (${Variables:E2_4_99_17_kcat} * E2_4_99_17 * C00019 * C20446)/(${Variables:E2_4_99_17_km} + (E2_4_99_17 * C00019 * C20446))</v>
      </c>
    </row>
    <row r="209" spans="1:10">
      <c r="A209" s="19" t="s">
        <v>4012</v>
      </c>
      <c r="B209" s="1" t="s">
        <v>11513</v>
      </c>
      <c r="C209" s="32">
        <v>208</v>
      </c>
      <c r="D209" t="str">
        <f t="shared" si="15"/>
        <v>E2_5_1_15</v>
      </c>
      <c r="E209" s="10" t="s">
        <v>9927</v>
      </c>
      <c r="F209" s="10" t="s">
        <v>12046</v>
      </c>
      <c r="G209" s="13" t="s">
        <v>9928</v>
      </c>
      <c r="H209" s="13" t="s">
        <v>12474</v>
      </c>
      <c r="I209" t="str">
        <f t="shared" si="16"/>
        <v>(${Variables:E2_5_1_15_kcat} * E2_5_1_15 * C04807 * C00568 )/(${Variables:E2_5_1_15_km} + (E2_5_1_15 * C04807 * C00568 ))</v>
      </c>
      <c r="J209" t="str">
        <f t="shared" si="17"/>
        <v>r208: C04807 + C00568  -&gt; C00013 + C00921 | (${Variables:E2_5_1_15_kcat} * E2_5_1_15 * C04807 * C00568 )/(${Variables:E2_5_1_15_km} + (E2_5_1_15 * C04807 * C00568 ))</v>
      </c>
    </row>
    <row r="210" spans="1:10">
      <c r="A210" s="19" t="s">
        <v>4012</v>
      </c>
      <c r="B210" s="1" t="s">
        <v>11513</v>
      </c>
      <c r="C210" s="32">
        <v>209</v>
      </c>
      <c r="D210" t="str">
        <f t="shared" si="15"/>
        <v>E2_5_1_15</v>
      </c>
      <c r="E210" s="10" t="s">
        <v>9929</v>
      </c>
      <c r="F210" s="10" t="s">
        <v>12047</v>
      </c>
      <c r="G210" s="13" t="s">
        <v>9930</v>
      </c>
      <c r="H210" s="13" t="s">
        <v>12475</v>
      </c>
      <c r="I210" t="str">
        <f t="shared" si="16"/>
        <v>(${Variables:E2_5_1_15_kcat} * E2_5_1_15 * C01300 * C00568 )/(${Variables:E2_5_1_15_km} + (E2_5_1_15 * C01300 * C00568 ))</v>
      </c>
      <c r="J210" t="str">
        <f t="shared" si="17"/>
        <v>r209: C01300 + C00568  -&gt;  C00921 + C00001 | (${Variables:E2_5_1_15_kcat} * E2_5_1_15 * C01300 * C00568 )/(${Variables:E2_5_1_15_km} + (E2_5_1_15 * C01300 * C00568 ))</v>
      </c>
    </row>
    <row r="211" spans="1:10">
      <c r="A211" s="19" t="s">
        <v>3860</v>
      </c>
      <c r="B211" s="25" t="s">
        <v>11514</v>
      </c>
      <c r="C211" s="32">
        <v>210</v>
      </c>
      <c r="D211" t="str">
        <f t="shared" si="15"/>
        <v>E2_5_1_17</v>
      </c>
      <c r="E211" s="10" t="s">
        <v>12817</v>
      </c>
      <c r="F211" s="10" t="s">
        <v>12850</v>
      </c>
      <c r="G211" s="13" t="s">
        <v>12880</v>
      </c>
      <c r="H211" s="13" t="s">
        <v>12920</v>
      </c>
      <c r="I211" t="str">
        <f t="shared" si="16"/>
        <v>(${Variables:E2_5_1_17_kcat} * E2_5_1_17 *  C00002 * C00541 * C03024 )/(${Variables:E2_5_1_17_km} + (E2_5_1_17 *  C00002 * C00541 * C03024 ))</v>
      </c>
      <c r="J211" t="str">
        <f t="shared" si="17"/>
        <v>r210: C00002 + C00541 + C03024  -&gt;   C00536 +  C00194 + C03161 | (${Variables:E2_5_1_17_kcat} * E2_5_1_17 *  C00002 * C00541 * C03024 )/(${Variables:E2_5_1_17_km} + (E2_5_1_17 *  C00002 * C00541 * C03024 ))</v>
      </c>
    </row>
    <row r="212" spans="1:10">
      <c r="A212" s="19" t="s">
        <v>3860</v>
      </c>
      <c r="B212" s="25" t="s">
        <v>11514</v>
      </c>
      <c r="C212" s="32">
        <v>211</v>
      </c>
      <c r="D212" t="str">
        <f t="shared" si="15"/>
        <v>E2_5_1_17</v>
      </c>
      <c r="E212" s="10" t="s">
        <v>12818</v>
      </c>
      <c r="F212" s="10" t="s">
        <v>12851</v>
      </c>
      <c r="G212" s="13" t="s">
        <v>12881</v>
      </c>
      <c r="H212" s="13" t="s">
        <v>12921</v>
      </c>
      <c r="I212" t="str">
        <f t="shared" si="16"/>
        <v>(${Variables:E2_5_1_17_kcat} * E2_5_1_17 * C00002 *  C06504 * C03024 )/(${Variables:E2_5_1_17_km} + (E2_5_1_17 * C00002 *  C06504 * C03024 ))</v>
      </c>
      <c r="J212" t="str">
        <f t="shared" si="17"/>
        <v>r211:  C00002 + C06504 + C03024  -&gt;  C00536 + C06506 + C03161 | (${Variables:E2_5_1_17_kcat} * E2_5_1_17 * C00002 *  C06504 * C03024 )/(${Variables:E2_5_1_17_km} + (E2_5_1_17 * C00002 *  C06504 * C03024 ))</v>
      </c>
    </row>
    <row r="213" spans="1:10">
      <c r="A213" s="19" t="s">
        <v>3860</v>
      </c>
      <c r="B213" s="25" t="s">
        <v>11514</v>
      </c>
      <c r="C213" s="32">
        <v>212</v>
      </c>
      <c r="D213" t="str">
        <f t="shared" si="15"/>
        <v>E2_5_1_17</v>
      </c>
      <c r="E213" s="10" t="s">
        <v>9975</v>
      </c>
      <c r="F213" s="10" t="s">
        <v>12048</v>
      </c>
      <c r="G213" s="13" t="s">
        <v>9976</v>
      </c>
      <c r="H213" s="13" t="s">
        <v>12476</v>
      </c>
      <c r="I213" t="str">
        <f t="shared" si="16"/>
        <v>(${Variables:E2_5_1_17_kcat} * E2_5_1_17 * C00002 * C00853 )/(${Variables:E2_5_1_17_km} + (E2_5_1_17 * C00002 * C00853 ))</v>
      </c>
      <c r="J213" t="str">
        <f t="shared" si="17"/>
        <v>r212: C00002 + C00853  -&gt;  C00536 + C00194 | (${Variables:E2_5_1_17_kcat} * E2_5_1_17 * C00002 * C00853 )/(${Variables:E2_5_1_17_km} + (E2_5_1_17 * C00002 * C00853 ))</v>
      </c>
    </row>
    <row r="214" spans="1:10">
      <c r="A214" s="19" t="s">
        <v>3860</v>
      </c>
      <c r="B214" s="25" t="s">
        <v>11514</v>
      </c>
      <c r="C214" s="32">
        <v>213</v>
      </c>
      <c r="D214" t="str">
        <f t="shared" si="15"/>
        <v>E2_5_1_17</v>
      </c>
      <c r="E214" s="10" t="s">
        <v>9977</v>
      </c>
      <c r="F214" s="10" t="s">
        <v>12049</v>
      </c>
      <c r="G214" s="13" t="s">
        <v>9978</v>
      </c>
      <c r="H214" s="13" t="s">
        <v>12477</v>
      </c>
      <c r="I214" t="str">
        <f t="shared" si="16"/>
        <v>(${Variables:E2_5_1_17_kcat} * E2_5_1_17 * C06505 * C00002)/(${Variables:E2_5_1_17_km} + (E2_5_1_17 * C06505 * C00002))</v>
      </c>
      <c r="J214" t="str">
        <f t="shared" si="17"/>
        <v>r213: C06505 + C00002 -&gt;  C06506 + C00536 | (${Variables:E2_5_1_17_kcat} * E2_5_1_17 * C06505 * C00002)/(${Variables:E2_5_1_17_km} + (E2_5_1_17 * C06505 * C00002))</v>
      </c>
    </row>
    <row r="215" spans="1:10">
      <c r="A215" s="19" t="s">
        <v>3860</v>
      </c>
      <c r="B215" s="25" t="s">
        <v>11514</v>
      </c>
      <c r="C215" s="32">
        <v>214</v>
      </c>
      <c r="D215" t="str">
        <f t="shared" si="15"/>
        <v>E2_5_1_17</v>
      </c>
      <c r="E215" s="10" t="s">
        <v>9979</v>
      </c>
      <c r="F215" s="10" t="s">
        <v>12050</v>
      </c>
      <c r="G215" s="13" t="s">
        <v>9980</v>
      </c>
      <c r="H215" s="13" t="s">
        <v>12478</v>
      </c>
      <c r="I215" t="str">
        <f t="shared" si="16"/>
        <v>(${Variables:E2_5_1_17_kcat} * E2_5_1_17 * C00002 * C05774 )/(${Variables:E2_5_1_17_km} + (E2_5_1_17 * C00002 * C05774 ))</v>
      </c>
      <c r="J215" t="str">
        <f t="shared" si="17"/>
        <v>r214: C00002 + C05774  -&gt;  C00536 + C06508 | (${Variables:E2_5_1_17_kcat} * E2_5_1_17 * C00002 * C05774 )/(${Variables:E2_5_1_17_km} + (E2_5_1_17 * C00002 * C05774 ))</v>
      </c>
    </row>
    <row r="216" spans="1:10">
      <c r="A216" s="19" t="s">
        <v>8800</v>
      </c>
      <c r="B216" s="1" t="s">
        <v>11515</v>
      </c>
      <c r="C216" s="32">
        <v>215</v>
      </c>
      <c r="D216" t="str">
        <f t="shared" si="15"/>
        <v>E2_5_1_47</v>
      </c>
      <c r="E216" s="10" t="s">
        <v>10614</v>
      </c>
      <c r="F216" s="10" t="s">
        <v>12051</v>
      </c>
      <c r="G216" s="13" t="s">
        <v>10615</v>
      </c>
      <c r="H216" s="13" t="s">
        <v>12479</v>
      </c>
      <c r="I216" t="str">
        <f t="shared" si="16"/>
        <v>(${Variables:E2_5_1_47_kcat} * E2_5_1_47 * C00979 * C00283 )/(${Variables:E2_5_1_47_km} + (E2_5_1_47 * C00979 * C00283 ))</v>
      </c>
      <c r="J216" t="str">
        <f t="shared" si="17"/>
        <v>r215: C00979 + C00283  -&gt; C00097 + C00033 | (${Variables:E2_5_1_47_kcat} * E2_5_1_47 * C00979 * C00283 )/(${Variables:E2_5_1_47_km} + (E2_5_1_47 * C00979 * C00283 ))</v>
      </c>
    </row>
    <row r="217" spans="1:10">
      <c r="A217" s="19" t="s">
        <v>8800</v>
      </c>
      <c r="B217" s="1" t="s">
        <v>11515</v>
      </c>
      <c r="C217" s="32">
        <v>216</v>
      </c>
      <c r="D217" t="str">
        <f t="shared" si="15"/>
        <v>E2_5_1_47</v>
      </c>
      <c r="E217" s="10" t="s">
        <v>10616</v>
      </c>
      <c r="F217" s="10" t="s">
        <v>12052</v>
      </c>
      <c r="G217" s="13" t="s">
        <v>10617</v>
      </c>
      <c r="H217" s="13" t="s">
        <v>12480</v>
      </c>
      <c r="I217" t="str">
        <f t="shared" si="16"/>
        <v>(${Variables:E2_5_1_47_kcat} * E2_5_1_47 * C00979 * C01528 )/(${Variables:E2_5_1_47_km} + (E2_5_1_47 * C00979 * C01528 ))</v>
      </c>
      <c r="J217" t="str">
        <f t="shared" si="17"/>
        <v>r216: C00979 + C01528  -&gt;  C05688 + C00033 | (${Variables:E2_5_1_47_kcat} * E2_5_1_47 * C00979 * C01528 )/(${Variables:E2_5_1_47_km} + (E2_5_1_47 * C00979 * C01528 ))</v>
      </c>
    </row>
    <row r="218" spans="1:10">
      <c r="A218" s="19" t="s">
        <v>8800</v>
      </c>
      <c r="B218" s="1" t="s">
        <v>11515</v>
      </c>
      <c r="C218" s="32">
        <v>217</v>
      </c>
      <c r="D218" t="str">
        <f t="shared" si="15"/>
        <v>E2_5_1_47</v>
      </c>
      <c r="E218" s="10" t="s">
        <v>10618</v>
      </c>
      <c r="F218" s="10" t="s">
        <v>12053</v>
      </c>
      <c r="G218" s="13" t="s">
        <v>10619</v>
      </c>
      <c r="H218" s="13" t="s">
        <v>12481</v>
      </c>
      <c r="I218" t="str">
        <f t="shared" si="16"/>
        <v>(${Variables:E2_5_1_47_kcat} * E2_5_1_47 * C00979 * C00320 * C00342 * C00080)/(${Variables:E2_5_1_47_km} + (E2_5_1_47 * C00979 * C00320 * C00342 * C00080))</v>
      </c>
      <c r="J218" t="str">
        <f t="shared" si="17"/>
        <v>r217: C00979 + C00320 + C00342 + C00080 -&gt; C00097 + C00094 + C00343 + C00033 | (${Variables:E2_5_1_47_kcat} * E2_5_1_47 * C00979 * C00320 * C00342 * C00080)/(${Variables:E2_5_1_47_km} + (E2_5_1_47 * C00979 * C00320 * C00342 * C00080))</v>
      </c>
    </row>
    <row r="219" spans="1:10">
      <c r="A219" s="19" t="s">
        <v>8800</v>
      </c>
      <c r="B219" s="1" t="s">
        <v>11515</v>
      </c>
      <c r="C219" s="32">
        <v>218</v>
      </c>
      <c r="D219" t="str">
        <f t="shared" si="15"/>
        <v>E2_5_1_47</v>
      </c>
      <c r="E219" s="10" t="s">
        <v>10620</v>
      </c>
      <c r="F219" s="10" t="s">
        <v>12054</v>
      </c>
      <c r="G219" s="13" t="s">
        <v>10621</v>
      </c>
      <c r="H219" s="13" t="s">
        <v>12482</v>
      </c>
      <c r="I219" t="str">
        <f t="shared" si="16"/>
        <v>(${Variables:E2_5_1_47_kcat} * E2_5_1_47 * C01005 * C00283 )/(${Variables:E2_5_1_47_km} + (E2_5_1_47 * C01005 * C00283 ))</v>
      </c>
      <c r="J219" t="str">
        <f t="shared" si="17"/>
        <v>r218: C01005 + C00283  -&gt;  C00097 + C00009 | (${Variables:E2_5_1_47_kcat} * E2_5_1_47 * C01005 * C00283 )/(${Variables:E2_5_1_47_km} + (E2_5_1_47 * C01005 * C00283 ))</v>
      </c>
    </row>
    <row r="220" spans="1:10">
      <c r="A220" s="19" t="s">
        <v>6129</v>
      </c>
      <c r="B220" s="25" t="s">
        <v>11516</v>
      </c>
      <c r="C220" s="32">
        <v>219</v>
      </c>
      <c r="D220" t="str">
        <f t="shared" si="15"/>
        <v>E2_5_1_55</v>
      </c>
      <c r="E220" s="10" t="s">
        <v>10239</v>
      </c>
      <c r="F220" s="10" t="s">
        <v>12055</v>
      </c>
      <c r="G220" s="13" t="s">
        <v>9893</v>
      </c>
      <c r="H220" s="13" t="s">
        <v>12483</v>
      </c>
      <c r="I220" t="str">
        <f t="shared" si="16"/>
        <v>(${Variables:E2_5_1_55_kcat} * E2_5_1_55 * C04478 * C00009 )/(${Variables:E2_5_1_55_km} + (E2_5_1_55 * C04478 * C00009 ))</v>
      </c>
      <c r="J220" t="str">
        <f t="shared" si="17"/>
        <v>r219: C04478 + C00009  -&gt;  C00352 + C00033 | (${Variables:E2_5_1_55_kcat} * E2_5_1_55 * C04478 * C00009 )/(${Variables:E2_5_1_55_km} + (E2_5_1_55 * C04478 * C00009 ))</v>
      </c>
    </row>
    <row r="221" spans="1:10">
      <c r="A221" s="19" t="s">
        <v>1911</v>
      </c>
      <c r="B221" s="1" t="s">
        <v>11517</v>
      </c>
      <c r="C221" s="32">
        <v>220</v>
      </c>
      <c r="D221" t="str">
        <f t="shared" si="15"/>
        <v>E2_5_1_6</v>
      </c>
      <c r="E221" s="10" t="s">
        <v>9639</v>
      </c>
      <c r="F221" s="10" t="s">
        <v>12056</v>
      </c>
      <c r="G221" s="13" t="s">
        <v>9641</v>
      </c>
      <c r="H221" s="13" t="s">
        <v>12484</v>
      </c>
      <c r="I221" t="str">
        <f t="shared" si="16"/>
        <v>(${Variables:E2_5_1_6_kcat} * E2_5_1_6 * C00009 * C00013 * C00019 )/(${Variables:E2_5_1_6_km} + (E2_5_1_6 * C00009 * C00013 * C00019 ))</v>
      </c>
      <c r="J221" t="str">
        <f t="shared" si="17"/>
        <v>r220: C00009 + C00013 + C00019  -&gt; C00002 + C00073 + C00001 | (${Variables:E2_5_1_6_kcat} * E2_5_1_6 * C00009 * C00013 * C00019 )/(${Variables:E2_5_1_6_km} + (E2_5_1_6 * C00009 * C00013 * C00019 ))</v>
      </c>
    </row>
    <row r="222" spans="1:10">
      <c r="A222" s="19" t="s">
        <v>1911</v>
      </c>
      <c r="B222" s="1" t="s">
        <v>11517</v>
      </c>
      <c r="C222" s="32">
        <v>221</v>
      </c>
      <c r="D222" t="str">
        <f t="shared" si="15"/>
        <v>E2_5_1_6</v>
      </c>
      <c r="E222" s="10" t="s">
        <v>9642</v>
      </c>
      <c r="F222" s="10" t="s">
        <v>12057</v>
      </c>
      <c r="G222" s="13" t="s">
        <v>9643</v>
      </c>
      <c r="H222" s="13" t="s">
        <v>12485</v>
      </c>
      <c r="I222" t="str">
        <f t="shared" si="16"/>
        <v>(${Variables:E2_5_1_6_kcat} * E2_5_1_6 * C00002 * C05335 * C00001 )/(${Variables:E2_5_1_6_km} + (E2_5_1_6 * C00002 * C05335 * C00001 ))</v>
      </c>
      <c r="J222" t="str">
        <f t="shared" si="17"/>
        <v>r221: C00002 + C05335 + C00001  -&gt;  C00009 + C00013 + C05691 | (${Variables:E2_5_1_6_kcat} * E2_5_1_6 * C00002 * C05335 * C00001 )/(${Variables:E2_5_1_6_km} + (E2_5_1_6 * C00002 * C05335 * C00001 ))</v>
      </c>
    </row>
    <row r="223" spans="1:10">
      <c r="A223" s="19" t="s">
        <v>7277</v>
      </c>
      <c r="B223" s="1" t="s">
        <v>11518</v>
      </c>
      <c r="C223" s="32">
        <v>222</v>
      </c>
      <c r="D223" t="str">
        <f t="shared" si="15"/>
        <v>E2_5_1_7</v>
      </c>
      <c r="E223" s="10" t="s">
        <v>10363</v>
      </c>
      <c r="F223" s="10" t="s">
        <v>12058</v>
      </c>
      <c r="G223" s="13" t="s">
        <v>10364</v>
      </c>
      <c r="H223" s="13" t="s">
        <v>12486</v>
      </c>
      <c r="I223" t="str">
        <f t="shared" si="16"/>
        <v>(${Variables:E2_5_1_7_kcat} * E2_5_1_7 * C00074 * C00043 )/(${Variables:E2_5_1_7_km} + (E2_5_1_7 * C00074 * C00043 ))</v>
      </c>
      <c r="J223" t="str">
        <f t="shared" si="17"/>
        <v>r222: C00074 + C00043  -&gt; C04631 + C00009 | (${Variables:E2_5_1_7_kcat} * E2_5_1_7 * C00074 * C00043 )/(${Variables:E2_5_1_7_km} + (E2_5_1_7 * C00074 * C00043 ))</v>
      </c>
    </row>
    <row r="224" spans="1:10">
      <c r="A224" s="19" t="s">
        <v>7517</v>
      </c>
      <c r="B224" s="1" t="s">
        <v>11519</v>
      </c>
      <c r="C224" s="32">
        <v>223</v>
      </c>
      <c r="D224" t="str">
        <f t="shared" si="15"/>
        <v>E2_5_1_74</v>
      </c>
      <c r="E224" s="10" t="s">
        <v>10437</v>
      </c>
      <c r="F224" s="10" t="s">
        <v>12059</v>
      </c>
      <c r="G224" s="13" t="s">
        <v>10438</v>
      </c>
      <c r="H224" s="13" t="s">
        <v>12487</v>
      </c>
      <c r="I224" t="str">
        <f t="shared" si="16"/>
        <v>(${Variables:E2_5_1_74_kcat} * E2_5_1_74 * C05847 * C03657 )/(${Variables:E2_5_1_74_km} + (E2_5_1_74 * C05847 * C03657 ))</v>
      </c>
      <c r="J224" t="str">
        <f t="shared" si="17"/>
        <v>r223: C05847 + C03657  -&gt;  C19847 + C00013 + C00011 | (${Variables:E2_5_1_74_kcat} * E2_5_1_74 * C05847 * C03657 )/(${Variables:E2_5_1_74_km} + (E2_5_1_74 * C05847 * C03657 ))</v>
      </c>
    </row>
    <row r="225" spans="1:10">
      <c r="A225" s="19" t="s">
        <v>1289</v>
      </c>
      <c r="B225" s="1" t="s">
        <v>11520</v>
      </c>
      <c r="C225" s="32">
        <v>224</v>
      </c>
      <c r="D225" t="str">
        <f t="shared" si="15"/>
        <v>E2_5_1_75</v>
      </c>
      <c r="E225" s="10" t="s">
        <v>11785</v>
      </c>
      <c r="F225" s="10" t="s">
        <v>12060</v>
      </c>
      <c r="G225" s="10" t="s">
        <v>11786</v>
      </c>
      <c r="H225" s="10" t="s">
        <v>12488</v>
      </c>
      <c r="I225" t="str">
        <f t="shared" si="16"/>
        <v>(${Variables:E2_5_1_75_kcat} * E2_5_1_75 * C00235 * C17324)/(${Variables:E2_5_1_75_km} + (E2_5_1_75 * C00235 * C17324))</v>
      </c>
      <c r="J225" t="str">
        <f t="shared" si="17"/>
        <v>r224: C00235 + C17324 -&gt;  C00013+ C04432 | (${Variables:E2_5_1_75_kcat} * E2_5_1_75 * C00235 * C17324)/(${Variables:E2_5_1_75_km} + (E2_5_1_75 * C00235 * C17324))</v>
      </c>
    </row>
    <row r="226" spans="1:10">
      <c r="A226" s="19" t="s">
        <v>6131</v>
      </c>
      <c r="B226" s="1" t="s">
        <v>11520</v>
      </c>
      <c r="C226" s="32">
        <v>225</v>
      </c>
      <c r="D226" t="str">
        <f t="shared" si="15"/>
        <v>E2_5_1_75</v>
      </c>
      <c r="E226" s="10" t="s">
        <v>11785</v>
      </c>
      <c r="F226" s="10" t="s">
        <v>12060</v>
      </c>
      <c r="G226" s="10" t="s">
        <v>11786</v>
      </c>
      <c r="H226" s="10" t="s">
        <v>12488</v>
      </c>
      <c r="I226" t="str">
        <f t="shared" si="16"/>
        <v>(${Variables:E2_5_1_75_kcat} * E2_5_1_75 * C00235 * C17324)/(${Variables:E2_5_1_75_km} + (E2_5_1_75 * C00235 * C17324))</v>
      </c>
      <c r="J226" t="str">
        <f t="shared" si="17"/>
        <v>r225: C00235 + C17324 -&gt;  C00013+ C04432 | (${Variables:E2_5_1_75_kcat} * E2_5_1_75 * C00235 * C17324)/(${Variables:E2_5_1_75_km} + (E2_5_1_75 * C00235 * C17324))</v>
      </c>
    </row>
    <row r="227" spans="1:10">
      <c r="A227" s="19" t="s">
        <v>5972</v>
      </c>
      <c r="B227" s="1" t="s">
        <v>11521</v>
      </c>
      <c r="C227" s="32">
        <v>226</v>
      </c>
      <c r="D227" t="str">
        <f t="shared" si="15"/>
        <v>E2_5_1_78</v>
      </c>
      <c r="E227" s="10" t="s">
        <v>10222</v>
      </c>
      <c r="F227" s="10" t="s">
        <v>12061</v>
      </c>
      <c r="G227" s="13" t="s">
        <v>12882</v>
      </c>
      <c r="H227" s="13" t="s">
        <v>12922</v>
      </c>
      <c r="I227" t="str">
        <f t="shared" si="16"/>
        <v>(${Variables:E2_5_1_78_kcat} * E2_5_1_78 * C04732 * C15556 )/(${Variables:E2_5_1_78_km} + (E2_5_1_78 * C04732 * C15556 ))</v>
      </c>
      <c r="J227" t="str">
        <f t="shared" si="17"/>
        <v>r226: C04732 + C15556  -&gt;  C04332 + C00001 + C00009 | (${Variables:E2_5_1_78_kcat} * E2_5_1_78 * C04732 * C15556 )/(${Variables:E2_5_1_78_km} + (E2_5_1_78 * C04732 * C15556 ))</v>
      </c>
    </row>
    <row r="228" spans="1:10">
      <c r="A228" s="19" t="s">
        <v>6286</v>
      </c>
      <c r="B228" s="1" t="s">
        <v>11522</v>
      </c>
      <c r="C228" s="32">
        <v>227</v>
      </c>
      <c r="D228" t="str">
        <f t="shared" si="15"/>
        <v>E2_5_1_9</v>
      </c>
      <c r="E228" s="10" t="s">
        <v>12819</v>
      </c>
      <c r="F228" s="10" t="s">
        <v>12852</v>
      </c>
      <c r="G228" s="13" t="s">
        <v>10263</v>
      </c>
      <c r="H228" s="13" t="s">
        <v>12489</v>
      </c>
      <c r="I228" t="str">
        <f t="shared" si="16"/>
        <v>(${Variables:E2_5_1_9_kcat} * E2_5_1_9 * C04332 )/(${Variables:E2_5_1_9_km} + (E2_5_1_9 * C04332 ))</v>
      </c>
      <c r="J228" t="str">
        <f t="shared" si="17"/>
        <v>r227:  C04332  -&gt;  C00255 + C04732 | (${Variables:E2_5_1_9_kcat} * E2_5_1_9 * C04332 )/(${Variables:E2_5_1_9_km} + (E2_5_1_9 * C04332 ))</v>
      </c>
    </row>
    <row r="229" spans="1:10">
      <c r="A229" s="19" t="s">
        <v>8609</v>
      </c>
      <c r="B229" s="1" t="s">
        <v>11523</v>
      </c>
      <c r="C229" s="32">
        <v>228</v>
      </c>
      <c r="D229" t="str">
        <f t="shared" si="15"/>
        <v>E2_6_1_1</v>
      </c>
      <c r="E229" s="10" t="s">
        <v>10567</v>
      </c>
      <c r="F229" s="10" t="s">
        <v>12062</v>
      </c>
      <c r="G229" s="13" t="s">
        <v>10568</v>
      </c>
      <c r="H229" s="13" t="s">
        <v>12490</v>
      </c>
      <c r="I229" t="str">
        <f t="shared" si="16"/>
        <v>(${Variables:E2_6_1_1_kcat} * E2_6_1_1 * C00049 * C00026 )/(${Variables:E2_6_1_1_km} + (E2_6_1_1 * C00049 * C00026 ))</v>
      </c>
      <c r="J229" t="str">
        <f t="shared" si="17"/>
        <v>r228: C00049 + C00026  -&gt;  C00036 + C00025 | (${Variables:E2_6_1_1_kcat} * E2_6_1_1 * C00049 * C00026 )/(${Variables:E2_6_1_1_km} + (E2_6_1_1 * C00049 * C00026 ))</v>
      </c>
    </row>
    <row r="230" spans="1:10">
      <c r="A230" s="19" t="s">
        <v>8609</v>
      </c>
      <c r="B230" s="1" t="s">
        <v>11523</v>
      </c>
      <c r="C230" s="32">
        <v>229</v>
      </c>
      <c r="D230" t="str">
        <f t="shared" si="15"/>
        <v>E2_6_1_1</v>
      </c>
      <c r="E230" s="10" t="s">
        <v>10569</v>
      </c>
      <c r="F230" s="10" t="s">
        <v>12063</v>
      </c>
      <c r="G230" s="13" t="s">
        <v>10570</v>
      </c>
      <c r="H230" s="13" t="s">
        <v>12491</v>
      </c>
      <c r="I230" t="str">
        <f t="shared" si="16"/>
        <v>(${Variables:E2_6_1_1_kcat} * E2_6_1_1 * C00079 * C00026 )/(${Variables:E2_6_1_1_km} + (E2_6_1_1 * C00079 * C00026 ))</v>
      </c>
      <c r="J230" t="str">
        <f t="shared" si="17"/>
        <v>r229: C00079 + C00026  -&gt;  C00166 + C00025 | (${Variables:E2_6_1_1_kcat} * E2_6_1_1 * C00079 * C00026 )/(${Variables:E2_6_1_1_km} + (E2_6_1_1 * C00079 * C00026 ))</v>
      </c>
    </row>
    <row r="231" spans="1:10">
      <c r="A231" s="19" t="s">
        <v>8609</v>
      </c>
      <c r="B231" s="1" t="s">
        <v>11523</v>
      </c>
      <c r="C231" s="32">
        <v>230</v>
      </c>
      <c r="D231" t="str">
        <f t="shared" si="15"/>
        <v>E2_6_1_1</v>
      </c>
      <c r="E231" s="10" t="s">
        <v>10571</v>
      </c>
      <c r="F231" s="10" t="s">
        <v>12064</v>
      </c>
      <c r="G231" s="13" t="s">
        <v>10572</v>
      </c>
      <c r="H231" s="13" t="s">
        <v>12492</v>
      </c>
      <c r="I231" t="str">
        <f t="shared" si="16"/>
        <v>(${Variables:E2_6_1_1_kcat} * E2_6_1_1 * C00082 * C00026 )/(${Variables:E2_6_1_1_km} + (E2_6_1_1 * C00082 * C00026 ))</v>
      </c>
      <c r="J231" t="str">
        <f t="shared" si="17"/>
        <v>r230: C00082 + C00026  -&gt; C01179 + C00025 | (${Variables:E2_6_1_1_kcat} * E2_6_1_1 * C00082 * C00026 )/(${Variables:E2_6_1_1_km} + (E2_6_1_1 * C00082 * C00026 ))</v>
      </c>
    </row>
    <row r="232" spans="1:10">
      <c r="A232" s="19" t="s">
        <v>8609</v>
      </c>
      <c r="B232" s="1" t="s">
        <v>11523</v>
      </c>
      <c r="C232" s="32">
        <v>231</v>
      </c>
      <c r="D232" t="str">
        <f t="shared" si="15"/>
        <v>E2_6_1_1</v>
      </c>
      <c r="E232" s="10" t="s">
        <v>10573</v>
      </c>
      <c r="F232" s="10" t="s">
        <v>12065</v>
      </c>
      <c r="G232" s="13" t="s">
        <v>10574</v>
      </c>
      <c r="H232" s="13" t="s">
        <v>12493</v>
      </c>
      <c r="I232" t="str">
        <f t="shared" si="16"/>
        <v>(${Variables:E2_6_1_1_kcat} * E2_6_1_1 * C00097 * C00026 )/(${Variables:E2_6_1_1_km} + (E2_6_1_1 * C00097 * C00026 ))</v>
      </c>
      <c r="J232" t="str">
        <f t="shared" si="17"/>
        <v>r231: C00097 + C00026  -&gt;  C00957 + C00025 | (${Variables:E2_6_1_1_kcat} * E2_6_1_1 * C00097 * C00026 )/(${Variables:E2_6_1_1_km} + (E2_6_1_1 * C00097 * C00026 ))</v>
      </c>
    </row>
    <row r="233" spans="1:10">
      <c r="A233" s="19" t="s">
        <v>8609</v>
      </c>
      <c r="B233" s="1" t="s">
        <v>11523</v>
      </c>
      <c r="C233" s="32">
        <v>232</v>
      </c>
      <c r="D233" t="str">
        <f t="shared" si="15"/>
        <v>E2_6_1_1</v>
      </c>
      <c r="E233" s="10" t="s">
        <v>10573</v>
      </c>
      <c r="F233" s="10" t="s">
        <v>12065</v>
      </c>
      <c r="G233" s="13" t="s">
        <v>10575</v>
      </c>
      <c r="H233" s="13" t="s">
        <v>12494</v>
      </c>
      <c r="I233" t="str">
        <f t="shared" si="16"/>
        <v>(${Variables:E2_6_1_1_kcat} * E2_6_1_1 * C00097 * C00026 )/(${Variables:E2_6_1_1_km} + (E2_6_1_1 * C00097 * C00026 ))</v>
      </c>
      <c r="J233" t="str">
        <f t="shared" si="17"/>
        <v>r232: C00097 + C00026  -&gt; C00957 + C00302 | (${Variables:E2_6_1_1_kcat} * E2_6_1_1 * C00097 * C00026 )/(${Variables:E2_6_1_1_km} + (E2_6_1_1 * C00097 * C00026 ))</v>
      </c>
    </row>
    <row r="234" spans="1:10">
      <c r="A234" s="19" t="s">
        <v>8609</v>
      </c>
      <c r="B234" s="1" t="s">
        <v>11523</v>
      </c>
      <c r="C234" s="32">
        <v>233</v>
      </c>
      <c r="D234" t="str">
        <f t="shared" si="15"/>
        <v>E2_6_1_1</v>
      </c>
      <c r="E234" s="10" t="s">
        <v>10576</v>
      </c>
      <c r="F234" s="10" t="s">
        <v>12066</v>
      </c>
      <c r="G234" s="13" t="s">
        <v>10577</v>
      </c>
      <c r="H234" s="13" t="s">
        <v>12495</v>
      </c>
      <c r="I234" t="str">
        <f t="shared" si="16"/>
        <v>(${Variables:E2_6_1_1_kcat} * E2_6_1_1 * C00506 * C00026 )/(${Variables:E2_6_1_1_km} + (E2_6_1_1 * C00506 * C00026 ))</v>
      </c>
      <c r="J234" t="str">
        <f t="shared" si="17"/>
        <v>r233: C00506 + C00026  -&gt;  C05528 + C00025 | (${Variables:E2_6_1_1_kcat} * E2_6_1_1 * C00506 * C00026 )/(${Variables:E2_6_1_1_km} + (E2_6_1_1 * C00506 * C00026 ))</v>
      </c>
    </row>
    <row r="235" spans="1:10">
      <c r="A235" s="19" t="s">
        <v>8609</v>
      </c>
      <c r="B235" s="1" t="s">
        <v>11523</v>
      </c>
      <c r="C235" s="32">
        <v>234</v>
      </c>
      <c r="D235" t="str">
        <f t="shared" si="15"/>
        <v>E2_6_1_1</v>
      </c>
      <c r="E235" s="10" t="s">
        <v>10578</v>
      </c>
      <c r="F235" s="10" t="s">
        <v>12067</v>
      </c>
      <c r="G235" s="13" t="s">
        <v>10579</v>
      </c>
      <c r="H235" s="13" t="s">
        <v>12496</v>
      </c>
      <c r="I235" t="str">
        <f t="shared" si="16"/>
        <v>(${Variables:E2_6_1_1_kcat} * E2_6_1_1 * C00606 * C00026 )/(${Variables:E2_6_1_1_km} + (E2_6_1_1 * C00606 * C00026 ))</v>
      </c>
      <c r="J235" t="str">
        <f t="shared" si="17"/>
        <v>r234: C00606 + C00026  -&gt; C05527 + C00025 | (${Variables:E2_6_1_1_kcat} * E2_6_1_1 * C00606 * C00026 )/(${Variables:E2_6_1_1_km} + (E2_6_1_1 * C00606 * C00026 ))</v>
      </c>
    </row>
    <row r="236" spans="1:10">
      <c r="A236" s="19" t="s">
        <v>8609</v>
      </c>
      <c r="B236" s="1" t="s">
        <v>11523</v>
      </c>
      <c r="C236" s="32">
        <v>235</v>
      </c>
      <c r="D236" t="str">
        <f t="shared" si="15"/>
        <v>E2_6_1_1</v>
      </c>
      <c r="E236" s="10" t="s">
        <v>10580</v>
      </c>
      <c r="F236" s="10" t="s">
        <v>12068</v>
      </c>
      <c r="G236" s="13" t="s">
        <v>10581</v>
      </c>
      <c r="H236" s="13" t="s">
        <v>12497</v>
      </c>
      <c r="I236" t="str">
        <f t="shared" si="16"/>
        <v>(${Variables:E2_6_1_1_kcat} * E2_6_1_1 * C05947 * C00026 )/(${Variables:E2_6_1_1_km} + (E2_6_1_1 * C05947 * C00026 ))</v>
      </c>
      <c r="J236" t="str">
        <f t="shared" si="17"/>
        <v>r235: C05947 + C00026  -&gt;  C05946 + C00025 | (${Variables:E2_6_1_1_kcat} * E2_6_1_1 * C05947 * C00026 )/(${Variables:E2_6_1_1_km} + (E2_6_1_1 * C05947 * C00026 ))</v>
      </c>
    </row>
    <row r="237" spans="1:10">
      <c r="A237" s="19" t="s">
        <v>2506</v>
      </c>
      <c r="B237" s="1" t="s">
        <v>11524</v>
      </c>
      <c r="C237" s="32">
        <v>236</v>
      </c>
      <c r="D237" t="str">
        <f t="shared" si="15"/>
        <v>E2_6_1_13</v>
      </c>
      <c r="E237" s="10" t="s">
        <v>9724</v>
      </c>
      <c r="F237" s="10" t="s">
        <v>12069</v>
      </c>
      <c r="G237" s="13" t="s">
        <v>9725</v>
      </c>
      <c r="H237" s="13" t="s">
        <v>12498</v>
      </c>
      <c r="I237" t="str">
        <f t="shared" si="16"/>
        <v>(${Variables:E2_6_1_13_kcat} * E2_6_1_13 * C00077 * C00161 )/(${Variables:E2_6_1_13_km} + (E2_6_1_13 * C00077 * C00161 ))</v>
      </c>
      <c r="J237" t="str">
        <f t="shared" si="17"/>
        <v>r236: C00077 + C00161  -&gt;  C01165 + C00151 | (${Variables:E2_6_1_13_kcat} * E2_6_1_13 * C00077 * C00161 )/(${Variables:E2_6_1_13_km} + (E2_6_1_13 * C00077 * C00161 ))</v>
      </c>
    </row>
    <row r="238" spans="1:10">
      <c r="A238" s="19" t="s">
        <v>2506</v>
      </c>
      <c r="B238" s="1" t="s">
        <v>11524</v>
      </c>
      <c r="C238" s="32">
        <v>237</v>
      </c>
      <c r="D238" t="str">
        <f t="shared" si="15"/>
        <v>E2_6_1_13</v>
      </c>
      <c r="E238" s="10" t="s">
        <v>9726</v>
      </c>
      <c r="F238" s="10" t="s">
        <v>12070</v>
      </c>
      <c r="G238" s="13" t="s">
        <v>9727</v>
      </c>
      <c r="H238" s="13" t="s">
        <v>12499</v>
      </c>
      <c r="I238" t="str">
        <f t="shared" si="16"/>
        <v>(${Variables:E2_6_1_13_kcat} * E2_6_1_13 * C00077 * C00026)/(${Variables:E2_6_1_13_km} + (E2_6_1_13 * C00077 * C00026))</v>
      </c>
      <c r="J238" t="str">
        <f t="shared" si="17"/>
        <v>r237: C00077 + C00026 -&gt; C01165 + C00025 | (${Variables:E2_6_1_13_kcat} * E2_6_1_13 * C00077 * C00026)/(${Variables:E2_6_1_13_km} + (E2_6_1_13 * C00077 * C00026))</v>
      </c>
    </row>
    <row r="239" spans="1:10">
      <c r="A239" s="19" t="s">
        <v>2506</v>
      </c>
      <c r="B239" s="1" t="s">
        <v>11524</v>
      </c>
      <c r="C239" s="32">
        <v>238</v>
      </c>
      <c r="D239" t="str">
        <f t="shared" si="15"/>
        <v>E2_6_1_13</v>
      </c>
      <c r="E239" s="10" t="s">
        <v>9726</v>
      </c>
      <c r="F239" s="10" t="s">
        <v>12070</v>
      </c>
      <c r="G239" s="13" t="s">
        <v>9728</v>
      </c>
      <c r="H239" s="13" t="s">
        <v>12500</v>
      </c>
      <c r="I239" t="str">
        <f t="shared" si="16"/>
        <v>(${Variables:E2_6_1_13_kcat} * E2_6_1_13 * C00077 * C00026)/(${Variables:E2_6_1_13_km} + (E2_6_1_13 * C00077 * C00026))</v>
      </c>
      <c r="J239" t="str">
        <f t="shared" si="17"/>
        <v>r238: C00077 + C00026 -&gt; C04322 + C00025 + C00001 | (${Variables:E2_6_1_13_kcat} * E2_6_1_13 * C00077 * C00026)/(${Variables:E2_6_1_13_km} + (E2_6_1_13 * C00077 * C00026))</v>
      </c>
    </row>
    <row r="240" spans="1:10">
      <c r="A240" s="19" t="s">
        <v>3003</v>
      </c>
      <c r="B240" s="1" t="s">
        <v>11525</v>
      </c>
      <c r="C240" s="32">
        <v>239</v>
      </c>
      <c r="D240" t="str">
        <f t="shared" si="15"/>
        <v>E2_6_1_37</v>
      </c>
      <c r="E240" s="10" t="s">
        <v>9797</v>
      </c>
      <c r="F240" s="10" t="s">
        <v>12071</v>
      </c>
      <c r="G240" s="13" t="s">
        <v>9798</v>
      </c>
      <c r="H240" s="13" t="s">
        <v>12501</v>
      </c>
      <c r="I240" t="str">
        <f t="shared" si="16"/>
        <v>(${Variables:E2_6_1_37_kcat} * E2_6_1_37 * C03557 * C00022 )/(${Variables:E2_6_1_37_km} + (E2_6_1_37 * C03557 * C00022 ))</v>
      </c>
      <c r="J240" t="str">
        <f t="shared" si="17"/>
        <v>r239: C03557 + C00022  -&gt; C03167 + C00041 | (${Variables:E2_6_1_37_kcat} * E2_6_1_37 * C03557 * C00022 )/(${Variables:E2_6_1_37_km} + (E2_6_1_37 * C03557 * C00022 ))</v>
      </c>
    </row>
    <row r="241" spans="1:10">
      <c r="A241" s="19" t="s">
        <v>6336</v>
      </c>
      <c r="B241" s="1" t="s">
        <v>11526</v>
      </c>
      <c r="C241" s="32">
        <v>240</v>
      </c>
      <c r="D241" t="str">
        <f t="shared" si="15"/>
        <v>E2_6_1_42</v>
      </c>
      <c r="E241" s="10" t="s">
        <v>10265</v>
      </c>
      <c r="F241" s="10" t="s">
        <v>12072</v>
      </c>
      <c r="G241" s="13" t="s">
        <v>10266</v>
      </c>
      <c r="H241" s="13" t="s">
        <v>12502</v>
      </c>
      <c r="I241" t="str">
        <f t="shared" si="16"/>
        <v>(${Variables:E2_6_1_42_kcat} * E2_6_1_42 * C00123 * C00026 )/(${Variables:E2_6_1_42_km} + (E2_6_1_42 * C00123 * C00026 ))</v>
      </c>
      <c r="J241" t="str">
        <f t="shared" si="17"/>
        <v>r240: C00123 + C00026  -&gt; C00233 + C00025 | (${Variables:E2_6_1_42_kcat} * E2_6_1_42 * C00123 * C00026 )/(${Variables:E2_6_1_42_km} + (E2_6_1_42 * C00123 * C00026 ))</v>
      </c>
    </row>
    <row r="242" spans="1:10">
      <c r="A242" s="19" t="s">
        <v>6336</v>
      </c>
      <c r="B242" s="1" t="s">
        <v>11526</v>
      </c>
      <c r="C242" s="32">
        <v>241</v>
      </c>
      <c r="D242" t="str">
        <f t="shared" si="15"/>
        <v>E2_6_1_42</v>
      </c>
      <c r="E242" s="10" t="s">
        <v>10267</v>
      </c>
      <c r="F242" s="10" t="s">
        <v>12073</v>
      </c>
      <c r="G242" s="13" t="s">
        <v>10268</v>
      </c>
      <c r="H242" s="13" t="s">
        <v>12503</v>
      </c>
      <c r="I242" t="str">
        <f t="shared" si="16"/>
        <v>(${Variables:E2_6_1_42_kcat} * E2_6_1_42 * C00183 * C00026)/(${Variables:E2_6_1_42_km} + (E2_6_1_42 * C00183 * C00026))</v>
      </c>
      <c r="J242" t="str">
        <f t="shared" si="17"/>
        <v>r241: C00183 + C00026 -&gt;  C00141 + C00025 | (${Variables:E2_6_1_42_kcat} * E2_6_1_42 * C00183 * C00026)/(${Variables:E2_6_1_42_km} + (E2_6_1_42 * C00183 * C00026))</v>
      </c>
    </row>
    <row r="243" spans="1:10">
      <c r="A243" s="19" t="s">
        <v>6336</v>
      </c>
      <c r="B243" s="1" t="s">
        <v>11526</v>
      </c>
      <c r="C243" s="32">
        <v>242</v>
      </c>
      <c r="D243" t="str">
        <f t="shared" si="15"/>
        <v>E2_6_1_42</v>
      </c>
      <c r="E243" s="10" t="s">
        <v>10269</v>
      </c>
      <c r="F243" s="10" t="s">
        <v>12074</v>
      </c>
      <c r="G243" s="13" t="s">
        <v>10270</v>
      </c>
      <c r="H243" s="13" t="s">
        <v>12504</v>
      </c>
      <c r="I243" t="str">
        <f t="shared" si="16"/>
        <v>(${Variables:E2_6_1_42_kcat} * E2_6_1_42 * C00407 * C00026)/(${Variables:E2_6_1_42_km} + (E2_6_1_42 * C00407 * C00026))</v>
      </c>
      <c r="J243" t="str">
        <f t="shared" si="17"/>
        <v>r242: C00407 + C00026 -&gt;  C00671 + C00025 | (${Variables:E2_6_1_42_kcat} * E2_6_1_42 * C00407 * C00026)/(${Variables:E2_6_1_42_km} + (E2_6_1_42 * C00407 * C00026))</v>
      </c>
    </row>
    <row r="244" spans="1:10">
      <c r="A244" s="19" t="s">
        <v>6336</v>
      </c>
      <c r="B244" s="1" t="s">
        <v>11526</v>
      </c>
      <c r="C244" s="32">
        <v>243</v>
      </c>
      <c r="D244" t="str">
        <f t="shared" si="15"/>
        <v>E2_6_1_42</v>
      </c>
      <c r="E244" s="10" t="s">
        <v>10271</v>
      </c>
      <c r="F244" s="10" t="s">
        <v>12075</v>
      </c>
      <c r="G244" s="13" t="s">
        <v>10272</v>
      </c>
      <c r="H244" s="13" t="s">
        <v>12505</v>
      </c>
      <c r="I244" t="str">
        <f t="shared" si="16"/>
        <v>(${Variables:E2_6_1_42_kcat} * E2_6_1_42 * C02356 * C00026 )/(${Variables:E2_6_1_42_km} + (E2_6_1_42 * C02356 * C00026 ))</v>
      </c>
      <c r="J244" t="str">
        <f t="shared" si="17"/>
        <v>r243: C02356 + C00026  -&gt; C00109 + C00025 | (${Variables:E2_6_1_42_kcat} * E2_6_1_42 * C02356 * C00026 )/(${Variables:E2_6_1_42_km} + (E2_6_1_42 * C02356 * C00026 ))</v>
      </c>
    </row>
    <row r="245" spans="1:10">
      <c r="A245" s="19" t="s">
        <v>7331</v>
      </c>
      <c r="B245" s="1" t="s">
        <v>11527</v>
      </c>
      <c r="C245" s="32">
        <v>244</v>
      </c>
      <c r="D245" t="str">
        <f t="shared" si="15"/>
        <v>E2_6_1_52</v>
      </c>
      <c r="E245" s="11" t="s">
        <v>10379</v>
      </c>
      <c r="F245" s="11" t="s">
        <v>12076</v>
      </c>
      <c r="G245" s="13" t="s">
        <v>10380</v>
      </c>
      <c r="H245" s="13" t="s">
        <v>12506</v>
      </c>
      <c r="I245" t="str">
        <f t="shared" si="16"/>
        <v>(${Variables:E2_6_1_52_kcat} * E2_6_1_52 * C01005 * C00026 )/(${Variables:E2_6_1_52_km} + (E2_6_1_52 * C01005 * C00026 ))</v>
      </c>
      <c r="J245" t="str">
        <f t="shared" si="17"/>
        <v>r244: C01005 + C00026  -&gt; C03232 + C00025 | (${Variables:E2_6_1_52_kcat} * E2_6_1_52 * C01005 * C00026 )/(${Variables:E2_6_1_52_km} + (E2_6_1_52 * C01005 * C00026 ))</v>
      </c>
    </row>
    <row r="246" spans="1:10">
      <c r="A246" s="19" t="s">
        <v>7331</v>
      </c>
      <c r="B246" s="1" t="s">
        <v>11527</v>
      </c>
      <c r="C246" s="32">
        <v>245</v>
      </c>
      <c r="D246" t="str">
        <f t="shared" ref="D246:D310" si="18">CONCATENATE("E",B246)</f>
        <v>E2_6_1_52</v>
      </c>
      <c r="E246" s="10" t="s">
        <v>10381</v>
      </c>
      <c r="F246" s="10" t="s">
        <v>12077</v>
      </c>
      <c r="G246" s="13" t="s">
        <v>10382</v>
      </c>
      <c r="H246" s="13" t="s">
        <v>12507</v>
      </c>
      <c r="I246" t="str">
        <f t="shared" si="16"/>
        <v>(${Variables:E2_6_1_52_kcat} * E2_6_1_52 * C06055 * C00026 )/(${Variables:E2_6_1_52_km} + (E2_6_1_52 * C06055 * C00026 ))</v>
      </c>
      <c r="J246" t="str">
        <f t="shared" si="17"/>
        <v>r245: C06055 + C00026  -&gt; C06054 + C00025 | (${Variables:E2_6_1_52_kcat} * E2_6_1_52 * C06055 * C00026 )/(${Variables:E2_6_1_52_km} + (E2_6_1_52 * C06055 * C00026 ))</v>
      </c>
    </row>
    <row r="247" spans="1:10">
      <c r="A247" s="19" t="s">
        <v>862</v>
      </c>
      <c r="B247" s="1" t="s">
        <v>11528</v>
      </c>
      <c r="C247" s="32">
        <v>246</v>
      </c>
      <c r="D247" t="str">
        <f t="shared" si="18"/>
        <v>E2_6_1_62</v>
      </c>
      <c r="E247" s="10" t="s">
        <v>11787</v>
      </c>
      <c r="F247" s="10" t="s">
        <v>12078</v>
      </c>
      <c r="G247" s="13" t="s">
        <v>11788</v>
      </c>
      <c r="H247" s="13" t="s">
        <v>12508</v>
      </c>
      <c r="I247" t="str">
        <f t="shared" si="16"/>
        <v>(${Variables:E2_6_1_62_kcat} * E2_6_1_62 * C00019 * C01092 )/(${Variables:E2_6_1_62_km} + (E2_6_1_62 * C00019 * C01092 ))</v>
      </c>
      <c r="J247" t="str">
        <f t="shared" si="17"/>
        <v>r246: C00019 + C01092  -&gt;  C04425 + C01037 | (${Variables:E2_6_1_62_kcat} * E2_6_1_62 * C00019 * C01092 )/(${Variables:E2_6_1_62_km} + (E2_6_1_62 * C00019 * C01092 ))</v>
      </c>
    </row>
    <row r="248" spans="1:10">
      <c r="A248" s="19" t="s">
        <v>6221</v>
      </c>
      <c r="B248" s="1" t="s">
        <v>11529</v>
      </c>
      <c r="C248" s="32">
        <v>247</v>
      </c>
      <c r="D248" t="str">
        <f t="shared" si="18"/>
        <v>E2_6_1_83</v>
      </c>
      <c r="E248" s="10" t="s">
        <v>10249</v>
      </c>
      <c r="F248" s="10" t="s">
        <v>12079</v>
      </c>
      <c r="G248" s="13" t="s">
        <v>10250</v>
      </c>
      <c r="H248" s="13" t="s">
        <v>12509</v>
      </c>
      <c r="I248" t="str">
        <f t="shared" si="16"/>
        <v>(${Variables:E2_6_1_83_kcat} * E2_6_1_83 * C00666 * C00026)/(${Variables:E2_6_1_83_km} + (E2_6_1_83 * C00666 * C00026))</v>
      </c>
      <c r="J248" t="str">
        <f t="shared" si="17"/>
        <v>r247: C00666 + C00026 -&gt; C03972 + C00025 + C00001 | (${Variables:E2_6_1_83_kcat} * E2_6_1_83 * C00666 * C00026)/(${Variables:E2_6_1_83_km} + (E2_6_1_83 * C00666 * C00026))</v>
      </c>
    </row>
    <row r="249" spans="1:10">
      <c r="A249" s="19" t="s">
        <v>8408</v>
      </c>
      <c r="B249" s="1" t="s">
        <v>11530</v>
      </c>
      <c r="C249" s="32">
        <v>248</v>
      </c>
      <c r="D249" t="str">
        <f t="shared" si="18"/>
        <v>E2_6_1_85</v>
      </c>
      <c r="E249" s="10" t="s">
        <v>10071</v>
      </c>
      <c r="F249" s="10" t="s">
        <v>11945</v>
      </c>
      <c r="G249" s="13" t="s">
        <v>10072</v>
      </c>
      <c r="H249" s="13" t="s">
        <v>12377</v>
      </c>
      <c r="I249" t="str">
        <f t="shared" si="16"/>
        <v>(${Variables:E2_6_1_85_kcat} * E2_6_1_85 * C00064 * C00001 )/(${Variables:E2_6_1_85_km} + (E2_6_1_85 * C00064 * C00001 ))</v>
      </c>
      <c r="J249" t="str">
        <f t="shared" si="17"/>
        <v>r248: C00064 + C00001  -&gt;  C00025 + C00014 | (${Variables:E2_6_1_85_kcat} * E2_6_1_85 * C00064 * C00001 )/(${Variables:E2_6_1_85_km} + (E2_6_1_85 * C00064 * C00001 ))</v>
      </c>
    </row>
    <row r="250" spans="1:10">
      <c r="A250" s="19" t="s">
        <v>8408</v>
      </c>
      <c r="B250" s="1" t="s">
        <v>11530</v>
      </c>
      <c r="C250" s="32">
        <v>249</v>
      </c>
      <c r="D250" t="str">
        <f t="shared" si="18"/>
        <v>E2_6_1_85</v>
      </c>
      <c r="E250" s="10" t="s">
        <v>10516</v>
      </c>
      <c r="F250" s="10" t="s">
        <v>12080</v>
      </c>
      <c r="G250" s="13" t="s">
        <v>10517</v>
      </c>
      <c r="H250" s="13" t="s">
        <v>12510</v>
      </c>
      <c r="I250" t="str">
        <f t="shared" si="16"/>
        <v>(${Variables:E2_6_1_85_kcat} * E2_6_1_85 * C00251 * C00064 )/(${Variables:E2_6_1_85_km} + (E2_6_1_85 * C00251 * C00064 ))</v>
      </c>
      <c r="J250" t="str">
        <f t="shared" si="17"/>
        <v>r249: C00251 + C00064  -&gt; C11355 + C00025 | (${Variables:E2_6_1_85_kcat} * E2_6_1_85 * C00251 * C00064 )/(${Variables:E2_6_1_85_km} + (E2_6_1_85 * C00251 * C00064 ))</v>
      </c>
    </row>
    <row r="251" spans="1:10">
      <c r="A251" s="19" t="s">
        <v>8408</v>
      </c>
      <c r="B251" s="1" t="s">
        <v>11530</v>
      </c>
      <c r="C251" s="32">
        <v>250</v>
      </c>
      <c r="D251" t="str">
        <f t="shared" si="18"/>
        <v>E2_6_1_85</v>
      </c>
      <c r="E251" s="10" t="s">
        <v>10518</v>
      </c>
      <c r="F251" s="10" t="s">
        <v>12081</v>
      </c>
      <c r="G251" s="13" t="s">
        <v>10519</v>
      </c>
      <c r="H251" s="13" t="s">
        <v>12511</v>
      </c>
      <c r="I251" t="str">
        <f t="shared" si="16"/>
        <v>(${Variables:E2_6_1_85_kcat} * E2_6_1_85 * C00251 * C00014)/(${Variables:E2_6_1_85_km} + (E2_6_1_85 * C00251 * C00014))</v>
      </c>
      <c r="J251" t="str">
        <f t="shared" si="17"/>
        <v>r250: C00251 + C00014 -&gt;  C11355 + C00001 | (${Variables:E2_6_1_85_kcat} * E2_6_1_85 * C00251 * C00014)/(${Variables:E2_6_1_85_km} + (E2_6_1_85 * C00251 * C00014))</v>
      </c>
    </row>
    <row r="252" spans="1:10">
      <c r="A252" s="19" t="s">
        <v>8804</v>
      </c>
      <c r="B252" s="1" t="s">
        <v>11531</v>
      </c>
      <c r="C252" s="32">
        <v>251</v>
      </c>
      <c r="D252" t="str">
        <f t="shared" si="18"/>
        <v>E2_6_1_9</v>
      </c>
      <c r="E252" s="10" t="s">
        <v>10629</v>
      </c>
      <c r="F252" s="10" t="s">
        <v>12082</v>
      </c>
      <c r="G252" s="13" t="s">
        <v>10630</v>
      </c>
      <c r="H252" s="13" t="s">
        <v>12512</v>
      </c>
      <c r="I252" t="str">
        <f t="shared" si="16"/>
        <v>(${Variables:E2_6_1_9_kcat} * E2_6_1_9 * C01100 * C00026)/(${Variables:E2_6_1_9_km} + (E2_6_1_9 * C01100 * C00026))</v>
      </c>
      <c r="J252" t="str">
        <f t="shared" si="17"/>
        <v>r251: C01100 + C00026 -&gt;  C01267 + C00025 | (${Variables:E2_6_1_9_kcat} * E2_6_1_9 * C01100 * C00026)/(${Variables:E2_6_1_9_km} + (E2_6_1_9 * C01100 * C00026))</v>
      </c>
    </row>
    <row r="253" spans="1:10">
      <c r="A253" s="19" t="s">
        <v>8804</v>
      </c>
      <c r="B253" s="1" t="s">
        <v>11531</v>
      </c>
      <c r="C253" s="32">
        <v>252</v>
      </c>
      <c r="D253" t="str">
        <f t="shared" si="18"/>
        <v>E2_6_1_9</v>
      </c>
      <c r="E253" s="10" t="s">
        <v>10569</v>
      </c>
      <c r="F253" s="10" t="s">
        <v>12063</v>
      </c>
      <c r="G253" s="13" t="s">
        <v>10570</v>
      </c>
      <c r="H253" s="13" t="s">
        <v>12491</v>
      </c>
      <c r="I253" t="str">
        <f t="shared" si="16"/>
        <v>(${Variables:E2_6_1_9_kcat} * E2_6_1_9 * C00079 * C00026 )/(${Variables:E2_6_1_9_km} + (E2_6_1_9 * C00079 * C00026 ))</v>
      </c>
      <c r="J253" t="str">
        <f t="shared" si="17"/>
        <v>r252: C00079 + C00026  -&gt;  C00166 + C00025 | (${Variables:E2_6_1_9_kcat} * E2_6_1_9 * C00079 * C00026 )/(${Variables:E2_6_1_9_km} + (E2_6_1_9 * C00079 * C00026 ))</v>
      </c>
    </row>
    <row r="254" spans="1:10">
      <c r="A254" s="19" t="s">
        <v>8804</v>
      </c>
      <c r="B254" s="1" t="s">
        <v>11531</v>
      </c>
      <c r="C254" s="32">
        <v>253</v>
      </c>
      <c r="D254" t="str">
        <f t="shared" si="18"/>
        <v>E2_6_1_9</v>
      </c>
      <c r="E254" s="10" t="s">
        <v>10571</v>
      </c>
      <c r="F254" s="10" t="s">
        <v>12064</v>
      </c>
      <c r="G254" s="13" t="s">
        <v>10572</v>
      </c>
      <c r="H254" s="13" t="s">
        <v>12492</v>
      </c>
      <c r="I254" t="str">
        <f t="shared" si="16"/>
        <v>(${Variables:E2_6_1_9_kcat} * E2_6_1_9 * C00082 * C00026 )/(${Variables:E2_6_1_9_km} + (E2_6_1_9 * C00082 * C00026 ))</v>
      </c>
      <c r="J254" t="str">
        <f t="shared" si="17"/>
        <v>r253: C00082 + C00026  -&gt; C01179 + C00025 | (${Variables:E2_6_1_9_kcat} * E2_6_1_9 * C00082 * C00026 )/(${Variables:E2_6_1_9_km} + (E2_6_1_9 * C00082 * C00026 ))</v>
      </c>
    </row>
    <row r="255" spans="1:10">
      <c r="A255" s="19" t="s">
        <v>7531</v>
      </c>
      <c r="B255" s="1" t="s">
        <v>11532</v>
      </c>
      <c r="C255" s="32">
        <v>254</v>
      </c>
      <c r="D255" t="str">
        <f t="shared" si="18"/>
        <v>E2_6_99_2</v>
      </c>
      <c r="E255" s="10" t="s">
        <v>10440</v>
      </c>
      <c r="F255" s="10" t="s">
        <v>12083</v>
      </c>
      <c r="G255" s="13" t="s">
        <v>12883</v>
      </c>
      <c r="H255" s="13" t="s">
        <v>12923</v>
      </c>
      <c r="I255" t="str">
        <f t="shared" si="16"/>
        <v>(${Variables:E2_6_99_2_kcat} * E2_6_99_2 * C11638 * C11437 )/(${Variables:E2_6_99_2_km} + (E2_6_99_2 * C11638 * C11437 ))</v>
      </c>
      <c r="J255" t="str">
        <f t="shared" si="17"/>
        <v>r254: C11638 + C11437  -&gt; C00627 + C00009 + C00001 | (${Variables:E2_6_99_2_kcat} * E2_6_99_2 * C11638 * C11437 )/(${Variables:E2_6_99_2_km} + (E2_6_99_2 * C11638 * C11437 ))</v>
      </c>
    </row>
    <row r="256" spans="1:10">
      <c r="A256" s="19" t="s">
        <v>4358</v>
      </c>
      <c r="B256" s="1" t="s">
        <v>11533</v>
      </c>
      <c r="C256" s="32">
        <v>255</v>
      </c>
      <c r="D256" t="str">
        <f t="shared" si="18"/>
        <v>E2_7_1_11</v>
      </c>
      <c r="E256" s="10" t="s">
        <v>10004</v>
      </c>
      <c r="F256" s="10" t="s">
        <v>12084</v>
      </c>
      <c r="G256" s="13" t="s">
        <v>10005</v>
      </c>
      <c r="H256" s="13" t="s">
        <v>12513</v>
      </c>
      <c r="I256" t="str">
        <f t="shared" si="16"/>
        <v>(${Variables:E2_7_1_11_kcat} * E2_7_1_11 * C00002 * C05345)/(${Variables:E2_7_1_11_km} + (E2_7_1_11 * C00002 * C05345))</v>
      </c>
      <c r="J256" t="str">
        <f t="shared" si="17"/>
        <v>r255: C00002 + C05345 -&gt;  C00008 + C05378 | (${Variables:E2_7_1_11_kcat} * E2_7_1_11 * C00002 * C05345)/(${Variables:E2_7_1_11_km} + (E2_7_1_11 * C00002 * C05345))</v>
      </c>
    </row>
    <row r="257" spans="1:10">
      <c r="A257" s="19" t="s">
        <v>4358</v>
      </c>
      <c r="B257" s="1" t="s">
        <v>11533</v>
      </c>
      <c r="C257" s="32">
        <v>256</v>
      </c>
      <c r="D257" t="str">
        <f t="shared" si="18"/>
        <v>E2_7_1_11</v>
      </c>
      <c r="E257" s="10" t="s">
        <v>10006</v>
      </c>
      <c r="F257" s="10" t="s">
        <v>12085</v>
      </c>
      <c r="G257" s="13" t="s">
        <v>10007</v>
      </c>
      <c r="H257" s="13" t="s">
        <v>12514</v>
      </c>
      <c r="I257" t="str">
        <f t="shared" si="16"/>
        <v>(${Variables:E2_7_1_11_kcat} * E2_7_1_11 * C00002 * C00085 )/(${Variables:E2_7_1_11_km} + (E2_7_1_11 * C00002 * C00085 ))</v>
      </c>
      <c r="J257" t="str">
        <f t="shared" si="17"/>
        <v>r256: C00002 + C00085  -&gt; C00008 + C00354 | (${Variables:E2_7_1_11_kcat} * E2_7_1_11 * C00002 * C00085 )/(${Variables:E2_7_1_11_km} + (E2_7_1_11 * C00002 * C00085 ))</v>
      </c>
    </row>
    <row r="258" spans="1:10">
      <c r="A258" s="19" t="s">
        <v>4358</v>
      </c>
      <c r="B258" s="1" t="s">
        <v>11533</v>
      </c>
      <c r="C258" s="32">
        <v>257</v>
      </c>
      <c r="D258" t="str">
        <f t="shared" si="18"/>
        <v>E2_7_1_11</v>
      </c>
      <c r="E258" s="10" t="s">
        <v>10008</v>
      </c>
      <c r="F258" s="10" t="s">
        <v>12086</v>
      </c>
      <c r="G258" s="13" t="s">
        <v>10009</v>
      </c>
      <c r="H258" s="13" t="s">
        <v>12515</v>
      </c>
      <c r="I258" t="str">
        <f t="shared" si="16"/>
        <v>(${Variables:E2_7_1_11_kcat} * E2_7_1_11 * C00063 * C00085 )/(${Variables:E2_7_1_11_km} + (E2_7_1_11 * C00063 * C00085 ))</v>
      </c>
      <c r="J258" t="str">
        <f t="shared" si="17"/>
        <v>r257: C00063 + C00085  -&gt;  C00112 + C00354 | (${Variables:E2_7_1_11_kcat} * E2_7_1_11 * C00063 * C00085 )/(${Variables:E2_7_1_11_km} + (E2_7_1_11 * C00063 * C00085 ))</v>
      </c>
    </row>
    <row r="259" spans="1:10">
      <c r="A259" s="19" t="s">
        <v>4358</v>
      </c>
      <c r="B259" s="1" t="s">
        <v>11533</v>
      </c>
      <c r="C259" s="32">
        <v>258</v>
      </c>
      <c r="D259" t="str">
        <f t="shared" si="18"/>
        <v>E2_7_1_11</v>
      </c>
      <c r="E259" s="10" t="s">
        <v>10010</v>
      </c>
      <c r="F259" s="10" t="s">
        <v>12087</v>
      </c>
      <c r="G259" s="13" t="s">
        <v>10011</v>
      </c>
      <c r="H259" s="13" t="s">
        <v>12516</v>
      </c>
      <c r="I259" t="str">
        <f t="shared" ref="I259:I322" si="19">CONCATENATE("(${Variables:",D259,"_kcat","} * ",D259," * ",F259,")","/(${Variables:",D259,"_km","} + (",D259," * ",F259,"))")</f>
        <v>(${Variables:E2_7_1_11_kcat} * E2_7_1_11 * C00075 * C00085 )/(${Variables:E2_7_1_11_km} + (E2_7_1_11 * C00075 * C00085 ))</v>
      </c>
      <c r="J259" t="str">
        <f t="shared" si="17"/>
        <v>r258: C00075 + C00085  -&gt;  C00015 + C00354 | (${Variables:E2_7_1_11_kcat} * E2_7_1_11 * C00075 * C00085 )/(${Variables:E2_7_1_11_km} + (E2_7_1_11 * C00075 * C00085 ))</v>
      </c>
    </row>
    <row r="260" spans="1:10">
      <c r="A260" s="19" t="s">
        <v>4358</v>
      </c>
      <c r="B260" s="1" t="s">
        <v>11533</v>
      </c>
      <c r="C260" s="32">
        <v>259</v>
      </c>
      <c r="D260" t="str">
        <f t="shared" si="18"/>
        <v>E2_7_1_11</v>
      </c>
      <c r="E260" s="10" t="s">
        <v>10012</v>
      </c>
      <c r="F260" s="10" t="s">
        <v>12088</v>
      </c>
      <c r="G260" s="13" t="s">
        <v>10013</v>
      </c>
      <c r="H260" s="13" t="s">
        <v>12517</v>
      </c>
      <c r="I260" t="str">
        <f t="shared" si="19"/>
        <v>(${Variables:E2_7_1_11_kcat} * E2_7_1_11 * C00081 * C00085)/(${Variables:E2_7_1_11_km} + (E2_7_1_11 * C00081 * C00085))</v>
      </c>
      <c r="J260" t="str">
        <f t="shared" si="17"/>
        <v>r259: C00081 + C00085 -&gt;  C00104 + C00354 | (${Variables:E2_7_1_11_kcat} * E2_7_1_11 * C00081 * C00085)/(${Variables:E2_7_1_11_km} + (E2_7_1_11 * C00081 * C00085))</v>
      </c>
    </row>
    <row r="261" spans="1:10">
      <c r="A261" s="19" t="s">
        <v>4358</v>
      </c>
      <c r="B261" s="1" t="s">
        <v>11533</v>
      </c>
      <c r="C261" s="32">
        <v>260</v>
      </c>
      <c r="D261" t="str">
        <f t="shared" si="18"/>
        <v>E2_7_1_11</v>
      </c>
      <c r="E261" s="10" t="s">
        <v>10014</v>
      </c>
      <c r="F261" s="10" t="s">
        <v>12089</v>
      </c>
      <c r="G261" s="13" t="s">
        <v>10015</v>
      </c>
      <c r="H261" s="13" t="s">
        <v>12518</v>
      </c>
      <c r="I261" t="str">
        <f t="shared" si="19"/>
        <v>(${Variables:E2_7_1_11_kcat} * E2_7_1_11 * C00002 * C05382)/(${Variables:E2_7_1_11_km} + (E2_7_1_11 * C00002 * C05382))</v>
      </c>
      <c r="J261" t="str">
        <f t="shared" si="17"/>
        <v>r260: C00002 + C05382 -&gt; C00008 + C00447 | (${Variables:E2_7_1_11_kcat} * E2_7_1_11 * C00002 * C05382)/(${Variables:E2_7_1_11_km} + (E2_7_1_11 * C00002 * C05382))</v>
      </c>
    </row>
    <row r="262" spans="1:10">
      <c r="A262" s="19" t="s">
        <v>4358</v>
      </c>
      <c r="B262" s="1" t="s">
        <v>11533</v>
      </c>
      <c r="C262" s="32">
        <v>261</v>
      </c>
      <c r="D262" t="str">
        <f t="shared" si="18"/>
        <v>E2_7_1_11</v>
      </c>
      <c r="E262" s="10" t="s">
        <v>10016</v>
      </c>
      <c r="F262" s="10" t="s">
        <v>12090</v>
      </c>
      <c r="G262" s="13" t="s">
        <v>10017</v>
      </c>
      <c r="H262" s="13" t="s">
        <v>12519</v>
      </c>
      <c r="I262" t="str">
        <f t="shared" si="19"/>
        <v>(${Variables:E2_7_1_11_kcat} * E2_7_1_11 * C01097 * C00002 )/(${Variables:E2_7_1_11_km} + (E2_7_1_11 * C01097 * C00002 ))</v>
      </c>
      <c r="J262" t="str">
        <f t="shared" si="17"/>
        <v>r261: C01097 + C00002  -&gt;  C03785 + C00008 | (${Variables:E2_7_1_11_kcat} * E2_7_1_11 * C01097 * C00002 )/(${Variables:E2_7_1_11_km} + (E2_7_1_11 * C01097 * C00002 ))</v>
      </c>
    </row>
    <row r="263" spans="1:10">
      <c r="A263" s="19" t="s">
        <v>4358</v>
      </c>
      <c r="B263" s="1" t="s">
        <v>11533</v>
      </c>
      <c r="C263" s="32">
        <v>262</v>
      </c>
      <c r="D263" t="str">
        <f t="shared" si="18"/>
        <v>E2_7_1_11</v>
      </c>
      <c r="E263" s="10" t="s">
        <v>10018</v>
      </c>
      <c r="F263" s="10" t="s">
        <v>12091</v>
      </c>
      <c r="G263" s="13" t="s">
        <v>10019</v>
      </c>
      <c r="H263" s="13" t="s">
        <v>12520</v>
      </c>
      <c r="I263" t="str">
        <f t="shared" si="19"/>
        <v>(${Variables:E2_7_1_11_kcat} * E2_7_1_11 * C00063 * C01097 )/(${Variables:E2_7_1_11_km} + (E2_7_1_11 * C00063 * C01097 ))</v>
      </c>
      <c r="J263" t="str">
        <f t="shared" ref="J263:J327" si="20">CONCATENATE("r",C263,": ",E263," -&gt; ",G263," | ",I263)</f>
        <v>r262: C00063 + C01097  -&gt; C00112 + C03785 | (${Variables:E2_7_1_11_kcat} * E2_7_1_11 * C00063 * C01097 )/(${Variables:E2_7_1_11_km} + (E2_7_1_11 * C00063 * C01097 ))</v>
      </c>
    </row>
    <row r="264" spans="1:10">
      <c r="A264" s="19" t="s">
        <v>4358</v>
      </c>
      <c r="B264" s="1" t="s">
        <v>11533</v>
      </c>
      <c r="C264" s="32">
        <v>263</v>
      </c>
      <c r="D264" t="str">
        <f t="shared" si="18"/>
        <v>E2_7_1_11</v>
      </c>
      <c r="E264" s="10" t="s">
        <v>10020</v>
      </c>
      <c r="F264" s="10" t="s">
        <v>12092</v>
      </c>
      <c r="G264" s="13" t="s">
        <v>10021</v>
      </c>
      <c r="H264" s="13" t="s">
        <v>12521</v>
      </c>
      <c r="I264" t="str">
        <f t="shared" si="19"/>
        <v>(${Variables:E2_7_1_11_kcat} * E2_7_1_11 * C00075 * C01097 )/(${Variables:E2_7_1_11_km} + (E2_7_1_11 * C00075 * C01097 ))</v>
      </c>
      <c r="J264" t="str">
        <f t="shared" si="20"/>
        <v>r263: C00075 + C01097  -&gt;  C00015 + C03785 | (${Variables:E2_7_1_11_kcat} * E2_7_1_11 * C00075 * C01097 )/(${Variables:E2_7_1_11_km} + (E2_7_1_11 * C00075 * C01097 ))</v>
      </c>
    </row>
    <row r="265" spans="1:10">
      <c r="A265" s="19" t="s">
        <v>4358</v>
      </c>
      <c r="B265" s="1" t="s">
        <v>11533</v>
      </c>
      <c r="C265" s="32">
        <v>264</v>
      </c>
      <c r="D265" t="str">
        <f t="shared" si="18"/>
        <v>E2_7_1_11</v>
      </c>
      <c r="E265" s="10" t="s">
        <v>10022</v>
      </c>
      <c r="F265" s="10" t="s">
        <v>12093</v>
      </c>
      <c r="G265" s="13" t="s">
        <v>10023</v>
      </c>
      <c r="H265" s="13" t="s">
        <v>12522</v>
      </c>
      <c r="I265" t="str">
        <f t="shared" si="19"/>
        <v>(${Variables:E2_7_1_11_kcat} * E2_7_1_11 * C00081 * C01097 )/(${Variables:E2_7_1_11_km} + (E2_7_1_11 * C00081 * C01097 ))</v>
      </c>
      <c r="J265" t="str">
        <f t="shared" si="20"/>
        <v>r264: C00081 + C01097  -&gt;  C00104 + C03785 | (${Variables:E2_7_1_11_kcat} * E2_7_1_11 * C00081 * C01097 )/(${Variables:E2_7_1_11_km} + (E2_7_1_11 * C00081 * C01097 ))</v>
      </c>
    </row>
    <row r="266" spans="1:10">
      <c r="A266" s="19" t="s">
        <v>4831</v>
      </c>
      <c r="B266" s="1" t="s">
        <v>11533</v>
      </c>
      <c r="C266" s="32">
        <v>265</v>
      </c>
      <c r="D266" t="str">
        <f t="shared" si="18"/>
        <v>E2_7_1_11</v>
      </c>
      <c r="E266" s="22" t="s">
        <v>10004</v>
      </c>
      <c r="F266" s="22" t="s">
        <v>12084</v>
      </c>
      <c r="G266" s="20" t="s">
        <v>10005</v>
      </c>
      <c r="H266" s="20" t="s">
        <v>12513</v>
      </c>
      <c r="I266" t="str">
        <f t="shared" si="19"/>
        <v>(${Variables:E2_7_1_11_kcat} * E2_7_1_11 * C00002 * C05345)/(${Variables:E2_7_1_11_km} + (E2_7_1_11 * C00002 * C05345))</v>
      </c>
      <c r="J266" t="str">
        <f t="shared" si="20"/>
        <v>r265: C00002 + C05345 -&gt;  C00008 + C05378 | (${Variables:E2_7_1_11_kcat} * E2_7_1_11 * C00002 * C05345)/(${Variables:E2_7_1_11_km} + (E2_7_1_11 * C00002 * C05345))</v>
      </c>
    </row>
    <row r="267" spans="1:10">
      <c r="A267" s="19" t="s">
        <v>4831</v>
      </c>
      <c r="B267" s="1" t="s">
        <v>11533</v>
      </c>
      <c r="C267" s="32">
        <v>266</v>
      </c>
      <c r="D267" t="str">
        <f t="shared" si="18"/>
        <v>E2_7_1_11</v>
      </c>
      <c r="E267" s="22" t="s">
        <v>10006</v>
      </c>
      <c r="F267" s="22" t="s">
        <v>12085</v>
      </c>
      <c r="G267" s="20" t="s">
        <v>10007</v>
      </c>
      <c r="H267" s="20" t="s">
        <v>12514</v>
      </c>
      <c r="I267" t="str">
        <f t="shared" si="19"/>
        <v>(${Variables:E2_7_1_11_kcat} * E2_7_1_11 * C00002 * C00085 )/(${Variables:E2_7_1_11_km} + (E2_7_1_11 * C00002 * C00085 ))</v>
      </c>
      <c r="J267" t="str">
        <f t="shared" si="20"/>
        <v>r266: C00002 + C00085  -&gt; C00008 + C00354 | (${Variables:E2_7_1_11_kcat} * E2_7_1_11 * C00002 * C00085 )/(${Variables:E2_7_1_11_km} + (E2_7_1_11 * C00002 * C00085 ))</v>
      </c>
    </row>
    <row r="268" spans="1:10">
      <c r="A268" s="19" t="s">
        <v>4831</v>
      </c>
      <c r="B268" s="1" t="s">
        <v>11533</v>
      </c>
      <c r="C268" s="32">
        <v>267</v>
      </c>
      <c r="D268" t="str">
        <f t="shared" si="18"/>
        <v>E2_7_1_11</v>
      </c>
      <c r="E268" s="22" t="s">
        <v>10008</v>
      </c>
      <c r="F268" s="22" t="s">
        <v>12086</v>
      </c>
      <c r="G268" s="20" t="s">
        <v>10009</v>
      </c>
      <c r="H268" s="20" t="s">
        <v>12515</v>
      </c>
      <c r="I268" t="str">
        <f t="shared" si="19"/>
        <v>(${Variables:E2_7_1_11_kcat} * E2_7_1_11 * C00063 * C00085 )/(${Variables:E2_7_1_11_km} + (E2_7_1_11 * C00063 * C00085 ))</v>
      </c>
      <c r="J268" t="str">
        <f t="shared" si="20"/>
        <v>r267: C00063 + C00085  -&gt;  C00112 + C00354 | (${Variables:E2_7_1_11_kcat} * E2_7_1_11 * C00063 * C00085 )/(${Variables:E2_7_1_11_km} + (E2_7_1_11 * C00063 * C00085 ))</v>
      </c>
    </row>
    <row r="269" spans="1:10">
      <c r="A269" s="19" t="s">
        <v>4831</v>
      </c>
      <c r="B269" s="1" t="s">
        <v>11533</v>
      </c>
      <c r="C269" s="32">
        <v>268</v>
      </c>
      <c r="D269" t="str">
        <f t="shared" si="18"/>
        <v>E2_7_1_11</v>
      </c>
      <c r="E269" s="22" t="s">
        <v>10010</v>
      </c>
      <c r="F269" s="22" t="s">
        <v>12087</v>
      </c>
      <c r="G269" s="20" t="s">
        <v>10011</v>
      </c>
      <c r="H269" s="20" t="s">
        <v>12516</v>
      </c>
      <c r="I269" t="str">
        <f t="shared" si="19"/>
        <v>(${Variables:E2_7_1_11_kcat} * E2_7_1_11 * C00075 * C00085 )/(${Variables:E2_7_1_11_km} + (E2_7_1_11 * C00075 * C00085 ))</v>
      </c>
      <c r="J269" t="str">
        <f t="shared" si="20"/>
        <v>r268: C00075 + C00085  -&gt;  C00015 + C00354 | (${Variables:E2_7_1_11_kcat} * E2_7_1_11 * C00075 * C00085 )/(${Variables:E2_7_1_11_km} + (E2_7_1_11 * C00075 * C00085 ))</v>
      </c>
    </row>
    <row r="270" spans="1:10">
      <c r="A270" s="19" t="s">
        <v>4831</v>
      </c>
      <c r="B270" s="1" t="s">
        <v>11533</v>
      </c>
      <c r="C270" s="32">
        <v>269</v>
      </c>
      <c r="D270" t="str">
        <f t="shared" si="18"/>
        <v>E2_7_1_11</v>
      </c>
      <c r="E270" s="22" t="s">
        <v>10012</v>
      </c>
      <c r="F270" s="22" t="s">
        <v>12088</v>
      </c>
      <c r="G270" s="20" t="s">
        <v>10013</v>
      </c>
      <c r="H270" s="20" t="s">
        <v>12517</v>
      </c>
      <c r="I270" t="str">
        <f t="shared" si="19"/>
        <v>(${Variables:E2_7_1_11_kcat} * E2_7_1_11 * C00081 * C00085)/(${Variables:E2_7_1_11_km} + (E2_7_1_11 * C00081 * C00085))</v>
      </c>
      <c r="J270" t="str">
        <f t="shared" si="20"/>
        <v>r269: C00081 + C00085 -&gt;  C00104 + C00354 | (${Variables:E2_7_1_11_kcat} * E2_7_1_11 * C00081 * C00085)/(${Variables:E2_7_1_11_km} + (E2_7_1_11 * C00081 * C00085))</v>
      </c>
    </row>
    <row r="271" spans="1:10">
      <c r="A271" s="19" t="s">
        <v>4831</v>
      </c>
      <c r="B271" s="1" t="s">
        <v>11533</v>
      </c>
      <c r="C271" s="32">
        <v>270</v>
      </c>
      <c r="D271" t="str">
        <f t="shared" si="18"/>
        <v>E2_7_1_11</v>
      </c>
      <c r="E271" s="22" t="s">
        <v>10014</v>
      </c>
      <c r="F271" s="22" t="s">
        <v>12089</v>
      </c>
      <c r="G271" s="20" t="s">
        <v>10015</v>
      </c>
      <c r="H271" s="20" t="s">
        <v>12518</v>
      </c>
      <c r="I271" t="str">
        <f t="shared" si="19"/>
        <v>(${Variables:E2_7_1_11_kcat} * E2_7_1_11 * C00002 * C05382)/(${Variables:E2_7_1_11_km} + (E2_7_1_11 * C00002 * C05382))</v>
      </c>
      <c r="J271" t="str">
        <f t="shared" si="20"/>
        <v>r270: C00002 + C05382 -&gt; C00008 + C00447 | (${Variables:E2_7_1_11_kcat} * E2_7_1_11 * C00002 * C05382)/(${Variables:E2_7_1_11_km} + (E2_7_1_11 * C00002 * C05382))</v>
      </c>
    </row>
    <row r="272" spans="1:10">
      <c r="A272" s="19" t="s">
        <v>4831</v>
      </c>
      <c r="B272" s="1" t="s">
        <v>11533</v>
      </c>
      <c r="C272" s="32">
        <v>271</v>
      </c>
      <c r="D272" t="str">
        <f t="shared" si="18"/>
        <v>E2_7_1_11</v>
      </c>
      <c r="E272" s="22" t="s">
        <v>10016</v>
      </c>
      <c r="F272" s="22" t="s">
        <v>12090</v>
      </c>
      <c r="G272" s="20" t="s">
        <v>10017</v>
      </c>
      <c r="H272" s="20" t="s">
        <v>12519</v>
      </c>
      <c r="I272" t="str">
        <f t="shared" si="19"/>
        <v>(${Variables:E2_7_1_11_kcat} * E2_7_1_11 * C01097 * C00002 )/(${Variables:E2_7_1_11_km} + (E2_7_1_11 * C01097 * C00002 ))</v>
      </c>
      <c r="J272" t="str">
        <f t="shared" si="20"/>
        <v>r271: C01097 + C00002  -&gt;  C03785 + C00008 | (${Variables:E2_7_1_11_kcat} * E2_7_1_11 * C01097 * C00002 )/(${Variables:E2_7_1_11_km} + (E2_7_1_11 * C01097 * C00002 ))</v>
      </c>
    </row>
    <row r="273" spans="1:10">
      <c r="A273" s="19" t="s">
        <v>4831</v>
      </c>
      <c r="B273" s="1" t="s">
        <v>11533</v>
      </c>
      <c r="C273" s="32">
        <v>272</v>
      </c>
      <c r="D273" t="str">
        <f t="shared" si="18"/>
        <v>E2_7_1_11</v>
      </c>
      <c r="E273" s="22" t="s">
        <v>10018</v>
      </c>
      <c r="F273" s="22" t="s">
        <v>12091</v>
      </c>
      <c r="G273" s="20" t="s">
        <v>10019</v>
      </c>
      <c r="H273" s="20" t="s">
        <v>12520</v>
      </c>
      <c r="I273" t="str">
        <f t="shared" si="19"/>
        <v>(${Variables:E2_7_1_11_kcat} * E2_7_1_11 * C00063 * C01097 )/(${Variables:E2_7_1_11_km} + (E2_7_1_11 * C00063 * C01097 ))</v>
      </c>
      <c r="J273" t="str">
        <f t="shared" si="20"/>
        <v>r272: C00063 + C01097  -&gt; C00112 + C03785 | (${Variables:E2_7_1_11_kcat} * E2_7_1_11 * C00063 * C01097 )/(${Variables:E2_7_1_11_km} + (E2_7_1_11 * C00063 * C01097 ))</v>
      </c>
    </row>
    <row r="274" spans="1:10">
      <c r="A274" s="19" t="s">
        <v>4831</v>
      </c>
      <c r="B274" s="1" t="s">
        <v>11533</v>
      </c>
      <c r="C274" s="32">
        <v>273</v>
      </c>
      <c r="D274" t="str">
        <f t="shared" si="18"/>
        <v>E2_7_1_11</v>
      </c>
      <c r="E274" s="22" t="s">
        <v>10020</v>
      </c>
      <c r="F274" s="22" t="s">
        <v>12092</v>
      </c>
      <c r="G274" s="20" t="s">
        <v>10021</v>
      </c>
      <c r="H274" s="20" t="s">
        <v>12521</v>
      </c>
      <c r="I274" t="str">
        <f t="shared" si="19"/>
        <v>(${Variables:E2_7_1_11_kcat} * E2_7_1_11 * C00075 * C01097 )/(${Variables:E2_7_1_11_km} + (E2_7_1_11 * C00075 * C01097 ))</v>
      </c>
      <c r="J274" t="str">
        <f t="shared" si="20"/>
        <v>r273: C00075 + C01097  -&gt;  C00015 + C03785 | (${Variables:E2_7_1_11_kcat} * E2_7_1_11 * C00075 * C01097 )/(${Variables:E2_7_1_11_km} + (E2_7_1_11 * C00075 * C01097 ))</v>
      </c>
    </row>
    <row r="275" spans="1:10">
      <c r="A275" s="19" t="s">
        <v>4831</v>
      </c>
      <c r="B275" s="1" t="s">
        <v>11533</v>
      </c>
      <c r="C275" s="32">
        <v>274</v>
      </c>
      <c r="D275" t="str">
        <f t="shared" si="18"/>
        <v>E2_7_1_11</v>
      </c>
      <c r="E275" s="22" t="s">
        <v>10022</v>
      </c>
      <c r="F275" s="22" t="s">
        <v>12093</v>
      </c>
      <c r="G275" s="20" t="s">
        <v>10023</v>
      </c>
      <c r="H275" s="20" t="s">
        <v>12522</v>
      </c>
      <c r="I275" t="str">
        <f t="shared" si="19"/>
        <v>(${Variables:E2_7_1_11_kcat} * E2_7_1_11 * C00081 * C01097 )/(${Variables:E2_7_1_11_km} + (E2_7_1_11 * C00081 * C01097 ))</v>
      </c>
      <c r="J275" t="str">
        <f t="shared" si="20"/>
        <v>r274: C00081 + C01097  -&gt;  C00104 + C03785 | (${Variables:E2_7_1_11_kcat} * E2_7_1_11 * C00081 * C01097 )/(${Variables:E2_7_1_11_km} + (E2_7_1_11 * C00081 * C01097 ))</v>
      </c>
    </row>
    <row r="276" spans="1:10">
      <c r="A276" s="19" t="s">
        <v>5483</v>
      </c>
      <c r="B276" s="1" t="s">
        <v>11534</v>
      </c>
      <c r="C276" s="32">
        <v>275</v>
      </c>
      <c r="D276" t="str">
        <f t="shared" si="18"/>
        <v>E2_7_1_130</v>
      </c>
      <c r="E276" s="10" t="s">
        <v>10156</v>
      </c>
      <c r="F276" s="10" t="s">
        <v>12094</v>
      </c>
      <c r="G276" s="13" t="s">
        <v>10157</v>
      </c>
      <c r="H276" s="13" t="s">
        <v>12523</v>
      </c>
      <c r="I276" t="str">
        <f t="shared" si="19"/>
        <v>(${Variables:E2_7_1_130_kcat} * E2_7_1_130 * C00002 * C04932 )/(${Variables:E2_7_1_130_km} + (E2_7_1_130 * C00002 * C04932 ))</v>
      </c>
      <c r="J276" t="str">
        <f t="shared" si="20"/>
        <v>r275: C00002 + C04932  -&gt;  C00008 + C04919 | (${Variables:E2_7_1_130_kcat} * E2_7_1_130 * C00002 * C04932 )/(${Variables:E2_7_1_130_km} + (E2_7_1_130 * C00002 * C04932 ))</v>
      </c>
    </row>
    <row r="277" spans="1:10">
      <c r="A277" s="19" t="s">
        <v>253</v>
      </c>
      <c r="B277" s="1" t="s">
        <v>11535</v>
      </c>
      <c r="C277" s="32">
        <v>276</v>
      </c>
      <c r="D277" t="str">
        <f t="shared" si="18"/>
        <v>E2_7_1_148</v>
      </c>
      <c r="E277" s="10" t="s">
        <v>11789</v>
      </c>
      <c r="F277" s="10" t="s">
        <v>12095</v>
      </c>
      <c r="G277" s="13" t="s">
        <v>11790</v>
      </c>
      <c r="H277" s="13" t="s">
        <v>12524</v>
      </c>
      <c r="I277" t="str">
        <f t="shared" si="19"/>
        <v>(${Variables:E2_7_1_148_kcat} * E2_7_1_148 * C11435 * C00002 )/(${Variables:E2_7_1_148_km} + (E2_7_1_148 * C11435 * C00002 ))</v>
      </c>
      <c r="J277" t="str">
        <f t="shared" si="20"/>
        <v>r276: C11435 + C00002  -&gt; C11436 + C00008 | (${Variables:E2_7_1_148_kcat} * E2_7_1_148 * C11435 * C00002 )/(${Variables:E2_7_1_148_km} + (E2_7_1_148 * C11435 * C00002 ))</v>
      </c>
    </row>
    <row r="278" spans="1:10">
      <c r="A278" s="19" t="s">
        <v>6670</v>
      </c>
      <c r="B278" s="1" t="s">
        <v>11536</v>
      </c>
      <c r="C278" s="32">
        <v>277</v>
      </c>
      <c r="D278" t="str">
        <f t="shared" si="18"/>
        <v>E2_7_1_15</v>
      </c>
      <c r="E278" s="10" t="s">
        <v>10307</v>
      </c>
      <c r="F278" s="10" t="s">
        <v>12096</v>
      </c>
      <c r="G278" s="13" t="s">
        <v>10308</v>
      </c>
      <c r="H278" s="13" t="s">
        <v>12525</v>
      </c>
      <c r="I278" t="str">
        <f t="shared" si="19"/>
        <v>(${Variables:E2_7_1_15_kcat} * E2_7_1_15 * C00002 * C00121)/(${Variables:E2_7_1_15_km} + (E2_7_1_15 * C00002 * C00121))</v>
      </c>
      <c r="J278" t="str">
        <f t="shared" si="20"/>
        <v>r277: C00002 + C00121 -&gt; C00008 + C00117 | (${Variables:E2_7_1_15_kcat} * E2_7_1_15 * C00002 * C00121)/(${Variables:E2_7_1_15_km} + (E2_7_1_15 * C00002 * C00121))</v>
      </c>
    </row>
    <row r="279" spans="1:10">
      <c r="A279" s="19" t="s">
        <v>6670</v>
      </c>
      <c r="B279" s="1" t="s">
        <v>11536</v>
      </c>
      <c r="C279" s="32">
        <v>278</v>
      </c>
      <c r="D279" t="str">
        <f t="shared" si="18"/>
        <v>E2_7_1_15</v>
      </c>
      <c r="E279" s="10" t="s">
        <v>10309</v>
      </c>
      <c r="F279" s="10" t="s">
        <v>12097</v>
      </c>
      <c r="G279" s="13" t="s">
        <v>10310</v>
      </c>
      <c r="H279" s="13" t="s">
        <v>12526</v>
      </c>
      <c r="I279" t="str">
        <f t="shared" si="19"/>
        <v>(${Variables:E2_7_1_15_kcat} * E2_7_1_15 * C00673 * C00008 )/(${Variables:E2_7_1_15_km} + (E2_7_1_15 * C00673 * C00008 ))</v>
      </c>
      <c r="J279" t="str">
        <f t="shared" si="20"/>
        <v>r278: C00673 + C00008  -&gt; C01801 + C00002 | (${Variables:E2_7_1_15_kcat} * E2_7_1_15 * C00673 * C00008 )/(${Variables:E2_7_1_15_km} + (E2_7_1_15 * C00673 * C00008 ))</v>
      </c>
    </row>
    <row r="280" spans="1:10">
      <c r="A280" s="19" t="s">
        <v>270</v>
      </c>
      <c r="B280" s="1" t="s">
        <v>11537</v>
      </c>
      <c r="C280" s="32">
        <v>279</v>
      </c>
      <c r="D280" t="str">
        <f t="shared" si="18"/>
        <v>E2_7_1_21</v>
      </c>
      <c r="E280" s="10" t="s">
        <v>11791</v>
      </c>
      <c r="F280" s="10" t="s">
        <v>12098</v>
      </c>
      <c r="G280" s="13" t="s">
        <v>11792</v>
      </c>
      <c r="H280" s="13" t="s">
        <v>12527</v>
      </c>
      <c r="I280" t="str">
        <f t="shared" si="19"/>
        <v>(${Variables:E2_7_1_21_kcat} * E2_7_1_21 * C00002 *  C00214 )/(${Variables:E2_7_1_21_km} + (E2_7_1_21 * C00002 *  C00214 ))</v>
      </c>
      <c r="J280" t="str">
        <f t="shared" si="20"/>
        <v>r279: C00002 +  C00214  -&gt;  C00008 + C00364 | (${Variables:E2_7_1_21_kcat} * E2_7_1_21 * C00002 *  C00214 )/(${Variables:E2_7_1_21_km} + (E2_7_1_21 * C00002 *  C00214 ))</v>
      </c>
    </row>
    <row r="281" spans="1:10">
      <c r="A281" s="19" t="s">
        <v>7535</v>
      </c>
      <c r="B281" s="1" t="s">
        <v>11538</v>
      </c>
      <c r="C281" s="32">
        <v>280</v>
      </c>
      <c r="D281" t="str">
        <f t="shared" si="18"/>
        <v>E2_7_1_23</v>
      </c>
      <c r="E281" s="10" t="s">
        <v>10442</v>
      </c>
      <c r="F281" s="10" t="s">
        <v>12099</v>
      </c>
      <c r="G281" s="13" t="s">
        <v>10443</v>
      </c>
      <c r="H281" s="13" t="s">
        <v>12528</v>
      </c>
      <c r="I281" t="str">
        <f t="shared" si="19"/>
        <v>(${Variables:E2_7_1_23_kcat} * E2_7_1_23 * C00002 * C00003 )/(${Variables:E2_7_1_23_km} + (E2_7_1_23 * C00002 * C00003 ))</v>
      </c>
      <c r="J281" t="str">
        <f t="shared" si="20"/>
        <v>r280: C00002 + C00003  -&gt; C00008 + C00006 | (${Variables:E2_7_1_23_kcat} * E2_7_1_23 * C00002 * C00003 )/(${Variables:E2_7_1_23_km} + (E2_7_1_23 * C00002 * C00003 ))</v>
      </c>
    </row>
    <row r="282" spans="1:10">
      <c r="A282" s="19" t="s">
        <v>6881</v>
      </c>
      <c r="B282" s="1" t="s">
        <v>11539</v>
      </c>
      <c r="C282" s="32">
        <v>281</v>
      </c>
      <c r="D282" t="str">
        <f t="shared" si="18"/>
        <v>E2_7_1_24</v>
      </c>
      <c r="E282" s="10" t="s">
        <v>10315</v>
      </c>
      <c r="F282" s="10" t="s">
        <v>12100</v>
      </c>
      <c r="G282" s="13" t="s">
        <v>10316</v>
      </c>
      <c r="H282" s="13" t="s">
        <v>12529</v>
      </c>
      <c r="I282" t="str">
        <f t="shared" si="19"/>
        <v>(${Variables:E2_7_1_24_kcat} * E2_7_1_24 * C00002 * C00882 )/(${Variables:E2_7_1_24_km} + (E2_7_1_24 * C00002 * C00882 ))</v>
      </c>
      <c r="J282" t="str">
        <f t="shared" si="20"/>
        <v>r281: C00002 + C00882  -&gt;  C00008 + C00010 | (${Variables:E2_7_1_24_kcat} * E2_7_1_24 * C00002 * C00882 )/(${Variables:E2_7_1_24_km} + (E2_7_1_24 * C00002 * C00882 ))</v>
      </c>
    </row>
    <row r="283" spans="1:10">
      <c r="A283" s="19" t="s">
        <v>174</v>
      </c>
      <c r="B283" s="1" t="s">
        <v>11540</v>
      </c>
      <c r="C283" s="32">
        <v>282</v>
      </c>
      <c r="D283" t="str">
        <f t="shared" ref="D283" si="21">CONCATENATE("E",B283)</f>
        <v>E2_7_1_25</v>
      </c>
      <c r="E283" s="10" t="s">
        <v>12793</v>
      </c>
      <c r="F283" s="10" t="s">
        <v>12797</v>
      </c>
      <c r="G283" s="13" t="s">
        <v>12794</v>
      </c>
      <c r="H283" s="13" t="s">
        <v>12799</v>
      </c>
      <c r="I283" t="str">
        <f t="shared" si="19"/>
        <v>(${Variables:E2_7_1_25_kcat} * E2_7_1_25 * C00002 * C00224 )/(${Variables:E2_7_1_25_km} + (E2_7_1_25 * C00002 * C00224 ))</v>
      </c>
      <c r="J283" t="str">
        <f t="shared" ref="J283" si="22">CONCATENATE("r",C283,": ",E283," -&gt; ",G283," | ",I283)</f>
        <v>r282: C00002 + C00224  -&gt;  C00008 + C00053 | (${Variables:E2_7_1_25_kcat} * E2_7_1_25 * C00002 * C00224 )/(${Variables:E2_7_1_25_km} + (E2_7_1_25 * C00002 * C00224 ))</v>
      </c>
    </row>
    <row r="284" spans="1:10">
      <c r="A284" s="19" t="s">
        <v>174</v>
      </c>
      <c r="B284" s="1" t="s">
        <v>11540</v>
      </c>
      <c r="C284" s="32">
        <v>283</v>
      </c>
      <c r="D284" t="str">
        <f t="shared" si="18"/>
        <v>E2_7_1_25</v>
      </c>
      <c r="E284" s="10" t="s">
        <v>12795</v>
      </c>
      <c r="F284" s="10" t="s">
        <v>12798</v>
      </c>
      <c r="G284" s="13" t="s">
        <v>12796</v>
      </c>
      <c r="H284" s="13" t="s">
        <v>12800</v>
      </c>
      <c r="I284" t="str">
        <f t="shared" si="19"/>
        <v>(${Variables:E2_7_1_25_kcat} * E2_7_1_25 * C00002 * C05686)/(${Variables:E2_7_1_25_km} + (E2_7_1_25 * C00002 * C05686))</v>
      </c>
      <c r="J284" t="str">
        <f t="shared" si="20"/>
        <v>r283: C00002 + C05686 -&gt; C00008 + C05696 | (${Variables:E2_7_1_25_kcat} * E2_7_1_25 * C00002 * C05686)/(${Variables:E2_7_1_25_km} + (E2_7_1_25 * C00002 * C05686))</v>
      </c>
    </row>
    <row r="285" spans="1:10">
      <c r="A285" s="19" t="s">
        <v>3490</v>
      </c>
      <c r="B285" s="1" t="s">
        <v>11541</v>
      </c>
      <c r="C285" s="32">
        <v>284</v>
      </c>
      <c r="D285" t="str">
        <f t="shared" si="18"/>
        <v>E2_7_1_26</v>
      </c>
      <c r="E285" s="10" t="s">
        <v>9886</v>
      </c>
      <c r="F285" s="10" t="s">
        <v>12101</v>
      </c>
      <c r="G285" s="13" t="s">
        <v>9887</v>
      </c>
      <c r="H285" s="13" t="s">
        <v>12530</v>
      </c>
      <c r="I285" t="str">
        <f t="shared" si="19"/>
        <v>(${Variables:E2_7_1_26_kcat} * E2_7_1_26 * C00002 * C00255)/(${Variables:E2_7_1_26_km} + (E2_7_1_26 * C00002 * C00255))</v>
      </c>
      <c r="J285" t="str">
        <f t="shared" si="20"/>
        <v>r284: C00002 + C00255 -&gt;  C00008 + C00061 | (${Variables:E2_7_1_26_kcat} * E2_7_1_26 * C00002 * C00255)/(${Variables:E2_7_1_26_km} + (E2_7_1_26 * C00002 * C00255))</v>
      </c>
    </row>
    <row r="286" spans="1:10">
      <c r="A286" s="19" t="s">
        <v>7011</v>
      </c>
      <c r="B286" s="1" t="s">
        <v>11542</v>
      </c>
      <c r="C286" s="32">
        <v>285</v>
      </c>
      <c r="D286" t="str">
        <f t="shared" si="18"/>
        <v>E2_7_1_30</v>
      </c>
      <c r="E286" s="11" t="s">
        <v>10332</v>
      </c>
      <c r="F286" s="11" t="s">
        <v>12102</v>
      </c>
      <c r="G286" s="13" t="s">
        <v>10333</v>
      </c>
      <c r="H286" s="13" t="s">
        <v>12531</v>
      </c>
      <c r="I286" t="str">
        <f t="shared" si="19"/>
        <v>(${Variables:E2_7_1_30_kcat} * E2_7_1_30 * C00002 * C00116 )/(${Variables:E2_7_1_30_km} + (E2_7_1_30 * C00002 * C00116 ))</v>
      </c>
      <c r="J286" t="str">
        <f t="shared" si="20"/>
        <v>r285: C00002 + C00116  -&gt;  C00008 + C00093 | (${Variables:E2_7_1_30_kcat} * E2_7_1_30 * C00002 * C00116 )/(${Variables:E2_7_1_30_km} + (E2_7_1_30 * C00002 * C00116 ))</v>
      </c>
    </row>
    <row r="287" spans="1:10">
      <c r="A287" s="19" t="s">
        <v>1705</v>
      </c>
      <c r="B287" s="1" t="s">
        <v>11543</v>
      </c>
      <c r="C287" s="32">
        <v>286</v>
      </c>
      <c r="D287" t="str">
        <f t="shared" si="18"/>
        <v>E2_7_1_33</v>
      </c>
      <c r="E287" s="10" t="s">
        <v>9615</v>
      </c>
      <c r="F287" s="10" t="s">
        <v>12103</v>
      </c>
      <c r="G287" s="13" t="s">
        <v>9616</v>
      </c>
      <c r="H287" s="13" t="s">
        <v>12532</v>
      </c>
      <c r="I287" t="str">
        <f t="shared" si="19"/>
        <v>(${Variables:E2_7_1_33_kcat} * E2_7_1_33 * C00002 * C00864)/(${Variables:E2_7_1_33_km} + (E2_7_1_33 * C00002 * C00864))</v>
      </c>
      <c r="J287" t="str">
        <f t="shared" si="20"/>
        <v>r286: C00002 + C00864 -&gt; C00008 + C03492 | (${Variables:E2_7_1_33_kcat} * E2_7_1_33 * C00002 * C00864)/(${Variables:E2_7_1_33_km} + (E2_7_1_33 * C00002 * C00864))</v>
      </c>
    </row>
    <row r="288" spans="1:10">
      <c r="A288" s="19" t="s">
        <v>1705</v>
      </c>
      <c r="B288" s="1" t="s">
        <v>11543</v>
      </c>
      <c r="C288" s="32">
        <v>287</v>
      </c>
      <c r="D288" t="str">
        <f t="shared" si="18"/>
        <v>E2_7_1_33</v>
      </c>
      <c r="E288" s="10" t="s">
        <v>9617</v>
      </c>
      <c r="F288" s="10" t="s">
        <v>12104</v>
      </c>
      <c r="G288" s="13" t="s">
        <v>9618</v>
      </c>
      <c r="H288" s="13" t="s">
        <v>12533</v>
      </c>
      <c r="I288" t="str">
        <f t="shared" si="19"/>
        <v>(${Variables:E2_7_1_33_kcat} * E2_7_1_33 * C00002 * C00831 )/(${Variables:E2_7_1_33_km} + (E2_7_1_33 * C00002 * C00831 ))</v>
      </c>
      <c r="J288" t="str">
        <f t="shared" si="20"/>
        <v>r287: C00002 + C00831  -&gt; C00008 + C01134 | (${Variables:E2_7_1_33_kcat} * E2_7_1_33 * C00002 * C00831 )/(${Variables:E2_7_1_33_km} + (E2_7_1_33 * C00002 * C00831 ))</v>
      </c>
    </row>
    <row r="289" spans="1:10">
      <c r="A289" s="19" t="s">
        <v>1705</v>
      </c>
      <c r="B289" s="1" t="s">
        <v>11543</v>
      </c>
      <c r="C289" s="32">
        <v>288</v>
      </c>
      <c r="D289" t="str">
        <f t="shared" si="18"/>
        <v>E2_7_1_33</v>
      </c>
      <c r="E289" s="10" t="s">
        <v>9619</v>
      </c>
      <c r="F289" s="10" t="s">
        <v>12105</v>
      </c>
      <c r="G289" s="13" t="s">
        <v>9620</v>
      </c>
      <c r="H289" s="13" t="s">
        <v>12534</v>
      </c>
      <c r="I289" t="str">
        <f t="shared" si="19"/>
        <v>(${Variables:E2_7_1_33_kcat} * E2_7_1_33 * C00002 * C04079 )/(${Variables:E2_7_1_33_km} + (E2_7_1_33 * C00002 * C04079 ))</v>
      </c>
      <c r="J289" t="str">
        <f t="shared" si="20"/>
        <v>r288: C00002 + C04079  -&gt;  C00008 + C04352 | (${Variables:E2_7_1_33_kcat} * E2_7_1_33 * C00002 * C04079 )/(${Variables:E2_7_1_33_km} + (E2_7_1_33 * C00002 * C04079 ))</v>
      </c>
    </row>
    <row r="290" spans="1:10">
      <c r="A290" s="19" t="s">
        <v>6450</v>
      </c>
      <c r="B290" s="1" t="s">
        <v>11544</v>
      </c>
      <c r="C290" s="32">
        <v>289</v>
      </c>
      <c r="D290" t="str">
        <f t="shared" si="18"/>
        <v>E2_7_1_35</v>
      </c>
      <c r="E290" s="10" t="s">
        <v>10280</v>
      </c>
      <c r="F290" s="10" t="s">
        <v>12106</v>
      </c>
      <c r="G290" s="13" t="s">
        <v>10281</v>
      </c>
      <c r="H290" s="13" t="s">
        <v>12535</v>
      </c>
      <c r="I290" t="str">
        <f t="shared" si="19"/>
        <v>(${Variables:E2_7_1_35_kcat} * E2_7_1_35 * C00002 * C00250)/(${Variables:E2_7_1_35_km} + (E2_7_1_35 * C00002 * C00250))</v>
      </c>
      <c r="J290" t="str">
        <f t="shared" si="20"/>
        <v>r289: C00002 + C00250 -&gt;  C00008 + C00018 | (${Variables:E2_7_1_35_kcat} * E2_7_1_35 * C00002 * C00250)/(${Variables:E2_7_1_35_km} + (E2_7_1_35 * C00002 * C00250))</v>
      </c>
    </row>
    <row r="291" spans="1:10">
      <c r="A291" s="19" t="s">
        <v>6450</v>
      </c>
      <c r="B291" s="1" t="s">
        <v>11544</v>
      </c>
      <c r="C291" s="32">
        <v>290</v>
      </c>
      <c r="D291" t="str">
        <f t="shared" si="18"/>
        <v>E2_7_1_35</v>
      </c>
      <c r="E291" s="10" t="s">
        <v>10282</v>
      </c>
      <c r="F291" s="10" t="s">
        <v>12107</v>
      </c>
      <c r="G291" s="13" t="s">
        <v>10283</v>
      </c>
      <c r="H291" s="13" t="s">
        <v>12536</v>
      </c>
      <c r="I291" t="str">
        <f t="shared" si="19"/>
        <v>(${Variables:E2_7_1_35_kcat} * E2_7_1_35 * C00002 * C00314)/(${Variables:E2_7_1_35_km} + (E2_7_1_35 * C00002 * C00314))</v>
      </c>
      <c r="J291" t="str">
        <f t="shared" si="20"/>
        <v>r290: C00002 + C00314 -&gt;  C00008 + C00627 | (${Variables:E2_7_1_35_kcat} * E2_7_1_35 * C00002 * C00314)/(${Variables:E2_7_1_35_km} + (E2_7_1_35 * C00002 * C00314))</v>
      </c>
    </row>
    <row r="292" spans="1:10">
      <c r="A292" s="19" t="s">
        <v>6450</v>
      </c>
      <c r="B292" s="1" t="s">
        <v>11544</v>
      </c>
      <c r="C292" s="32">
        <v>291</v>
      </c>
      <c r="D292" t="str">
        <f t="shared" si="18"/>
        <v>E2_7_1_35</v>
      </c>
      <c r="E292" s="10" t="s">
        <v>10284</v>
      </c>
      <c r="F292" s="10" t="s">
        <v>12108</v>
      </c>
      <c r="G292" s="13" t="s">
        <v>10285</v>
      </c>
      <c r="H292" s="13" t="s">
        <v>12537</v>
      </c>
      <c r="I292" t="str">
        <f t="shared" si="19"/>
        <v>(${Variables:E2_7_1_35_kcat} * E2_7_1_35 * C00002 * C00534 )/(${Variables:E2_7_1_35_km} + (E2_7_1_35 * C00002 * C00534 ))</v>
      </c>
      <c r="J292" t="str">
        <f t="shared" si="20"/>
        <v>r291: C00002 + C00534  -&gt;  C00008 + C00647 | (${Variables:E2_7_1_35_kcat} * E2_7_1_35 * C00002 * C00534 )/(${Variables:E2_7_1_35_km} + (E2_7_1_35 * C00002 * C00534 ))</v>
      </c>
    </row>
    <row r="293" spans="1:10">
      <c r="A293" s="19" t="s">
        <v>3812</v>
      </c>
      <c r="B293" s="25" t="s">
        <v>11545</v>
      </c>
      <c r="C293" s="32">
        <v>292</v>
      </c>
      <c r="D293" t="str">
        <f t="shared" si="18"/>
        <v>E2_7_1_40</v>
      </c>
      <c r="E293" s="10" t="s">
        <v>9959</v>
      </c>
      <c r="F293" s="10" t="s">
        <v>12109</v>
      </c>
      <c r="G293" s="13" t="s">
        <v>9960</v>
      </c>
      <c r="H293" s="13" t="s">
        <v>12538</v>
      </c>
      <c r="I293" t="str">
        <f t="shared" si="19"/>
        <v>(${Variables:E2_7_1_40_kcat} * E2_7_1_40 * C00002 * C00022)/(${Variables:E2_7_1_40_km} + (E2_7_1_40 * C00002 * C00022))</v>
      </c>
      <c r="J293" t="str">
        <f t="shared" si="20"/>
        <v>r292: C00002 + C00022 -&gt;  C00008 + C00074 | (${Variables:E2_7_1_40_kcat} * E2_7_1_40 * C00002 * C00022)/(${Variables:E2_7_1_40_km} + (E2_7_1_40 * C00002 * C00022))</v>
      </c>
    </row>
    <row r="294" spans="1:10">
      <c r="A294" s="19" t="s">
        <v>3812</v>
      </c>
      <c r="B294" s="25" t="s">
        <v>11545</v>
      </c>
      <c r="C294" s="32">
        <v>293</v>
      </c>
      <c r="D294" t="str">
        <f t="shared" si="18"/>
        <v>E2_7_1_40</v>
      </c>
      <c r="E294" s="10" t="s">
        <v>9961</v>
      </c>
      <c r="F294" s="10" t="s">
        <v>12110</v>
      </c>
      <c r="G294" s="13" t="s">
        <v>9962</v>
      </c>
      <c r="H294" s="13" t="s">
        <v>12539</v>
      </c>
      <c r="I294" t="str">
        <f t="shared" si="19"/>
        <v>(${Variables:E2_7_1_40_kcat} * E2_7_1_40 * C00044 * C00022)/(${Variables:E2_7_1_40_km} + (E2_7_1_40 * C00044 * C00022))</v>
      </c>
      <c r="J294" t="str">
        <f t="shared" si="20"/>
        <v>r293: C00044 + C00022 -&gt; C00035 + C00074 | (${Variables:E2_7_1_40_kcat} * E2_7_1_40 * C00044 * C00022)/(${Variables:E2_7_1_40_km} + (E2_7_1_40 * C00044 * C00022))</v>
      </c>
    </row>
    <row r="295" spans="1:10">
      <c r="A295" s="19" t="s">
        <v>3812</v>
      </c>
      <c r="B295" s="25" t="s">
        <v>11545</v>
      </c>
      <c r="C295" s="32">
        <v>294</v>
      </c>
      <c r="D295" t="str">
        <f t="shared" si="18"/>
        <v>E2_7_1_40</v>
      </c>
      <c r="E295" s="10" t="s">
        <v>9963</v>
      </c>
      <c r="F295" s="10" t="s">
        <v>12111</v>
      </c>
      <c r="G295" s="13" t="s">
        <v>9964</v>
      </c>
      <c r="H295" s="13" t="s">
        <v>12540</v>
      </c>
      <c r="I295" t="str">
        <f t="shared" si="19"/>
        <v>(${Variables:E2_7_1_40_kcat} * E2_7_1_40 * C00063 * C00022 )/(${Variables:E2_7_1_40_km} + (E2_7_1_40 * C00063 * C00022 ))</v>
      </c>
      <c r="J295" t="str">
        <f t="shared" si="20"/>
        <v>r294: C00063 + C00022  -&gt;  C00112 + C00074 | (${Variables:E2_7_1_40_kcat} * E2_7_1_40 * C00063 * C00022 )/(${Variables:E2_7_1_40_km} + (E2_7_1_40 * C00063 * C00022 ))</v>
      </c>
    </row>
    <row r="296" spans="1:10">
      <c r="A296" s="19" t="s">
        <v>3812</v>
      </c>
      <c r="B296" s="25" t="s">
        <v>11545</v>
      </c>
      <c r="C296" s="32">
        <v>295</v>
      </c>
      <c r="D296" t="str">
        <f t="shared" si="18"/>
        <v>E2_7_1_40</v>
      </c>
      <c r="E296" s="10" t="s">
        <v>9965</v>
      </c>
      <c r="F296" s="10" t="s">
        <v>12112</v>
      </c>
      <c r="G296" s="13" t="s">
        <v>9966</v>
      </c>
      <c r="H296" s="13" t="s">
        <v>12541</v>
      </c>
      <c r="I296" t="str">
        <f t="shared" si="19"/>
        <v>(${Variables:E2_7_1_40_kcat} * E2_7_1_40 * C00075 * C00022)/(${Variables:E2_7_1_40_km} + (E2_7_1_40 * C00075 * C00022))</v>
      </c>
      <c r="J296" t="str">
        <f t="shared" si="20"/>
        <v>r295: C00075 + C00022 -&gt;  C00015 + C00074 | (${Variables:E2_7_1_40_kcat} * E2_7_1_40 * C00075 * C00022)/(${Variables:E2_7_1_40_km} + (E2_7_1_40 * C00075 * C00022))</v>
      </c>
    </row>
    <row r="297" spans="1:10">
      <c r="A297" s="19" t="s">
        <v>3812</v>
      </c>
      <c r="B297" s="25" t="s">
        <v>11545</v>
      </c>
      <c r="C297" s="32">
        <v>296</v>
      </c>
      <c r="D297" t="str">
        <f t="shared" si="18"/>
        <v>E2_7_1_40</v>
      </c>
      <c r="E297" s="10" t="s">
        <v>9967</v>
      </c>
      <c r="F297" s="10" t="s">
        <v>12113</v>
      </c>
      <c r="G297" s="13" t="s">
        <v>9968</v>
      </c>
      <c r="H297" s="13" t="s">
        <v>12542</v>
      </c>
      <c r="I297" t="str">
        <f t="shared" si="19"/>
        <v>(${Variables:E2_7_1_40_kcat} * E2_7_1_40 * C00081 * C00022 )/(${Variables:E2_7_1_40_km} + (E2_7_1_40 * C00081 * C00022 ))</v>
      </c>
      <c r="J297" t="str">
        <f t="shared" si="20"/>
        <v>r296: C00081 + C00022  -&gt;  C00104 + C00074 | (${Variables:E2_7_1_40_kcat} * E2_7_1_40 * C00081 * C00022 )/(${Variables:E2_7_1_40_km} + (E2_7_1_40 * C00081 * C00022 ))</v>
      </c>
    </row>
    <row r="298" spans="1:10">
      <c r="A298" s="19" t="s">
        <v>3812</v>
      </c>
      <c r="B298" s="25" t="s">
        <v>11545</v>
      </c>
      <c r="C298" s="32">
        <v>297</v>
      </c>
      <c r="D298" t="str">
        <f t="shared" si="18"/>
        <v>E2_7_1_40</v>
      </c>
      <c r="E298" s="10" t="s">
        <v>9969</v>
      </c>
      <c r="F298" s="10" t="s">
        <v>12114</v>
      </c>
      <c r="G298" s="13" t="s">
        <v>9970</v>
      </c>
      <c r="H298" s="13" t="s">
        <v>12543</v>
      </c>
      <c r="I298" t="str">
        <f t="shared" si="19"/>
        <v>(${Variables:E2_7_1_40_kcat} * E2_7_1_40 * C00131 * C00022 )/(${Variables:E2_7_1_40_km} + (E2_7_1_40 * C00131 * C00022 ))</v>
      </c>
      <c r="J298" t="str">
        <f t="shared" si="20"/>
        <v>r297: C00131 + C00022  -&gt;  C00206 + C00074 | (${Variables:E2_7_1_40_kcat} * E2_7_1_40 * C00131 * C00022 )/(${Variables:E2_7_1_40_km} + (E2_7_1_40 * C00131 * C00022 ))</v>
      </c>
    </row>
    <row r="299" spans="1:10">
      <c r="A299" s="19" t="s">
        <v>3812</v>
      </c>
      <c r="B299" s="25" t="s">
        <v>11545</v>
      </c>
      <c r="C299" s="32">
        <v>298</v>
      </c>
      <c r="D299" t="str">
        <f t="shared" si="18"/>
        <v>E2_7_1_40</v>
      </c>
      <c r="E299" s="10" t="s">
        <v>9971</v>
      </c>
      <c r="F299" s="10" t="s">
        <v>12115</v>
      </c>
      <c r="G299" s="13" t="s">
        <v>9972</v>
      </c>
      <c r="H299" s="13" t="s">
        <v>12544</v>
      </c>
      <c r="I299" t="str">
        <f t="shared" si="19"/>
        <v>(${Variables:E2_7_1_40_kcat} * E2_7_1_40 * C00286 * C00022 )/(${Variables:E2_7_1_40_km} + (E2_7_1_40 * C00286 * C00022 ))</v>
      </c>
      <c r="J299" t="str">
        <f t="shared" si="20"/>
        <v>r298: C00286 + C00022  -&gt; C00361 + C00074 | (${Variables:E2_7_1_40_kcat} * E2_7_1_40 * C00286 * C00022 )/(${Variables:E2_7_1_40_km} + (E2_7_1_40 * C00286 * C00022 ))</v>
      </c>
    </row>
    <row r="300" spans="1:10">
      <c r="A300" s="19" t="s">
        <v>3812</v>
      </c>
      <c r="B300" s="25" t="s">
        <v>11545</v>
      </c>
      <c r="C300" s="32">
        <v>299</v>
      </c>
      <c r="D300" t="str">
        <f t="shared" si="18"/>
        <v>E2_7_1_40</v>
      </c>
      <c r="E300" s="10" t="s">
        <v>9973</v>
      </c>
      <c r="F300" s="10" t="s">
        <v>12116</v>
      </c>
      <c r="G300" s="13" t="s">
        <v>9974</v>
      </c>
      <c r="H300" s="13" t="s">
        <v>12545</v>
      </c>
      <c r="I300" t="str">
        <f t="shared" si="19"/>
        <v>(${Variables:E2_7_1_40_kcat} * E2_7_1_40 * C00201 * C00022)/(${Variables:E2_7_1_40_km} + (E2_7_1_40 * C00201 * C00022))</v>
      </c>
      <c r="J300" t="str">
        <f t="shared" si="20"/>
        <v>r299: C00201 + C00022 -&gt;  C00454 + C00074 | (${Variables:E2_7_1_40_kcat} * E2_7_1_40 * C00201 * C00022)/(${Variables:E2_7_1_40_km} + (E2_7_1_40 * C00201 * C00022))</v>
      </c>
    </row>
    <row r="301" spans="1:10">
      <c r="A301" s="19" t="s">
        <v>127</v>
      </c>
      <c r="B301" s="1" t="s">
        <v>11546</v>
      </c>
      <c r="C301" s="32">
        <v>300</v>
      </c>
      <c r="D301" t="str">
        <f t="shared" si="18"/>
        <v>E2_7_1_48</v>
      </c>
      <c r="E301" s="21" t="s">
        <v>11793</v>
      </c>
      <c r="F301" s="21" t="s">
        <v>12117</v>
      </c>
      <c r="G301" s="13" t="s">
        <v>11794</v>
      </c>
      <c r="H301" s="13" t="s">
        <v>12546</v>
      </c>
      <c r="I301" t="str">
        <f t="shared" si="19"/>
        <v>(${Variables:E2_7_1_48_kcat} * E2_7_1_48 * C00002 * C00475)/(${Variables:E2_7_1_48_km} + (E2_7_1_48 * C00002 * C00475))</v>
      </c>
      <c r="J301" t="str">
        <f t="shared" si="20"/>
        <v>r300: C00002 + C00475 -&gt; C00008 + C00055 | (${Variables:E2_7_1_48_kcat} * E2_7_1_48 * C00002 * C00475)/(${Variables:E2_7_1_48_km} + (E2_7_1_48 * C00002 * C00475))</v>
      </c>
    </row>
    <row r="302" spans="1:10">
      <c r="A302" s="19" t="s">
        <v>127</v>
      </c>
      <c r="B302" s="1" t="s">
        <v>11546</v>
      </c>
      <c r="C302" s="32">
        <v>301</v>
      </c>
      <c r="D302" t="str">
        <f t="shared" si="18"/>
        <v>E2_7_1_48</v>
      </c>
      <c r="E302" s="11" t="s">
        <v>11795</v>
      </c>
      <c r="F302" s="11" t="s">
        <v>12118</v>
      </c>
      <c r="G302" s="15" t="s">
        <v>11796</v>
      </c>
      <c r="H302" s="15" t="s">
        <v>12547</v>
      </c>
      <c r="I302" t="str">
        <f t="shared" si="19"/>
        <v>(${Variables:E2_7_1_48_kcat} * E2_7_1_48 * C00002 * C00299)/(${Variables:E2_7_1_48_km} + (E2_7_1_48 * C00002 * C00299))</v>
      </c>
      <c r="J302" t="str">
        <f t="shared" si="20"/>
        <v>r301: C00002 + C00299 -&gt;  C00008 + C00105 | (${Variables:E2_7_1_48_kcat} * E2_7_1_48 * C00002 * C00299)/(${Variables:E2_7_1_48_km} + (E2_7_1_48 * C00002 * C00299))</v>
      </c>
    </row>
    <row r="303" spans="1:10">
      <c r="A303" s="19" t="s">
        <v>8629</v>
      </c>
      <c r="B303" s="1" t="s">
        <v>11547</v>
      </c>
      <c r="C303" s="32">
        <v>302</v>
      </c>
      <c r="D303" t="str">
        <f t="shared" si="18"/>
        <v>E2_7_1_49</v>
      </c>
      <c r="E303" s="10" t="s">
        <v>10596</v>
      </c>
      <c r="F303" s="10" t="s">
        <v>12119</v>
      </c>
      <c r="G303" s="13" t="s">
        <v>10597</v>
      </c>
      <c r="H303" s="13" t="s">
        <v>12548</v>
      </c>
      <c r="I303" t="str">
        <f t="shared" si="19"/>
        <v>(${Variables:E2_7_1_49_kcat} * E2_7_1_49 * C00002 * C01279 )/(${Variables:E2_7_1_49_km} + (E2_7_1_49 * C00002 * C01279 ))</v>
      </c>
      <c r="J303" t="str">
        <f t="shared" si="20"/>
        <v>r302: C00002 + C01279  -&gt;  C00008 + C04556 | (${Variables:E2_7_1_49_kcat} * E2_7_1_49 * C00002 * C01279 )/(${Variables:E2_7_1_49_km} + (E2_7_1_49 * C00002 * C01279 ))</v>
      </c>
    </row>
    <row r="304" spans="1:10">
      <c r="A304" s="19" t="s">
        <v>6650</v>
      </c>
      <c r="B304" s="1" t="s">
        <v>11548</v>
      </c>
      <c r="C304" s="32">
        <v>303</v>
      </c>
      <c r="D304" t="str">
        <f t="shared" si="18"/>
        <v>E2_7_1_6</v>
      </c>
      <c r="E304" s="10" t="s">
        <v>10304</v>
      </c>
      <c r="F304" s="10" t="s">
        <v>12120</v>
      </c>
      <c r="G304" s="13" t="s">
        <v>10305</v>
      </c>
      <c r="H304" s="13" t="s">
        <v>12549</v>
      </c>
      <c r="I304" t="str">
        <f t="shared" si="19"/>
        <v>(${Variables:E2_7_1_6_kcat} * E2_7_1_6 * C00002 * C00984 )/(${Variables:E2_7_1_6_km} + (E2_7_1_6 * C00002 * C00984 ))</v>
      </c>
      <c r="J304" t="str">
        <f t="shared" si="20"/>
        <v>r303: C00002 + C00984  -&gt;  C00008 + C00446 | (${Variables:E2_7_1_6_kcat} * E2_7_1_6 * C00002 * C00984 )/(${Variables:E2_7_1_6_km} + (E2_7_1_6 * C00002 * C00984 ))</v>
      </c>
    </row>
    <row r="305" spans="1:10">
      <c r="A305" s="19" t="s">
        <v>2808</v>
      </c>
      <c r="B305" s="1" t="s">
        <v>11549</v>
      </c>
      <c r="C305" s="32">
        <v>304</v>
      </c>
      <c r="D305" t="str">
        <f t="shared" si="18"/>
        <v>E2_7_1_71</v>
      </c>
      <c r="E305" s="10" t="s">
        <v>9764</v>
      </c>
      <c r="F305" s="10" t="s">
        <v>12121</v>
      </c>
      <c r="G305" s="13" t="s">
        <v>9766</v>
      </c>
      <c r="H305" s="13" t="s">
        <v>12550</v>
      </c>
      <c r="I305" t="str">
        <f t="shared" si="19"/>
        <v>(${Variables:E2_7_1_71_kcat} * E2_7_1_71 * C00002 * C00493 )/(${Variables:E2_7_1_71_km} + (E2_7_1_71 * C00002 * C00493 ))</v>
      </c>
      <c r="J305" t="str">
        <f t="shared" si="20"/>
        <v>r304: C00002 + C00493  -&gt; C00008 + C03175 | (${Variables:E2_7_1_71_kcat} * E2_7_1_71 * C00002 * C00493 )/(${Variables:E2_7_1_71_km} + (E2_7_1_71 * C00002 * C00493 ))</v>
      </c>
    </row>
    <row r="306" spans="1:10">
      <c r="A306" s="19" t="s">
        <v>7589</v>
      </c>
      <c r="B306" s="1" t="s">
        <v>11550</v>
      </c>
      <c r="C306" s="32">
        <v>305</v>
      </c>
      <c r="D306" t="str">
        <f t="shared" si="18"/>
        <v>E2_7_1_90</v>
      </c>
      <c r="E306" s="10" t="s">
        <v>10445</v>
      </c>
      <c r="F306" s="10" t="s">
        <v>12122</v>
      </c>
      <c r="G306" s="13" t="s">
        <v>10446</v>
      </c>
      <c r="H306" s="13" t="s">
        <v>12551</v>
      </c>
      <c r="I306" t="str">
        <f t="shared" si="19"/>
        <v>(${Variables:E2_7_1_90_kcat} * E2_7_1_90 * C00013 * C00085)/(${Variables:E2_7_1_90_km} + (E2_7_1_90 * C00013 * C00085))</v>
      </c>
      <c r="J306" t="str">
        <f t="shared" si="20"/>
        <v>r305: C00013 + C00085 -&gt; C00009 + C00354 | (${Variables:E2_7_1_90_kcat} * E2_7_1_90 * C00013 * C00085)/(${Variables:E2_7_1_90_km} + (E2_7_1_90 * C00013 * C00085))</v>
      </c>
    </row>
    <row r="307" spans="1:10">
      <c r="A307" s="19" t="s">
        <v>7589</v>
      </c>
      <c r="B307" s="1" t="s">
        <v>11550</v>
      </c>
      <c r="C307" s="32">
        <v>306</v>
      </c>
      <c r="D307" t="str">
        <f t="shared" si="18"/>
        <v>E2_7_1_90</v>
      </c>
      <c r="E307" s="10" t="s">
        <v>10447</v>
      </c>
      <c r="F307" s="10" t="s">
        <v>12123</v>
      </c>
      <c r="G307" s="13" t="s">
        <v>10448</v>
      </c>
      <c r="H307" s="13" t="s">
        <v>12552</v>
      </c>
      <c r="I307" t="str">
        <f t="shared" si="19"/>
        <v>(${Variables:E2_7_1_90_kcat} * E2_7_1_90 * C00013 * C05345 )/(${Variables:E2_7_1_90_km} + (E2_7_1_90 * C00013 * C05345 ))</v>
      </c>
      <c r="J307" t="str">
        <f t="shared" si="20"/>
        <v>r306: C00013 + C05345  -&gt;  C00009 + C05378 | (${Variables:E2_7_1_90_kcat} * E2_7_1_90 * C00013 * C05345 )/(${Variables:E2_7_1_90_km} + (E2_7_1_90 * C00013 * C05345 ))</v>
      </c>
    </row>
    <row r="308" spans="1:10">
      <c r="A308" s="19" t="s">
        <v>69</v>
      </c>
      <c r="B308" s="1" t="s">
        <v>11551</v>
      </c>
      <c r="C308" s="32">
        <v>307</v>
      </c>
      <c r="D308" t="str">
        <f t="shared" si="18"/>
        <v>E2_7_10_2</v>
      </c>
      <c r="E308" s="12" t="s">
        <v>11797</v>
      </c>
      <c r="F308" s="12" t="s">
        <v>12124</v>
      </c>
      <c r="G308" s="15" t="s">
        <v>11798</v>
      </c>
      <c r="H308" s="15" t="s">
        <v>12553</v>
      </c>
      <c r="I308" t="str">
        <f t="shared" si="19"/>
        <v>(${Variables:E2_7_10_2_kcat} * E2_7_10_2 * C00002 * C00585 )/(${Variables:E2_7_10_2_km} + (E2_7_10_2 * C00002 * C00585 ))</v>
      </c>
      <c r="J308" t="str">
        <f t="shared" si="20"/>
        <v>r307: C00002 + C00585  -&gt;  C00008 + C01167 | (${Variables:E2_7_10_2_kcat} * E2_7_10_2 * C00002 * C00585 )/(${Variables:E2_7_10_2_km} + (E2_7_10_2 * C00002 * C00585 ))</v>
      </c>
    </row>
    <row r="309" spans="1:10">
      <c r="A309" s="19" t="s">
        <v>595</v>
      </c>
      <c r="B309" s="1" t="s">
        <v>11551</v>
      </c>
      <c r="C309" s="32">
        <v>308</v>
      </c>
      <c r="D309" t="str">
        <f t="shared" si="18"/>
        <v>E2_7_10_2</v>
      </c>
      <c r="E309" s="12" t="s">
        <v>11797</v>
      </c>
      <c r="F309" s="12" t="s">
        <v>12124</v>
      </c>
      <c r="G309" s="20" t="s">
        <v>11798</v>
      </c>
      <c r="H309" s="20" t="s">
        <v>12553</v>
      </c>
      <c r="I309" t="str">
        <f t="shared" si="19"/>
        <v>(${Variables:E2_7_10_2_kcat} * E2_7_10_2 * C00002 * C00585 )/(${Variables:E2_7_10_2_km} + (E2_7_10_2 * C00002 * C00585 ))</v>
      </c>
      <c r="J309" t="str">
        <f t="shared" si="20"/>
        <v>r308: C00002 + C00585  -&gt;  C00008 + C01167 | (${Variables:E2_7_10_2_kcat} * E2_7_10_2 * C00002 * C00585 )/(${Variables:E2_7_10_2_km} + (E2_7_10_2 * C00002 * C00585 ))</v>
      </c>
    </row>
    <row r="310" spans="1:10">
      <c r="A310" s="19" t="s">
        <v>5576</v>
      </c>
      <c r="B310" s="1" t="s">
        <v>11551</v>
      </c>
      <c r="C310" s="32">
        <v>309</v>
      </c>
      <c r="D310" t="str">
        <f t="shared" si="18"/>
        <v>E2_7_10_2</v>
      </c>
      <c r="E310" s="12" t="s">
        <v>11797</v>
      </c>
      <c r="F310" s="12" t="s">
        <v>12124</v>
      </c>
      <c r="G310" s="20" t="s">
        <v>11798</v>
      </c>
      <c r="H310" s="20" t="s">
        <v>12553</v>
      </c>
      <c r="I310" t="str">
        <f t="shared" si="19"/>
        <v>(${Variables:E2_7_10_2_kcat} * E2_7_10_2 * C00002 * C00585 )/(${Variables:E2_7_10_2_km} + (E2_7_10_2 * C00002 * C00585 ))</v>
      </c>
      <c r="J310" t="str">
        <f t="shared" si="20"/>
        <v>r309: C00002 + C00585  -&gt;  C00008 + C01167 | (${Variables:E2_7_10_2_kcat} * E2_7_10_2 * C00002 * C00585 )/(${Variables:E2_7_10_2_km} + (E2_7_10_2 * C00002 * C00585 ))</v>
      </c>
    </row>
    <row r="311" spans="1:10">
      <c r="A311" s="19" t="s">
        <v>7195</v>
      </c>
      <c r="B311" s="1" t="s">
        <v>11551</v>
      </c>
      <c r="C311" s="32">
        <v>310</v>
      </c>
      <c r="D311" t="str">
        <f t="shared" ref="D311:D374" si="23">CONCATENATE("E",B311)</f>
        <v>E2_7_10_2</v>
      </c>
      <c r="E311" s="12" t="s">
        <v>11797</v>
      </c>
      <c r="F311" s="12" t="s">
        <v>12124</v>
      </c>
      <c r="G311" s="20" t="s">
        <v>11798</v>
      </c>
      <c r="H311" s="20" t="s">
        <v>12553</v>
      </c>
      <c r="I311" t="str">
        <f t="shared" si="19"/>
        <v>(${Variables:E2_7_10_2_kcat} * E2_7_10_2 * C00002 * C00585 )/(${Variables:E2_7_10_2_km} + (E2_7_10_2 * C00002 * C00585 ))</v>
      </c>
      <c r="J311" t="str">
        <f t="shared" si="20"/>
        <v>r310: C00002 + C00585  -&gt;  C00008 + C01167 | (${Variables:E2_7_10_2_kcat} * E2_7_10_2 * C00002 * C00585 )/(${Variables:E2_7_10_2_km} + (E2_7_10_2 * C00002 * C00585 ))</v>
      </c>
    </row>
    <row r="312" spans="1:10">
      <c r="A312" s="19" t="s">
        <v>1628</v>
      </c>
      <c r="B312" s="1" t="s">
        <v>11552</v>
      </c>
      <c r="C312" s="32">
        <v>311</v>
      </c>
      <c r="D312" t="str">
        <f t="shared" si="23"/>
        <v>E2_7_2_11</v>
      </c>
      <c r="E312" s="10" t="s">
        <v>9590</v>
      </c>
      <c r="F312" s="10" t="s">
        <v>12125</v>
      </c>
      <c r="G312" s="13" t="s">
        <v>9591</v>
      </c>
      <c r="H312" s="13" t="s">
        <v>12554</v>
      </c>
      <c r="I312" t="str">
        <f t="shared" si="19"/>
        <v>(${Variables:E2_7_2_11_kcat} * E2_7_2_11 * C00002 * C00025 )/(${Variables:E2_7_2_11_km} + (E2_7_2_11 * C00002 * C00025 ))</v>
      </c>
      <c r="J312" t="str">
        <f t="shared" si="20"/>
        <v>r311: C00002 + C00025  -&gt; C00008 + C03287 | (${Variables:E2_7_2_11_kcat} * E2_7_2_11 * C00002 * C00025 )/(${Variables:E2_7_2_11_km} + (E2_7_2_11 * C00002 * C00025 ))</v>
      </c>
    </row>
    <row r="313" spans="1:10">
      <c r="A313" s="19" t="s">
        <v>1078</v>
      </c>
      <c r="B313" s="1" t="s">
        <v>11553</v>
      </c>
      <c r="C313" s="32">
        <v>312</v>
      </c>
      <c r="D313" t="str">
        <f t="shared" si="23"/>
        <v>E2_7_2_4</v>
      </c>
      <c r="E313" s="10" t="s">
        <v>11799</v>
      </c>
      <c r="F313" s="10" t="s">
        <v>12126</v>
      </c>
      <c r="G313" s="13" t="s">
        <v>11800</v>
      </c>
      <c r="H313" s="13" t="s">
        <v>12555</v>
      </c>
      <c r="I313" t="str">
        <f t="shared" si="19"/>
        <v>(${Variables:E2_7_2_4_kcat} * E2_7_2_4 * C00002  * C00049 )/(${Variables:E2_7_2_4_km} + (E2_7_2_4 * C00002  * C00049 ))</v>
      </c>
      <c r="J313" t="str">
        <f t="shared" si="20"/>
        <v>r312: C00002  + C00049  -&gt; C00008 + C03082 | (${Variables:E2_7_2_4_kcat} * E2_7_2_4 * C00002  * C00049 )/(${Variables:E2_7_2_4_km} + (E2_7_2_4 * C00002  * C00049 ))</v>
      </c>
    </row>
    <row r="314" spans="1:10">
      <c r="A314" s="19" t="s">
        <v>5414</v>
      </c>
      <c r="B314" s="1" t="s">
        <v>11553</v>
      </c>
      <c r="C314" s="32">
        <v>313</v>
      </c>
      <c r="D314" t="str">
        <f t="shared" si="23"/>
        <v>E2_7_2_4</v>
      </c>
      <c r="E314" s="10" t="s">
        <v>11799</v>
      </c>
      <c r="F314" s="10" t="s">
        <v>12126</v>
      </c>
      <c r="G314" s="13" t="s">
        <v>11800</v>
      </c>
      <c r="H314" s="13" t="s">
        <v>12555</v>
      </c>
      <c r="I314" t="str">
        <f t="shared" si="19"/>
        <v>(${Variables:E2_7_2_4_kcat} * E2_7_2_4 * C00002  * C00049 )/(${Variables:E2_7_2_4_km} + (E2_7_2_4 * C00002  * C00049 ))</v>
      </c>
      <c r="J314" t="str">
        <f t="shared" si="20"/>
        <v>r313: C00002  + C00049  -&gt; C00008 + C03082 | (${Variables:E2_7_2_4_kcat} * E2_7_2_4 * C00002  * C00049 )/(${Variables:E2_7_2_4_km} + (E2_7_2_4 * C00002  * C00049 ))</v>
      </c>
    </row>
    <row r="315" spans="1:10">
      <c r="A315" s="19" t="s">
        <v>6079</v>
      </c>
      <c r="B315" s="1" t="s">
        <v>11553</v>
      </c>
      <c r="C315" s="32">
        <v>314</v>
      </c>
      <c r="D315" t="str">
        <f t="shared" si="23"/>
        <v>E2_7_2_4</v>
      </c>
      <c r="E315" s="10" t="s">
        <v>11799</v>
      </c>
      <c r="F315" s="10" t="s">
        <v>12126</v>
      </c>
      <c r="G315" s="13" t="s">
        <v>11800</v>
      </c>
      <c r="H315" s="13" t="s">
        <v>12555</v>
      </c>
      <c r="I315" t="str">
        <f t="shared" si="19"/>
        <v>(${Variables:E2_7_2_4_kcat} * E2_7_2_4 * C00002  * C00049 )/(${Variables:E2_7_2_4_km} + (E2_7_2_4 * C00002  * C00049 ))</v>
      </c>
      <c r="J315" t="str">
        <f t="shared" si="20"/>
        <v>r314: C00002  + C00049  -&gt; C00008 + C03082 | (${Variables:E2_7_2_4_kcat} * E2_7_2_4 * C00002  * C00049 )/(${Variables:E2_7_2_4_km} + (E2_7_2_4 * C00002  * C00049 ))</v>
      </c>
    </row>
    <row r="316" spans="1:10">
      <c r="A316" s="19" t="s">
        <v>7298</v>
      </c>
      <c r="B316" s="1" t="s">
        <v>11554</v>
      </c>
      <c r="C316" s="32">
        <v>315</v>
      </c>
      <c r="D316" t="str">
        <f t="shared" si="23"/>
        <v>E2_7_2_8</v>
      </c>
      <c r="E316" s="10" t="s">
        <v>10376</v>
      </c>
      <c r="F316" s="10" t="s">
        <v>12127</v>
      </c>
      <c r="G316" s="13" t="s">
        <v>10377</v>
      </c>
      <c r="H316" s="13" t="s">
        <v>12556</v>
      </c>
      <c r="I316" t="str">
        <f t="shared" si="19"/>
        <v>(${Variables:E2_7_2_8_kcat} * E2_7_2_8 * C00002 * C00624 )/(${Variables:E2_7_2_8_km} + (E2_7_2_8 * C00002 * C00624 ))</v>
      </c>
      <c r="J316" t="str">
        <f t="shared" si="20"/>
        <v>r315: C00002 + C00624  -&gt;  C00008 + C04133 | (${Variables:E2_7_2_8_kcat} * E2_7_2_8 * C00002 * C00624 )/(${Variables:E2_7_2_8_km} + (E2_7_2_8 * C00002 * C00624 ))</v>
      </c>
    </row>
    <row r="317" spans="1:10">
      <c r="A317" s="19" t="s">
        <v>1453</v>
      </c>
      <c r="B317" s="1" t="s">
        <v>11555</v>
      </c>
      <c r="C317" s="32">
        <v>316</v>
      </c>
      <c r="D317" t="str">
        <f t="shared" si="23"/>
        <v>E2_7_4_1</v>
      </c>
      <c r="E317" s="10" t="s">
        <v>11801</v>
      </c>
      <c r="F317" s="10" t="s">
        <v>12128</v>
      </c>
      <c r="G317" s="13" t="s">
        <v>11802</v>
      </c>
      <c r="H317" s="13" t="s">
        <v>12557</v>
      </c>
      <c r="I317" t="str">
        <f t="shared" si="19"/>
        <v>(${Variables:E2_7_4_1_kcat} * E2_7_4_1 * C00002 * C00404)/(${Variables:E2_7_4_1_km} + (E2_7_4_1 * C00002 * C00404))</v>
      </c>
      <c r="J317" t="str">
        <f t="shared" si="20"/>
        <v>r316: C00002 + C00404 -&gt;  C00008 + C00404 | (${Variables:E2_7_4_1_kcat} * E2_7_4_1 * C00002 * C00404)/(${Variables:E2_7_4_1_km} + (E2_7_4_1 * C00002 * C00404))</v>
      </c>
    </row>
    <row r="318" spans="1:10">
      <c r="A318" s="19" t="s">
        <v>5481</v>
      </c>
      <c r="B318" s="1" t="s">
        <v>11556</v>
      </c>
      <c r="C318" s="32">
        <v>317</v>
      </c>
      <c r="D318" t="str">
        <f t="shared" si="23"/>
        <v>E2_7_4_16</v>
      </c>
      <c r="E318" s="10" t="s">
        <v>11801</v>
      </c>
      <c r="F318" s="10" t="s">
        <v>12128</v>
      </c>
      <c r="G318" s="13" t="s">
        <v>11802</v>
      </c>
      <c r="H318" s="13" t="s">
        <v>12557</v>
      </c>
      <c r="I318" t="str">
        <f t="shared" si="19"/>
        <v>(${Variables:E2_7_4_16_kcat} * E2_7_4_16 * C00002 * C00404)/(${Variables:E2_7_4_16_km} + (E2_7_4_16 * C00002 * C00404))</v>
      </c>
      <c r="J318" t="str">
        <f t="shared" si="20"/>
        <v>r317: C00002 + C00404 -&gt;  C00008 + C00404 | (${Variables:E2_7_4_16_kcat} * E2_7_4_16 * C00002 * C00404)/(${Variables:E2_7_4_16_km} + (E2_7_4_16 * C00002 * C00404))</v>
      </c>
    </row>
    <row r="319" spans="1:10">
      <c r="A319" s="19" t="s">
        <v>4026</v>
      </c>
      <c r="B319" s="1" t="s">
        <v>11557</v>
      </c>
      <c r="C319" s="32">
        <v>318</v>
      </c>
      <c r="D319" t="str">
        <f t="shared" si="23"/>
        <v>E2_7_4_22</v>
      </c>
      <c r="E319" s="10" t="s">
        <v>9937</v>
      </c>
      <c r="F319" s="10" t="s">
        <v>12129</v>
      </c>
      <c r="G319" s="13" t="s">
        <v>9938</v>
      </c>
      <c r="H319" s="13" t="s">
        <v>12558</v>
      </c>
      <c r="I319" t="str">
        <f t="shared" si="19"/>
        <v>(${Variables:E2_7_4_22_kcat} * E2_7_4_22 * C00002 * C00105 )/(${Variables:E2_7_4_22_km} + (E2_7_4_22 * C00002 * C00105 ))</v>
      </c>
      <c r="J319" t="str">
        <f t="shared" si="20"/>
        <v>r318: C00002 + C00105  -&gt;  C00008 + C00015 | (${Variables:E2_7_4_22_kcat} * E2_7_4_22 * C00002 * C00105 )/(${Variables:E2_7_4_22_km} + (E2_7_4_22 * C00002 * C00105 ))</v>
      </c>
    </row>
    <row r="320" spans="1:10">
      <c r="A320" s="19" t="s">
        <v>4827</v>
      </c>
      <c r="B320" s="1" t="s">
        <v>11558</v>
      </c>
      <c r="C320" s="32">
        <v>319</v>
      </c>
      <c r="D320" t="str">
        <f t="shared" si="23"/>
        <v>E2_7_4_25</v>
      </c>
      <c r="E320" s="10" t="s">
        <v>10103</v>
      </c>
      <c r="F320" s="10" t="s">
        <v>12130</v>
      </c>
      <c r="G320" s="13" t="s">
        <v>10104</v>
      </c>
      <c r="H320" s="13" t="s">
        <v>12559</v>
      </c>
      <c r="I320" t="str">
        <f t="shared" si="19"/>
        <v>(${Variables:E2_7_4_25_kcat} * E2_7_4_25 * C00002 * C00055 )/(${Variables:E2_7_4_25_km} + (E2_7_4_25 * C00002 * C00055 ))</v>
      </c>
      <c r="J320" t="str">
        <f t="shared" si="20"/>
        <v>r319: C00002 + C00055  -&gt;  C00008 + C00112 | (${Variables:E2_7_4_25_kcat} * E2_7_4_25 * C00002 * C00055 )/(${Variables:E2_7_4_25_km} + (E2_7_4_25 * C00002 * C00055 ))</v>
      </c>
    </row>
    <row r="321" spans="1:10">
      <c r="A321" s="19" t="s">
        <v>4827</v>
      </c>
      <c r="B321" s="1" t="s">
        <v>11558</v>
      </c>
      <c r="C321" s="32">
        <v>320</v>
      </c>
      <c r="D321" t="str">
        <f t="shared" si="23"/>
        <v>E2_7_4_25</v>
      </c>
      <c r="E321" s="10" t="s">
        <v>10105</v>
      </c>
      <c r="F321" s="10" t="s">
        <v>12131</v>
      </c>
      <c r="G321" s="13" t="s">
        <v>10106</v>
      </c>
      <c r="H321" s="13" t="s">
        <v>12560</v>
      </c>
      <c r="I321" t="str">
        <f t="shared" si="19"/>
        <v>(${Variables:E2_7_4_25_kcat} * E2_7_4_25 * C00002 * C00239 )/(${Variables:E2_7_4_25_km} + (E2_7_4_25 * C00002 * C00239 ))</v>
      </c>
      <c r="J321" t="str">
        <f t="shared" si="20"/>
        <v>r320: C00002 + C00239  -&gt; C00008 + C00705 | (${Variables:E2_7_4_25_kcat} * E2_7_4_25 * C00002 * C00239 )/(${Variables:E2_7_4_25_km} + (E2_7_4_25 * C00002 * C00239 ))</v>
      </c>
    </row>
    <row r="322" spans="1:10">
      <c r="A322" s="19" t="s">
        <v>826</v>
      </c>
      <c r="B322" s="1" t="s">
        <v>11559</v>
      </c>
      <c r="C322" s="32">
        <v>321</v>
      </c>
      <c r="D322" t="str">
        <f t="shared" si="23"/>
        <v>E2_7_4_3</v>
      </c>
      <c r="E322" s="10" t="s">
        <v>11803</v>
      </c>
      <c r="F322" s="10" t="s">
        <v>12132</v>
      </c>
      <c r="G322" s="13" t="s">
        <v>12884</v>
      </c>
      <c r="H322" s="13" t="s">
        <v>12924</v>
      </c>
      <c r="I322" t="str">
        <f t="shared" si="19"/>
        <v>(${Variables:E2_7_4_3_kcat} * E2_7_4_3 * C00002 * C00020)/(${Variables:E2_7_4_3_km} + (E2_7_4_3 * C00002 * C00020))</v>
      </c>
      <c r="J322" t="str">
        <f t="shared" si="20"/>
        <v>r321: C00002 + C00020 -&gt;   C00008 | (${Variables:E2_7_4_3_kcat} * E2_7_4_3 * C00002 * C00020)/(${Variables:E2_7_4_3_km} + (E2_7_4_3 * C00002 * C00020))</v>
      </c>
    </row>
    <row r="323" spans="1:10">
      <c r="A323" s="19" t="s">
        <v>826</v>
      </c>
      <c r="B323" s="1" t="s">
        <v>11559</v>
      </c>
      <c r="C323" s="32">
        <v>322</v>
      </c>
      <c r="D323" t="str">
        <f t="shared" si="23"/>
        <v>E2_7_4_3</v>
      </c>
      <c r="E323" s="10" t="s">
        <v>11804</v>
      </c>
      <c r="F323" s="10" t="s">
        <v>12133</v>
      </c>
      <c r="G323" s="13" t="s">
        <v>11805</v>
      </c>
      <c r="H323" s="13" t="s">
        <v>12561</v>
      </c>
      <c r="I323" t="str">
        <f t="shared" ref="I323:I386" si="24">CONCATENATE("(${Variables:",D323,"_kcat","} * ",D323," * ",F323,")","/(${Variables:",D323,"_km","} + (",D323," * ",F323,"))")</f>
        <v>(${Variables:E2_7_4_3_kcat} * E2_7_4_3 * C00002 * C00360)/(${Variables:E2_7_4_3_km} + (E2_7_4_3 * C00002 * C00360))</v>
      </c>
      <c r="J323" t="str">
        <f t="shared" si="20"/>
        <v>r322: C00002 + C00360 -&gt; C00008 +C00206 | (${Variables:E2_7_4_3_kcat} * E2_7_4_3 * C00002 * C00360)/(${Variables:E2_7_4_3_km} + (E2_7_4_3 * C00002 * C00360))</v>
      </c>
    </row>
    <row r="324" spans="1:10">
      <c r="A324" s="19" t="s">
        <v>826</v>
      </c>
      <c r="B324" s="1" t="s">
        <v>11559</v>
      </c>
      <c r="C324" s="32">
        <v>323</v>
      </c>
      <c r="D324" t="str">
        <f t="shared" si="23"/>
        <v>E2_7_4_3</v>
      </c>
      <c r="E324" s="10" t="s">
        <v>11806</v>
      </c>
      <c r="F324" s="10" t="s">
        <v>12134</v>
      </c>
      <c r="G324" s="13" t="s">
        <v>11807</v>
      </c>
      <c r="H324" s="13" t="s">
        <v>12562</v>
      </c>
      <c r="I324" t="str">
        <f t="shared" si="24"/>
        <v>(${Variables:E2_7_4_3_kcat} * E2_7_4_3 * C00068 * C00008)/(${Variables:E2_7_4_3_km} + (E2_7_4_3 * C00068 * C00008))</v>
      </c>
      <c r="J324" t="str">
        <f t="shared" si="20"/>
        <v>r323: C00068 + C00008 -&gt; C03028 + C00020 | (${Variables:E2_7_4_3_kcat} * E2_7_4_3 * C00068 * C00008)/(${Variables:E2_7_4_3_km} + (E2_7_4_3 * C00068 * C00008))</v>
      </c>
    </row>
    <row r="325" spans="1:10">
      <c r="A325" s="19" t="s">
        <v>7467</v>
      </c>
      <c r="B325" s="1" t="s">
        <v>11560</v>
      </c>
      <c r="C325" s="32">
        <v>324</v>
      </c>
      <c r="D325" t="str">
        <f t="shared" si="23"/>
        <v>E2_7_4_6</v>
      </c>
      <c r="E325" s="10" t="s">
        <v>10404</v>
      </c>
      <c r="F325" s="10" t="s">
        <v>12135</v>
      </c>
      <c r="G325" s="13" t="s">
        <v>10405</v>
      </c>
      <c r="H325" s="13" t="s">
        <v>12563</v>
      </c>
      <c r="I325" t="str">
        <f t="shared" si="24"/>
        <v>(${Variables:E2_7_4_6_kcat} * E2_7_4_6 * C00002 * C00454)/(${Variables:E2_7_4_6_km} + (E2_7_4_6 * C00002 * C00454))</v>
      </c>
      <c r="J325" t="str">
        <f t="shared" si="20"/>
        <v>r324: C00002 + C00454 -&gt;  C00008 + C00201 | (${Variables:E2_7_4_6_kcat} * E2_7_4_6 * C00002 * C00454)/(${Variables:E2_7_4_6_km} + (E2_7_4_6 * C00002 * C00454))</v>
      </c>
    </row>
    <row r="326" spans="1:10">
      <c r="A326" s="19" t="s">
        <v>7467</v>
      </c>
      <c r="B326" s="1" t="s">
        <v>11560</v>
      </c>
      <c r="C326" s="32">
        <v>325</v>
      </c>
      <c r="D326" t="str">
        <f t="shared" si="23"/>
        <v>E2_7_4_6</v>
      </c>
      <c r="E326" s="10" t="s">
        <v>10406</v>
      </c>
      <c r="F326" s="10" t="s">
        <v>12136</v>
      </c>
      <c r="G326" s="13" t="s">
        <v>10407</v>
      </c>
      <c r="H326" s="13" t="s">
        <v>12564</v>
      </c>
      <c r="I326" t="str">
        <f t="shared" si="24"/>
        <v>(${Variables:E2_7_4_6_kcat} * E2_7_4_6 * C00002 * C00008 )/(${Variables:E2_7_4_6_km} + (E2_7_4_6 * C00002 * C00008 ))</v>
      </c>
      <c r="J326" t="str">
        <f t="shared" si="20"/>
        <v>r325: C00002 + C00008  -&gt;  C00008 + C00002 | (${Variables:E2_7_4_6_kcat} * E2_7_4_6 * C00002 * C00008 )/(${Variables:E2_7_4_6_km} + (E2_7_4_6 * C00002 * C00008 ))</v>
      </c>
    </row>
    <row r="327" spans="1:10">
      <c r="A327" s="19" t="s">
        <v>7467</v>
      </c>
      <c r="B327" s="1" t="s">
        <v>11560</v>
      </c>
      <c r="C327" s="32">
        <v>326</v>
      </c>
      <c r="D327" t="str">
        <f t="shared" si="23"/>
        <v>E2_7_4_6</v>
      </c>
      <c r="E327" s="10" t="s">
        <v>10408</v>
      </c>
      <c r="F327" s="10" t="s">
        <v>12137</v>
      </c>
      <c r="G327" s="13" t="s">
        <v>10409</v>
      </c>
      <c r="H327" s="13" t="s">
        <v>12565</v>
      </c>
      <c r="I327" t="str">
        <f t="shared" si="24"/>
        <v>(${Variables:E2_7_4_6_kcat} * E2_7_4_6 * C11038 * C00002 )/(${Variables:E2_7_4_6_km} + (E2_7_4_6 * C11038 * C00002 ))</v>
      </c>
      <c r="J327" t="str">
        <f t="shared" si="20"/>
        <v>r326: C11038 + C00002  -&gt; C11039 + C00008 | (${Variables:E2_7_4_6_kcat} * E2_7_4_6 * C11038 * C00002 )/(${Variables:E2_7_4_6_km} + (E2_7_4_6 * C11038 * C00002 ))</v>
      </c>
    </row>
    <row r="328" spans="1:10">
      <c r="A328" s="19" t="s">
        <v>7467</v>
      </c>
      <c r="B328" s="1" t="s">
        <v>11560</v>
      </c>
      <c r="C328" s="32">
        <v>327</v>
      </c>
      <c r="D328" t="str">
        <f t="shared" si="23"/>
        <v>E2_7_4_6</v>
      </c>
      <c r="E328" s="10" t="s">
        <v>10410</v>
      </c>
      <c r="F328" s="10" t="s">
        <v>12138</v>
      </c>
      <c r="G328" s="13" t="s">
        <v>10411</v>
      </c>
      <c r="H328" s="13" t="s">
        <v>12566</v>
      </c>
      <c r="I328" t="str">
        <f t="shared" si="24"/>
        <v>(${Variables:E2_7_4_6_kcat} * E2_7_4_6 * C00002 * C00015 )/(${Variables:E2_7_4_6_km} + (E2_7_4_6 * C00002 * C00015 ))</v>
      </c>
      <c r="J328" t="str">
        <f t="shared" ref="J328:J391" si="25">CONCATENATE("r",C328,": ",E328," -&gt; ",G328," | ",I328)</f>
        <v>r327: C00002 + C00015  -&gt;  C00008 + C00075 | (${Variables:E2_7_4_6_kcat} * E2_7_4_6 * C00002 * C00015 )/(${Variables:E2_7_4_6_km} + (E2_7_4_6 * C00002 * C00015 ))</v>
      </c>
    </row>
    <row r="329" spans="1:10">
      <c r="A329" s="19" t="s">
        <v>7467</v>
      </c>
      <c r="B329" s="1" t="s">
        <v>11560</v>
      </c>
      <c r="C329" s="32">
        <v>328</v>
      </c>
      <c r="D329" t="str">
        <f t="shared" si="23"/>
        <v>E2_7_4_6</v>
      </c>
      <c r="E329" s="10" t="s">
        <v>10412</v>
      </c>
      <c r="F329" s="10" t="s">
        <v>12139</v>
      </c>
      <c r="G329" s="13" t="s">
        <v>10413</v>
      </c>
      <c r="H329" s="13" t="s">
        <v>12567</v>
      </c>
      <c r="I329" t="str">
        <f t="shared" si="24"/>
        <v>(${Variables:E2_7_4_6_kcat} * E2_7_4_6 * C00002 * C00035)/(${Variables:E2_7_4_6_km} + (E2_7_4_6 * C00002 * C00035))</v>
      </c>
      <c r="J329" t="str">
        <f t="shared" si="25"/>
        <v>r328: C00002 + C00035 -&gt;  C00008 + C00044 | (${Variables:E2_7_4_6_kcat} * E2_7_4_6 * C00002 * C00035)/(${Variables:E2_7_4_6_km} + (E2_7_4_6 * C00002 * C00035))</v>
      </c>
    </row>
    <row r="330" spans="1:10">
      <c r="A330" s="19" t="s">
        <v>7467</v>
      </c>
      <c r="B330" s="1" t="s">
        <v>11560</v>
      </c>
      <c r="C330" s="32">
        <v>329</v>
      </c>
      <c r="D330" t="str">
        <f t="shared" si="23"/>
        <v>E2_7_4_6</v>
      </c>
      <c r="E330" s="10" t="s">
        <v>10414</v>
      </c>
      <c r="F330" s="10" t="s">
        <v>12140</v>
      </c>
      <c r="G330" s="13" t="s">
        <v>10415</v>
      </c>
      <c r="H330" s="13" t="s">
        <v>12568</v>
      </c>
      <c r="I330" t="str">
        <f t="shared" si="24"/>
        <v>(${Variables:E2_7_4_6_kcat} * E2_7_4_6 * C00002 * C00112 )/(${Variables:E2_7_4_6_km} + (E2_7_4_6 * C00002 * C00112 ))</v>
      </c>
      <c r="J330" t="str">
        <f t="shared" si="25"/>
        <v>r329: C00002 + C00112  -&gt;  C00008 + C00063 | (${Variables:E2_7_4_6_kcat} * E2_7_4_6 * C00002 * C00112 )/(${Variables:E2_7_4_6_km} + (E2_7_4_6 * C00002 * C00112 ))</v>
      </c>
    </row>
    <row r="331" spans="1:10">
      <c r="A331" s="19" t="s">
        <v>7467</v>
      </c>
      <c r="B331" s="1" t="s">
        <v>11560</v>
      </c>
      <c r="C331" s="32">
        <v>330</v>
      </c>
      <c r="D331" t="str">
        <f t="shared" si="23"/>
        <v>E2_7_4_6</v>
      </c>
      <c r="E331" s="10" t="s">
        <v>10416</v>
      </c>
      <c r="F331" s="10" t="s">
        <v>12141</v>
      </c>
      <c r="G331" s="13" t="s">
        <v>10417</v>
      </c>
      <c r="H331" s="13" t="s">
        <v>12569</v>
      </c>
      <c r="I331" t="str">
        <f t="shared" si="24"/>
        <v>(${Variables:E2_7_4_6_kcat} * E2_7_4_6 * C00002 * C00104 )/(${Variables:E2_7_4_6_km} + (E2_7_4_6 * C00002 * C00104 ))</v>
      </c>
      <c r="J331" t="str">
        <f t="shared" si="25"/>
        <v>r330: C00002 + C00104  -&gt;  C00008 + C00081 | (${Variables:E2_7_4_6_kcat} * E2_7_4_6 * C00002 * C00104 )/(${Variables:E2_7_4_6_km} + (E2_7_4_6 * C00002 * C00104 ))</v>
      </c>
    </row>
    <row r="332" spans="1:10">
      <c r="A332" s="19" t="s">
        <v>7467</v>
      </c>
      <c r="B332" s="1" t="s">
        <v>11560</v>
      </c>
      <c r="C332" s="32">
        <v>331</v>
      </c>
      <c r="D332" t="str">
        <f t="shared" si="23"/>
        <v>E2_7_4_6</v>
      </c>
      <c r="E332" s="10" t="s">
        <v>10418</v>
      </c>
      <c r="F332" s="10" t="s">
        <v>12142</v>
      </c>
      <c r="G332" s="13" t="s">
        <v>10419</v>
      </c>
      <c r="H332" s="13" t="s">
        <v>12570</v>
      </c>
      <c r="I332" t="str">
        <f t="shared" si="24"/>
        <v>(${Variables:E2_7_4_6_kcat} * E2_7_4_6 * C00002 * C00206 )/(${Variables:E2_7_4_6_km} + (E2_7_4_6 * C00002 * C00206 ))</v>
      </c>
      <c r="J332" t="str">
        <f t="shared" si="25"/>
        <v>r331: C00002 + C00206  -&gt;  C00008 + C00131 | (${Variables:E2_7_4_6_kcat} * E2_7_4_6 * C00002 * C00206 )/(${Variables:E2_7_4_6_km} + (E2_7_4_6 * C00002 * C00206 ))</v>
      </c>
    </row>
    <row r="333" spans="1:10">
      <c r="A333" s="19" t="s">
        <v>7467</v>
      </c>
      <c r="B333" s="1" t="s">
        <v>11560</v>
      </c>
      <c r="C333" s="32">
        <v>332</v>
      </c>
      <c r="D333" t="str">
        <f t="shared" si="23"/>
        <v>E2_7_4_6</v>
      </c>
      <c r="E333" s="10" t="s">
        <v>10420</v>
      </c>
      <c r="F333" s="10" t="s">
        <v>12143</v>
      </c>
      <c r="G333" s="13" t="s">
        <v>10421</v>
      </c>
      <c r="H333" s="13" t="s">
        <v>12571</v>
      </c>
      <c r="I333" t="str">
        <f t="shared" si="24"/>
        <v>(${Variables:E2_7_4_6_kcat} * E2_7_4_6 * C00002 * C00361 )/(${Variables:E2_7_4_6_km} + (E2_7_4_6 * C00002 * C00361 ))</v>
      </c>
      <c r="J333" t="str">
        <f t="shared" si="25"/>
        <v>r332: C00002 + C00361  -&gt;  C00008 + C00286 | (${Variables:E2_7_4_6_kcat} * E2_7_4_6 * C00002 * C00361 )/(${Variables:E2_7_4_6_km} + (E2_7_4_6 * C00002 * C00361 ))</v>
      </c>
    </row>
    <row r="334" spans="1:10">
      <c r="A334" s="19" t="s">
        <v>7467</v>
      </c>
      <c r="B334" s="1" t="s">
        <v>11560</v>
      </c>
      <c r="C334" s="32">
        <v>333</v>
      </c>
      <c r="D334" t="str">
        <f t="shared" si="23"/>
        <v>E2_7_4_6</v>
      </c>
      <c r="E334" s="10" t="s">
        <v>10422</v>
      </c>
      <c r="F334" s="10" t="s">
        <v>12144</v>
      </c>
      <c r="G334" s="13" t="s">
        <v>10423</v>
      </c>
      <c r="H334" s="13" t="s">
        <v>12572</v>
      </c>
      <c r="I334" t="str">
        <f t="shared" si="24"/>
        <v>(${Variables:E2_7_4_6_kcat} * E2_7_4_6 * C00002 * C00363 )/(${Variables:E2_7_4_6_km} + (E2_7_4_6 * C00002 * C00363 ))</v>
      </c>
      <c r="J334" t="str">
        <f t="shared" si="25"/>
        <v>r333: C00002 + C00363  -&gt;  C00008 + C00459 | (${Variables:E2_7_4_6_kcat} * E2_7_4_6 * C00002 * C00363 )/(${Variables:E2_7_4_6_km} + (E2_7_4_6 * C00002 * C00363 ))</v>
      </c>
    </row>
    <row r="335" spans="1:10">
      <c r="A335" s="19" t="s">
        <v>7467</v>
      </c>
      <c r="B335" s="1" t="s">
        <v>11560</v>
      </c>
      <c r="C335" s="32">
        <v>334</v>
      </c>
      <c r="D335" t="str">
        <f t="shared" si="23"/>
        <v>E2_7_4_6</v>
      </c>
      <c r="E335" s="10" t="s">
        <v>10424</v>
      </c>
      <c r="F335" s="10" t="s">
        <v>12145</v>
      </c>
      <c r="G335" s="13" t="s">
        <v>10425</v>
      </c>
      <c r="H335" s="13" t="s">
        <v>12573</v>
      </c>
      <c r="I335" t="str">
        <f t="shared" si="24"/>
        <v>(${Variables:E2_7_4_6_kcat} * E2_7_4_6 * C00002 * C00705 )/(${Variables:E2_7_4_6_km} + (E2_7_4_6 * C00002 * C00705 ))</v>
      </c>
      <c r="J335" t="str">
        <f t="shared" si="25"/>
        <v>r334: C00002 + C00705  -&gt;  C00008 + C00458 | (${Variables:E2_7_4_6_kcat} * E2_7_4_6 * C00002 * C00705 )/(${Variables:E2_7_4_6_km} + (E2_7_4_6 * C00002 * C00705 ))</v>
      </c>
    </row>
    <row r="336" spans="1:10">
      <c r="A336" s="19" t="s">
        <v>7467</v>
      </c>
      <c r="B336" s="1" t="s">
        <v>11560</v>
      </c>
      <c r="C336" s="32">
        <v>335</v>
      </c>
      <c r="D336" t="str">
        <f t="shared" si="23"/>
        <v>E2_7_4_6</v>
      </c>
      <c r="E336" s="10" t="s">
        <v>10426</v>
      </c>
      <c r="F336" s="10" t="s">
        <v>12146</v>
      </c>
      <c r="G336" s="13" t="s">
        <v>10427</v>
      </c>
      <c r="H336" s="13" t="s">
        <v>12574</v>
      </c>
      <c r="I336" t="str">
        <f t="shared" si="24"/>
        <v>(${Variables:E2_7_4_6_kcat} * E2_7_4_6 * C00002 * C01346 )/(${Variables:E2_7_4_6_km} + (E2_7_4_6 * C00002 * C01346 ))</v>
      </c>
      <c r="J336" t="str">
        <f t="shared" si="25"/>
        <v>r335: C00002 + C01346  -&gt;  C00008 + C00460 | (${Variables:E2_7_4_6_kcat} * E2_7_4_6 * C00002 * C01346 )/(${Variables:E2_7_4_6_km} + (E2_7_4_6 * C00002 * C01346 ))</v>
      </c>
    </row>
    <row r="337" spans="1:10">
      <c r="A337" s="19" t="s">
        <v>7467</v>
      </c>
      <c r="B337" s="1" t="s">
        <v>11560</v>
      </c>
      <c r="C337" s="32">
        <v>336</v>
      </c>
      <c r="D337" t="str">
        <f t="shared" si="23"/>
        <v>E2_7_4_6</v>
      </c>
      <c r="E337" s="10" t="s">
        <v>10428</v>
      </c>
      <c r="F337" s="10" t="s">
        <v>12147</v>
      </c>
      <c r="G337" s="13" t="s">
        <v>10429</v>
      </c>
      <c r="H337" s="13" t="s">
        <v>12575</v>
      </c>
      <c r="I337" t="str">
        <f t="shared" si="24"/>
        <v>(${Variables:E2_7_4_6_kcat} * E2_7_4_6 * C00002 * C01344 )/(${Variables:E2_7_4_6_km} + (E2_7_4_6 * C00002 * C01344 ))</v>
      </c>
      <c r="J337" t="str">
        <f t="shared" si="25"/>
        <v>r336: C00002 + C01344  -&gt;  C00008 + C01345 | (${Variables:E2_7_4_6_kcat} * E2_7_4_6 * C00002 * C01344 )/(${Variables:E2_7_4_6_km} + (E2_7_4_6 * C00002 * C01344 ))</v>
      </c>
    </row>
    <row r="338" spans="1:10">
      <c r="A338" s="19" t="s">
        <v>7467</v>
      </c>
      <c r="B338" s="1" t="s">
        <v>11560</v>
      </c>
      <c r="C338" s="32">
        <v>337</v>
      </c>
      <c r="D338" t="str">
        <f t="shared" si="23"/>
        <v>E2_7_4_6</v>
      </c>
      <c r="E338" s="10" t="s">
        <v>10430</v>
      </c>
      <c r="F338" s="10" t="s">
        <v>12148</v>
      </c>
      <c r="G338" s="13" t="s">
        <v>10431</v>
      </c>
      <c r="H338" s="13" t="s">
        <v>12576</v>
      </c>
      <c r="I338" t="str">
        <f t="shared" si="24"/>
        <v>(${Variables:E2_7_4_6_kcat} * E2_7_4_6 * C22442 * C00002 )/(${Variables:E2_7_4_6_km} + (E2_7_4_6 * C22442 * C00002 ))</v>
      </c>
      <c r="J338" t="str">
        <f t="shared" si="25"/>
        <v>r337: C22442 + C00002  -&gt;  C22443 + C00008 | (${Variables:E2_7_4_6_kcat} * E2_7_4_6 * C22442 * C00002 )/(${Variables:E2_7_4_6_km} + (E2_7_4_6 * C22442 * C00002 ))</v>
      </c>
    </row>
    <row r="339" spans="1:10">
      <c r="A339" s="19" t="s">
        <v>7467</v>
      </c>
      <c r="B339" s="1" t="s">
        <v>11560</v>
      </c>
      <c r="C339" s="32">
        <v>338</v>
      </c>
      <c r="D339" t="str">
        <f t="shared" si="23"/>
        <v>E2_7_4_6</v>
      </c>
      <c r="E339" s="10" t="s">
        <v>10432</v>
      </c>
      <c r="F339" s="10" t="s">
        <v>12149</v>
      </c>
      <c r="G339" s="13" t="s">
        <v>10433</v>
      </c>
      <c r="H339" s="13" t="s">
        <v>12577</v>
      </c>
      <c r="I339" t="str">
        <f t="shared" si="24"/>
        <v>(${Variables:E2_7_4_6_kcat} * E2_7_4_6 * C00002 * C21748 )/(${Variables:E2_7_4_6_km} + (E2_7_4_6 * C00002 * C21748 ))</v>
      </c>
      <c r="J339" t="str">
        <f t="shared" si="25"/>
        <v>r338: C00002 + C21748  -&gt;  C00008 + C21749 | (${Variables:E2_7_4_6_kcat} * E2_7_4_6 * C00002 * C21748 )/(${Variables:E2_7_4_6_km} + (E2_7_4_6 * C00002 * C21748 ))</v>
      </c>
    </row>
    <row r="340" spans="1:10">
      <c r="A340" s="19" t="s">
        <v>7467</v>
      </c>
      <c r="B340" s="1" t="s">
        <v>11560</v>
      </c>
      <c r="C340" s="32">
        <v>339</v>
      </c>
      <c r="D340" t="str">
        <f t="shared" si="23"/>
        <v>E2_7_4_6</v>
      </c>
      <c r="E340" s="10" t="s">
        <v>10434</v>
      </c>
      <c r="F340" s="10" t="s">
        <v>12150</v>
      </c>
      <c r="G340" s="13" t="s">
        <v>10435</v>
      </c>
      <c r="H340" s="13" t="s">
        <v>12578</v>
      </c>
      <c r="I340" t="str">
        <f t="shared" si="24"/>
        <v>(${Variables:E2_7_4_6_kcat} * E2_7_4_6 * C00002 * C21750)/(${Variables:E2_7_4_6_km} + (E2_7_4_6 * C00002 * C21750))</v>
      </c>
      <c r="J340" t="str">
        <f t="shared" si="25"/>
        <v>r339: C00002 + C21750 -&gt;  C00008 + C21751 | (${Variables:E2_7_4_6_kcat} * E2_7_4_6 * C00002 * C21750)/(${Variables:E2_7_4_6_km} + (E2_7_4_6 * C00002 * C21750))</v>
      </c>
    </row>
    <row r="341" spans="1:10">
      <c r="A341" s="19" t="s">
        <v>8629</v>
      </c>
      <c r="B341" s="1" t="s">
        <v>11561</v>
      </c>
      <c r="C341" s="32">
        <v>340</v>
      </c>
      <c r="D341" t="str">
        <f t="shared" si="23"/>
        <v>E2_7_4_7</v>
      </c>
      <c r="E341" s="10" t="s">
        <v>10599</v>
      </c>
      <c r="F341" s="10" t="s">
        <v>12151</v>
      </c>
      <c r="G341" s="13" t="s">
        <v>10600</v>
      </c>
      <c r="H341" s="13" t="s">
        <v>12579</v>
      </c>
      <c r="I341" t="str">
        <f t="shared" si="24"/>
        <v>(${Variables:E2_7_4_7_kcat} * E2_7_4_7 * C00002 * C04556)/(${Variables:E2_7_4_7_km} + (E2_7_4_7 * C00002 * C04556))</v>
      </c>
      <c r="J341" t="str">
        <f t="shared" si="25"/>
        <v>r340: C00002 + C04556 -&gt;  C00008 + C04752 | (${Variables:E2_7_4_7_kcat} * E2_7_4_7 * C00002 * C04556)/(${Variables:E2_7_4_7_km} + (E2_7_4_7 * C00002 * C04556))</v>
      </c>
    </row>
    <row r="342" spans="1:10">
      <c r="A342" s="19" t="s">
        <v>5884</v>
      </c>
      <c r="B342" s="1" t="s">
        <v>11562</v>
      </c>
      <c r="C342" s="32">
        <v>341</v>
      </c>
      <c r="D342" t="str">
        <f t="shared" si="23"/>
        <v>E2_7_4_8</v>
      </c>
      <c r="E342" s="10" t="s">
        <v>10205</v>
      </c>
      <c r="F342" s="10" t="s">
        <v>12152</v>
      </c>
      <c r="G342" s="13" t="s">
        <v>10206</v>
      </c>
      <c r="H342" s="13" t="s">
        <v>12580</v>
      </c>
      <c r="I342" t="str">
        <f t="shared" si="24"/>
        <v>(${Variables:E2_7_4_8_kcat} * E2_7_4_8 * C00002 * C00144)/(${Variables:E2_7_4_8_km} + (E2_7_4_8 * C00002 * C00144))</v>
      </c>
      <c r="J342" t="str">
        <f t="shared" si="25"/>
        <v>r341: C00002 + C00144 -&gt;  C00008 + C00035 | (${Variables:E2_7_4_8_kcat} * E2_7_4_8 * C00002 * C00144)/(${Variables:E2_7_4_8_km} + (E2_7_4_8 * C00002 * C00144))</v>
      </c>
    </row>
    <row r="343" spans="1:10">
      <c r="A343" s="19" t="s">
        <v>5884</v>
      </c>
      <c r="B343" s="1" t="s">
        <v>11562</v>
      </c>
      <c r="C343" s="32">
        <v>342</v>
      </c>
      <c r="D343" t="str">
        <f t="shared" si="23"/>
        <v>E2_7_4_8</v>
      </c>
      <c r="E343" s="10" t="s">
        <v>10207</v>
      </c>
      <c r="F343" s="10" t="s">
        <v>12153</v>
      </c>
      <c r="G343" s="23" t="s">
        <v>10208</v>
      </c>
      <c r="H343" s="23" t="s">
        <v>12581</v>
      </c>
      <c r="I343" t="str">
        <f t="shared" si="24"/>
        <v>(${Variables:E2_7_4_8_kcat} * E2_7_4_8 * C00002 * C00362 )/(${Variables:E2_7_4_8_km} + (E2_7_4_8 * C00002 * C00362 ))</v>
      </c>
      <c r="J343" t="str">
        <f t="shared" si="25"/>
        <v>r342: C00002 + C00362  -&gt; C00008 + C00361 | (${Variables:E2_7_4_8_kcat} * E2_7_4_8 * C00002 * C00362 )/(${Variables:E2_7_4_8_km} + (E2_7_4_8 * C00002 * C00362 ))</v>
      </c>
    </row>
    <row r="344" spans="1:10">
      <c r="A344" s="19" t="s">
        <v>5884</v>
      </c>
      <c r="B344" s="1" t="s">
        <v>11562</v>
      </c>
      <c r="C344" s="32">
        <v>343</v>
      </c>
      <c r="D344" t="str">
        <f t="shared" si="23"/>
        <v>E2_7_4_8</v>
      </c>
      <c r="E344" s="10" t="s">
        <v>12958</v>
      </c>
      <c r="F344" s="62" t="s">
        <v>25608</v>
      </c>
      <c r="G344" s="13" t="s">
        <v>10209</v>
      </c>
      <c r="H344" s="13" t="s">
        <v>12582</v>
      </c>
      <c r="I344" t="str">
        <f t="shared" si="24"/>
        <v>(${Variables:E2_7_4_8_kcat} * E2_7_4_8 * C22441 * C00002 )/(${Variables:E2_7_4_8_km} + (E2_7_4_8 * C22441 * C00002 ))</v>
      </c>
      <c r="J344" t="str">
        <f t="shared" si="25"/>
        <v>r343: C22441 + C00002  -&gt; C22442 + C00008 | (${Variables:E2_7_4_8_kcat} * E2_7_4_8 * C22441 * C00002 )/(${Variables:E2_7_4_8_km} + (E2_7_4_8 * C22441 * C00002 ))</v>
      </c>
    </row>
    <row r="345" spans="1:10">
      <c r="A345" s="33" t="s">
        <v>4421</v>
      </c>
      <c r="B345" s="28" t="s">
        <v>11563</v>
      </c>
      <c r="C345" s="32">
        <v>344</v>
      </c>
      <c r="D345" t="str">
        <f t="shared" si="23"/>
        <v>E2_7_6_2</v>
      </c>
      <c r="E345" s="29" t="s">
        <v>10035</v>
      </c>
      <c r="F345" s="29" t="s">
        <v>12154</v>
      </c>
      <c r="G345" s="30" t="s">
        <v>10036</v>
      </c>
      <c r="H345" s="30" t="s">
        <v>12583</v>
      </c>
      <c r="I345" t="str">
        <f t="shared" si="24"/>
        <v>(${Variables:E2_7_6_2_kcat} * E2_7_6_2 * C00002 * C00378 )/(${Variables:E2_7_6_2_km} + (E2_7_6_2 * C00002 * C00378 ))</v>
      </c>
      <c r="J345" t="str">
        <f t="shared" si="25"/>
        <v>r344: C00002 + C00378  -&gt;  C00020 + C00068 | (${Variables:E2_7_6_2_kcat} * E2_7_6_2 * C00002 * C00378 )/(${Variables:E2_7_6_2_km} + (E2_7_6_2 * C00002 * C00378 ))</v>
      </c>
    </row>
    <row r="346" spans="1:10">
      <c r="A346" s="19" t="s">
        <v>1916</v>
      </c>
      <c r="B346" s="1" t="s">
        <v>11564</v>
      </c>
      <c r="C346" s="32">
        <v>345</v>
      </c>
      <c r="D346" t="str">
        <f t="shared" si="23"/>
        <v>E2_7_6_3</v>
      </c>
      <c r="E346" s="10" t="s">
        <v>9645</v>
      </c>
      <c r="F346" s="10" t="s">
        <v>12155</v>
      </c>
      <c r="G346" s="13" t="s">
        <v>9646</v>
      </c>
      <c r="H346" s="13" t="s">
        <v>12584</v>
      </c>
      <c r="I346" t="str">
        <f t="shared" si="24"/>
        <v>(${Variables:E2_7_6_3_kcat} * E2_7_6_3 * C00002 * C01300)/(${Variables:E2_7_6_3_km} + (E2_7_6_3 * C00002 * C01300))</v>
      </c>
      <c r="J346" t="str">
        <f t="shared" si="25"/>
        <v>r345: C00002 + C01300 -&gt; C00020 + C04807 | (${Variables:E2_7_6_3_kcat} * E2_7_6_3 * C00002 * C01300)/(${Variables:E2_7_6_3_km} + (E2_7_6_3 * C00002 * C01300))</v>
      </c>
    </row>
    <row r="347" spans="1:10">
      <c r="A347" s="19" t="s">
        <v>5880</v>
      </c>
      <c r="B347" s="1" t="s">
        <v>11565</v>
      </c>
      <c r="C347" s="32">
        <v>346</v>
      </c>
      <c r="D347" t="str">
        <f t="shared" si="23"/>
        <v>E2_7_7_18</v>
      </c>
      <c r="E347" s="10" t="s">
        <v>10200</v>
      </c>
      <c r="F347" s="10" t="s">
        <v>12156</v>
      </c>
      <c r="G347" s="13" t="s">
        <v>10201</v>
      </c>
      <c r="H347" s="13" t="s">
        <v>12585</v>
      </c>
      <c r="I347" t="str">
        <f t="shared" si="24"/>
        <v>(${Variables:E2_7_7_18_kcat} * E2_7_7_18 * C00002 * C01185 )/(${Variables:E2_7_7_18_km} + (E2_7_7_18 * C00002 * C01185 ))</v>
      </c>
      <c r="J347" t="str">
        <f t="shared" si="25"/>
        <v>r346: C00002 + C01185  -&gt;  C00013 + C00857 | (${Variables:E2_7_7_18_kcat} * E2_7_7_18 * C00002 * C01185 )/(${Variables:E2_7_7_18_km} + (E2_7_7_18 * C00002 * C01185 ))</v>
      </c>
    </row>
    <row r="348" spans="1:10">
      <c r="A348" s="19" t="s">
        <v>5880</v>
      </c>
      <c r="B348" s="1" t="s">
        <v>11565</v>
      </c>
      <c r="C348" s="32">
        <v>347</v>
      </c>
      <c r="D348" t="str">
        <f t="shared" si="23"/>
        <v>E2_7_7_18</v>
      </c>
      <c r="E348" s="10" t="s">
        <v>10202</v>
      </c>
      <c r="F348" s="10" t="s">
        <v>12157</v>
      </c>
      <c r="G348" s="13" t="s">
        <v>10203</v>
      </c>
      <c r="H348" s="13" t="s">
        <v>12586</v>
      </c>
      <c r="I348" t="str">
        <f t="shared" si="24"/>
        <v>(${Variables:E2_7_7_18_kcat} * E2_7_7_18 * C00002 * C00455 )/(${Variables:E2_7_7_18_km} + (E2_7_7_18 * C00002 * C00455 ))</v>
      </c>
      <c r="J348" t="str">
        <f t="shared" si="25"/>
        <v>r347: C00002 + C00455  -&gt;  C00013 + C00003 | (${Variables:E2_7_7_18_kcat} * E2_7_7_18 * C00002 * C00455 )/(${Variables:E2_7_7_18_km} + (E2_7_7_18 * C00002 * C00455 ))</v>
      </c>
    </row>
    <row r="349" spans="1:10">
      <c r="A349" s="19" t="s">
        <v>3490</v>
      </c>
      <c r="B349" s="1" t="s">
        <v>11566</v>
      </c>
      <c r="C349" s="32">
        <v>348</v>
      </c>
      <c r="D349" t="str">
        <f t="shared" si="23"/>
        <v>E2_7_7_2</v>
      </c>
      <c r="E349" s="10" t="s">
        <v>9889</v>
      </c>
      <c r="F349" s="10" t="s">
        <v>12158</v>
      </c>
      <c r="G349" s="13" t="s">
        <v>9890</v>
      </c>
      <c r="H349" s="13" t="s">
        <v>12587</v>
      </c>
      <c r="I349" t="str">
        <f t="shared" si="24"/>
        <v>(${Variables:E2_7_7_2_kcat} * E2_7_7_2 * C00002 * C00061 )/(${Variables:E2_7_7_2_km} + (E2_7_7_2 * C00002 * C00061 ))</v>
      </c>
      <c r="J349" t="str">
        <f t="shared" si="25"/>
        <v>r348: C00002 + C00061  -&gt; C00013 + C00016 | (${Variables:E2_7_7_2_kcat} * E2_7_7_2 * C00002 * C00061 )/(${Variables:E2_7_7_2_km} + (E2_7_7_2 * C00002 * C00061 ))</v>
      </c>
    </row>
    <row r="350" spans="1:10">
      <c r="A350" s="19" t="s">
        <v>392</v>
      </c>
      <c r="B350" s="1" t="s">
        <v>11567</v>
      </c>
      <c r="C350" s="32">
        <v>349</v>
      </c>
      <c r="D350" t="str">
        <f t="shared" si="23"/>
        <v>E2_7_7_24</v>
      </c>
      <c r="E350" s="10" t="s">
        <v>11808</v>
      </c>
      <c r="F350" s="10" t="s">
        <v>12159</v>
      </c>
      <c r="G350" s="13" t="s">
        <v>11809</v>
      </c>
      <c r="H350" s="13" t="s">
        <v>12588</v>
      </c>
      <c r="I350" t="str">
        <f t="shared" si="24"/>
        <v>(${Variables:E2_7_7_24_kcat} * E2_7_7_24 * C00459 * C00103)/(${Variables:E2_7_7_24_km} + (E2_7_7_24 * C00459 * C00103))</v>
      </c>
      <c r="J350" t="str">
        <f t="shared" si="25"/>
        <v>r349: C00459 + C00103 -&gt; C00013 + C00842 | (${Variables:E2_7_7_24_kcat} * E2_7_7_24 * C00459 * C00103)/(${Variables:E2_7_7_24_km} + (E2_7_7_24 * C00459 * C00103))</v>
      </c>
    </row>
    <row r="351" spans="1:10">
      <c r="A351" s="19" t="s">
        <v>3923</v>
      </c>
      <c r="B351" s="1" t="s">
        <v>11568</v>
      </c>
      <c r="C351" s="32">
        <v>350</v>
      </c>
      <c r="D351" t="str">
        <f t="shared" si="23"/>
        <v>E2_7_7_3</v>
      </c>
      <c r="E351" s="10" t="s">
        <v>9924</v>
      </c>
      <c r="F351" s="10" t="s">
        <v>12160</v>
      </c>
      <c r="G351" s="13" t="s">
        <v>9925</v>
      </c>
      <c r="H351" s="13" t="s">
        <v>12589</v>
      </c>
      <c r="I351" t="str">
        <f t="shared" si="24"/>
        <v>(${Variables:E2_7_7_3_kcat} * E2_7_7_3 * C00002 * C01134 )/(${Variables:E2_7_7_3_km} + (E2_7_7_3 * C00002 * C01134 ))</v>
      </c>
      <c r="J351" t="str">
        <f t="shared" si="25"/>
        <v>r350: C00002 + C01134  -&gt; C00013 + C00882 | (${Variables:E2_7_7_3_kcat} * E2_7_7_3 * C00002 * C01134 )/(${Variables:E2_7_7_3_km} + (E2_7_7_3 * C00002 * C01134 ))</v>
      </c>
    </row>
    <row r="352" spans="1:10">
      <c r="A352" s="19" t="s">
        <v>7364</v>
      </c>
      <c r="B352" s="1" t="s">
        <v>11569</v>
      </c>
      <c r="C352" s="32">
        <v>351</v>
      </c>
      <c r="D352" t="str">
        <f t="shared" si="23"/>
        <v>E2_7_7_38</v>
      </c>
      <c r="E352" s="22" t="s">
        <v>9924</v>
      </c>
      <c r="F352" s="22" t="s">
        <v>12160</v>
      </c>
      <c r="G352" s="20" t="s">
        <v>9925</v>
      </c>
      <c r="H352" s="20" t="s">
        <v>12589</v>
      </c>
      <c r="I352" t="str">
        <f t="shared" si="24"/>
        <v>(${Variables:E2_7_7_38_kcat} * E2_7_7_38 * C00002 * C01134 )/(${Variables:E2_7_7_38_km} + (E2_7_7_38 * C00002 * C01134 ))</v>
      </c>
      <c r="J352" t="str">
        <f t="shared" si="25"/>
        <v>r351: C00002 + C01134  -&gt; C00013 + C00882 | (${Variables:E2_7_7_38_kcat} * E2_7_7_38 * C00002 * C01134 )/(${Variables:E2_7_7_38_km} + (E2_7_7_38 * C00002 * C01134 ))</v>
      </c>
    </row>
    <row r="353" spans="1:10">
      <c r="A353" s="19" t="s">
        <v>169</v>
      </c>
      <c r="B353" s="1" t="s">
        <v>11570</v>
      </c>
      <c r="C353" s="32">
        <v>352</v>
      </c>
      <c r="D353" t="str">
        <f t="shared" si="23"/>
        <v>E2_7_7_4</v>
      </c>
      <c r="E353" s="21" t="s">
        <v>11810</v>
      </c>
      <c r="F353" s="21" t="s">
        <v>12161</v>
      </c>
      <c r="G353" s="13" t="s">
        <v>11811</v>
      </c>
      <c r="H353" s="13" t="s">
        <v>12590</v>
      </c>
      <c r="I353" t="str">
        <f t="shared" si="24"/>
        <v>(${Variables:E2_7_7_4_kcat} * E2_7_7_4 * C00002 * C00059)/(${Variables:E2_7_7_4_km} + (E2_7_7_4 * C00002 * C00059))</v>
      </c>
      <c r="J353" t="str">
        <f t="shared" si="25"/>
        <v>r352: C00002 + C00059 -&gt;  C00013 + C00224 | (${Variables:E2_7_7_4_kcat} * E2_7_7_4 * C00002 * C00059)/(${Variables:E2_7_7_4_km} + (E2_7_7_4 * C00002 * C00059))</v>
      </c>
    </row>
    <row r="354" spans="1:10">
      <c r="A354" s="19" t="s">
        <v>169</v>
      </c>
      <c r="B354" s="1" t="s">
        <v>11570</v>
      </c>
      <c r="C354" s="32">
        <v>353</v>
      </c>
      <c r="D354" t="str">
        <f t="shared" si="23"/>
        <v>E2_7_7_4</v>
      </c>
      <c r="E354" s="10" t="s">
        <v>11812</v>
      </c>
      <c r="F354" s="10" t="s">
        <v>12162</v>
      </c>
      <c r="G354" s="13" t="s">
        <v>11813</v>
      </c>
      <c r="H354" s="13" t="s">
        <v>12591</v>
      </c>
      <c r="I354" t="str">
        <f t="shared" si="24"/>
        <v>(${Variables:E2_7_7_4_kcat} * E2_7_7_4 * C00002 * C05697 )/(${Variables:E2_7_7_4_km} + (E2_7_7_4 * C00002 * C05697 ))</v>
      </c>
      <c r="J354" t="str">
        <f t="shared" si="25"/>
        <v>r353: C00002 + C05697  -&gt;  C00013 + C05686 | (${Variables:E2_7_7_4_kcat} * E2_7_7_4 * C00002 * C05697 )/(${Variables:E2_7_7_4_km} + (E2_7_7_4 * C00002 * C05697 ))</v>
      </c>
    </row>
    <row r="355" spans="1:10">
      <c r="A355" s="19" t="s">
        <v>172</v>
      </c>
      <c r="B355" s="1" t="s">
        <v>11570</v>
      </c>
      <c r="C355" s="32">
        <v>354</v>
      </c>
      <c r="D355" t="str">
        <f t="shared" si="23"/>
        <v>E2_7_7_4</v>
      </c>
      <c r="E355" s="21" t="s">
        <v>11810</v>
      </c>
      <c r="F355" s="21" t="s">
        <v>12161</v>
      </c>
      <c r="G355" s="13" t="s">
        <v>11811</v>
      </c>
      <c r="H355" s="13" t="s">
        <v>12590</v>
      </c>
      <c r="I355" t="str">
        <f t="shared" si="24"/>
        <v>(${Variables:E2_7_7_4_kcat} * E2_7_7_4 * C00002 * C00059)/(${Variables:E2_7_7_4_km} + (E2_7_7_4 * C00002 * C00059))</v>
      </c>
      <c r="J355" t="str">
        <f t="shared" si="25"/>
        <v>r354: C00002 + C00059 -&gt;  C00013 + C00224 | (${Variables:E2_7_7_4_kcat} * E2_7_7_4 * C00002 * C00059)/(${Variables:E2_7_7_4_km} + (E2_7_7_4 * C00002 * C00059))</v>
      </c>
    </row>
    <row r="356" spans="1:10">
      <c r="A356" s="19" t="s">
        <v>172</v>
      </c>
      <c r="B356" s="1" t="s">
        <v>11570</v>
      </c>
      <c r="C356" s="32">
        <v>355</v>
      </c>
      <c r="D356" t="str">
        <f t="shared" si="23"/>
        <v>E2_7_7_4</v>
      </c>
      <c r="E356" s="10" t="s">
        <v>11812</v>
      </c>
      <c r="F356" s="10" t="s">
        <v>12162</v>
      </c>
      <c r="G356" s="13" t="s">
        <v>11813</v>
      </c>
      <c r="H356" s="13" t="s">
        <v>12591</v>
      </c>
      <c r="I356" t="str">
        <f t="shared" si="24"/>
        <v>(${Variables:E2_7_7_4_kcat} * E2_7_7_4 * C00002 * C05697 )/(${Variables:E2_7_7_4_km} + (E2_7_7_4 * C00002 * C05697 ))</v>
      </c>
      <c r="J356" t="str">
        <f t="shared" si="25"/>
        <v>r355: C00002 + C05697  -&gt;  C00013 + C05686 | (${Variables:E2_7_7_4_kcat} * E2_7_7_4 * C00002 * C05697 )/(${Variables:E2_7_7_4_km} + (E2_7_7_4 * C00002 * C05697 ))</v>
      </c>
    </row>
    <row r="357" spans="1:10">
      <c r="A357" s="19" t="s">
        <v>1645</v>
      </c>
      <c r="B357" s="1" t="s">
        <v>11571</v>
      </c>
      <c r="C357" s="32">
        <v>356</v>
      </c>
      <c r="D357" t="str">
        <f t="shared" si="23"/>
        <v>E2_7_7_6</v>
      </c>
      <c r="E357" s="10" t="s">
        <v>9599</v>
      </c>
      <c r="F357" s="10" t="s">
        <v>12163</v>
      </c>
      <c r="G357" s="13" t="s">
        <v>9600</v>
      </c>
      <c r="H357" s="13" t="s">
        <v>12592</v>
      </c>
      <c r="I357" t="str">
        <f t="shared" si="24"/>
        <v>(${Variables:E2_7_7_6_kcat} * E2_7_7_6 * C00201 * C00046)/(${Variables:E2_7_7_6_km} + (E2_7_7_6 * C00201 * C00046))</v>
      </c>
      <c r="J357" t="str">
        <f t="shared" si="25"/>
        <v>r356: C00201 + C00046 -&gt; C00013 + C00046 | (${Variables:E2_7_7_6_kcat} * E2_7_7_6 * C00201 * C00046)/(${Variables:E2_7_7_6_km} + (E2_7_7_6 * C00201 * C00046))</v>
      </c>
    </row>
    <row r="358" spans="1:10">
      <c r="A358" s="19" t="s">
        <v>1645</v>
      </c>
      <c r="B358" s="1" t="s">
        <v>11571</v>
      </c>
      <c r="C358" s="32">
        <v>357</v>
      </c>
      <c r="D358" t="str">
        <f t="shared" si="23"/>
        <v>E2_7_7_6</v>
      </c>
      <c r="E358" s="10" t="s">
        <v>9601</v>
      </c>
      <c r="F358" s="10" t="s">
        <v>12164</v>
      </c>
      <c r="G358" s="13" t="s">
        <v>9602</v>
      </c>
      <c r="H358" s="13" t="s">
        <v>12593</v>
      </c>
      <c r="I358" t="str">
        <f t="shared" si="24"/>
        <v>(${Variables:E2_7_7_6_kcat} * E2_7_7_6 * C00002 * C00046)/(${Variables:E2_7_7_6_km} + (E2_7_7_6 * C00002 * C00046))</v>
      </c>
      <c r="J358" t="str">
        <f t="shared" si="25"/>
        <v>r357: C00002 + C00046 -&gt;  C00013 + C00046 | (${Variables:E2_7_7_6_kcat} * E2_7_7_6 * C00002 * C00046)/(${Variables:E2_7_7_6_km} + (E2_7_7_6 * C00002 * C00046))</v>
      </c>
    </row>
    <row r="359" spans="1:10">
      <c r="A359" s="19" t="s">
        <v>1645</v>
      </c>
      <c r="B359" s="1" t="s">
        <v>11571</v>
      </c>
      <c r="C359" s="32">
        <v>358</v>
      </c>
      <c r="D359" t="str">
        <f t="shared" si="23"/>
        <v>E2_7_7_6</v>
      </c>
      <c r="E359" s="10" t="s">
        <v>9603</v>
      </c>
      <c r="F359" s="10" t="s">
        <v>12165</v>
      </c>
      <c r="G359" s="13" t="s">
        <v>9602</v>
      </c>
      <c r="H359" s="13" t="s">
        <v>12593</v>
      </c>
      <c r="I359" t="str">
        <f t="shared" si="24"/>
        <v>(${Variables:E2_7_7_6_kcat} * E2_7_7_6 * C00044 * C00046)/(${Variables:E2_7_7_6_km} + (E2_7_7_6 * C00044 * C00046))</v>
      </c>
      <c r="J359" t="str">
        <f t="shared" si="25"/>
        <v>r358: C00044 + C00046 -&gt;  C00013 + C00046 | (${Variables:E2_7_7_6_kcat} * E2_7_7_6 * C00044 * C00046)/(${Variables:E2_7_7_6_km} + (E2_7_7_6 * C00044 * C00046))</v>
      </c>
    </row>
    <row r="360" spans="1:10">
      <c r="A360" s="19" t="s">
        <v>1645</v>
      </c>
      <c r="B360" s="1" t="s">
        <v>11571</v>
      </c>
      <c r="C360" s="32">
        <v>359</v>
      </c>
      <c r="D360" t="str">
        <f t="shared" si="23"/>
        <v>E2_7_7_6</v>
      </c>
      <c r="E360" s="10" t="s">
        <v>9604</v>
      </c>
      <c r="F360" s="10" t="s">
        <v>12166</v>
      </c>
      <c r="G360" s="13" t="s">
        <v>9600</v>
      </c>
      <c r="H360" s="13" t="s">
        <v>12592</v>
      </c>
      <c r="I360" t="str">
        <f t="shared" si="24"/>
        <v>(${Variables:E2_7_7_6_kcat} * E2_7_7_6 * C00063 * C00046 )/(${Variables:E2_7_7_6_km} + (E2_7_7_6 * C00063 * C00046 ))</v>
      </c>
      <c r="J360" t="str">
        <f t="shared" si="25"/>
        <v>r359: C00063 + C00046  -&gt; C00013 + C00046 | (${Variables:E2_7_7_6_kcat} * E2_7_7_6 * C00063 * C00046 )/(${Variables:E2_7_7_6_km} + (E2_7_7_6 * C00063 * C00046 ))</v>
      </c>
    </row>
    <row r="361" spans="1:10">
      <c r="A361" s="19" t="s">
        <v>1645</v>
      </c>
      <c r="B361" s="1" t="s">
        <v>11571</v>
      </c>
      <c r="C361" s="32">
        <v>360</v>
      </c>
      <c r="D361" t="str">
        <f t="shared" si="23"/>
        <v>E2_7_7_6</v>
      </c>
      <c r="E361" s="10" t="s">
        <v>9605</v>
      </c>
      <c r="F361" s="10" t="s">
        <v>12167</v>
      </c>
      <c r="G361" s="13" t="s">
        <v>9602</v>
      </c>
      <c r="H361" s="13" t="s">
        <v>12593</v>
      </c>
      <c r="I361" t="str">
        <f t="shared" si="24"/>
        <v>(${Variables:E2_7_7_6_kcat} * E2_7_7_6 * C00075 * C00046)/(${Variables:E2_7_7_6_km} + (E2_7_7_6 * C00075 * C00046))</v>
      </c>
      <c r="J361" t="str">
        <f t="shared" si="25"/>
        <v>r360: C00075 + C00046 -&gt;  C00013 + C00046 | (${Variables:E2_7_7_6_kcat} * E2_7_7_6 * C00075 * C00046)/(${Variables:E2_7_7_6_km} + (E2_7_7_6 * C00075 * C00046))</v>
      </c>
    </row>
    <row r="362" spans="1:10">
      <c r="A362" s="19" t="s">
        <v>1645</v>
      </c>
      <c r="B362" s="1" t="s">
        <v>11571</v>
      </c>
      <c r="C362" s="32">
        <v>361</v>
      </c>
      <c r="D362" t="str">
        <f t="shared" si="23"/>
        <v>E2_7_7_6</v>
      </c>
      <c r="E362" s="10" t="s">
        <v>12820</v>
      </c>
      <c r="F362" s="10" t="s">
        <v>12853</v>
      </c>
      <c r="G362" s="13" t="s">
        <v>12885</v>
      </c>
      <c r="H362" s="13" t="s">
        <v>12925</v>
      </c>
      <c r="I362" t="str">
        <f t="shared" si="24"/>
        <v>(${Variables:E2_7_7_6_kcat} * E2_7_7_6 *  C00201)/(${Variables:E2_7_7_6_km} + (E2_7_7_6 *  C00201))</v>
      </c>
      <c r="J362" t="str">
        <f t="shared" si="25"/>
        <v>r361: C00201 -&gt;  C20864 + C00013 | (${Variables:E2_7_7_6_kcat} * E2_7_7_6 *  C00201)/(${Variables:E2_7_7_6_km} + (E2_7_7_6 *  C00201))</v>
      </c>
    </row>
    <row r="363" spans="1:10">
      <c r="A363" s="19" t="s">
        <v>1648</v>
      </c>
      <c r="B363" s="1" t="s">
        <v>11571</v>
      </c>
      <c r="C363" s="32">
        <v>362</v>
      </c>
      <c r="D363" t="str">
        <f t="shared" si="23"/>
        <v>E2_7_7_6</v>
      </c>
      <c r="E363" s="10" t="s">
        <v>9599</v>
      </c>
      <c r="F363" s="10" t="s">
        <v>12163</v>
      </c>
      <c r="G363" s="13" t="s">
        <v>9600</v>
      </c>
      <c r="H363" s="13" t="s">
        <v>12592</v>
      </c>
      <c r="I363" t="str">
        <f t="shared" si="24"/>
        <v>(${Variables:E2_7_7_6_kcat} * E2_7_7_6 * C00201 * C00046)/(${Variables:E2_7_7_6_km} + (E2_7_7_6 * C00201 * C00046))</v>
      </c>
      <c r="J363" t="str">
        <f t="shared" si="25"/>
        <v>r362: C00201 + C00046 -&gt; C00013 + C00046 | (${Variables:E2_7_7_6_kcat} * E2_7_7_6 * C00201 * C00046)/(${Variables:E2_7_7_6_km} + (E2_7_7_6 * C00201 * C00046))</v>
      </c>
    </row>
    <row r="364" spans="1:10">
      <c r="A364" s="19" t="s">
        <v>1648</v>
      </c>
      <c r="B364" s="1" t="s">
        <v>11571</v>
      </c>
      <c r="C364" s="32">
        <v>363</v>
      </c>
      <c r="D364" t="str">
        <f t="shared" si="23"/>
        <v>E2_7_7_6</v>
      </c>
      <c r="E364" s="10" t="s">
        <v>9601</v>
      </c>
      <c r="F364" s="10" t="s">
        <v>12164</v>
      </c>
      <c r="G364" s="13" t="s">
        <v>9602</v>
      </c>
      <c r="H364" s="13" t="s">
        <v>12593</v>
      </c>
      <c r="I364" t="str">
        <f t="shared" si="24"/>
        <v>(${Variables:E2_7_7_6_kcat} * E2_7_7_6 * C00002 * C00046)/(${Variables:E2_7_7_6_km} + (E2_7_7_6 * C00002 * C00046))</v>
      </c>
      <c r="J364" t="str">
        <f t="shared" si="25"/>
        <v>r363: C00002 + C00046 -&gt;  C00013 + C00046 | (${Variables:E2_7_7_6_kcat} * E2_7_7_6 * C00002 * C00046)/(${Variables:E2_7_7_6_km} + (E2_7_7_6 * C00002 * C00046))</v>
      </c>
    </row>
    <row r="365" spans="1:10">
      <c r="A365" s="19" t="s">
        <v>1648</v>
      </c>
      <c r="B365" s="1" t="s">
        <v>11571</v>
      </c>
      <c r="C365" s="32">
        <v>364</v>
      </c>
      <c r="D365" t="str">
        <f t="shared" si="23"/>
        <v>E2_7_7_6</v>
      </c>
      <c r="E365" s="10" t="s">
        <v>9603</v>
      </c>
      <c r="F365" s="10" t="s">
        <v>12165</v>
      </c>
      <c r="G365" s="13" t="s">
        <v>9602</v>
      </c>
      <c r="H365" s="13" t="s">
        <v>12593</v>
      </c>
      <c r="I365" t="str">
        <f t="shared" si="24"/>
        <v>(${Variables:E2_7_7_6_kcat} * E2_7_7_6 * C00044 * C00046)/(${Variables:E2_7_7_6_km} + (E2_7_7_6 * C00044 * C00046))</v>
      </c>
      <c r="J365" t="str">
        <f t="shared" si="25"/>
        <v>r364: C00044 + C00046 -&gt;  C00013 + C00046 | (${Variables:E2_7_7_6_kcat} * E2_7_7_6 * C00044 * C00046)/(${Variables:E2_7_7_6_km} + (E2_7_7_6 * C00044 * C00046))</v>
      </c>
    </row>
    <row r="366" spans="1:10">
      <c r="A366" s="19" t="s">
        <v>1648</v>
      </c>
      <c r="B366" s="1" t="s">
        <v>11571</v>
      </c>
      <c r="C366" s="32">
        <v>365</v>
      </c>
      <c r="D366" t="str">
        <f t="shared" si="23"/>
        <v>E2_7_7_6</v>
      </c>
      <c r="E366" s="10" t="s">
        <v>9604</v>
      </c>
      <c r="F366" s="10" t="s">
        <v>12166</v>
      </c>
      <c r="G366" s="13" t="s">
        <v>9600</v>
      </c>
      <c r="H366" s="13" t="s">
        <v>12592</v>
      </c>
      <c r="I366" t="str">
        <f t="shared" si="24"/>
        <v>(${Variables:E2_7_7_6_kcat} * E2_7_7_6 * C00063 * C00046 )/(${Variables:E2_7_7_6_km} + (E2_7_7_6 * C00063 * C00046 ))</v>
      </c>
      <c r="J366" t="str">
        <f t="shared" si="25"/>
        <v>r365: C00063 + C00046  -&gt; C00013 + C00046 | (${Variables:E2_7_7_6_kcat} * E2_7_7_6 * C00063 * C00046 )/(${Variables:E2_7_7_6_km} + (E2_7_7_6 * C00063 * C00046 ))</v>
      </c>
    </row>
    <row r="367" spans="1:10">
      <c r="A367" s="19" t="s">
        <v>1648</v>
      </c>
      <c r="B367" s="1" t="s">
        <v>11571</v>
      </c>
      <c r="C367" s="32">
        <v>366</v>
      </c>
      <c r="D367" t="str">
        <f t="shared" si="23"/>
        <v>E2_7_7_6</v>
      </c>
      <c r="E367" s="10" t="s">
        <v>9605</v>
      </c>
      <c r="F367" s="10" t="s">
        <v>12167</v>
      </c>
      <c r="G367" s="13" t="s">
        <v>9602</v>
      </c>
      <c r="H367" s="13" t="s">
        <v>12593</v>
      </c>
      <c r="I367" t="str">
        <f t="shared" si="24"/>
        <v>(${Variables:E2_7_7_6_kcat} * E2_7_7_6 * C00075 * C00046)/(${Variables:E2_7_7_6_km} + (E2_7_7_6 * C00075 * C00046))</v>
      </c>
      <c r="J367" t="str">
        <f t="shared" si="25"/>
        <v>r366: C00075 + C00046 -&gt;  C00013 + C00046 | (${Variables:E2_7_7_6_kcat} * E2_7_7_6 * C00075 * C00046)/(${Variables:E2_7_7_6_km} + (E2_7_7_6 * C00075 * C00046))</v>
      </c>
    </row>
    <row r="368" spans="1:10">
      <c r="A368" s="19" t="s">
        <v>1648</v>
      </c>
      <c r="B368" s="1" t="s">
        <v>11571</v>
      </c>
      <c r="C368" s="32">
        <v>367</v>
      </c>
      <c r="D368" t="str">
        <f t="shared" si="23"/>
        <v>E2_7_7_6</v>
      </c>
      <c r="E368" s="10" t="s">
        <v>12820</v>
      </c>
      <c r="F368" s="10" t="s">
        <v>12853</v>
      </c>
      <c r="G368" s="13" t="s">
        <v>12886</v>
      </c>
      <c r="H368" s="13" t="s">
        <v>12926</v>
      </c>
      <c r="I368" t="str">
        <f t="shared" si="24"/>
        <v>(${Variables:E2_7_7_6_kcat} * E2_7_7_6 *  C00201)/(${Variables:E2_7_7_6_km} + (E2_7_7_6 *  C00201))</v>
      </c>
      <c r="J368" t="str">
        <f t="shared" si="25"/>
        <v>r367: C00201 -&gt;  C20864 +  C00013 | (${Variables:E2_7_7_6_kcat} * E2_7_7_6 *  C00201)/(${Variables:E2_7_7_6_km} + (E2_7_7_6 *  C00201))</v>
      </c>
    </row>
    <row r="369" spans="1:10">
      <c r="A369" s="19" t="s">
        <v>1809</v>
      </c>
      <c r="B369" s="1" t="s">
        <v>11571</v>
      </c>
      <c r="C369" s="32">
        <v>368</v>
      </c>
      <c r="D369" t="str">
        <f t="shared" si="23"/>
        <v>E2_7_7_6</v>
      </c>
      <c r="E369" s="22" t="s">
        <v>9599</v>
      </c>
      <c r="F369" s="22" t="s">
        <v>12163</v>
      </c>
      <c r="G369" s="20" t="s">
        <v>9600</v>
      </c>
      <c r="H369" s="20" t="s">
        <v>12592</v>
      </c>
      <c r="I369" t="str">
        <f t="shared" si="24"/>
        <v>(${Variables:E2_7_7_6_kcat} * E2_7_7_6 * C00201 * C00046)/(${Variables:E2_7_7_6_km} + (E2_7_7_6 * C00201 * C00046))</v>
      </c>
      <c r="J369" t="str">
        <f t="shared" si="25"/>
        <v>r368: C00201 + C00046 -&gt; C00013 + C00046 | (${Variables:E2_7_7_6_kcat} * E2_7_7_6 * C00201 * C00046)/(${Variables:E2_7_7_6_km} + (E2_7_7_6 * C00201 * C00046))</v>
      </c>
    </row>
    <row r="370" spans="1:10">
      <c r="A370" s="19" t="s">
        <v>1809</v>
      </c>
      <c r="B370" s="1" t="s">
        <v>11571</v>
      </c>
      <c r="C370" s="32">
        <v>369</v>
      </c>
      <c r="D370" t="str">
        <f t="shared" si="23"/>
        <v>E2_7_7_6</v>
      </c>
      <c r="E370" s="22" t="s">
        <v>9601</v>
      </c>
      <c r="F370" s="22" t="s">
        <v>12164</v>
      </c>
      <c r="G370" s="20" t="s">
        <v>9602</v>
      </c>
      <c r="H370" s="20" t="s">
        <v>12593</v>
      </c>
      <c r="I370" t="str">
        <f t="shared" si="24"/>
        <v>(${Variables:E2_7_7_6_kcat} * E2_7_7_6 * C00002 * C00046)/(${Variables:E2_7_7_6_km} + (E2_7_7_6 * C00002 * C00046))</v>
      </c>
      <c r="J370" t="str">
        <f t="shared" si="25"/>
        <v>r369: C00002 + C00046 -&gt;  C00013 + C00046 | (${Variables:E2_7_7_6_kcat} * E2_7_7_6 * C00002 * C00046)/(${Variables:E2_7_7_6_km} + (E2_7_7_6 * C00002 * C00046))</v>
      </c>
    </row>
    <row r="371" spans="1:10">
      <c r="A371" s="19" t="s">
        <v>1809</v>
      </c>
      <c r="B371" s="1" t="s">
        <v>11571</v>
      </c>
      <c r="C371" s="32">
        <v>370</v>
      </c>
      <c r="D371" t="str">
        <f t="shared" si="23"/>
        <v>E2_7_7_6</v>
      </c>
      <c r="E371" s="22" t="s">
        <v>9603</v>
      </c>
      <c r="F371" s="22" t="s">
        <v>12165</v>
      </c>
      <c r="G371" s="20" t="s">
        <v>9602</v>
      </c>
      <c r="H371" s="20" t="s">
        <v>12593</v>
      </c>
      <c r="I371" t="str">
        <f t="shared" si="24"/>
        <v>(${Variables:E2_7_7_6_kcat} * E2_7_7_6 * C00044 * C00046)/(${Variables:E2_7_7_6_km} + (E2_7_7_6 * C00044 * C00046))</v>
      </c>
      <c r="J371" t="str">
        <f t="shared" si="25"/>
        <v>r370: C00044 + C00046 -&gt;  C00013 + C00046 | (${Variables:E2_7_7_6_kcat} * E2_7_7_6 * C00044 * C00046)/(${Variables:E2_7_7_6_km} + (E2_7_7_6 * C00044 * C00046))</v>
      </c>
    </row>
    <row r="372" spans="1:10">
      <c r="A372" s="19" t="s">
        <v>1809</v>
      </c>
      <c r="B372" s="1" t="s">
        <v>11571</v>
      </c>
      <c r="C372" s="32">
        <v>371</v>
      </c>
      <c r="D372" t="str">
        <f t="shared" si="23"/>
        <v>E2_7_7_6</v>
      </c>
      <c r="E372" s="22" t="s">
        <v>9604</v>
      </c>
      <c r="F372" s="22" t="s">
        <v>12166</v>
      </c>
      <c r="G372" s="20" t="s">
        <v>9600</v>
      </c>
      <c r="H372" s="20" t="s">
        <v>12592</v>
      </c>
      <c r="I372" t="str">
        <f t="shared" si="24"/>
        <v>(${Variables:E2_7_7_6_kcat} * E2_7_7_6 * C00063 * C00046 )/(${Variables:E2_7_7_6_km} + (E2_7_7_6 * C00063 * C00046 ))</v>
      </c>
      <c r="J372" t="str">
        <f t="shared" si="25"/>
        <v>r371: C00063 + C00046  -&gt; C00013 + C00046 | (${Variables:E2_7_7_6_kcat} * E2_7_7_6 * C00063 * C00046 )/(${Variables:E2_7_7_6_km} + (E2_7_7_6 * C00063 * C00046 ))</v>
      </c>
    </row>
    <row r="373" spans="1:10">
      <c r="A373" s="19" t="s">
        <v>1809</v>
      </c>
      <c r="B373" s="1" t="s">
        <v>11571</v>
      </c>
      <c r="C373" s="32">
        <v>372</v>
      </c>
      <c r="D373" t="str">
        <f t="shared" si="23"/>
        <v>E2_7_7_6</v>
      </c>
      <c r="E373" s="22" t="s">
        <v>9605</v>
      </c>
      <c r="F373" s="22" t="s">
        <v>12167</v>
      </c>
      <c r="G373" s="20" t="s">
        <v>9602</v>
      </c>
      <c r="H373" s="20" t="s">
        <v>12593</v>
      </c>
      <c r="I373" t="str">
        <f t="shared" si="24"/>
        <v>(${Variables:E2_7_7_6_kcat} * E2_7_7_6 * C00075 * C00046)/(${Variables:E2_7_7_6_km} + (E2_7_7_6 * C00075 * C00046))</v>
      </c>
      <c r="J373" t="str">
        <f t="shared" si="25"/>
        <v>r372: C00075 + C00046 -&gt;  C00013 + C00046 | (${Variables:E2_7_7_6_kcat} * E2_7_7_6 * C00075 * C00046)/(${Variables:E2_7_7_6_km} + (E2_7_7_6 * C00075 * C00046))</v>
      </c>
    </row>
    <row r="374" spans="1:10">
      <c r="A374" s="19" t="s">
        <v>1809</v>
      </c>
      <c r="B374" s="1" t="s">
        <v>11571</v>
      </c>
      <c r="C374" s="32">
        <v>373</v>
      </c>
      <c r="D374" t="str">
        <f t="shared" si="23"/>
        <v>E2_7_7_6</v>
      </c>
      <c r="E374" s="22" t="s">
        <v>12820</v>
      </c>
      <c r="F374" s="22" t="s">
        <v>12820</v>
      </c>
      <c r="G374" s="20" t="s">
        <v>12885</v>
      </c>
      <c r="H374" s="20" t="s">
        <v>12925</v>
      </c>
      <c r="I374" t="str">
        <f t="shared" si="24"/>
        <v>(${Variables:E2_7_7_6_kcat} * E2_7_7_6 * C00201)/(${Variables:E2_7_7_6_km} + (E2_7_7_6 * C00201))</v>
      </c>
      <c r="J374" t="str">
        <f t="shared" si="25"/>
        <v>r373: C00201 -&gt;  C20864 + C00013 | (${Variables:E2_7_7_6_kcat} * E2_7_7_6 * C00201)/(${Variables:E2_7_7_6_km} + (E2_7_7_6 * C00201))</v>
      </c>
    </row>
    <row r="375" spans="1:10">
      <c r="A375" s="19" t="s">
        <v>2588</v>
      </c>
      <c r="B375" s="1" t="s">
        <v>11572</v>
      </c>
      <c r="C375" s="32">
        <v>374</v>
      </c>
      <c r="D375" t="str">
        <f t="shared" ref="D375:D429" si="26">CONCATENATE("E",B375)</f>
        <v>E2_7_7_60</v>
      </c>
      <c r="E375" s="10" t="s">
        <v>9746</v>
      </c>
      <c r="F375" s="10" t="s">
        <v>12168</v>
      </c>
      <c r="G375" s="10" t="s">
        <v>9747</v>
      </c>
      <c r="H375" s="10" t="s">
        <v>12594</v>
      </c>
      <c r="I375" t="str">
        <f t="shared" si="24"/>
        <v>(${Variables:E2_7_7_60_kcat} * E2_7_7_60 * C11434 * C00063 )/(${Variables:E2_7_7_60_km} + (E2_7_7_60 * C11434 * C00063 ))</v>
      </c>
      <c r="J375" t="str">
        <f t="shared" si="25"/>
        <v>r374: C11434 + C00063  -&gt;  C11435 + C00013 | (${Variables:E2_7_7_60_kcat} * E2_7_7_60 * C11434 * C00063 )/(${Variables:E2_7_7_60_km} + (E2_7_7_60 * C11434 * C00063 ))</v>
      </c>
    </row>
    <row r="376" spans="1:10">
      <c r="A376" s="19" t="s">
        <v>297</v>
      </c>
      <c r="B376" s="1" t="s">
        <v>11573</v>
      </c>
      <c r="C376" s="32">
        <v>375</v>
      </c>
      <c r="D376" t="str">
        <f t="shared" si="26"/>
        <v>E2_7_7_7</v>
      </c>
      <c r="E376" s="10" t="s">
        <v>12821</v>
      </c>
      <c r="F376" s="10" t="s">
        <v>12854</v>
      </c>
      <c r="G376" s="13" t="s">
        <v>9818</v>
      </c>
      <c r="H376" s="13" t="s">
        <v>12595</v>
      </c>
      <c r="I376" t="str">
        <f t="shared" si="24"/>
        <v>(${Variables:E2_7_7_7_kcat} * E2_7_7_7 * C00677 * C00039 )/(${Variables:E2_7_7_7_km} + (E2_7_7_7 * C00677 * C00039 ))</v>
      </c>
      <c r="J376" t="str">
        <f t="shared" si="25"/>
        <v>r375: C00677 + C00039  -&gt; C00013 + C00039 | (${Variables:E2_7_7_7_kcat} * E2_7_7_7 * C00677 * C00039 )/(${Variables:E2_7_7_7_km} + (E2_7_7_7 * C00677 * C00039 ))</v>
      </c>
    </row>
    <row r="377" spans="1:10">
      <c r="A377" s="19" t="s">
        <v>297</v>
      </c>
      <c r="B377" s="1" t="s">
        <v>11573</v>
      </c>
      <c r="C377" s="32">
        <v>376</v>
      </c>
      <c r="D377" t="str">
        <f t="shared" si="26"/>
        <v>E2_7_7_7</v>
      </c>
      <c r="E377" s="10" t="s">
        <v>9814</v>
      </c>
      <c r="F377" s="10" t="s">
        <v>12169</v>
      </c>
      <c r="G377" s="13" t="s">
        <v>9818</v>
      </c>
      <c r="H377" s="13" t="s">
        <v>12595</v>
      </c>
      <c r="I377" t="str">
        <f t="shared" si="24"/>
        <v>(${Variables:E2_7_7_7_kcat} * E2_7_7_7 * C00131 * C00039 )/(${Variables:E2_7_7_7_km} + (E2_7_7_7 * C00131 * C00039 ))</v>
      </c>
      <c r="J377" t="str">
        <f t="shared" si="25"/>
        <v>r376: C00131 + C00039  -&gt; C00013 + C00039 | (${Variables:E2_7_7_7_kcat} * E2_7_7_7 * C00131 * C00039 )/(${Variables:E2_7_7_7_km} + (E2_7_7_7 * C00131 * C00039 ))</v>
      </c>
    </row>
    <row r="378" spans="1:10">
      <c r="A378" s="19" t="s">
        <v>297</v>
      </c>
      <c r="B378" s="1" t="s">
        <v>11573</v>
      </c>
      <c r="C378" s="32">
        <v>377</v>
      </c>
      <c r="D378" t="str">
        <f t="shared" si="26"/>
        <v>E2_7_7_7</v>
      </c>
      <c r="E378" s="10" t="s">
        <v>9816</v>
      </c>
      <c r="F378" s="10" t="s">
        <v>12170</v>
      </c>
      <c r="G378" s="13" t="s">
        <v>9818</v>
      </c>
      <c r="H378" s="13" t="s">
        <v>12595</v>
      </c>
      <c r="I378" t="str">
        <f t="shared" si="24"/>
        <v>(${Variables:E2_7_7_7_kcat} * E2_7_7_7 * C00286 * C00039)/(${Variables:E2_7_7_7_km} + (E2_7_7_7 * C00286 * C00039))</v>
      </c>
      <c r="J378" t="str">
        <f t="shared" si="25"/>
        <v>r377: C00286 + C00039 -&gt; C00013 + C00039 | (${Variables:E2_7_7_7_kcat} * E2_7_7_7 * C00286 * C00039)/(${Variables:E2_7_7_7_km} + (E2_7_7_7 * C00286 * C00039))</v>
      </c>
    </row>
    <row r="379" spans="1:10">
      <c r="A379" s="19" t="s">
        <v>297</v>
      </c>
      <c r="B379" s="1" t="s">
        <v>11573</v>
      </c>
      <c r="C379" s="32">
        <v>378</v>
      </c>
      <c r="D379" t="str">
        <f t="shared" si="26"/>
        <v>E2_7_7_7</v>
      </c>
      <c r="E379" s="10" t="s">
        <v>9817</v>
      </c>
      <c r="F379" s="10" t="s">
        <v>12171</v>
      </c>
      <c r="G379" s="13" t="s">
        <v>9818</v>
      </c>
      <c r="H379" s="13" t="s">
        <v>12595</v>
      </c>
      <c r="I379" t="str">
        <f t="shared" si="24"/>
        <v>(${Variables:E2_7_7_7_kcat} * E2_7_7_7 * C00458 * C00039 )/(${Variables:E2_7_7_7_km} + (E2_7_7_7 * C00458 * C00039 ))</v>
      </c>
      <c r="J379" t="str">
        <f t="shared" si="25"/>
        <v>r378: C00458 + C00039  -&gt; C00013 + C00039 | (${Variables:E2_7_7_7_kcat} * E2_7_7_7 * C00458 * C00039 )/(${Variables:E2_7_7_7_km} + (E2_7_7_7 * C00458 * C00039 ))</v>
      </c>
    </row>
    <row r="380" spans="1:10">
      <c r="A380" s="19" t="s">
        <v>297</v>
      </c>
      <c r="B380" s="1" t="s">
        <v>11573</v>
      </c>
      <c r="C380" s="32">
        <v>379</v>
      </c>
      <c r="D380" t="str">
        <f t="shared" si="26"/>
        <v>E2_7_7_7</v>
      </c>
      <c r="E380" s="10" t="s">
        <v>11814</v>
      </c>
      <c r="F380" s="10" t="s">
        <v>12172</v>
      </c>
      <c r="G380" s="13" t="s">
        <v>9815</v>
      </c>
      <c r="H380" s="13" t="s">
        <v>12596</v>
      </c>
      <c r="I380" t="str">
        <f t="shared" si="24"/>
        <v>(${Variables:E2_7_7_7_kcat} * E2_7_7_7 * C00459 * C00039)/(${Variables:E2_7_7_7_km} + (E2_7_7_7 * C00459 * C00039))</v>
      </c>
      <c r="J380" t="str">
        <f t="shared" si="25"/>
        <v>r379: C00459 + C00039 -&gt;  C00013 + C00039 | (${Variables:E2_7_7_7_kcat} * E2_7_7_7 * C00459 * C00039)/(${Variables:E2_7_7_7_km} + (E2_7_7_7 * C00459 * C00039))</v>
      </c>
    </row>
    <row r="381" spans="1:10">
      <c r="A381" s="19" t="s">
        <v>297</v>
      </c>
      <c r="B381" s="1" t="s">
        <v>11573</v>
      </c>
      <c r="C381" s="32">
        <v>380</v>
      </c>
      <c r="D381" t="str">
        <f t="shared" si="26"/>
        <v>E2_7_7_7</v>
      </c>
      <c r="E381" s="10" t="s">
        <v>9995</v>
      </c>
      <c r="F381" s="10" t="s">
        <v>9995</v>
      </c>
      <c r="G381" s="13" t="s">
        <v>9996</v>
      </c>
      <c r="H381" s="13" t="s">
        <v>9996</v>
      </c>
      <c r="I381" t="str">
        <f t="shared" si="24"/>
        <v>(${Variables:E2_7_7_7_kcat} * E2_7_7_7 * C11039 )/(${Variables:E2_7_7_7_km} + (E2_7_7_7 * C11039 ))</v>
      </c>
      <c r="J381" t="str">
        <f t="shared" si="25"/>
        <v>r380: C11039  -&gt; C21031 | (${Variables:E2_7_7_7_kcat} * E2_7_7_7 * C11039 )/(${Variables:E2_7_7_7_km} + (E2_7_7_7 * C11039 ))</v>
      </c>
    </row>
    <row r="382" spans="1:10">
      <c r="A382" s="19" t="s">
        <v>1242</v>
      </c>
      <c r="B382" s="1" t="s">
        <v>11573</v>
      </c>
      <c r="C382" s="32">
        <v>381</v>
      </c>
      <c r="D382" t="str">
        <f t="shared" si="26"/>
        <v>E2_7_7_7</v>
      </c>
      <c r="E382" s="22" t="s">
        <v>12821</v>
      </c>
      <c r="F382" s="22" t="s">
        <v>12854</v>
      </c>
      <c r="G382" s="20" t="s">
        <v>9818</v>
      </c>
      <c r="H382" s="20" t="s">
        <v>12595</v>
      </c>
      <c r="I382" t="str">
        <f t="shared" si="24"/>
        <v>(${Variables:E2_7_7_7_kcat} * E2_7_7_7 * C00677 * C00039 )/(${Variables:E2_7_7_7_km} + (E2_7_7_7 * C00677 * C00039 ))</v>
      </c>
      <c r="J382" t="str">
        <f t="shared" si="25"/>
        <v>r381: C00677 + C00039  -&gt; C00013 + C00039 | (${Variables:E2_7_7_7_kcat} * E2_7_7_7 * C00677 * C00039 )/(${Variables:E2_7_7_7_km} + (E2_7_7_7 * C00677 * C00039 ))</v>
      </c>
    </row>
    <row r="383" spans="1:10">
      <c r="A383" s="19" t="s">
        <v>1242</v>
      </c>
      <c r="B383" s="1" t="s">
        <v>11573</v>
      </c>
      <c r="C383" s="32">
        <v>382</v>
      </c>
      <c r="D383" t="str">
        <f t="shared" si="26"/>
        <v>E2_7_7_7</v>
      </c>
      <c r="E383" s="22" t="s">
        <v>9814</v>
      </c>
      <c r="F383" s="22" t="s">
        <v>12169</v>
      </c>
      <c r="G383" s="20" t="s">
        <v>9818</v>
      </c>
      <c r="H383" s="20" t="s">
        <v>12595</v>
      </c>
      <c r="I383" t="str">
        <f t="shared" si="24"/>
        <v>(${Variables:E2_7_7_7_kcat} * E2_7_7_7 * C00131 * C00039 )/(${Variables:E2_7_7_7_km} + (E2_7_7_7 * C00131 * C00039 ))</v>
      </c>
      <c r="J383" t="str">
        <f t="shared" si="25"/>
        <v>r382: C00131 + C00039  -&gt; C00013 + C00039 | (${Variables:E2_7_7_7_kcat} * E2_7_7_7 * C00131 * C00039 )/(${Variables:E2_7_7_7_km} + (E2_7_7_7 * C00131 * C00039 ))</v>
      </c>
    </row>
    <row r="384" spans="1:10">
      <c r="A384" s="19" t="s">
        <v>1242</v>
      </c>
      <c r="B384" s="1" t="s">
        <v>11573</v>
      </c>
      <c r="C384" s="32">
        <v>383</v>
      </c>
      <c r="D384" t="str">
        <f t="shared" si="26"/>
        <v>E2_7_7_7</v>
      </c>
      <c r="E384" s="22" t="s">
        <v>9816</v>
      </c>
      <c r="F384" s="22" t="s">
        <v>12170</v>
      </c>
      <c r="G384" s="20" t="s">
        <v>9818</v>
      </c>
      <c r="H384" s="20" t="s">
        <v>12595</v>
      </c>
      <c r="I384" t="str">
        <f t="shared" si="24"/>
        <v>(${Variables:E2_7_7_7_kcat} * E2_7_7_7 * C00286 * C00039)/(${Variables:E2_7_7_7_km} + (E2_7_7_7 * C00286 * C00039))</v>
      </c>
      <c r="J384" t="str">
        <f t="shared" si="25"/>
        <v>r383: C00286 + C00039 -&gt; C00013 + C00039 | (${Variables:E2_7_7_7_kcat} * E2_7_7_7 * C00286 * C00039)/(${Variables:E2_7_7_7_km} + (E2_7_7_7 * C00286 * C00039))</v>
      </c>
    </row>
    <row r="385" spans="1:10">
      <c r="A385" s="19" t="s">
        <v>1242</v>
      </c>
      <c r="B385" s="1" t="s">
        <v>11573</v>
      </c>
      <c r="C385" s="32">
        <v>384</v>
      </c>
      <c r="D385" t="str">
        <f t="shared" si="26"/>
        <v>E2_7_7_7</v>
      </c>
      <c r="E385" s="22" t="s">
        <v>9817</v>
      </c>
      <c r="F385" s="22" t="s">
        <v>12171</v>
      </c>
      <c r="G385" s="20" t="s">
        <v>9818</v>
      </c>
      <c r="H385" s="20" t="s">
        <v>12595</v>
      </c>
      <c r="I385" t="str">
        <f t="shared" si="24"/>
        <v>(${Variables:E2_7_7_7_kcat} * E2_7_7_7 * C00458 * C00039 )/(${Variables:E2_7_7_7_km} + (E2_7_7_7 * C00458 * C00039 ))</v>
      </c>
      <c r="J385" t="str">
        <f t="shared" si="25"/>
        <v>r384: C00458 + C00039  -&gt; C00013 + C00039 | (${Variables:E2_7_7_7_kcat} * E2_7_7_7 * C00458 * C00039 )/(${Variables:E2_7_7_7_km} + (E2_7_7_7 * C00458 * C00039 ))</v>
      </c>
    </row>
    <row r="386" spans="1:10">
      <c r="A386" s="19" t="s">
        <v>1242</v>
      </c>
      <c r="B386" s="1" t="s">
        <v>11573</v>
      </c>
      <c r="C386" s="32">
        <v>385</v>
      </c>
      <c r="D386" t="str">
        <f t="shared" si="26"/>
        <v>E2_7_7_7</v>
      </c>
      <c r="E386" s="22" t="s">
        <v>11814</v>
      </c>
      <c r="F386" s="22" t="s">
        <v>12172</v>
      </c>
      <c r="G386" s="20" t="s">
        <v>9815</v>
      </c>
      <c r="H386" s="20" t="s">
        <v>12596</v>
      </c>
      <c r="I386" t="str">
        <f t="shared" si="24"/>
        <v>(${Variables:E2_7_7_7_kcat} * E2_7_7_7 * C00459 * C00039)/(${Variables:E2_7_7_7_km} + (E2_7_7_7 * C00459 * C00039))</v>
      </c>
      <c r="J386" t="str">
        <f t="shared" si="25"/>
        <v>r385: C00459 + C00039 -&gt;  C00013 + C00039 | (${Variables:E2_7_7_7_kcat} * E2_7_7_7 * C00459 * C00039)/(${Variables:E2_7_7_7_km} + (E2_7_7_7 * C00459 * C00039))</v>
      </c>
    </row>
    <row r="387" spans="1:10">
      <c r="A387" s="19" t="s">
        <v>1242</v>
      </c>
      <c r="B387" s="1" t="s">
        <v>11573</v>
      </c>
      <c r="C387" s="32">
        <v>386</v>
      </c>
      <c r="D387" t="str">
        <f t="shared" si="26"/>
        <v>E2_7_7_7</v>
      </c>
      <c r="E387" s="22" t="s">
        <v>9995</v>
      </c>
      <c r="F387" s="22" t="s">
        <v>9995</v>
      </c>
      <c r="G387" s="20" t="s">
        <v>9996</v>
      </c>
      <c r="H387" s="20" t="s">
        <v>9996</v>
      </c>
      <c r="I387" t="str">
        <f t="shared" ref="I387:I450" si="27">CONCATENATE("(${Variables:",D387,"_kcat","} * ",D387," * ",F387,")","/(${Variables:",D387,"_km","} + (",D387," * ",F387,"))")</f>
        <v>(${Variables:E2_7_7_7_kcat} * E2_7_7_7 * C11039 )/(${Variables:E2_7_7_7_km} + (E2_7_7_7 * C11039 ))</v>
      </c>
      <c r="J387" t="str">
        <f t="shared" si="25"/>
        <v>r386: C11039  -&gt; C21031 | (${Variables:E2_7_7_7_kcat} * E2_7_7_7 * C11039 )/(${Variables:E2_7_7_7_km} + (E2_7_7_7 * C11039 ))</v>
      </c>
    </row>
    <row r="388" spans="1:10">
      <c r="A388" s="19" t="s">
        <v>3220</v>
      </c>
      <c r="B388" s="1" t="s">
        <v>11573</v>
      </c>
      <c r="C388" s="32">
        <v>387</v>
      </c>
      <c r="D388" t="str">
        <f t="shared" si="26"/>
        <v>E2_7_7_7</v>
      </c>
      <c r="E388" s="10" t="s">
        <v>12822</v>
      </c>
      <c r="F388" s="10" t="s">
        <v>12855</v>
      </c>
      <c r="G388" s="13" t="s">
        <v>9818</v>
      </c>
      <c r="H388" s="13" t="s">
        <v>12595</v>
      </c>
      <c r="I388" t="str">
        <f t="shared" si="27"/>
        <v>(${Variables:E2_7_7_7_kcat} * E2_7_7_7 * C00677 * C00039)/(${Variables:E2_7_7_7_km} + (E2_7_7_7 * C00677 * C00039))</v>
      </c>
      <c r="J388" t="str">
        <f t="shared" si="25"/>
        <v>r387: C00677 + C00039 -&gt; C00013 + C00039 | (${Variables:E2_7_7_7_kcat} * E2_7_7_7 * C00677 * C00039)/(${Variables:E2_7_7_7_km} + (E2_7_7_7 * C00677 * C00039))</v>
      </c>
    </row>
    <row r="389" spans="1:10">
      <c r="A389" s="19" t="s">
        <v>3220</v>
      </c>
      <c r="B389" s="1" t="s">
        <v>11573</v>
      </c>
      <c r="C389" s="32">
        <v>388</v>
      </c>
      <c r="D389" t="str">
        <f t="shared" si="26"/>
        <v>E2_7_7_7</v>
      </c>
      <c r="E389" s="10" t="s">
        <v>9814</v>
      </c>
      <c r="F389" s="10" t="s">
        <v>12169</v>
      </c>
      <c r="G389" s="13" t="s">
        <v>9815</v>
      </c>
      <c r="H389" s="13" t="s">
        <v>12596</v>
      </c>
      <c r="I389" t="str">
        <f t="shared" si="27"/>
        <v>(${Variables:E2_7_7_7_kcat} * E2_7_7_7 * C00131 * C00039 )/(${Variables:E2_7_7_7_km} + (E2_7_7_7 * C00131 * C00039 ))</v>
      </c>
      <c r="J389" t="str">
        <f t="shared" si="25"/>
        <v>r388: C00131 + C00039  -&gt;  C00013 + C00039 | (${Variables:E2_7_7_7_kcat} * E2_7_7_7 * C00131 * C00039 )/(${Variables:E2_7_7_7_km} + (E2_7_7_7 * C00131 * C00039 ))</v>
      </c>
    </row>
    <row r="390" spans="1:10">
      <c r="A390" s="19" t="s">
        <v>3220</v>
      </c>
      <c r="B390" s="1" t="s">
        <v>11573</v>
      </c>
      <c r="C390" s="32">
        <v>389</v>
      </c>
      <c r="D390" t="str">
        <f t="shared" si="26"/>
        <v>E2_7_7_7</v>
      </c>
      <c r="E390" s="10" t="s">
        <v>9816</v>
      </c>
      <c r="F390" s="10" t="s">
        <v>12170</v>
      </c>
      <c r="G390" s="13" t="s">
        <v>9815</v>
      </c>
      <c r="H390" s="13" t="s">
        <v>12596</v>
      </c>
      <c r="I390" t="str">
        <f t="shared" si="27"/>
        <v>(${Variables:E2_7_7_7_kcat} * E2_7_7_7 * C00286 * C00039)/(${Variables:E2_7_7_7_km} + (E2_7_7_7 * C00286 * C00039))</v>
      </c>
      <c r="J390" t="str">
        <f t="shared" si="25"/>
        <v>r389: C00286 + C00039 -&gt;  C00013 + C00039 | (${Variables:E2_7_7_7_kcat} * E2_7_7_7 * C00286 * C00039)/(${Variables:E2_7_7_7_km} + (E2_7_7_7 * C00286 * C00039))</v>
      </c>
    </row>
    <row r="391" spans="1:10">
      <c r="A391" s="19" t="s">
        <v>3220</v>
      </c>
      <c r="B391" s="1" t="s">
        <v>11573</v>
      </c>
      <c r="C391" s="32">
        <v>390</v>
      </c>
      <c r="D391" t="str">
        <f t="shared" si="26"/>
        <v>E2_7_7_7</v>
      </c>
      <c r="E391" s="10" t="s">
        <v>9817</v>
      </c>
      <c r="F391" s="10" t="s">
        <v>12171</v>
      </c>
      <c r="G391" s="13" t="s">
        <v>9818</v>
      </c>
      <c r="H391" s="13" t="s">
        <v>12595</v>
      </c>
      <c r="I391" t="str">
        <f t="shared" si="27"/>
        <v>(${Variables:E2_7_7_7_kcat} * E2_7_7_7 * C00458 * C00039 )/(${Variables:E2_7_7_7_km} + (E2_7_7_7 * C00458 * C00039 ))</v>
      </c>
      <c r="J391" t="str">
        <f t="shared" si="25"/>
        <v>r390: C00458 + C00039  -&gt; C00013 + C00039 | (${Variables:E2_7_7_7_kcat} * E2_7_7_7 * C00458 * C00039 )/(${Variables:E2_7_7_7_km} + (E2_7_7_7 * C00458 * C00039 ))</v>
      </c>
    </row>
    <row r="392" spans="1:10">
      <c r="A392" s="19" t="s">
        <v>3220</v>
      </c>
      <c r="B392" s="1" t="s">
        <v>11573</v>
      </c>
      <c r="C392" s="32">
        <v>391</v>
      </c>
      <c r="D392" t="str">
        <f t="shared" si="26"/>
        <v>E2_7_7_7</v>
      </c>
      <c r="E392" s="10" t="s">
        <v>9819</v>
      </c>
      <c r="F392" s="10" t="s">
        <v>12173</v>
      </c>
      <c r="G392" s="13" t="s">
        <v>9815</v>
      </c>
      <c r="H392" s="13" t="s">
        <v>12596</v>
      </c>
      <c r="I392" t="str">
        <f t="shared" si="27"/>
        <v>(${Variables:E2_7_7_7_kcat} * E2_7_7_7 * C00459 * C00039 )/(${Variables:E2_7_7_7_km} + (E2_7_7_7 * C00459 * C00039 ))</v>
      </c>
      <c r="J392" t="str">
        <f t="shared" ref="J392:J444" si="28">CONCATENATE("r",C392,": ",E392," -&gt; ",G392," | ",I392)</f>
        <v>r391: C00459 + C00039  -&gt;  C00013 + C00039 | (${Variables:E2_7_7_7_kcat} * E2_7_7_7 * C00459 * C00039 )/(${Variables:E2_7_7_7_km} + (E2_7_7_7 * C00459 * C00039 ))</v>
      </c>
    </row>
    <row r="393" spans="1:10">
      <c r="A393" s="19" t="s">
        <v>3220</v>
      </c>
      <c r="B393" s="1" t="s">
        <v>11573</v>
      </c>
      <c r="C393" s="32">
        <v>392</v>
      </c>
      <c r="D393" t="str">
        <f t="shared" si="26"/>
        <v>E2_7_7_7</v>
      </c>
      <c r="E393" s="10" t="s">
        <v>9820</v>
      </c>
      <c r="F393" s="10" t="s">
        <v>9820</v>
      </c>
      <c r="G393" s="13" t="s">
        <v>9821</v>
      </c>
      <c r="H393" s="13" t="s">
        <v>9821</v>
      </c>
      <c r="I393" t="str">
        <f t="shared" si="27"/>
        <v>(${Variables:E2_7_7_7_kcat} * E2_7_7_7 * C11039)/(${Variables:E2_7_7_7_km} + (E2_7_7_7 * C11039))</v>
      </c>
      <c r="J393" t="str">
        <f t="shared" si="28"/>
        <v>r392: C11039 -&gt;  C21031 | (${Variables:E2_7_7_7_kcat} * E2_7_7_7 * C11039)/(${Variables:E2_7_7_7_km} + (E2_7_7_7 * C11039))</v>
      </c>
    </row>
    <row r="394" spans="1:10">
      <c r="A394" s="19" t="s">
        <v>4304</v>
      </c>
      <c r="B394" s="1" t="s">
        <v>11573</v>
      </c>
      <c r="C394" s="32">
        <v>393</v>
      </c>
      <c r="D394" t="str">
        <f t="shared" si="26"/>
        <v>E2_7_7_7</v>
      </c>
      <c r="E394" s="22" t="s">
        <v>12822</v>
      </c>
      <c r="F394" s="22" t="s">
        <v>12855</v>
      </c>
      <c r="G394" s="20" t="s">
        <v>9818</v>
      </c>
      <c r="H394" s="20" t="s">
        <v>12595</v>
      </c>
      <c r="I394" t="str">
        <f t="shared" si="27"/>
        <v>(${Variables:E2_7_7_7_kcat} * E2_7_7_7 * C00677 * C00039)/(${Variables:E2_7_7_7_km} + (E2_7_7_7 * C00677 * C00039))</v>
      </c>
      <c r="J394" t="str">
        <f t="shared" si="28"/>
        <v>r393: C00677 + C00039 -&gt; C00013 + C00039 | (${Variables:E2_7_7_7_kcat} * E2_7_7_7 * C00677 * C00039)/(${Variables:E2_7_7_7_km} + (E2_7_7_7 * C00677 * C00039))</v>
      </c>
    </row>
    <row r="395" spans="1:10">
      <c r="A395" s="19" t="s">
        <v>4304</v>
      </c>
      <c r="B395" s="1" t="s">
        <v>11573</v>
      </c>
      <c r="C395" s="32">
        <v>394</v>
      </c>
      <c r="D395" t="str">
        <f t="shared" si="26"/>
        <v>E2_7_7_7</v>
      </c>
      <c r="E395" s="22" t="s">
        <v>9814</v>
      </c>
      <c r="F395" s="22" t="s">
        <v>12169</v>
      </c>
      <c r="G395" s="20" t="s">
        <v>9815</v>
      </c>
      <c r="H395" s="20" t="s">
        <v>12596</v>
      </c>
      <c r="I395" t="str">
        <f t="shared" si="27"/>
        <v>(${Variables:E2_7_7_7_kcat} * E2_7_7_7 * C00131 * C00039 )/(${Variables:E2_7_7_7_km} + (E2_7_7_7 * C00131 * C00039 ))</v>
      </c>
      <c r="J395" t="str">
        <f t="shared" si="28"/>
        <v>r394: C00131 + C00039  -&gt;  C00013 + C00039 | (${Variables:E2_7_7_7_kcat} * E2_7_7_7 * C00131 * C00039 )/(${Variables:E2_7_7_7_km} + (E2_7_7_7 * C00131 * C00039 ))</v>
      </c>
    </row>
    <row r="396" spans="1:10">
      <c r="A396" s="19" t="s">
        <v>4304</v>
      </c>
      <c r="B396" s="1" t="s">
        <v>11573</v>
      </c>
      <c r="C396" s="32">
        <v>395</v>
      </c>
      <c r="D396" t="str">
        <f t="shared" si="26"/>
        <v>E2_7_7_7</v>
      </c>
      <c r="E396" s="22" t="s">
        <v>9816</v>
      </c>
      <c r="F396" s="22" t="s">
        <v>12170</v>
      </c>
      <c r="G396" s="20" t="s">
        <v>9815</v>
      </c>
      <c r="H396" s="20" t="s">
        <v>12596</v>
      </c>
      <c r="I396" t="str">
        <f t="shared" si="27"/>
        <v>(${Variables:E2_7_7_7_kcat} * E2_7_7_7 * C00286 * C00039)/(${Variables:E2_7_7_7_km} + (E2_7_7_7 * C00286 * C00039))</v>
      </c>
      <c r="J396" t="str">
        <f t="shared" si="28"/>
        <v>r395: C00286 + C00039 -&gt;  C00013 + C00039 | (${Variables:E2_7_7_7_kcat} * E2_7_7_7 * C00286 * C00039)/(${Variables:E2_7_7_7_km} + (E2_7_7_7 * C00286 * C00039))</v>
      </c>
    </row>
    <row r="397" spans="1:10">
      <c r="A397" s="19" t="s">
        <v>4304</v>
      </c>
      <c r="B397" s="1" t="s">
        <v>11573</v>
      </c>
      <c r="C397" s="32">
        <v>396</v>
      </c>
      <c r="D397" t="str">
        <f t="shared" si="26"/>
        <v>E2_7_7_7</v>
      </c>
      <c r="E397" s="22" t="s">
        <v>9817</v>
      </c>
      <c r="F397" s="22" t="s">
        <v>12171</v>
      </c>
      <c r="G397" s="20" t="s">
        <v>9818</v>
      </c>
      <c r="H397" s="20" t="s">
        <v>12595</v>
      </c>
      <c r="I397" t="str">
        <f t="shared" si="27"/>
        <v>(${Variables:E2_7_7_7_kcat} * E2_7_7_7 * C00458 * C00039 )/(${Variables:E2_7_7_7_km} + (E2_7_7_7 * C00458 * C00039 ))</v>
      </c>
      <c r="J397" t="str">
        <f t="shared" si="28"/>
        <v>r396: C00458 + C00039  -&gt; C00013 + C00039 | (${Variables:E2_7_7_7_kcat} * E2_7_7_7 * C00458 * C00039 )/(${Variables:E2_7_7_7_km} + (E2_7_7_7 * C00458 * C00039 ))</v>
      </c>
    </row>
    <row r="398" spans="1:10">
      <c r="A398" s="19" t="s">
        <v>4304</v>
      </c>
      <c r="B398" s="1" t="s">
        <v>11573</v>
      </c>
      <c r="C398" s="32">
        <v>397</v>
      </c>
      <c r="D398" t="str">
        <f t="shared" si="26"/>
        <v>E2_7_7_7</v>
      </c>
      <c r="E398" s="22" t="s">
        <v>9819</v>
      </c>
      <c r="F398" s="22" t="s">
        <v>12173</v>
      </c>
      <c r="G398" s="20" t="s">
        <v>9815</v>
      </c>
      <c r="H398" s="20" t="s">
        <v>12596</v>
      </c>
      <c r="I398" t="str">
        <f t="shared" si="27"/>
        <v>(${Variables:E2_7_7_7_kcat} * E2_7_7_7 * C00459 * C00039 )/(${Variables:E2_7_7_7_km} + (E2_7_7_7 * C00459 * C00039 ))</v>
      </c>
      <c r="J398" t="str">
        <f t="shared" si="28"/>
        <v>r397: C00459 + C00039  -&gt;  C00013 + C00039 | (${Variables:E2_7_7_7_kcat} * E2_7_7_7 * C00459 * C00039 )/(${Variables:E2_7_7_7_km} + (E2_7_7_7 * C00459 * C00039 ))</v>
      </c>
    </row>
    <row r="399" spans="1:10">
      <c r="A399" s="19" t="s">
        <v>4304</v>
      </c>
      <c r="B399" s="1" t="s">
        <v>11573</v>
      </c>
      <c r="C399" s="32">
        <v>398</v>
      </c>
      <c r="D399" t="str">
        <f t="shared" si="26"/>
        <v>E2_7_7_7</v>
      </c>
      <c r="E399" s="22" t="s">
        <v>9820</v>
      </c>
      <c r="F399" s="22" t="s">
        <v>9820</v>
      </c>
      <c r="G399" s="20" t="s">
        <v>9821</v>
      </c>
      <c r="H399" s="20" t="s">
        <v>9821</v>
      </c>
      <c r="I399" t="str">
        <f t="shared" si="27"/>
        <v>(${Variables:E2_7_7_7_kcat} * E2_7_7_7 * C11039)/(${Variables:E2_7_7_7_km} + (E2_7_7_7 * C11039))</v>
      </c>
      <c r="J399" t="str">
        <f t="shared" si="28"/>
        <v>r398: C11039 -&gt;  C21031 | (${Variables:E2_7_7_7_kcat} * E2_7_7_7 * C11039)/(${Variables:E2_7_7_7_km} + (E2_7_7_7 * C11039))</v>
      </c>
    </row>
    <row r="400" spans="1:10">
      <c r="A400" s="19" t="s">
        <v>7475</v>
      </c>
      <c r="B400" s="1" t="s">
        <v>11573</v>
      </c>
      <c r="C400" s="32">
        <v>399</v>
      </c>
      <c r="D400" t="str">
        <f t="shared" si="26"/>
        <v>E2_7_7_7</v>
      </c>
      <c r="E400" s="22" t="s">
        <v>12821</v>
      </c>
      <c r="F400" s="22" t="s">
        <v>12854</v>
      </c>
      <c r="G400" s="20" t="s">
        <v>9818</v>
      </c>
      <c r="H400" s="20" t="s">
        <v>12595</v>
      </c>
      <c r="I400" t="str">
        <f t="shared" si="27"/>
        <v>(${Variables:E2_7_7_7_kcat} * E2_7_7_7 * C00677 * C00039 )/(${Variables:E2_7_7_7_km} + (E2_7_7_7 * C00677 * C00039 ))</v>
      </c>
      <c r="J400" t="str">
        <f t="shared" si="28"/>
        <v>r399: C00677 + C00039  -&gt; C00013 + C00039 | (${Variables:E2_7_7_7_kcat} * E2_7_7_7 * C00677 * C00039 )/(${Variables:E2_7_7_7_km} + (E2_7_7_7 * C00677 * C00039 ))</v>
      </c>
    </row>
    <row r="401" spans="1:10">
      <c r="A401" s="19" t="s">
        <v>7475</v>
      </c>
      <c r="B401" s="1" t="s">
        <v>11573</v>
      </c>
      <c r="C401" s="32">
        <v>400</v>
      </c>
      <c r="D401" t="str">
        <f t="shared" si="26"/>
        <v>E2_7_7_7</v>
      </c>
      <c r="E401" s="22" t="s">
        <v>9814</v>
      </c>
      <c r="F401" s="22" t="s">
        <v>12169</v>
      </c>
      <c r="G401" s="20" t="s">
        <v>9818</v>
      </c>
      <c r="H401" s="20" t="s">
        <v>12595</v>
      </c>
      <c r="I401" t="str">
        <f t="shared" si="27"/>
        <v>(${Variables:E2_7_7_7_kcat} * E2_7_7_7 * C00131 * C00039 )/(${Variables:E2_7_7_7_km} + (E2_7_7_7 * C00131 * C00039 ))</v>
      </c>
      <c r="J401" t="str">
        <f t="shared" si="28"/>
        <v>r400: C00131 + C00039  -&gt; C00013 + C00039 | (${Variables:E2_7_7_7_kcat} * E2_7_7_7 * C00131 * C00039 )/(${Variables:E2_7_7_7_km} + (E2_7_7_7 * C00131 * C00039 ))</v>
      </c>
    </row>
    <row r="402" spans="1:10">
      <c r="A402" s="19" t="s">
        <v>7475</v>
      </c>
      <c r="B402" s="1" t="s">
        <v>11573</v>
      </c>
      <c r="C402" s="32">
        <v>401</v>
      </c>
      <c r="D402" t="str">
        <f t="shared" si="26"/>
        <v>E2_7_7_7</v>
      </c>
      <c r="E402" s="22" t="s">
        <v>9816</v>
      </c>
      <c r="F402" s="22" t="s">
        <v>12170</v>
      </c>
      <c r="G402" s="20" t="s">
        <v>9818</v>
      </c>
      <c r="H402" s="20" t="s">
        <v>12595</v>
      </c>
      <c r="I402" t="str">
        <f t="shared" si="27"/>
        <v>(${Variables:E2_7_7_7_kcat} * E2_7_7_7 * C00286 * C00039)/(${Variables:E2_7_7_7_km} + (E2_7_7_7 * C00286 * C00039))</v>
      </c>
      <c r="J402" t="str">
        <f t="shared" si="28"/>
        <v>r401: C00286 + C00039 -&gt; C00013 + C00039 | (${Variables:E2_7_7_7_kcat} * E2_7_7_7 * C00286 * C00039)/(${Variables:E2_7_7_7_km} + (E2_7_7_7 * C00286 * C00039))</v>
      </c>
    </row>
    <row r="403" spans="1:10">
      <c r="A403" s="19" t="s">
        <v>7475</v>
      </c>
      <c r="B403" s="1" t="s">
        <v>11573</v>
      </c>
      <c r="C403" s="32">
        <v>402</v>
      </c>
      <c r="D403" t="str">
        <f t="shared" si="26"/>
        <v>E2_7_7_7</v>
      </c>
      <c r="E403" s="22" t="s">
        <v>9817</v>
      </c>
      <c r="F403" s="22" t="s">
        <v>12171</v>
      </c>
      <c r="G403" s="20" t="s">
        <v>9818</v>
      </c>
      <c r="H403" s="20" t="s">
        <v>12595</v>
      </c>
      <c r="I403" t="str">
        <f t="shared" si="27"/>
        <v>(${Variables:E2_7_7_7_kcat} * E2_7_7_7 * C00458 * C00039 )/(${Variables:E2_7_7_7_km} + (E2_7_7_7 * C00458 * C00039 ))</v>
      </c>
      <c r="J403" t="str">
        <f t="shared" si="28"/>
        <v>r402: C00458 + C00039  -&gt; C00013 + C00039 | (${Variables:E2_7_7_7_kcat} * E2_7_7_7 * C00458 * C00039 )/(${Variables:E2_7_7_7_km} + (E2_7_7_7 * C00458 * C00039 ))</v>
      </c>
    </row>
    <row r="404" spans="1:10">
      <c r="A404" s="19" t="s">
        <v>7475</v>
      </c>
      <c r="B404" s="1" t="s">
        <v>11573</v>
      </c>
      <c r="C404" s="32">
        <v>403</v>
      </c>
      <c r="D404" t="str">
        <f t="shared" si="26"/>
        <v>E2_7_7_7</v>
      </c>
      <c r="E404" s="22" t="s">
        <v>11814</v>
      </c>
      <c r="F404" s="22" t="s">
        <v>12172</v>
      </c>
      <c r="G404" s="20" t="s">
        <v>9815</v>
      </c>
      <c r="H404" s="20" t="s">
        <v>12596</v>
      </c>
      <c r="I404" t="str">
        <f t="shared" si="27"/>
        <v>(${Variables:E2_7_7_7_kcat} * E2_7_7_7 * C00459 * C00039)/(${Variables:E2_7_7_7_km} + (E2_7_7_7 * C00459 * C00039))</v>
      </c>
      <c r="J404" t="str">
        <f t="shared" si="28"/>
        <v>r403: C00459 + C00039 -&gt;  C00013 + C00039 | (${Variables:E2_7_7_7_kcat} * E2_7_7_7 * C00459 * C00039)/(${Variables:E2_7_7_7_km} + (E2_7_7_7 * C00459 * C00039))</v>
      </c>
    </row>
    <row r="405" spans="1:10">
      <c r="A405" s="19" t="s">
        <v>7475</v>
      </c>
      <c r="B405" s="1" t="s">
        <v>11573</v>
      </c>
      <c r="C405" s="32">
        <v>404</v>
      </c>
      <c r="D405" t="str">
        <f t="shared" si="26"/>
        <v>E2_7_7_7</v>
      </c>
      <c r="E405" s="22" t="s">
        <v>9995</v>
      </c>
      <c r="F405" s="22" t="s">
        <v>9995</v>
      </c>
      <c r="G405" s="20" t="s">
        <v>9996</v>
      </c>
      <c r="H405" s="20" t="s">
        <v>9996</v>
      </c>
      <c r="I405" t="str">
        <f t="shared" si="27"/>
        <v>(${Variables:E2_7_7_7_kcat} * E2_7_7_7 * C11039 )/(${Variables:E2_7_7_7_km} + (E2_7_7_7 * C11039 ))</v>
      </c>
      <c r="J405" t="str">
        <f t="shared" si="28"/>
        <v>r404: C11039  -&gt; C21031 | (${Variables:E2_7_7_7_kcat} * E2_7_7_7 * C11039 )/(${Variables:E2_7_7_7_km} + (E2_7_7_7 * C11039 ))</v>
      </c>
    </row>
    <row r="406" spans="1:10">
      <c r="A406" s="19" t="s">
        <v>8530</v>
      </c>
      <c r="B406" s="1" t="s">
        <v>11573</v>
      </c>
      <c r="C406" s="32">
        <v>405</v>
      </c>
      <c r="D406" t="str">
        <f t="shared" si="26"/>
        <v>E2_7_7_7</v>
      </c>
      <c r="E406" s="22" t="s">
        <v>12821</v>
      </c>
      <c r="F406" s="22" t="s">
        <v>12854</v>
      </c>
      <c r="G406" s="20" t="s">
        <v>9818</v>
      </c>
      <c r="H406" s="20" t="s">
        <v>12595</v>
      </c>
      <c r="I406" t="str">
        <f t="shared" si="27"/>
        <v>(${Variables:E2_7_7_7_kcat} * E2_7_7_7 * C00677 * C00039 )/(${Variables:E2_7_7_7_km} + (E2_7_7_7 * C00677 * C00039 ))</v>
      </c>
      <c r="J406" t="str">
        <f t="shared" si="28"/>
        <v>r405: C00677 + C00039  -&gt; C00013 + C00039 | (${Variables:E2_7_7_7_kcat} * E2_7_7_7 * C00677 * C00039 )/(${Variables:E2_7_7_7_km} + (E2_7_7_7 * C00677 * C00039 ))</v>
      </c>
    </row>
    <row r="407" spans="1:10">
      <c r="A407" s="19" t="s">
        <v>8530</v>
      </c>
      <c r="B407" s="1" t="s">
        <v>11573</v>
      </c>
      <c r="C407" s="32">
        <v>406</v>
      </c>
      <c r="D407" t="str">
        <f t="shared" si="26"/>
        <v>E2_7_7_7</v>
      </c>
      <c r="E407" s="22" t="s">
        <v>9814</v>
      </c>
      <c r="F407" s="22" t="s">
        <v>12169</v>
      </c>
      <c r="G407" s="20" t="s">
        <v>9818</v>
      </c>
      <c r="H407" s="20" t="s">
        <v>12595</v>
      </c>
      <c r="I407" t="str">
        <f t="shared" si="27"/>
        <v>(${Variables:E2_7_7_7_kcat} * E2_7_7_7 * C00131 * C00039 )/(${Variables:E2_7_7_7_km} + (E2_7_7_7 * C00131 * C00039 ))</v>
      </c>
      <c r="J407" t="str">
        <f t="shared" si="28"/>
        <v>r406: C00131 + C00039  -&gt; C00013 + C00039 | (${Variables:E2_7_7_7_kcat} * E2_7_7_7 * C00131 * C00039 )/(${Variables:E2_7_7_7_km} + (E2_7_7_7 * C00131 * C00039 ))</v>
      </c>
    </row>
    <row r="408" spans="1:10">
      <c r="A408" s="19" t="s">
        <v>8530</v>
      </c>
      <c r="B408" s="1" t="s">
        <v>11573</v>
      </c>
      <c r="C408" s="32">
        <v>407</v>
      </c>
      <c r="D408" t="str">
        <f t="shared" si="26"/>
        <v>E2_7_7_7</v>
      </c>
      <c r="E408" s="22" t="s">
        <v>9816</v>
      </c>
      <c r="F408" s="22" t="s">
        <v>12170</v>
      </c>
      <c r="G408" s="20" t="s">
        <v>9818</v>
      </c>
      <c r="H408" s="20" t="s">
        <v>12595</v>
      </c>
      <c r="I408" t="str">
        <f t="shared" si="27"/>
        <v>(${Variables:E2_7_7_7_kcat} * E2_7_7_7 * C00286 * C00039)/(${Variables:E2_7_7_7_km} + (E2_7_7_7 * C00286 * C00039))</v>
      </c>
      <c r="J408" t="str">
        <f t="shared" si="28"/>
        <v>r407: C00286 + C00039 -&gt; C00013 + C00039 | (${Variables:E2_7_7_7_kcat} * E2_7_7_7 * C00286 * C00039)/(${Variables:E2_7_7_7_km} + (E2_7_7_7 * C00286 * C00039))</v>
      </c>
    </row>
    <row r="409" spans="1:10">
      <c r="A409" s="19" t="s">
        <v>8530</v>
      </c>
      <c r="B409" s="1" t="s">
        <v>11573</v>
      </c>
      <c r="C409" s="32">
        <v>408</v>
      </c>
      <c r="D409" t="str">
        <f t="shared" si="26"/>
        <v>E2_7_7_7</v>
      </c>
      <c r="E409" s="22" t="s">
        <v>9817</v>
      </c>
      <c r="F409" s="22" t="s">
        <v>12171</v>
      </c>
      <c r="G409" s="20" t="s">
        <v>9818</v>
      </c>
      <c r="H409" s="20" t="s">
        <v>12595</v>
      </c>
      <c r="I409" t="str">
        <f t="shared" si="27"/>
        <v>(${Variables:E2_7_7_7_kcat} * E2_7_7_7 * C00458 * C00039 )/(${Variables:E2_7_7_7_km} + (E2_7_7_7 * C00458 * C00039 ))</v>
      </c>
      <c r="J409" t="str">
        <f t="shared" si="28"/>
        <v>r408: C00458 + C00039  -&gt; C00013 + C00039 | (${Variables:E2_7_7_7_kcat} * E2_7_7_7 * C00458 * C00039 )/(${Variables:E2_7_7_7_km} + (E2_7_7_7 * C00458 * C00039 ))</v>
      </c>
    </row>
    <row r="410" spans="1:10">
      <c r="A410" s="19" t="s">
        <v>8530</v>
      </c>
      <c r="B410" s="1" t="s">
        <v>11573</v>
      </c>
      <c r="C410" s="32">
        <v>409</v>
      </c>
      <c r="D410" t="str">
        <f t="shared" si="26"/>
        <v>E2_7_7_7</v>
      </c>
      <c r="E410" s="22" t="s">
        <v>11814</v>
      </c>
      <c r="F410" s="22" t="s">
        <v>12172</v>
      </c>
      <c r="G410" s="20" t="s">
        <v>9815</v>
      </c>
      <c r="H410" s="20" t="s">
        <v>12596</v>
      </c>
      <c r="I410" t="str">
        <f t="shared" si="27"/>
        <v>(${Variables:E2_7_7_7_kcat} * E2_7_7_7 * C00459 * C00039)/(${Variables:E2_7_7_7_km} + (E2_7_7_7 * C00459 * C00039))</v>
      </c>
      <c r="J410" t="str">
        <f t="shared" si="28"/>
        <v>r409: C00459 + C00039 -&gt;  C00013 + C00039 | (${Variables:E2_7_7_7_kcat} * E2_7_7_7 * C00459 * C00039)/(${Variables:E2_7_7_7_km} + (E2_7_7_7 * C00459 * C00039))</v>
      </c>
    </row>
    <row r="411" spans="1:10">
      <c r="A411" s="19" t="s">
        <v>8530</v>
      </c>
      <c r="B411" s="1" t="s">
        <v>11573</v>
      </c>
      <c r="C411" s="32">
        <v>410</v>
      </c>
      <c r="D411" t="str">
        <f t="shared" si="26"/>
        <v>E2_7_7_7</v>
      </c>
      <c r="E411" s="22" t="s">
        <v>9995</v>
      </c>
      <c r="F411" s="22" t="s">
        <v>9995</v>
      </c>
      <c r="G411" s="20" t="s">
        <v>9996</v>
      </c>
      <c r="H411" s="20" t="s">
        <v>9996</v>
      </c>
      <c r="I411" t="str">
        <f t="shared" si="27"/>
        <v>(${Variables:E2_7_7_7_kcat} * E2_7_7_7 * C11039 )/(${Variables:E2_7_7_7_km} + (E2_7_7_7 * C11039 ))</v>
      </c>
      <c r="J411" t="str">
        <f t="shared" si="28"/>
        <v>r410: C11039  -&gt; C21031 | (${Variables:E2_7_7_7_kcat} * E2_7_7_7 * C11039 )/(${Variables:E2_7_7_7_km} + (E2_7_7_7 * C11039 ))</v>
      </c>
    </row>
    <row r="412" spans="1:10">
      <c r="A412" s="19" t="s">
        <v>2700</v>
      </c>
      <c r="B412" s="1" t="s">
        <v>11574</v>
      </c>
      <c r="C412" s="32">
        <v>411</v>
      </c>
      <c r="D412" t="str">
        <f t="shared" si="26"/>
        <v>E2_7_7_8</v>
      </c>
      <c r="E412" s="10" t="s">
        <v>9749</v>
      </c>
      <c r="F412" s="10" t="s">
        <v>12174</v>
      </c>
      <c r="G412" s="13" t="s">
        <v>9750</v>
      </c>
      <c r="H412" s="13" t="s">
        <v>12597</v>
      </c>
      <c r="I412" t="str">
        <f t="shared" si="27"/>
        <v>(${Variables:E2_7_7_8_kcat} * E2_7_7_8 * C00046 * C00009)/(${Variables:E2_7_7_8_km} + (E2_7_7_8 * C00046 * C00009))</v>
      </c>
      <c r="J412" t="str">
        <f t="shared" si="28"/>
        <v>r411: C00046 + C00009 -&gt;  C00046 + C00454 | (${Variables:E2_7_7_8_kcat} * E2_7_7_8 * C00046 * C00009)/(${Variables:E2_7_7_8_km} + (E2_7_7_8 * C00046 * C00009))</v>
      </c>
    </row>
    <row r="413" spans="1:10">
      <c r="A413" s="19" t="s">
        <v>2700</v>
      </c>
      <c r="B413" s="1" t="s">
        <v>11574</v>
      </c>
      <c r="C413" s="32">
        <v>412</v>
      </c>
      <c r="D413" t="str">
        <f t="shared" si="26"/>
        <v>E2_7_7_8</v>
      </c>
      <c r="E413" s="10" t="s">
        <v>9751</v>
      </c>
      <c r="F413" s="10" t="s">
        <v>12175</v>
      </c>
      <c r="G413" s="13" t="s">
        <v>9752</v>
      </c>
      <c r="H413" s="13" t="s">
        <v>12598</v>
      </c>
      <c r="I413" t="str">
        <f t="shared" si="27"/>
        <v>(${Variables:E2_7_7_8_kcat} * E2_7_7_8 * C00046 * C00009 )/(${Variables:E2_7_7_8_km} + (E2_7_7_8 * C00046 * C00009 ))</v>
      </c>
      <c r="J413" t="str">
        <f t="shared" si="28"/>
        <v>r412: C00046 + C00009  -&gt;  C00046 + C00008 | (${Variables:E2_7_7_8_kcat} * E2_7_7_8 * C00046 * C00009 )/(${Variables:E2_7_7_8_km} + (E2_7_7_8 * C00046 * C00009 ))</v>
      </c>
    </row>
    <row r="414" spans="1:10">
      <c r="A414" s="19" t="s">
        <v>2700</v>
      </c>
      <c r="B414" s="1" t="s">
        <v>11574</v>
      </c>
      <c r="C414" s="32">
        <v>413</v>
      </c>
      <c r="D414" t="str">
        <f t="shared" si="26"/>
        <v>E2_7_7_8</v>
      </c>
      <c r="E414" s="10" t="s">
        <v>9749</v>
      </c>
      <c r="F414" s="10" t="s">
        <v>12174</v>
      </c>
      <c r="G414" s="13" t="s">
        <v>9753</v>
      </c>
      <c r="H414" s="13" t="s">
        <v>12599</v>
      </c>
      <c r="I414" t="str">
        <f t="shared" si="27"/>
        <v>(${Variables:E2_7_7_8_kcat} * E2_7_7_8 * C00046 * C00009)/(${Variables:E2_7_7_8_km} + (E2_7_7_8 * C00046 * C00009))</v>
      </c>
      <c r="J414" t="str">
        <f t="shared" si="28"/>
        <v>r413: C00046 + C00009 -&gt; C00046 + C00015 | (${Variables:E2_7_7_8_kcat} * E2_7_7_8 * C00046 * C00009)/(${Variables:E2_7_7_8_km} + (E2_7_7_8 * C00046 * C00009))</v>
      </c>
    </row>
    <row r="415" spans="1:10">
      <c r="A415" s="19" t="s">
        <v>2700</v>
      </c>
      <c r="B415" s="1" t="s">
        <v>11574</v>
      </c>
      <c r="C415" s="32">
        <v>414</v>
      </c>
      <c r="D415" t="str">
        <f t="shared" si="26"/>
        <v>E2_7_7_8</v>
      </c>
      <c r="E415" s="10" t="s">
        <v>9751</v>
      </c>
      <c r="F415" s="10" t="s">
        <v>12175</v>
      </c>
      <c r="G415" s="13" t="s">
        <v>9754</v>
      </c>
      <c r="H415" s="13" t="s">
        <v>12600</v>
      </c>
      <c r="I415" t="str">
        <f t="shared" si="27"/>
        <v>(${Variables:E2_7_7_8_kcat} * E2_7_7_8 * C00046 * C00009 )/(${Variables:E2_7_7_8_km} + (E2_7_7_8 * C00046 * C00009 ))</v>
      </c>
      <c r="J415" t="str">
        <f t="shared" si="28"/>
        <v>r414: C00046 + C00009  -&gt;  C00046 + C00035 | (${Variables:E2_7_7_8_kcat} * E2_7_7_8 * C00046 * C00009 )/(${Variables:E2_7_7_8_km} + (E2_7_7_8 * C00046 * C00009 ))</v>
      </c>
    </row>
    <row r="416" spans="1:10">
      <c r="A416" s="19" t="s">
        <v>2700</v>
      </c>
      <c r="B416" s="1" t="s">
        <v>11574</v>
      </c>
      <c r="C416" s="32">
        <v>415</v>
      </c>
      <c r="D416" t="str">
        <f t="shared" si="26"/>
        <v>E2_7_7_8</v>
      </c>
      <c r="E416" s="10" t="s">
        <v>9749</v>
      </c>
      <c r="F416" s="10" t="s">
        <v>12174</v>
      </c>
      <c r="G416" s="13" t="s">
        <v>9755</v>
      </c>
      <c r="H416" s="13" t="s">
        <v>12601</v>
      </c>
      <c r="I416" t="str">
        <f t="shared" si="27"/>
        <v>(${Variables:E2_7_7_8_kcat} * E2_7_7_8 * C00046 * C00009)/(${Variables:E2_7_7_8_km} + (E2_7_7_8 * C00046 * C00009))</v>
      </c>
      <c r="J416" t="str">
        <f t="shared" si="28"/>
        <v>r415: C00046 + C00009 -&gt;  C00046 + C00112 | (${Variables:E2_7_7_8_kcat} * E2_7_7_8 * C00046 * C00009)/(${Variables:E2_7_7_8_km} + (E2_7_7_8 * C00046 * C00009))</v>
      </c>
    </row>
    <row r="417" spans="1:10">
      <c r="A417" s="19" t="s">
        <v>2095</v>
      </c>
      <c r="B417" s="1" t="s">
        <v>11575</v>
      </c>
      <c r="C417" s="32">
        <v>416</v>
      </c>
      <c r="D417" t="str">
        <f t="shared" si="26"/>
        <v>E2_7_8_13</v>
      </c>
      <c r="E417" s="10" t="s">
        <v>9669</v>
      </c>
      <c r="F417" s="10" t="s">
        <v>12176</v>
      </c>
      <c r="G417" s="13" t="s">
        <v>9670</v>
      </c>
      <c r="H417" s="13" t="s">
        <v>12602</v>
      </c>
      <c r="I417" t="str">
        <f t="shared" si="27"/>
        <v>(${Variables:E2_7_8_13_kcat} * E2_7_8_13 * C04702 * C17556 )/(${Variables:E2_7_8_13_km} + (E2_7_8_13 * C04702 * C17556 ))</v>
      </c>
      <c r="J417" t="str">
        <f t="shared" si="28"/>
        <v>r416: C04702 + C17556  -&gt; C00105 + C04851 | (${Variables:E2_7_8_13_kcat} * E2_7_8_13 * C04702 * C17556 )/(${Variables:E2_7_8_13_km} + (E2_7_8_13 * C04702 * C17556 ))</v>
      </c>
    </row>
    <row r="418" spans="1:10">
      <c r="A418" s="19" t="s">
        <v>2095</v>
      </c>
      <c r="B418" s="1" t="s">
        <v>11575</v>
      </c>
      <c r="C418" s="32">
        <v>417</v>
      </c>
      <c r="D418" t="str">
        <f t="shared" si="26"/>
        <v>E2_7_8_13</v>
      </c>
      <c r="E418" s="10" t="s">
        <v>9669</v>
      </c>
      <c r="F418" s="10" t="s">
        <v>12176</v>
      </c>
      <c r="G418" s="13" t="s">
        <v>9670</v>
      </c>
      <c r="H418" s="13" t="s">
        <v>12602</v>
      </c>
      <c r="I418" t="str">
        <f t="shared" si="27"/>
        <v>(${Variables:E2_7_8_13_kcat} * E2_7_8_13 * C04702 * C17556 )/(${Variables:E2_7_8_13_km} + (E2_7_8_13 * C04702 * C17556 ))</v>
      </c>
      <c r="J418" t="str">
        <f t="shared" si="28"/>
        <v>r417: C04702 + C17556  -&gt; C00105 + C04851 | (${Variables:E2_7_8_13_kcat} * E2_7_8_13 * C04702 * C17556 )/(${Variables:E2_7_8_13_km} + (E2_7_8_13 * C04702 * C17556 ))</v>
      </c>
    </row>
    <row r="419" spans="1:10">
      <c r="A419" s="19" t="s">
        <v>382</v>
      </c>
      <c r="B419" s="1" t="s">
        <v>11576</v>
      </c>
      <c r="C419" s="32">
        <v>418</v>
      </c>
      <c r="D419" t="str">
        <f t="shared" si="26"/>
        <v>E2_7_8_31</v>
      </c>
      <c r="E419" s="10" t="s">
        <v>11815</v>
      </c>
      <c r="F419" s="10" t="s">
        <v>12177</v>
      </c>
      <c r="G419" s="13" t="s">
        <v>11816</v>
      </c>
      <c r="H419" s="13" t="s">
        <v>12603</v>
      </c>
      <c r="I419" t="str">
        <f t="shared" si="27"/>
        <v>(${Variables:E2_7_8_31_kcat} * E2_7_8_31 * C00029 * C17556)/(${Variables:E2_7_8_31_km} + (E2_7_8_31 * C00029 * C17556))</v>
      </c>
      <c r="J419" t="str">
        <f t="shared" si="28"/>
        <v>r418: C00029 + C17556 -&gt; C00105 + C19772 | (${Variables:E2_7_8_31_kcat} * E2_7_8_31 * C00029 * C17556)/(${Variables:E2_7_8_31_km} + (E2_7_8_31 * C00029 * C17556))</v>
      </c>
    </row>
    <row r="420" spans="1:10">
      <c r="A420" s="19" t="s">
        <v>8691</v>
      </c>
      <c r="B420" s="1" t="s">
        <v>11577</v>
      </c>
      <c r="C420" s="32">
        <v>419</v>
      </c>
      <c r="D420" t="str">
        <f t="shared" si="26"/>
        <v>E2_7_9_1</v>
      </c>
      <c r="E420" s="10" t="s">
        <v>10605</v>
      </c>
      <c r="F420" s="10" t="s">
        <v>12178</v>
      </c>
      <c r="G420" s="13" t="s">
        <v>10606</v>
      </c>
      <c r="H420" s="13" t="s">
        <v>12604</v>
      </c>
      <c r="I420" t="str">
        <f t="shared" si="27"/>
        <v>(${Variables:E2_7_9_1_kcat} * E2_7_9_1 * C00002 * C00022 * C00009 )/(${Variables:E2_7_9_1_km} + (E2_7_9_1 * C00002 * C00022 * C00009 ))</v>
      </c>
      <c r="J420" t="str">
        <f t="shared" si="28"/>
        <v>r419: C00002 + C00022 + C00009  -&gt;  C00020 + C00074 + C00013 | (${Variables:E2_7_9_1_kcat} * E2_7_9_1 * C00002 * C00022 * C00009 )/(${Variables:E2_7_9_1_km} + (E2_7_9_1 * C00002 * C00022 * C00009 ))</v>
      </c>
    </row>
    <row r="421" spans="1:10">
      <c r="A421" s="19" t="s">
        <v>4894</v>
      </c>
      <c r="B421" s="1" t="s">
        <v>11578</v>
      </c>
      <c r="C421" s="32">
        <v>420</v>
      </c>
      <c r="D421" t="str">
        <f t="shared" si="26"/>
        <v>E2_8_1_13</v>
      </c>
      <c r="E421" s="10" t="s">
        <v>10115</v>
      </c>
      <c r="F421" s="10" t="s">
        <v>12179</v>
      </c>
      <c r="G421" s="13" t="s">
        <v>10116</v>
      </c>
      <c r="H421" s="13" t="s">
        <v>12605</v>
      </c>
      <c r="I421" t="str">
        <f t="shared" si="27"/>
        <v>(${Variables:E2_8_1_13_kcat} * E2_8_1_13 * C00868 * C15812 * C00002 )/(${Variables:E2_8_1_13_km} + (E2_8_1_13 * C00868 * C15812 * C00002 ))</v>
      </c>
      <c r="J421" t="str">
        <f t="shared" si="28"/>
        <v>r420: C00868 + C15812 + C00002  -&gt; C17322 + C15811 + C00020 + C00013 | (${Variables:E2_8_1_13_kcat} * E2_8_1_13 * C00868 * C15812 * C00002 )/(${Variables:E2_8_1_13_km} + (E2_8_1_13 * C00868 * C15812 * C00002 ))</v>
      </c>
    </row>
    <row r="422" spans="1:10">
      <c r="A422" s="19" t="s">
        <v>859</v>
      </c>
      <c r="B422" s="1" t="s">
        <v>11579</v>
      </c>
      <c r="C422" s="32">
        <v>421</v>
      </c>
      <c r="D422" t="str">
        <f t="shared" si="26"/>
        <v>E2_8_1_6</v>
      </c>
      <c r="E422" s="10" t="s">
        <v>12823</v>
      </c>
      <c r="F422" s="10" t="s">
        <v>12856</v>
      </c>
      <c r="G422" s="13" t="s">
        <v>12887</v>
      </c>
      <c r="H422" s="13" t="s">
        <v>12927</v>
      </c>
      <c r="I422" t="str">
        <f t="shared" si="27"/>
        <v>(${Variables:E2_8_1_6_kcat} * E2_8_1_6 * C01909 *C17023 *  C00019 *  C05359 * C00080 )/(${Variables:E2_8_1_6_km} + (E2_8_1_6 * C01909 *C17023 *  C00019 *  C05359 * C00080 ))</v>
      </c>
      <c r="J422" t="str">
        <f t="shared" si="28"/>
        <v>r421: C01909 + C17023 +  C00019 +  C05359 +  C00080  -&gt;  C00120 + C00073 + C05198 | (${Variables:E2_8_1_6_kcat} * E2_8_1_6 * C01909 *C17023 *  C00019 *  C05359 * C00080 )/(${Variables:E2_8_1_6_km} + (E2_8_1_6 * C01909 *C17023 *  C00019 *  C05359 * C00080 ))</v>
      </c>
    </row>
    <row r="423" spans="1:10">
      <c r="A423" s="19" t="s">
        <v>8173</v>
      </c>
      <c r="B423" s="1" t="s">
        <v>11579</v>
      </c>
      <c r="C423" s="32">
        <v>422</v>
      </c>
      <c r="D423" t="str">
        <f t="shared" si="26"/>
        <v>E2_8_1_6</v>
      </c>
      <c r="E423" s="22" t="s">
        <v>12824</v>
      </c>
      <c r="F423" s="22" t="s">
        <v>12857</v>
      </c>
      <c r="G423" s="20" t="s">
        <v>12887</v>
      </c>
      <c r="H423" s="20" t="s">
        <v>12927</v>
      </c>
      <c r="I423" t="str">
        <f t="shared" si="27"/>
        <v>(${Variables:E2_8_1_6_kcat} * E2_8_1_6 * C01909 *C17023 *  C00019 * C05359 * C00080 )/(${Variables:E2_8_1_6_km} + (E2_8_1_6 * C01909 *C17023 *  C00019 * C05359 * C00080 ))</v>
      </c>
      <c r="J423" t="str">
        <f t="shared" si="28"/>
        <v>r422: C01909 +C17023 +  C00019 +  C05359 + C00080  -&gt;  C00120 + C00073 + C05198 | (${Variables:E2_8_1_6_kcat} * E2_8_1_6 * C01909 *C17023 *  C00019 * C05359 * C00080 )/(${Variables:E2_8_1_6_km} + (E2_8_1_6 * C01909 *C17023 *  C00019 * C05359 * C00080 ))</v>
      </c>
    </row>
    <row r="424" spans="1:10">
      <c r="A424" s="19" t="s">
        <v>1460</v>
      </c>
      <c r="B424" s="1" t="s">
        <v>11580</v>
      </c>
      <c r="C424" s="32">
        <v>423</v>
      </c>
      <c r="D424" t="str">
        <f t="shared" si="26"/>
        <v>E2_8_1_8</v>
      </c>
      <c r="E424" s="10" t="s">
        <v>12825</v>
      </c>
      <c r="F424" s="10" t="s">
        <v>12858</v>
      </c>
      <c r="G424" s="13" t="s">
        <v>12888</v>
      </c>
      <c r="H424" s="13" t="s">
        <v>12928</v>
      </c>
      <c r="I424" t="str">
        <f t="shared" si="27"/>
        <v>(${Variables:E2_8_1_8_kcat} * E2_8_1_8 * C16236 * C22154 *  C00019 * C22150 *  C00080)/(${Variables:E2_8_1_8_km} + (E2_8_1_8 * C16236 * C22154 *  C00019 * C22150 *  C00080))</v>
      </c>
      <c r="J424" t="str">
        <f t="shared" si="28"/>
        <v>r423: C16236 + C22154 +  C00019 + C22150 +  C00080 -&gt; C16832 + C22155 + C00283 + C14818 + C00073 + C05198 + C22151 | (${Variables:E2_8_1_8_kcat} * E2_8_1_8 * C16236 * C22154 *  C00019 * C22150 *  C00080)/(${Variables:E2_8_1_8_km} + (E2_8_1_8 * C16236 * C22154 *  C00019 * C22150 *  C00080))</v>
      </c>
    </row>
    <row r="425" spans="1:10">
      <c r="A425" s="19" t="s">
        <v>1460</v>
      </c>
      <c r="B425" s="1" t="s">
        <v>11580</v>
      </c>
      <c r="C425" s="32">
        <v>424</v>
      </c>
      <c r="D425" t="str">
        <f t="shared" si="26"/>
        <v>E2_8_1_8</v>
      </c>
      <c r="E425" s="10" t="s">
        <v>12826</v>
      </c>
      <c r="F425" s="10" t="s">
        <v>12859</v>
      </c>
      <c r="G425" s="13" t="s">
        <v>12889</v>
      </c>
      <c r="H425" s="13" t="s">
        <v>12929</v>
      </c>
      <c r="I425" t="str">
        <f t="shared" si="27"/>
        <v>(${Variables:E2_8_1_8_kcat} * E2_8_1_8 * C22160 * C22154 * C00019 * C22150 * C00080 )/(${Variables:E2_8_1_8_km} + (E2_8_1_8 * C22160 * C22154 * C00019 * C22150 * C00080 ))</v>
      </c>
      <c r="J425" t="str">
        <f t="shared" si="28"/>
        <v>r424: C22160 + C22154 +  C00019 +  C22150 + C00080  -&gt; C15973 + C22155 +  C00283 +  C14818 + C00073 + C05198 + C22151 | (${Variables:E2_8_1_8_kcat} * E2_8_1_8 * C22160 * C22154 * C00019 * C22150 * C00080 )/(${Variables:E2_8_1_8_km} + (E2_8_1_8 * C22160 * C22154 * C00019 * C22150 * C00080 ))</v>
      </c>
    </row>
    <row r="426" spans="1:10">
      <c r="A426" s="19" t="s">
        <v>1460</v>
      </c>
      <c r="B426" s="1" t="s">
        <v>11580</v>
      </c>
      <c r="C426" s="32">
        <v>425</v>
      </c>
      <c r="D426" t="str">
        <f t="shared" si="26"/>
        <v>E2_8_1_8</v>
      </c>
      <c r="E426" s="10" t="s">
        <v>12827</v>
      </c>
      <c r="F426" s="10" t="s">
        <v>12860</v>
      </c>
      <c r="G426" s="13" t="s">
        <v>12890</v>
      </c>
      <c r="H426" s="13" t="s">
        <v>12930</v>
      </c>
      <c r="I426" t="str">
        <f t="shared" si="27"/>
        <v>(${Variables:E2_8_1_8_kcat} * E2_8_1_8 *  C22159 * C22154 *  C00019 *  C22150 *  C00080)/(${Variables:E2_8_1_8_km} + (E2_8_1_8 *  C22159 * C22154 *  C00019 *  C22150 *  C00080))</v>
      </c>
      <c r="J426" t="str">
        <f t="shared" si="28"/>
        <v>r425:  C22159 + C22154 +  C00019 +  C22150 +  C00080 -&gt;  C02972 +C22155  + C00283 + C14818 +  C00073 + C05198 +  C22151 | (${Variables:E2_8_1_8_kcat} * E2_8_1_8 *  C22159 * C22154 *  C00019 *  C22150 *  C00080)/(${Variables:E2_8_1_8_km} + (E2_8_1_8 *  C22159 * C22154 *  C00019 *  C22150 *  C00080))</v>
      </c>
    </row>
    <row r="427" spans="1:10">
      <c r="A427" s="19" t="s">
        <v>8909</v>
      </c>
      <c r="B427" s="1" t="s">
        <v>11581</v>
      </c>
      <c r="C427" s="32">
        <v>426</v>
      </c>
      <c r="D427" t="str">
        <f t="shared" si="26"/>
        <v>E2_8_4_4</v>
      </c>
      <c r="E427" s="10" t="s">
        <v>12828</v>
      </c>
      <c r="F427" s="10" t="s">
        <v>12861</v>
      </c>
      <c r="G427" s="13" t="s">
        <v>10640</v>
      </c>
      <c r="H427" s="13" t="s">
        <v>12606</v>
      </c>
      <c r="I427" t="str">
        <f t="shared" si="27"/>
        <v>(${Variables:E2_8_4_4_kcat} * E2_8_4_4 * C20756 * C17023 *  C00019 * C00030)/(${Variables:E2_8_4_4_km} + (E2_8_4_4 * C20756 * C17023 *  C00019 * C00030))</v>
      </c>
      <c r="J427" t="str">
        <f t="shared" si="28"/>
        <v>r426: C20756 + C17023 + C00019 + C00030 -&gt;  C20758 + C00021 + C00073 + C05198 + C00028 | (${Variables:E2_8_4_4_kcat} * E2_8_4_4 * C20756 * C17023 *  C00019 * C00030)/(${Variables:E2_8_4_4_km} + (E2_8_4_4 * C20756 * C17023 *  C00019 * C00030))</v>
      </c>
    </row>
    <row r="428" spans="1:10">
      <c r="A428" s="19" t="s">
        <v>6243</v>
      </c>
      <c r="B428" s="1" t="s">
        <v>11582</v>
      </c>
      <c r="C428" s="32">
        <v>427</v>
      </c>
      <c r="D428" t="str">
        <f t="shared" si="26"/>
        <v>E3_1_1_29</v>
      </c>
      <c r="E428" s="10" t="s">
        <v>10259</v>
      </c>
      <c r="F428" s="10" t="s">
        <v>12180</v>
      </c>
      <c r="G428" s="13" t="s">
        <v>10260</v>
      </c>
      <c r="H428" s="13" t="s">
        <v>12607</v>
      </c>
      <c r="I428" t="str">
        <f t="shared" si="27"/>
        <v>(${Variables:E3_1_1_29_kcat} * E3_1_1_29 * C03880 * C00001)/(${Variables:E3_1_1_29_km} + (E3_1_1_29 * C03880 * C00001))</v>
      </c>
      <c r="J428" t="str">
        <f t="shared" si="28"/>
        <v>r427: C03880 + C00001 -&gt;  C03523 + C00066 | (${Variables:E3_1_1_29_kcat} * E3_1_1_29 * C03880 * C00001)/(${Variables:E3_1_1_29_km} + (E3_1_1_29 * C03880 * C00001))</v>
      </c>
    </row>
    <row r="429" spans="1:10">
      <c r="A429" s="19" t="s">
        <v>397</v>
      </c>
      <c r="B429" s="1" t="s">
        <v>11583</v>
      </c>
      <c r="C429" s="32">
        <v>428</v>
      </c>
      <c r="D429" t="str">
        <f t="shared" si="26"/>
        <v>E3_1_1_31</v>
      </c>
      <c r="E429" s="10" t="s">
        <v>9842</v>
      </c>
      <c r="F429" s="10" t="s">
        <v>11906</v>
      </c>
      <c r="G429" s="13" t="s">
        <v>9843</v>
      </c>
      <c r="H429" s="13" t="s">
        <v>9843</v>
      </c>
      <c r="I429" t="str">
        <f t="shared" si="27"/>
        <v>(${Variables:E3_1_1_31_kcat} * E3_1_1_31 * C01236 * C00001)/(${Variables:E3_1_1_31_km} + (E3_1_1_31 * C01236 * C00001))</v>
      </c>
      <c r="J429" t="str">
        <f t="shared" si="28"/>
        <v>r428: C01236 + C00001 -&gt;  C00345 | (${Variables:E3_1_1_31_kcat} * E3_1_1_31 * C01236 * C00001)/(${Variables:E3_1_1_31_km} + (E3_1_1_31 * C01236 * C00001))</v>
      </c>
    </row>
    <row r="430" spans="1:10">
      <c r="A430" s="19" t="s">
        <v>8802</v>
      </c>
      <c r="B430" s="1" t="s">
        <v>11584</v>
      </c>
      <c r="C430" s="32">
        <v>429</v>
      </c>
      <c r="D430" t="str">
        <f t="shared" ref="D430:D491" si="29">CONCATENATE("E",B430)</f>
        <v>E3_1_3_15</v>
      </c>
      <c r="E430" s="10" t="s">
        <v>10623</v>
      </c>
      <c r="F430" s="10" t="s">
        <v>12181</v>
      </c>
      <c r="G430" s="13" t="s">
        <v>10624</v>
      </c>
      <c r="H430" s="13" t="s">
        <v>12608</v>
      </c>
      <c r="I430" t="str">
        <f t="shared" si="27"/>
        <v>(${Variables:E3_1_3_15_kcat} * E3_1_3_15 * C01100 * C00001 )/(${Variables:E3_1_3_15_km} + (E3_1_3_15 * C01100 * C00001 ))</v>
      </c>
      <c r="J430" t="str">
        <f t="shared" si="28"/>
        <v>r429: C01100 + C00001  -&gt;  C00860 + C00009 | (${Variables:E3_1_3_15_kcat} * E3_1_3_15 * C01100 * C00001 )/(${Variables:E3_1_3_15_km} + (E3_1_3_15 * C01100 * C00001 ))</v>
      </c>
    </row>
    <row r="431" spans="1:10">
      <c r="A431" s="19" t="s">
        <v>8546</v>
      </c>
      <c r="B431" s="1" t="s">
        <v>11585</v>
      </c>
      <c r="C431" s="32">
        <v>430</v>
      </c>
      <c r="D431" t="str">
        <f t="shared" si="29"/>
        <v>E3_1_3_3</v>
      </c>
      <c r="E431" s="10" t="s">
        <v>10555</v>
      </c>
      <c r="F431" s="10" t="s">
        <v>12182</v>
      </c>
      <c r="G431" s="13" t="s">
        <v>10556</v>
      </c>
      <c r="H431" s="13" t="s">
        <v>12609</v>
      </c>
      <c r="I431" t="str">
        <f t="shared" si="27"/>
        <v>(${Variables:E3_1_3_3_kcat} * E3_1_3_3 * C01005 * C00001 )/(${Variables:E3_1_3_3_km} + (E3_1_3_3 * C01005 * C00001 ))</v>
      </c>
      <c r="J431" t="str">
        <f t="shared" si="28"/>
        <v>r430: C01005 + C00001  -&gt;  C00065 + C00009 | (${Variables:E3_1_3_3_kcat} * E3_1_3_3 * C01005 * C00001 )/(${Variables:E3_1_3_3_km} + (E3_1_3_3 * C01005 * C00001 ))</v>
      </c>
    </row>
    <row r="432" spans="1:10">
      <c r="A432" s="19" t="s">
        <v>8546</v>
      </c>
      <c r="B432" s="1" t="s">
        <v>11585</v>
      </c>
      <c r="C432" s="32">
        <v>431</v>
      </c>
      <c r="D432" t="str">
        <f t="shared" si="29"/>
        <v>E3_1_3_3</v>
      </c>
      <c r="E432" s="10" t="s">
        <v>10557</v>
      </c>
      <c r="F432" s="10" t="s">
        <v>12183</v>
      </c>
      <c r="G432" s="13" t="s">
        <v>10558</v>
      </c>
      <c r="H432" s="13" t="s">
        <v>12610</v>
      </c>
      <c r="I432" t="str">
        <f t="shared" si="27"/>
        <v>(${Variables:E3_1_3_3_kcat} * E3_1_3_3 * C02532 * C00001 )/(${Variables:E3_1_3_3_km} + (E3_1_3_3 * C02532 * C00001 ))</v>
      </c>
      <c r="J432" t="str">
        <f t="shared" si="28"/>
        <v>r431: C02532 + C00001  -&gt;  C00740 + C00009 | (${Variables:E3_1_3_3_kcat} * E3_1_3_3 * C02532 * C00001 )/(${Variables:E3_1_3_3_km} + (E3_1_3_3 * C02532 * C00001 ))</v>
      </c>
    </row>
    <row r="433" spans="1:10">
      <c r="A433" s="19" t="s">
        <v>179</v>
      </c>
      <c r="B433" s="1" t="s">
        <v>11586</v>
      </c>
      <c r="C433" s="32">
        <v>432</v>
      </c>
      <c r="D433" t="str">
        <f t="shared" si="29"/>
        <v>E3_1_3_7</v>
      </c>
      <c r="E433" s="10" t="s">
        <v>11817</v>
      </c>
      <c r="F433" s="10" t="s">
        <v>12184</v>
      </c>
      <c r="G433" s="13" t="s">
        <v>11818</v>
      </c>
      <c r="H433" s="13" t="s">
        <v>12611</v>
      </c>
      <c r="I433" t="str">
        <f t="shared" si="27"/>
        <v>(${Variables:E3_1_3_7_kcat} * E3_1_3_7 * C00054 * C00001)/(${Variables:E3_1_3_7_km} + (E3_1_3_7 * C00054 * C00001))</v>
      </c>
      <c r="J433" t="str">
        <f t="shared" si="28"/>
        <v>r432: C00054 + C00001 -&gt; C00020 + C00009 | (${Variables:E3_1_3_7_kcat} * E3_1_3_7 * C00054 * C00001)/(${Variables:E3_1_3_7_km} + (E3_1_3_7 * C00054 * C00001))</v>
      </c>
    </row>
    <row r="434" spans="1:10">
      <c r="A434" s="19" t="s">
        <v>2373</v>
      </c>
      <c r="B434" s="1" t="s">
        <v>11587</v>
      </c>
      <c r="C434" s="32">
        <v>433</v>
      </c>
      <c r="D434" t="str">
        <f t="shared" si="29"/>
        <v>E3_1_6_1</v>
      </c>
      <c r="E434" s="10" t="s">
        <v>9703</v>
      </c>
      <c r="F434" s="10" t="s">
        <v>12185</v>
      </c>
      <c r="G434" s="13" t="s">
        <v>9704</v>
      </c>
      <c r="H434" s="13" t="s">
        <v>12612</v>
      </c>
      <c r="I434" t="str">
        <f t="shared" si="27"/>
        <v>(${Variables:E3_1_6_1_kcat} * E3_1_6_1 * C00850 * C00001 )/(${Variables:E3_1_6_1_km} + (E3_1_6_1 * C00850 * C00001 ))</v>
      </c>
      <c r="J434" t="str">
        <f t="shared" si="28"/>
        <v>r433: C00850 + C00001  -&gt;  C15584 + C00059 | (${Variables:E3_1_6_1_kcat} * E3_1_6_1 * C00850 * C00001 )/(${Variables:E3_1_6_1_km} + (E3_1_6_1 * C00850 * C00001 ))</v>
      </c>
    </row>
    <row r="435" spans="1:10">
      <c r="A435" s="19" t="s">
        <v>2373</v>
      </c>
      <c r="B435" s="1" t="s">
        <v>11587</v>
      </c>
      <c r="C435" s="32">
        <v>434</v>
      </c>
      <c r="D435" t="str">
        <f t="shared" si="29"/>
        <v>E3_1_6_1</v>
      </c>
      <c r="E435" s="10" t="s">
        <v>9705</v>
      </c>
      <c r="F435" s="10" t="s">
        <v>12186</v>
      </c>
      <c r="G435" s="13" t="s">
        <v>9706</v>
      </c>
      <c r="H435" s="13" t="s">
        <v>12613</v>
      </c>
      <c r="I435" t="str">
        <f t="shared" si="27"/>
        <v>(${Variables:E3_1_6_1_kcat} * E3_1_6_1 * C02538 * C00001 )/(${Variables:E3_1_6_1_km} + (E3_1_6_1 * C02538 * C00001 ))</v>
      </c>
      <c r="J435" t="str">
        <f t="shared" si="28"/>
        <v>r434: C02538 + C00001  -&gt;  C00059 + C00468 | (${Variables:E3_1_6_1_kcat} * E3_1_6_1 * C02538 * C00001 )/(${Variables:E3_1_6_1_km} + (E3_1_6_1 * C02538 * C00001 ))</v>
      </c>
    </row>
    <row r="436" spans="1:10">
      <c r="A436" s="19" t="s">
        <v>2373</v>
      </c>
      <c r="B436" s="1" t="s">
        <v>11587</v>
      </c>
      <c r="C436" s="32">
        <v>435</v>
      </c>
      <c r="D436" t="str">
        <f t="shared" si="29"/>
        <v>E3_1_6_1</v>
      </c>
      <c r="E436" s="10" t="s">
        <v>9707</v>
      </c>
      <c r="F436" s="10" t="s">
        <v>12187</v>
      </c>
      <c r="G436" s="13" t="s">
        <v>9708</v>
      </c>
      <c r="H436" s="13" t="s">
        <v>12614</v>
      </c>
      <c r="I436" t="str">
        <f t="shared" si="27"/>
        <v>(${Variables:E3_1_6_1_kcat} * E3_1_6_1 * C06125 * C00001)/(${Variables:E3_1_6_1_km} + (E3_1_6_1 * C06125 * C00001))</v>
      </c>
      <c r="J436" t="str">
        <f t="shared" si="28"/>
        <v>r435: C06125 + C00001 -&gt; C02686 + C00059 | (${Variables:E3_1_6_1_kcat} * E3_1_6_1 * C06125 * C00001)/(${Variables:E3_1_6_1_km} + (E3_1_6_1 * C06125 * C00001))</v>
      </c>
    </row>
    <row r="437" spans="1:10">
      <c r="A437" s="19" t="s">
        <v>2373</v>
      </c>
      <c r="B437" s="1" t="s">
        <v>11587</v>
      </c>
      <c r="C437" s="32">
        <v>436</v>
      </c>
      <c r="D437" t="str">
        <f t="shared" si="29"/>
        <v>E3_1_6_1</v>
      </c>
      <c r="E437" s="10" t="s">
        <v>9709</v>
      </c>
      <c r="F437" s="10" t="s">
        <v>12188</v>
      </c>
      <c r="G437" s="13" t="s">
        <v>9710</v>
      </c>
      <c r="H437" s="13" t="s">
        <v>12615</v>
      </c>
      <c r="I437" t="str">
        <f t="shared" si="27"/>
        <v>(${Variables:E3_1_6_1_kcat} * E3_1_6_1 * G11122 * C00001)/(${Variables:E3_1_6_1_km} + (E3_1_6_1 * G11122 * C00001))</v>
      </c>
      <c r="J437" t="str">
        <f t="shared" si="28"/>
        <v>r436: G11122 + C00001 -&gt; G11121 + C00059 | (${Variables:E3_1_6_1_kcat} * E3_1_6_1 * G11122 * C00001)/(${Variables:E3_1_6_1_km} + (E3_1_6_1 * G11122 * C00001))</v>
      </c>
    </row>
    <row r="438" spans="1:10">
      <c r="A438" s="19" t="s">
        <v>3006</v>
      </c>
      <c r="B438" s="1" t="s">
        <v>11588</v>
      </c>
      <c r="C438" s="32">
        <v>437</v>
      </c>
      <c r="D438" t="str">
        <f t="shared" si="29"/>
        <v>E3_11_1_1</v>
      </c>
      <c r="E438" s="10" t="s">
        <v>9801</v>
      </c>
      <c r="F438" s="10" t="s">
        <v>12189</v>
      </c>
      <c r="G438" s="13" t="s">
        <v>9802</v>
      </c>
      <c r="H438" s="13" t="s">
        <v>12616</v>
      </c>
      <c r="I438" t="str">
        <f t="shared" si="27"/>
        <v>(${Variables:E3_11_1_1_kcat} * E3_11_1_1 * C03167 * C00001 )/(${Variables:E3_11_1_1_km} + (E3_11_1_1 * C03167 * C00001 ))</v>
      </c>
      <c r="J438" t="str">
        <f t="shared" si="28"/>
        <v>r437: C03167 + C00001  -&gt;  C00084 + C00009 | (${Variables:E3_11_1_1_kcat} * E3_11_1_1 * C03167 * C00001 )/(${Variables:E3_11_1_1_km} + (E3_11_1_1 * C03167 * C00001 ))</v>
      </c>
    </row>
    <row r="439" spans="1:10">
      <c r="A439" s="19" t="s">
        <v>8937</v>
      </c>
      <c r="B439" s="1" t="s">
        <v>11589</v>
      </c>
      <c r="C439" s="32">
        <v>438</v>
      </c>
      <c r="D439" t="str">
        <f t="shared" si="29"/>
        <v>E3_2_1_1</v>
      </c>
      <c r="E439" s="10" t="s">
        <v>10647</v>
      </c>
      <c r="F439" s="10" t="s">
        <v>12190</v>
      </c>
      <c r="G439" s="13" t="s">
        <v>10648</v>
      </c>
      <c r="H439" s="13" t="s">
        <v>12617</v>
      </c>
      <c r="I439" t="str">
        <f t="shared" si="27"/>
        <v>(${Variables:E3_2_1_1_kcat} * E3_2_1_1 * C00369 * C00001 )/(${Variables:E3_2_1_1_km} + (E3_2_1_1 * C00369 * C00001 ))</v>
      </c>
      <c r="J439" t="str">
        <f t="shared" si="28"/>
        <v>r438: C00369 + C00001  -&gt;  C00721 + C00369 | (${Variables:E3_2_1_1_kcat} * E3_2_1_1 * C00369 * C00001 )/(${Variables:E3_2_1_1_km} + (E3_2_1_1 * C00369 * C00001 ))</v>
      </c>
    </row>
    <row r="440" spans="1:10">
      <c r="A440" s="19" t="s">
        <v>8937</v>
      </c>
      <c r="B440" s="1" t="s">
        <v>11589</v>
      </c>
      <c r="C440" s="32">
        <v>439</v>
      </c>
      <c r="D440" t="str">
        <f t="shared" si="29"/>
        <v>E3_2_1_1</v>
      </c>
      <c r="E440" s="10" t="s">
        <v>10649</v>
      </c>
      <c r="F440" s="10" t="s">
        <v>10649</v>
      </c>
      <c r="G440" s="13" t="s">
        <v>10650</v>
      </c>
      <c r="H440" s="13" t="s">
        <v>12618</v>
      </c>
      <c r="I440" t="str">
        <f t="shared" si="27"/>
        <v>(${Variables:E3_2_1_1_kcat} * E3_2_1_1 * C00369 )/(${Variables:E3_2_1_1_km} + (E3_2_1_1 * C00369 ))</v>
      </c>
      <c r="J440" t="str">
        <f t="shared" si="28"/>
        <v>r439: C00369  -&gt; C00721 + C00208 | (${Variables:E3_2_1_1_kcat} * E3_2_1_1 * C00369 )/(${Variables:E3_2_1_1_km} + (E3_2_1_1 * C00369 ))</v>
      </c>
    </row>
    <row r="441" spans="1:10">
      <c r="A441" s="19" t="s">
        <v>3416</v>
      </c>
      <c r="B441" s="1" t="s">
        <v>11590</v>
      </c>
      <c r="C441" s="32">
        <v>440</v>
      </c>
      <c r="D441" t="str">
        <f t="shared" si="29"/>
        <v>E3_2_1_21</v>
      </c>
      <c r="E441" s="10" t="s">
        <v>9848</v>
      </c>
      <c r="F441" s="10" t="s">
        <v>12191</v>
      </c>
      <c r="G441" s="13" t="s">
        <v>12891</v>
      </c>
      <c r="H441" s="13" t="s">
        <v>12891</v>
      </c>
      <c r="I441" t="str">
        <f t="shared" si="27"/>
        <v>(${Variables:E3_2_1_21_kcat} * E3_2_1_21 * C00185 * C00001 )/(${Variables:E3_2_1_21_km} + (E3_2_1_21 * C00185 * C00001 ))</v>
      </c>
      <c r="J441" t="str">
        <f t="shared" si="28"/>
        <v>r440: C00185 + C00001  -&gt;  C00221 | (${Variables:E3_2_1_21_kcat} * E3_2_1_21 * C00185 * C00001 )/(${Variables:E3_2_1_21_km} + (E3_2_1_21 * C00185 * C00001 ))</v>
      </c>
    </row>
    <row r="442" spans="1:10">
      <c r="A442" s="19" t="s">
        <v>3416</v>
      </c>
      <c r="B442" s="1" t="s">
        <v>11590</v>
      </c>
      <c r="C442" s="32">
        <v>441</v>
      </c>
      <c r="D442" t="str">
        <f t="shared" si="29"/>
        <v>E3_2_1_21</v>
      </c>
      <c r="E442" s="10" t="s">
        <v>9850</v>
      </c>
      <c r="F442" s="10" t="s">
        <v>12192</v>
      </c>
      <c r="G442" s="13" t="s">
        <v>12892</v>
      </c>
      <c r="H442" s="13" t="s">
        <v>12931</v>
      </c>
      <c r="I442" t="str">
        <f t="shared" si="27"/>
        <v>(${Variables:E3_2_1_21_kcat} * E3_2_1_21 * C00185 * C00001)/(${Variables:E3_2_1_21_km} + (E3_2_1_21 * C00185 * C00001))</v>
      </c>
      <c r="J442" t="str">
        <f t="shared" si="28"/>
        <v>r441: C00185 + C00001 -&gt; C00031 | (${Variables:E3_2_1_21_kcat} * E3_2_1_21 * C00185 * C00001)/(${Variables:E3_2_1_21_km} + (E3_2_1_21 * C00185 * C00001))</v>
      </c>
    </row>
    <row r="443" spans="1:10">
      <c r="A443" s="19" t="s">
        <v>3416</v>
      </c>
      <c r="B443" s="1" t="s">
        <v>11590</v>
      </c>
      <c r="C443" s="32">
        <v>442</v>
      </c>
      <c r="D443" t="str">
        <f t="shared" si="29"/>
        <v>E3_2_1_21</v>
      </c>
      <c r="E443" s="10" t="s">
        <v>9852</v>
      </c>
      <c r="F443" s="10" t="s">
        <v>12193</v>
      </c>
      <c r="G443" s="13" t="s">
        <v>9853</v>
      </c>
      <c r="H443" s="13" t="s">
        <v>12619</v>
      </c>
      <c r="I443" t="str">
        <f t="shared" si="27"/>
        <v>(${Variables:E3_2_1_21_kcat} * E3_2_1_21 * C00844 * C00001 )/(${Variables:E3_2_1_21_km} + (E3_2_1_21 * C00844 * C00001 ))</v>
      </c>
      <c r="J443" t="str">
        <f t="shared" si="28"/>
        <v>r442: C00844 + C00001  -&gt; C00561 + C00031 | (${Variables:E3_2_1_21_kcat} * E3_2_1_21 * C00844 * C00001 )/(${Variables:E3_2_1_21_km} + (E3_2_1_21 * C00844 * C00001 ))</v>
      </c>
    </row>
    <row r="444" spans="1:10">
      <c r="A444" s="19" t="s">
        <v>3416</v>
      </c>
      <c r="B444" s="1" t="s">
        <v>11590</v>
      </c>
      <c r="C444" s="32">
        <v>443</v>
      </c>
      <c r="D444" t="str">
        <f t="shared" si="29"/>
        <v>E3_2_1_21</v>
      </c>
      <c r="E444" s="10" t="s">
        <v>12829</v>
      </c>
      <c r="F444" s="10" t="s">
        <v>12862</v>
      </c>
      <c r="G444" s="13" t="s">
        <v>12893</v>
      </c>
      <c r="H444" s="13" t="s">
        <v>12932</v>
      </c>
      <c r="I444" t="str">
        <f t="shared" si="27"/>
        <v>(${Variables:E3_2_1_21_kcat} * E3_2_1_21 * C01898 * C00001 )/(${Variables:E3_2_1_21_km} + (E3_2_1_21 * C01898 * C00001 ))</v>
      </c>
      <c r="J444" t="str">
        <f t="shared" si="28"/>
        <v>r443: C01898 +  C00001  -&gt;  C00031 + C00185 | (${Variables:E3_2_1_21_kcat} * E3_2_1_21 * C01898 * C00001 )/(${Variables:E3_2_1_21_km} + (E3_2_1_21 * C01898 * C00001 ))</v>
      </c>
    </row>
    <row r="445" spans="1:10">
      <c r="A445" s="19" t="s">
        <v>3416</v>
      </c>
      <c r="B445" s="1" t="s">
        <v>11590</v>
      </c>
      <c r="C445" s="32">
        <v>444</v>
      </c>
      <c r="D445" t="str">
        <f t="shared" si="29"/>
        <v>E3_2_1_21</v>
      </c>
      <c r="E445" s="10" t="s">
        <v>9854</v>
      </c>
      <c r="F445" s="10" t="s">
        <v>12194</v>
      </c>
      <c r="G445" s="13" t="s">
        <v>9855</v>
      </c>
      <c r="H445" s="13" t="s">
        <v>12620</v>
      </c>
      <c r="I445" t="str">
        <f t="shared" si="27"/>
        <v>(${Variables:E3_2_1_21_kcat} * E3_2_1_21 * C00844 * C00031 )/(${Variables:E3_2_1_21_km} + (E3_2_1_21 * C00844 * C00031 ))</v>
      </c>
      <c r="J445" t="str">
        <f t="shared" ref="J445:J497" si="30">CONCATENATE("r",C445,": ",E445," -&gt; ",G445," | ",I445)</f>
        <v>r444: C00844 + C00031  -&gt;  C08325 + C00001 | (${Variables:E3_2_1_21_kcat} * E3_2_1_21 * C00844 * C00031 )/(${Variables:E3_2_1_21_km} + (E3_2_1_21 * C00844 * C00031 ))</v>
      </c>
    </row>
    <row r="446" spans="1:10">
      <c r="A446" s="19" t="s">
        <v>3416</v>
      </c>
      <c r="B446" s="1" t="s">
        <v>11590</v>
      </c>
      <c r="C446" s="32">
        <v>445</v>
      </c>
      <c r="D446" t="str">
        <f t="shared" si="29"/>
        <v>E3_2_1_21</v>
      </c>
      <c r="E446" s="10" t="s">
        <v>9856</v>
      </c>
      <c r="F446" s="10" t="s">
        <v>12195</v>
      </c>
      <c r="G446" s="13" t="s">
        <v>9857</v>
      </c>
      <c r="H446" s="13" t="s">
        <v>12621</v>
      </c>
      <c r="I446" t="str">
        <f t="shared" si="27"/>
        <v>(${Variables:E3_2_1_21_kcat} * E3_2_1_21 * C00963 * C00001 )/(${Variables:E3_2_1_21_km} + (E3_2_1_21 * C00963 * C00001 ))</v>
      </c>
      <c r="J446" t="str">
        <f t="shared" si="30"/>
        <v>r445: C00963 + C00001  -&gt;  C00031 + C01335 | (${Variables:E3_2_1_21_kcat} * E3_2_1_21 * C00963 * C00001 )/(${Variables:E3_2_1_21_km} + (E3_2_1_21 * C00963 * C00001 ))</v>
      </c>
    </row>
    <row r="447" spans="1:10">
      <c r="A447" s="19" t="s">
        <v>3416</v>
      </c>
      <c r="B447" s="1" t="s">
        <v>11590</v>
      </c>
      <c r="C447" s="32">
        <v>446</v>
      </c>
      <c r="D447" t="str">
        <f t="shared" si="29"/>
        <v>E3_2_1_21</v>
      </c>
      <c r="E447" s="10" t="s">
        <v>9858</v>
      </c>
      <c r="F447" s="10" t="s">
        <v>12196</v>
      </c>
      <c r="G447" s="13" t="s">
        <v>9859</v>
      </c>
      <c r="H447" s="13" t="s">
        <v>12622</v>
      </c>
      <c r="I447" t="str">
        <f t="shared" si="27"/>
        <v>(${Variables:E3_2_1_21_kcat} * E3_2_1_21 * C05713 * C00001)/(${Variables:E3_2_1_21_km} + (E3_2_1_21 * C05713 * C00001))</v>
      </c>
      <c r="J447" t="str">
        <f t="shared" si="30"/>
        <v>r446: C05713 + C00001 -&gt; C05712 + C00031 | (${Variables:E3_2_1_21_kcat} * E3_2_1_21 * C05713 * C00001)/(${Variables:E3_2_1_21_km} + (E3_2_1_21 * C05713 * C00001))</v>
      </c>
    </row>
    <row r="448" spans="1:10">
      <c r="A448" s="19" t="s">
        <v>3416</v>
      </c>
      <c r="B448" s="1" t="s">
        <v>11590</v>
      </c>
      <c r="C448" s="32">
        <v>447</v>
      </c>
      <c r="D448" t="str">
        <f t="shared" si="29"/>
        <v>E3_2_1_21</v>
      </c>
      <c r="E448" s="10" t="s">
        <v>9860</v>
      </c>
      <c r="F448" s="10" t="s">
        <v>12197</v>
      </c>
      <c r="G448" s="13" t="s">
        <v>9861</v>
      </c>
      <c r="H448" s="13" t="s">
        <v>12623</v>
      </c>
      <c r="I448" t="str">
        <f t="shared" si="27"/>
        <v>(${Variables:E3_2_1_21_kcat} * E3_2_1_21 * C05839 * C00001 )/(${Variables:E3_2_1_21_km} + (E3_2_1_21 * C05839 * C00001 ))</v>
      </c>
      <c r="J448" t="str">
        <f t="shared" si="30"/>
        <v>r447: C05839 + C00001  -&gt; C05838 + C00031 | (${Variables:E3_2_1_21_kcat} * E3_2_1_21 * C05839 * C00001 )/(${Variables:E3_2_1_21_km} + (E3_2_1_21 * C05839 * C00001 ))</v>
      </c>
    </row>
    <row r="449" spans="1:10">
      <c r="A449" s="19" t="s">
        <v>3416</v>
      </c>
      <c r="B449" s="1" t="s">
        <v>11590</v>
      </c>
      <c r="C449" s="32">
        <v>448</v>
      </c>
      <c r="D449" t="str">
        <f t="shared" si="29"/>
        <v>E3_2_1_21</v>
      </c>
      <c r="E449" s="10" t="s">
        <v>12830</v>
      </c>
      <c r="F449" s="10" t="s">
        <v>12863</v>
      </c>
      <c r="G449" s="13" t="s">
        <v>12894</v>
      </c>
      <c r="H449" s="13" t="s">
        <v>12933</v>
      </c>
      <c r="I449" t="str">
        <f t="shared" si="27"/>
        <v>(${Variables:E3_2_1_21_kcat} * E3_2_1_21 * G10481  * C00001)/(${Variables:E3_2_1_21_km} + (E3_2_1_21 * G10481  * C00001))</v>
      </c>
      <c r="J449" t="str">
        <f t="shared" si="30"/>
        <v>r448: G10481 + C00001 -&gt;  G10481 + C00221 | (${Variables:E3_2_1_21_kcat} * E3_2_1_21 * G10481  * C00001)/(${Variables:E3_2_1_21_km} + (E3_2_1_21 * G10481  * C00001))</v>
      </c>
    </row>
    <row r="450" spans="1:10">
      <c r="A450" s="19" t="s">
        <v>3416</v>
      </c>
      <c r="B450" s="1" t="s">
        <v>11590</v>
      </c>
      <c r="C450" s="32">
        <v>449</v>
      </c>
      <c r="D450" t="str">
        <f t="shared" si="29"/>
        <v>E3_2_1_21</v>
      </c>
      <c r="E450" s="10" t="s">
        <v>9862</v>
      </c>
      <c r="F450" s="10" t="s">
        <v>12198</v>
      </c>
      <c r="G450" s="13" t="s">
        <v>12891</v>
      </c>
      <c r="H450" s="13" t="s">
        <v>12896</v>
      </c>
      <c r="I450" t="str">
        <f t="shared" si="27"/>
        <v>(${Variables:E3_2_1_21_kcat} * E3_2_1_21 * G00289 * C00001 )/(${Variables:E3_2_1_21_km} + (E3_2_1_21 * G00289 * C00001 ))</v>
      </c>
      <c r="J450" t="str">
        <f t="shared" si="30"/>
        <v>r449: G00289 + C00001  -&gt;  C00221 | (${Variables:E3_2_1_21_kcat} * E3_2_1_21 * G00289 * C00001 )/(${Variables:E3_2_1_21_km} + (E3_2_1_21 * G00289 * C00001 ))</v>
      </c>
    </row>
    <row r="451" spans="1:10">
      <c r="A451" s="19" t="s">
        <v>3416</v>
      </c>
      <c r="B451" s="1" t="s">
        <v>11590</v>
      </c>
      <c r="C451" s="32">
        <v>450</v>
      </c>
      <c r="D451" t="str">
        <f t="shared" si="29"/>
        <v>E3_2_1_21</v>
      </c>
      <c r="E451" s="10" t="s">
        <v>9862</v>
      </c>
      <c r="F451" s="10" t="s">
        <v>12198</v>
      </c>
      <c r="G451" s="11" t="s">
        <v>12892</v>
      </c>
      <c r="H451" s="11" t="s">
        <v>12895</v>
      </c>
      <c r="I451" t="str">
        <f t="shared" ref="I451:I514" si="31">CONCATENATE("(${Variables:",D451,"_kcat","} * ",D451," * ",F451,")","/(${Variables:",D451,"_km","} + (",D451," * ",F451,"))")</f>
        <v>(${Variables:E3_2_1_21_kcat} * E3_2_1_21 * G00289 * C00001 )/(${Variables:E3_2_1_21_km} + (E3_2_1_21 * G00289 * C00001 ))</v>
      </c>
      <c r="J451" t="str">
        <f t="shared" si="30"/>
        <v>r450: G00289 + C00001  -&gt; C00031 | (${Variables:E3_2_1_21_kcat} * E3_2_1_21 * G00289 * C00001 )/(${Variables:E3_2_1_21_km} + (E3_2_1_21 * G00289 * C00001 ))</v>
      </c>
    </row>
    <row r="452" spans="1:10">
      <c r="A452" s="19" t="s">
        <v>3416</v>
      </c>
      <c r="B452" s="1" t="s">
        <v>11590</v>
      </c>
      <c r="C452" s="32">
        <v>451</v>
      </c>
      <c r="D452" t="str">
        <f t="shared" si="29"/>
        <v>E3_2_1_21</v>
      </c>
      <c r="E452" s="10" t="s">
        <v>9865</v>
      </c>
      <c r="F452" s="10" t="s">
        <v>12199</v>
      </c>
      <c r="G452" s="13" t="s">
        <v>9866</v>
      </c>
      <c r="H452" s="13" t="s">
        <v>12624</v>
      </c>
      <c r="I452" t="str">
        <f t="shared" si="31"/>
        <v>(${Variables:E3_2_1_21_kcat} * E3_2_1_21 * C05143 * C00001)/(${Variables:E3_2_1_21_km} + (E3_2_1_21 * C05143 * C00001))</v>
      </c>
      <c r="J452" t="str">
        <f t="shared" si="30"/>
        <v>r451: C05143 + C00001 -&gt; C03742 + C00221 | (${Variables:E3_2_1_21_kcat} * E3_2_1_21 * C05143 * C00001)/(${Variables:E3_2_1_21_km} + (E3_2_1_21 * C05143 * C00001))</v>
      </c>
    </row>
    <row r="453" spans="1:10">
      <c r="A453" s="19" t="s">
        <v>3416</v>
      </c>
      <c r="B453" s="1" t="s">
        <v>11590</v>
      </c>
      <c r="C453" s="32">
        <v>452</v>
      </c>
      <c r="D453" t="str">
        <f t="shared" si="29"/>
        <v>E3_2_1_21</v>
      </c>
      <c r="E453" s="10" t="s">
        <v>9867</v>
      </c>
      <c r="F453" s="10" t="s">
        <v>12200</v>
      </c>
      <c r="G453" s="13" t="s">
        <v>9868</v>
      </c>
      <c r="H453" s="13" t="s">
        <v>12625</v>
      </c>
      <c r="I453" t="str">
        <f t="shared" si="31"/>
        <v>(${Variables:E3_2_1_21_kcat} * E3_2_1_21 * C08334 * C00001 )/(${Variables:E3_2_1_21_km} + (E3_2_1_21 * C08334 * C00001 ))</v>
      </c>
      <c r="J453" t="str">
        <f t="shared" si="30"/>
        <v>r452: C08334 + C00001  -&gt;  C18796 + C00221 | (${Variables:E3_2_1_21_kcat} * E3_2_1_21 * C08334 * C00001 )/(${Variables:E3_2_1_21_km} + (E3_2_1_21 * C08334 * C00001 ))</v>
      </c>
    </row>
    <row r="454" spans="1:10">
      <c r="A454" s="19" t="s">
        <v>3416</v>
      </c>
      <c r="B454" s="1" t="s">
        <v>11590</v>
      </c>
      <c r="C454" s="32">
        <v>453</v>
      </c>
      <c r="D454" t="str">
        <f t="shared" si="29"/>
        <v>E3_2_1_21</v>
      </c>
      <c r="E454" s="10" t="s">
        <v>9869</v>
      </c>
      <c r="F454" s="10" t="s">
        <v>12201</v>
      </c>
      <c r="G454" s="13" t="s">
        <v>9870</v>
      </c>
      <c r="H454" s="13" t="s">
        <v>12626</v>
      </c>
      <c r="I454" t="str">
        <f t="shared" si="31"/>
        <v>(${Variables:E3_2_1_21_kcat} * E3_2_1_21 * C01594 * C00001)/(${Variables:E3_2_1_21_km} + (E3_2_1_21 * C01594 * C00001))</v>
      </c>
      <c r="J454" t="str">
        <f t="shared" si="30"/>
        <v>r453: C01594 + C00001 -&gt;  C02659 + C00221 | (${Variables:E3_2_1_21_kcat} * E3_2_1_21 * C01594 * C00001)/(${Variables:E3_2_1_21_km} + (E3_2_1_21 * C01594 * C00001))</v>
      </c>
    </row>
    <row r="455" spans="1:10">
      <c r="A455" s="19" t="s">
        <v>3416</v>
      </c>
      <c r="B455" s="1" t="s">
        <v>11590</v>
      </c>
      <c r="C455" s="32">
        <v>454</v>
      </c>
      <c r="D455" t="str">
        <f t="shared" si="29"/>
        <v>E3_2_1_21</v>
      </c>
      <c r="E455" s="10" t="s">
        <v>9871</v>
      </c>
      <c r="F455" s="10" t="s">
        <v>12202</v>
      </c>
      <c r="G455" s="13" t="s">
        <v>9872</v>
      </c>
      <c r="H455" s="13" t="s">
        <v>12627</v>
      </c>
      <c r="I455" t="str">
        <f t="shared" si="31"/>
        <v>(${Variables:E3_2_1_21_kcat} * E3_2_1_21 * C10216 * C00001 )/(${Variables:E3_2_1_21_km} + (E3_2_1_21 * C10216 * C00001 ))</v>
      </c>
      <c r="J455" t="str">
        <f t="shared" si="30"/>
        <v>r454: C10216 + C00001  -&gt;  C10208 + C00221 | (${Variables:E3_2_1_21_kcat} * E3_2_1_21 * C10216 * C00001 )/(${Variables:E3_2_1_21_km} + (E3_2_1_21 * C10216 * C00001 ))</v>
      </c>
    </row>
    <row r="456" spans="1:10">
      <c r="A456" s="19" t="s">
        <v>3416</v>
      </c>
      <c r="B456" s="1" t="s">
        <v>11590</v>
      </c>
      <c r="C456" s="32">
        <v>455</v>
      </c>
      <c r="D456" t="str">
        <f t="shared" si="29"/>
        <v>E3_2_1_21</v>
      </c>
      <c r="E456" s="10" t="s">
        <v>9873</v>
      </c>
      <c r="F456" s="10" t="s">
        <v>12203</v>
      </c>
      <c r="G456" s="13" t="s">
        <v>9874</v>
      </c>
      <c r="H456" s="13" t="s">
        <v>12628</v>
      </c>
      <c r="I456" t="str">
        <f t="shared" si="31"/>
        <v>(${Variables:E3_2_1_21_kcat} * E3_2_1_21 * C09126 * C00001 )/(${Variables:E3_2_1_21_km} + (E3_2_1_21 * C09126 * C00001 ))</v>
      </c>
      <c r="J456" t="str">
        <f t="shared" si="30"/>
        <v>r455: C09126 + C00001  -&gt; C06563 + C00221 | (${Variables:E3_2_1_21_kcat} * E3_2_1_21 * C09126 * C00001 )/(${Variables:E3_2_1_21_km} + (E3_2_1_21 * C09126 * C00001 ))</v>
      </c>
    </row>
    <row r="457" spans="1:10">
      <c r="A457" s="19" t="s">
        <v>3416</v>
      </c>
      <c r="B457" s="1" t="s">
        <v>11590</v>
      </c>
      <c r="C457" s="32">
        <v>456</v>
      </c>
      <c r="D457" t="str">
        <f t="shared" si="29"/>
        <v>E3_2_1_21</v>
      </c>
      <c r="E457" s="10" t="s">
        <v>9875</v>
      </c>
      <c r="F457" s="10" t="s">
        <v>12204</v>
      </c>
      <c r="G457" s="13" t="s">
        <v>9876</v>
      </c>
      <c r="H457" s="13" t="s">
        <v>12629</v>
      </c>
      <c r="I457" t="str">
        <f t="shared" si="31"/>
        <v>(${Variables:E3_2_1_21_kcat} * E3_2_1_21 * C05623 * C00001 )/(${Variables:E3_2_1_21_km} + (E3_2_1_21 * C05623 * C00001 ))</v>
      </c>
      <c r="J457" t="str">
        <f t="shared" si="30"/>
        <v>r456: C05623 + C00001  -&gt;  C00389 + C00221 | (${Variables:E3_2_1_21_kcat} * E3_2_1_21 * C05623 * C00001 )/(${Variables:E3_2_1_21_km} + (E3_2_1_21 * C05623 * C00001 ))</v>
      </c>
    </row>
    <row r="458" spans="1:10">
      <c r="A458" s="19" t="s">
        <v>3416</v>
      </c>
      <c r="B458" s="1" t="s">
        <v>11590</v>
      </c>
      <c r="C458" s="32">
        <v>457</v>
      </c>
      <c r="D458" t="str">
        <f t="shared" si="29"/>
        <v>E3_2_1_21</v>
      </c>
      <c r="E458" s="10" t="s">
        <v>9877</v>
      </c>
      <c r="F458" s="10" t="s">
        <v>12205</v>
      </c>
      <c r="G458" s="13" t="s">
        <v>9878</v>
      </c>
      <c r="H458" s="13" t="s">
        <v>12630</v>
      </c>
      <c r="I458" t="str">
        <f t="shared" si="31"/>
        <v>(${Variables:E3_2_1_21_kcat} * E3_2_1_21 * C09099 * C00001 )/(${Variables:E3_2_1_21_km} + (E3_2_1_21 * C09099 * C00001 ))</v>
      </c>
      <c r="J458" t="str">
        <f t="shared" si="30"/>
        <v>r457: C09099 + C00001  -&gt;  C00509 + C00221 | (${Variables:E3_2_1_21_kcat} * E3_2_1_21 * C09099 * C00001 )/(${Variables:E3_2_1_21_km} + (E3_2_1_21 * C09099 * C00001 ))</v>
      </c>
    </row>
    <row r="459" spans="1:10">
      <c r="A459" s="19" t="s">
        <v>3419</v>
      </c>
      <c r="B459" s="1" t="s">
        <v>11590</v>
      </c>
      <c r="C459" s="32">
        <v>458</v>
      </c>
      <c r="D459" t="str">
        <f t="shared" si="29"/>
        <v>E3_2_1_21</v>
      </c>
      <c r="E459" s="10" t="s">
        <v>9848</v>
      </c>
      <c r="F459" s="10" t="s">
        <v>12191</v>
      </c>
      <c r="G459" s="13" t="s">
        <v>12891</v>
      </c>
      <c r="H459" s="13" t="s">
        <v>12891</v>
      </c>
      <c r="I459" t="str">
        <f t="shared" si="31"/>
        <v>(${Variables:E3_2_1_21_kcat} * E3_2_1_21 * C00185 * C00001 )/(${Variables:E3_2_1_21_km} + (E3_2_1_21 * C00185 * C00001 ))</v>
      </c>
      <c r="J459" t="str">
        <f t="shared" si="30"/>
        <v>r458: C00185 + C00001  -&gt;  C00221 | (${Variables:E3_2_1_21_kcat} * E3_2_1_21 * C00185 * C00001 )/(${Variables:E3_2_1_21_km} + (E3_2_1_21 * C00185 * C00001 ))</v>
      </c>
    </row>
    <row r="460" spans="1:10">
      <c r="A460" s="19" t="s">
        <v>3419</v>
      </c>
      <c r="B460" s="1" t="s">
        <v>11590</v>
      </c>
      <c r="C460" s="32">
        <v>459</v>
      </c>
      <c r="D460" t="str">
        <f t="shared" si="29"/>
        <v>E3_2_1_21</v>
      </c>
      <c r="E460" s="10" t="s">
        <v>9850</v>
      </c>
      <c r="F460" s="10" t="s">
        <v>12192</v>
      </c>
      <c r="G460" s="13" t="s">
        <v>12892</v>
      </c>
      <c r="H460" s="13" t="s">
        <v>12931</v>
      </c>
      <c r="I460" t="str">
        <f t="shared" si="31"/>
        <v>(${Variables:E3_2_1_21_kcat} * E3_2_1_21 * C00185 * C00001)/(${Variables:E3_2_1_21_km} + (E3_2_1_21 * C00185 * C00001))</v>
      </c>
      <c r="J460" t="str">
        <f t="shared" si="30"/>
        <v>r459: C00185 + C00001 -&gt; C00031 | (${Variables:E3_2_1_21_kcat} * E3_2_1_21 * C00185 * C00001)/(${Variables:E3_2_1_21_km} + (E3_2_1_21 * C00185 * C00001))</v>
      </c>
    </row>
    <row r="461" spans="1:10">
      <c r="A461" s="19" t="s">
        <v>3419</v>
      </c>
      <c r="B461" s="1" t="s">
        <v>11590</v>
      </c>
      <c r="C461" s="32">
        <v>460</v>
      </c>
      <c r="D461" t="str">
        <f t="shared" si="29"/>
        <v>E3_2_1_21</v>
      </c>
      <c r="E461" s="10" t="s">
        <v>9852</v>
      </c>
      <c r="F461" s="10" t="s">
        <v>12193</v>
      </c>
      <c r="G461" s="13" t="s">
        <v>9853</v>
      </c>
      <c r="H461" s="13" t="s">
        <v>12619</v>
      </c>
      <c r="I461" t="str">
        <f t="shared" si="31"/>
        <v>(${Variables:E3_2_1_21_kcat} * E3_2_1_21 * C00844 * C00001 )/(${Variables:E3_2_1_21_km} + (E3_2_1_21 * C00844 * C00001 ))</v>
      </c>
      <c r="J461" t="str">
        <f t="shared" si="30"/>
        <v>r460: C00844 + C00001  -&gt; C00561 + C00031 | (${Variables:E3_2_1_21_kcat} * E3_2_1_21 * C00844 * C00001 )/(${Variables:E3_2_1_21_km} + (E3_2_1_21 * C00844 * C00001 ))</v>
      </c>
    </row>
    <row r="462" spans="1:10">
      <c r="A462" s="19" t="s">
        <v>3419</v>
      </c>
      <c r="B462" s="1" t="s">
        <v>11590</v>
      </c>
      <c r="C462" s="32">
        <v>461</v>
      </c>
      <c r="D462" t="str">
        <f t="shared" si="29"/>
        <v>E3_2_1_21</v>
      </c>
      <c r="E462" s="10" t="s">
        <v>12831</v>
      </c>
      <c r="F462" s="10" t="s">
        <v>12862</v>
      </c>
      <c r="G462" s="13" t="s">
        <v>12893</v>
      </c>
      <c r="H462" s="13" t="s">
        <v>12934</v>
      </c>
      <c r="I462" t="str">
        <f t="shared" si="31"/>
        <v>(${Variables:E3_2_1_21_kcat} * E3_2_1_21 * C01898 * C00001 )/(${Variables:E3_2_1_21_km} + (E3_2_1_21 * C01898 * C00001 ))</v>
      </c>
      <c r="J462" t="str">
        <f t="shared" si="30"/>
        <v>r461: C01898 + C00001  -&gt;  C00031 + C00185 | (${Variables:E3_2_1_21_kcat} * E3_2_1_21 * C01898 * C00001 )/(${Variables:E3_2_1_21_km} + (E3_2_1_21 * C01898 * C00001 ))</v>
      </c>
    </row>
    <row r="463" spans="1:10">
      <c r="A463" s="19" t="s">
        <v>3419</v>
      </c>
      <c r="B463" s="1" t="s">
        <v>11590</v>
      </c>
      <c r="C463" s="32">
        <v>462</v>
      </c>
      <c r="D463" t="str">
        <f t="shared" si="29"/>
        <v>E3_2_1_21</v>
      </c>
      <c r="E463" s="10" t="s">
        <v>9854</v>
      </c>
      <c r="F463" s="10" t="s">
        <v>12194</v>
      </c>
      <c r="G463" s="13" t="s">
        <v>9855</v>
      </c>
      <c r="H463" s="13" t="s">
        <v>12620</v>
      </c>
      <c r="I463" t="str">
        <f t="shared" si="31"/>
        <v>(${Variables:E3_2_1_21_kcat} * E3_2_1_21 * C00844 * C00031 )/(${Variables:E3_2_1_21_km} + (E3_2_1_21 * C00844 * C00031 ))</v>
      </c>
      <c r="J463" t="str">
        <f t="shared" si="30"/>
        <v>r462: C00844 + C00031  -&gt;  C08325 + C00001 | (${Variables:E3_2_1_21_kcat} * E3_2_1_21 * C00844 * C00031 )/(${Variables:E3_2_1_21_km} + (E3_2_1_21 * C00844 * C00031 ))</v>
      </c>
    </row>
    <row r="464" spans="1:10">
      <c r="A464" s="19" t="s">
        <v>3419</v>
      </c>
      <c r="B464" s="1" t="s">
        <v>11590</v>
      </c>
      <c r="C464" s="32">
        <v>463</v>
      </c>
      <c r="D464" t="str">
        <f t="shared" si="29"/>
        <v>E3_2_1_21</v>
      </c>
      <c r="E464" s="10" t="s">
        <v>9856</v>
      </c>
      <c r="F464" s="10" t="s">
        <v>12195</v>
      </c>
      <c r="G464" s="13" t="s">
        <v>9857</v>
      </c>
      <c r="H464" s="13" t="s">
        <v>12621</v>
      </c>
      <c r="I464" t="str">
        <f t="shared" si="31"/>
        <v>(${Variables:E3_2_1_21_kcat} * E3_2_1_21 * C00963 * C00001 )/(${Variables:E3_2_1_21_km} + (E3_2_1_21 * C00963 * C00001 ))</v>
      </c>
      <c r="J464" t="str">
        <f t="shared" si="30"/>
        <v>r463: C00963 + C00001  -&gt;  C00031 + C01335 | (${Variables:E3_2_1_21_kcat} * E3_2_1_21 * C00963 * C00001 )/(${Variables:E3_2_1_21_km} + (E3_2_1_21 * C00963 * C00001 ))</v>
      </c>
    </row>
    <row r="465" spans="1:10">
      <c r="A465" s="19" t="s">
        <v>3419</v>
      </c>
      <c r="B465" s="1" t="s">
        <v>11590</v>
      </c>
      <c r="C465" s="32">
        <v>464</v>
      </c>
      <c r="D465" t="str">
        <f t="shared" si="29"/>
        <v>E3_2_1_21</v>
      </c>
      <c r="E465" s="10" t="s">
        <v>9858</v>
      </c>
      <c r="F465" s="10" t="s">
        <v>12196</v>
      </c>
      <c r="G465" s="13" t="s">
        <v>9859</v>
      </c>
      <c r="H465" s="13" t="s">
        <v>12622</v>
      </c>
      <c r="I465" t="str">
        <f t="shared" si="31"/>
        <v>(${Variables:E3_2_1_21_kcat} * E3_2_1_21 * C05713 * C00001)/(${Variables:E3_2_1_21_km} + (E3_2_1_21 * C05713 * C00001))</v>
      </c>
      <c r="J465" t="str">
        <f t="shared" si="30"/>
        <v>r464: C05713 + C00001 -&gt; C05712 + C00031 | (${Variables:E3_2_1_21_kcat} * E3_2_1_21 * C05713 * C00001)/(${Variables:E3_2_1_21_km} + (E3_2_1_21 * C05713 * C00001))</v>
      </c>
    </row>
    <row r="466" spans="1:10">
      <c r="A466" s="19" t="s">
        <v>3419</v>
      </c>
      <c r="B466" s="1" t="s">
        <v>11590</v>
      </c>
      <c r="C466" s="32">
        <v>465</v>
      </c>
      <c r="D466" t="str">
        <f t="shared" si="29"/>
        <v>E3_2_1_21</v>
      </c>
      <c r="E466" s="10" t="s">
        <v>9860</v>
      </c>
      <c r="F466" s="10" t="s">
        <v>12197</v>
      </c>
      <c r="G466" s="13" t="s">
        <v>9861</v>
      </c>
      <c r="H466" s="13" t="s">
        <v>12623</v>
      </c>
      <c r="I466" t="str">
        <f t="shared" si="31"/>
        <v>(${Variables:E3_2_1_21_kcat} * E3_2_1_21 * C05839 * C00001 )/(${Variables:E3_2_1_21_km} + (E3_2_1_21 * C05839 * C00001 ))</v>
      </c>
      <c r="J466" t="str">
        <f t="shared" si="30"/>
        <v>r465: C05839 + C00001  -&gt; C05838 + C00031 | (${Variables:E3_2_1_21_kcat} * E3_2_1_21 * C05839 * C00001 )/(${Variables:E3_2_1_21_km} + (E3_2_1_21 * C05839 * C00001 ))</v>
      </c>
    </row>
    <row r="467" spans="1:10">
      <c r="A467" s="19" t="s">
        <v>3419</v>
      </c>
      <c r="B467" s="1" t="s">
        <v>11590</v>
      </c>
      <c r="C467" s="32">
        <v>466</v>
      </c>
      <c r="D467" t="str">
        <f t="shared" si="29"/>
        <v>E3_2_1_21</v>
      </c>
      <c r="E467" s="10" t="s">
        <v>12830</v>
      </c>
      <c r="F467" s="10" t="s">
        <v>12864</v>
      </c>
      <c r="G467" s="13" t="s">
        <v>12894</v>
      </c>
      <c r="H467" s="13" t="s">
        <v>12935</v>
      </c>
      <c r="I467" t="str">
        <f t="shared" si="31"/>
        <v>(${Variables:E3_2_1_21_kcat} * E3_2_1_21 * G10481 * C00001)/(${Variables:E3_2_1_21_km} + (E3_2_1_21 * G10481 * C00001))</v>
      </c>
      <c r="J467" t="str">
        <f t="shared" si="30"/>
        <v>r466: G10481 + C00001 -&gt;  G10481 + C00221 | (${Variables:E3_2_1_21_kcat} * E3_2_1_21 * G10481 * C00001)/(${Variables:E3_2_1_21_km} + (E3_2_1_21 * G10481 * C00001))</v>
      </c>
    </row>
    <row r="468" spans="1:10">
      <c r="A468" s="19" t="s">
        <v>3419</v>
      </c>
      <c r="B468" s="1" t="s">
        <v>11590</v>
      </c>
      <c r="C468" s="32">
        <v>467</v>
      </c>
      <c r="D468" t="str">
        <f t="shared" si="29"/>
        <v>E3_2_1_21</v>
      </c>
      <c r="E468" s="10" t="s">
        <v>9862</v>
      </c>
      <c r="F468" s="10" t="s">
        <v>12198</v>
      </c>
      <c r="G468" s="13" t="s">
        <v>12891</v>
      </c>
      <c r="H468" s="13" t="s">
        <v>12896</v>
      </c>
      <c r="I468" t="str">
        <f t="shared" si="31"/>
        <v>(${Variables:E3_2_1_21_kcat} * E3_2_1_21 * G00289 * C00001 )/(${Variables:E3_2_1_21_km} + (E3_2_1_21 * G00289 * C00001 ))</v>
      </c>
      <c r="J468" t="str">
        <f t="shared" si="30"/>
        <v>r467: G00289 + C00001  -&gt;  C00221 | (${Variables:E3_2_1_21_kcat} * E3_2_1_21 * G00289 * C00001 )/(${Variables:E3_2_1_21_km} + (E3_2_1_21 * G00289 * C00001 ))</v>
      </c>
    </row>
    <row r="469" spans="1:10">
      <c r="A469" s="19" t="s">
        <v>3419</v>
      </c>
      <c r="B469" s="1" t="s">
        <v>11590</v>
      </c>
      <c r="C469" s="32">
        <v>468</v>
      </c>
      <c r="D469" t="str">
        <f t="shared" si="29"/>
        <v>E3_2_1_21</v>
      </c>
      <c r="E469" s="10" t="s">
        <v>9862</v>
      </c>
      <c r="F469" s="10" t="s">
        <v>12198</v>
      </c>
      <c r="G469" s="11" t="s">
        <v>12895</v>
      </c>
      <c r="H469" s="11" t="s">
        <v>12892</v>
      </c>
      <c r="I469" t="str">
        <f t="shared" si="31"/>
        <v>(${Variables:E3_2_1_21_kcat} * E3_2_1_21 * G00289 * C00001 )/(${Variables:E3_2_1_21_km} + (E3_2_1_21 * G00289 * C00001 ))</v>
      </c>
      <c r="J469" t="str">
        <f t="shared" si="30"/>
        <v>r468: G00289 + C00001  -&gt;  C00031 | (${Variables:E3_2_1_21_kcat} * E3_2_1_21 * G00289 * C00001 )/(${Variables:E3_2_1_21_km} + (E3_2_1_21 * G00289 * C00001 ))</v>
      </c>
    </row>
    <row r="470" spans="1:10">
      <c r="A470" s="19" t="s">
        <v>3419</v>
      </c>
      <c r="B470" s="1" t="s">
        <v>11590</v>
      </c>
      <c r="C470" s="32">
        <v>469</v>
      </c>
      <c r="D470" t="str">
        <f t="shared" si="29"/>
        <v>E3_2_1_21</v>
      </c>
      <c r="E470" s="10" t="s">
        <v>9865</v>
      </c>
      <c r="F470" s="10" t="s">
        <v>12199</v>
      </c>
      <c r="G470" s="13" t="s">
        <v>9866</v>
      </c>
      <c r="H470" s="13" t="s">
        <v>12624</v>
      </c>
      <c r="I470" t="str">
        <f t="shared" si="31"/>
        <v>(${Variables:E3_2_1_21_kcat} * E3_2_1_21 * C05143 * C00001)/(${Variables:E3_2_1_21_km} + (E3_2_1_21 * C05143 * C00001))</v>
      </c>
      <c r="J470" t="str">
        <f t="shared" si="30"/>
        <v>r469: C05143 + C00001 -&gt; C03742 + C00221 | (${Variables:E3_2_1_21_kcat} * E3_2_1_21 * C05143 * C00001)/(${Variables:E3_2_1_21_km} + (E3_2_1_21 * C05143 * C00001))</v>
      </c>
    </row>
    <row r="471" spans="1:10">
      <c r="A471" s="19" t="s">
        <v>3419</v>
      </c>
      <c r="B471" s="1" t="s">
        <v>11590</v>
      </c>
      <c r="C471" s="32">
        <v>470</v>
      </c>
      <c r="D471" t="str">
        <f t="shared" si="29"/>
        <v>E3_2_1_21</v>
      </c>
      <c r="E471" s="10" t="s">
        <v>9867</v>
      </c>
      <c r="F471" s="10" t="s">
        <v>12200</v>
      </c>
      <c r="G471" s="13" t="s">
        <v>9868</v>
      </c>
      <c r="H471" s="13" t="s">
        <v>12625</v>
      </c>
      <c r="I471" t="str">
        <f t="shared" si="31"/>
        <v>(${Variables:E3_2_1_21_kcat} * E3_2_1_21 * C08334 * C00001 )/(${Variables:E3_2_1_21_km} + (E3_2_1_21 * C08334 * C00001 ))</v>
      </c>
      <c r="J471" t="str">
        <f t="shared" si="30"/>
        <v>r470: C08334 + C00001  -&gt;  C18796 + C00221 | (${Variables:E3_2_1_21_kcat} * E3_2_1_21 * C08334 * C00001 )/(${Variables:E3_2_1_21_km} + (E3_2_1_21 * C08334 * C00001 ))</v>
      </c>
    </row>
    <row r="472" spans="1:10">
      <c r="A472" s="19" t="s">
        <v>3419</v>
      </c>
      <c r="B472" s="1" t="s">
        <v>11590</v>
      </c>
      <c r="C472" s="32">
        <v>471</v>
      </c>
      <c r="D472" t="str">
        <f t="shared" si="29"/>
        <v>E3_2_1_21</v>
      </c>
      <c r="E472" s="10" t="s">
        <v>9869</v>
      </c>
      <c r="F472" s="10" t="s">
        <v>12201</v>
      </c>
      <c r="G472" s="13" t="s">
        <v>9870</v>
      </c>
      <c r="H472" s="13" t="s">
        <v>12626</v>
      </c>
      <c r="I472" t="str">
        <f t="shared" si="31"/>
        <v>(${Variables:E3_2_1_21_kcat} * E3_2_1_21 * C01594 * C00001)/(${Variables:E3_2_1_21_km} + (E3_2_1_21 * C01594 * C00001))</v>
      </c>
      <c r="J472" t="str">
        <f t="shared" si="30"/>
        <v>r471: C01594 + C00001 -&gt;  C02659 + C00221 | (${Variables:E3_2_1_21_kcat} * E3_2_1_21 * C01594 * C00001)/(${Variables:E3_2_1_21_km} + (E3_2_1_21 * C01594 * C00001))</v>
      </c>
    </row>
    <row r="473" spans="1:10">
      <c r="A473" s="19" t="s">
        <v>3419</v>
      </c>
      <c r="B473" s="1" t="s">
        <v>11590</v>
      </c>
      <c r="C473" s="32">
        <v>472</v>
      </c>
      <c r="D473" t="str">
        <f t="shared" si="29"/>
        <v>E3_2_1_21</v>
      </c>
      <c r="E473" s="10" t="s">
        <v>9871</v>
      </c>
      <c r="F473" s="10" t="s">
        <v>12202</v>
      </c>
      <c r="G473" s="13" t="s">
        <v>9872</v>
      </c>
      <c r="H473" s="13" t="s">
        <v>12627</v>
      </c>
      <c r="I473" t="str">
        <f t="shared" si="31"/>
        <v>(${Variables:E3_2_1_21_kcat} * E3_2_1_21 * C10216 * C00001 )/(${Variables:E3_2_1_21_km} + (E3_2_1_21 * C10216 * C00001 ))</v>
      </c>
      <c r="J473" t="str">
        <f t="shared" si="30"/>
        <v>r472: C10216 + C00001  -&gt;  C10208 + C00221 | (${Variables:E3_2_1_21_kcat} * E3_2_1_21 * C10216 * C00001 )/(${Variables:E3_2_1_21_km} + (E3_2_1_21 * C10216 * C00001 ))</v>
      </c>
    </row>
    <row r="474" spans="1:10">
      <c r="A474" s="19" t="s">
        <v>3419</v>
      </c>
      <c r="B474" s="1" t="s">
        <v>11590</v>
      </c>
      <c r="C474" s="32">
        <v>473</v>
      </c>
      <c r="D474" t="str">
        <f t="shared" si="29"/>
        <v>E3_2_1_21</v>
      </c>
      <c r="E474" s="10" t="s">
        <v>9873</v>
      </c>
      <c r="F474" s="10" t="s">
        <v>12203</v>
      </c>
      <c r="G474" s="13" t="s">
        <v>9874</v>
      </c>
      <c r="H474" s="13" t="s">
        <v>12628</v>
      </c>
      <c r="I474" t="str">
        <f t="shared" si="31"/>
        <v>(${Variables:E3_2_1_21_kcat} * E3_2_1_21 * C09126 * C00001 )/(${Variables:E3_2_1_21_km} + (E3_2_1_21 * C09126 * C00001 ))</v>
      </c>
      <c r="J474" t="str">
        <f t="shared" si="30"/>
        <v>r473: C09126 + C00001  -&gt; C06563 + C00221 | (${Variables:E3_2_1_21_kcat} * E3_2_1_21 * C09126 * C00001 )/(${Variables:E3_2_1_21_km} + (E3_2_1_21 * C09126 * C00001 ))</v>
      </c>
    </row>
    <row r="475" spans="1:10">
      <c r="A475" s="19" t="s">
        <v>3419</v>
      </c>
      <c r="B475" s="1" t="s">
        <v>11590</v>
      </c>
      <c r="C475" s="32">
        <v>474</v>
      </c>
      <c r="D475" t="str">
        <f t="shared" si="29"/>
        <v>E3_2_1_21</v>
      </c>
      <c r="E475" s="10" t="s">
        <v>9875</v>
      </c>
      <c r="F475" s="10" t="s">
        <v>12204</v>
      </c>
      <c r="G475" s="13" t="s">
        <v>9876</v>
      </c>
      <c r="H475" s="13" t="s">
        <v>12629</v>
      </c>
      <c r="I475" t="str">
        <f t="shared" si="31"/>
        <v>(${Variables:E3_2_1_21_kcat} * E3_2_1_21 * C05623 * C00001 )/(${Variables:E3_2_1_21_km} + (E3_2_1_21 * C05623 * C00001 ))</v>
      </c>
      <c r="J475" t="str">
        <f t="shared" si="30"/>
        <v>r474: C05623 + C00001  -&gt;  C00389 + C00221 | (${Variables:E3_2_1_21_kcat} * E3_2_1_21 * C05623 * C00001 )/(${Variables:E3_2_1_21_km} + (E3_2_1_21 * C05623 * C00001 ))</v>
      </c>
    </row>
    <row r="476" spans="1:10">
      <c r="A476" s="19" t="s">
        <v>3419</v>
      </c>
      <c r="B476" s="1" t="s">
        <v>11590</v>
      </c>
      <c r="C476" s="32">
        <v>475</v>
      </c>
      <c r="D476" t="str">
        <f t="shared" si="29"/>
        <v>E3_2_1_21</v>
      </c>
      <c r="E476" s="10" t="s">
        <v>9877</v>
      </c>
      <c r="F476" s="10" t="s">
        <v>12205</v>
      </c>
      <c r="G476" s="13" t="s">
        <v>9878</v>
      </c>
      <c r="H476" s="13" t="s">
        <v>12630</v>
      </c>
      <c r="I476" t="str">
        <f t="shared" si="31"/>
        <v>(${Variables:E3_2_1_21_kcat} * E3_2_1_21 * C09099 * C00001 )/(${Variables:E3_2_1_21_km} + (E3_2_1_21 * C09099 * C00001 ))</v>
      </c>
      <c r="J476" t="str">
        <f t="shared" si="30"/>
        <v>r475: C09099 + C00001  -&gt;  C00509 + C00221 | (${Variables:E3_2_1_21_kcat} * E3_2_1_21 * C09099 * C00001 )/(${Variables:E3_2_1_21_km} + (E3_2_1_21 * C09099 * C00001 ))</v>
      </c>
    </row>
    <row r="477" spans="1:10">
      <c r="A477" s="19" t="s">
        <v>7064</v>
      </c>
      <c r="B477" s="1" t="s">
        <v>11590</v>
      </c>
      <c r="C477" s="32">
        <v>476</v>
      </c>
      <c r="D477" t="str">
        <f t="shared" si="29"/>
        <v>E3_2_1_21</v>
      </c>
      <c r="E477" s="22" t="s">
        <v>9848</v>
      </c>
      <c r="F477" s="22" t="s">
        <v>12191</v>
      </c>
      <c r="G477" s="20" t="s">
        <v>12896</v>
      </c>
      <c r="H477" s="20" t="s">
        <v>12896</v>
      </c>
      <c r="I477" t="str">
        <f t="shared" si="31"/>
        <v>(${Variables:E3_2_1_21_kcat} * E3_2_1_21 * C00185 * C00001 )/(${Variables:E3_2_1_21_km} + (E3_2_1_21 * C00185 * C00001 ))</v>
      </c>
      <c r="J477" t="str">
        <f t="shared" si="30"/>
        <v>r476: C00185 + C00001  -&gt; C00221 | (${Variables:E3_2_1_21_kcat} * E3_2_1_21 * C00185 * C00001 )/(${Variables:E3_2_1_21_km} + (E3_2_1_21 * C00185 * C00001 ))</v>
      </c>
    </row>
    <row r="478" spans="1:10">
      <c r="A478" s="19" t="s">
        <v>7064</v>
      </c>
      <c r="B478" s="1" t="s">
        <v>11590</v>
      </c>
      <c r="C478" s="32">
        <v>477</v>
      </c>
      <c r="D478" t="str">
        <f t="shared" si="29"/>
        <v>E3_2_1_21</v>
      </c>
      <c r="E478" s="22" t="s">
        <v>9850</v>
      </c>
      <c r="F478" s="22" t="s">
        <v>12192</v>
      </c>
      <c r="G478" s="20" t="s">
        <v>12892</v>
      </c>
      <c r="H478" s="20" t="s">
        <v>12892</v>
      </c>
      <c r="I478" t="str">
        <f t="shared" si="31"/>
        <v>(${Variables:E3_2_1_21_kcat} * E3_2_1_21 * C00185 * C00001)/(${Variables:E3_2_1_21_km} + (E3_2_1_21 * C00185 * C00001))</v>
      </c>
      <c r="J478" t="str">
        <f t="shared" si="30"/>
        <v>r477: C00185 + C00001 -&gt; C00031 | (${Variables:E3_2_1_21_kcat} * E3_2_1_21 * C00185 * C00001)/(${Variables:E3_2_1_21_km} + (E3_2_1_21 * C00185 * C00001))</v>
      </c>
    </row>
    <row r="479" spans="1:10">
      <c r="A479" s="19" t="s">
        <v>7064</v>
      </c>
      <c r="B479" s="1" t="s">
        <v>11590</v>
      </c>
      <c r="C479" s="32">
        <v>478</v>
      </c>
      <c r="D479" t="str">
        <f t="shared" si="29"/>
        <v>E3_2_1_21</v>
      </c>
      <c r="E479" s="22" t="s">
        <v>9852</v>
      </c>
      <c r="F479" s="22" t="s">
        <v>12193</v>
      </c>
      <c r="G479" s="20" t="s">
        <v>9853</v>
      </c>
      <c r="H479" s="20" t="s">
        <v>12619</v>
      </c>
      <c r="I479" t="str">
        <f t="shared" si="31"/>
        <v>(${Variables:E3_2_1_21_kcat} * E3_2_1_21 * C00844 * C00001 )/(${Variables:E3_2_1_21_km} + (E3_2_1_21 * C00844 * C00001 ))</v>
      </c>
      <c r="J479" t="str">
        <f t="shared" si="30"/>
        <v>r478: C00844 + C00001  -&gt; C00561 + C00031 | (${Variables:E3_2_1_21_kcat} * E3_2_1_21 * C00844 * C00001 )/(${Variables:E3_2_1_21_km} + (E3_2_1_21 * C00844 * C00001 ))</v>
      </c>
    </row>
    <row r="480" spans="1:10">
      <c r="A480" s="19" t="s">
        <v>7064</v>
      </c>
      <c r="B480" s="1" t="s">
        <v>11590</v>
      </c>
      <c r="C480" s="32">
        <v>479</v>
      </c>
      <c r="D480" t="str">
        <f t="shared" si="29"/>
        <v>E3_2_1_21</v>
      </c>
      <c r="E480" s="22" t="s">
        <v>12829</v>
      </c>
      <c r="F480" s="22" t="s">
        <v>12862</v>
      </c>
      <c r="G480" s="20" t="s">
        <v>12893</v>
      </c>
      <c r="H480" s="20" t="s">
        <v>12934</v>
      </c>
      <c r="I480" t="str">
        <f t="shared" si="31"/>
        <v>(${Variables:E3_2_1_21_kcat} * E3_2_1_21 * C01898 * C00001 )/(${Variables:E3_2_1_21_km} + (E3_2_1_21 * C01898 * C00001 ))</v>
      </c>
      <c r="J480" t="str">
        <f t="shared" si="30"/>
        <v>r479: C01898 +  C00001  -&gt;  C00031 + C00185 | (${Variables:E3_2_1_21_kcat} * E3_2_1_21 * C01898 * C00001 )/(${Variables:E3_2_1_21_km} + (E3_2_1_21 * C01898 * C00001 ))</v>
      </c>
    </row>
    <row r="481" spans="1:10">
      <c r="A481" s="19" t="s">
        <v>7064</v>
      </c>
      <c r="B481" s="1" t="s">
        <v>11590</v>
      </c>
      <c r="C481" s="32">
        <v>480</v>
      </c>
      <c r="D481" t="str">
        <f t="shared" si="29"/>
        <v>E3_2_1_21</v>
      </c>
      <c r="E481" s="22" t="s">
        <v>9854</v>
      </c>
      <c r="F481" s="22" t="s">
        <v>12194</v>
      </c>
      <c r="G481" s="20" t="s">
        <v>9855</v>
      </c>
      <c r="H481" s="20" t="s">
        <v>12620</v>
      </c>
      <c r="I481" t="str">
        <f t="shared" si="31"/>
        <v>(${Variables:E3_2_1_21_kcat} * E3_2_1_21 * C00844 * C00031 )/(${Variables:E3_2_1_21_km} + (E3_2_1_21 * C00844 * C00031 ))</v>
      </c>
      <c r="J481" t="str">
        <f t="shared" si="30"/>
        <v>r480: C00844 + C00031  -&gt;  C08325 + C00001 | (${Variables:E3_2_1_21_kcat} * E3_2_1_21 * C00844 * C00031 )/(${Variables:E3_2_1_21_km} + (E3_2_1_21 * C00844 * C00031 ))</v>
      </c>
    </row>
    <row r="482" spans="1:10">
      <c r="A482" s="19" t="s">
        <v>7064</v>
      </c>
      <c r="B482" s="1" t="s">
        <v>11590</v>
      </c>
      <c r="C482" s="32">
        <v>481</v>
      </c>
      <c r="D482" t="str">
        <f t="shared" si="29"/>
        <v>E3_2_1_21</v>
      </c>
      <c r="E482" s="22" t="s">
        <v>9856</v>
      </c>
      <c r="F482" s="22" t="s">
        <v>12195</v>
      </c>
      <c r="G482" s="20" t="s">
        <v>9857</v>
      </c>
      <c r="H482" s="20" t="s">
        <v>12621</v>
      </c>
      <c r="I482" t="str">
        <f t="shared" si="31"/>
        <v>(${Variables:E3_2_1_21_kcat} * E3_2_1_21 * C00963 * C00001 )/(${Variables:E3_2_1_21_km} + (E3_2_1_21 * C00963 * C00001 ))</v>
      </c>
      <c r="J482" t="str">
        <f t="shared" si="30"/>
        <v>r481: C00963 + C00001  -&gt;  C00031 + C01335 | (${Variables:E3_2_1_21_kcat} * E3_2_1_21 * C00963 * C00001 )/(${Variables:E3_2_1_21_km} + (E3_2_1_21 * C00963 * C00001 ))</v>
      </c>
    </row>
    <row r="483" spans="1:10">
      <c r="A483" s="19" t="s">
        <v>7064</v>
      </c>
      <c r="B483" s="1" t="s">
        <v>11590</v>
      </c>
      <c r="C483" s="32">
        <v>482</v>
      </c>
      <c r="D483" t="str">
        <f t="shared" si="29"/>
        <v>E3_2_1_21</v>
      </c>
      <c r="E483" s="22" t="s">
        <v>9858</v>
      </c>
      <c r="F483" s="22" t="s">
        <v>12196</v>
      </c>
      <c r="G483" s="20" t="s">
        <v>9859</v>
      </c>
      <c r="H483" s="20" t="s">
        <v>12622</v>
      </c>
      <c r="I483" t="str">
        <f t="shared" si="31"/>
        <v>(${Variables:E3_2_1_21_kcat} * E3_2_1_21 * C05713 * C00001)/(${Variables:E3_2_1_21_km} + (E3_2_1_21 * C05713 * C00001))</v>
      </c>
      <c r="J483" t="str">
        <f t="shared" si="30"/>
        <v>r482: C05713 + C00001 -&gt; C05712 + C00031 | (${Variables:E3_2_1_21_kcat} * E3_2_1_21 * C05713 * C00001)/(${Variables:E3_2_1_21_km} + (E3_2_1_21 * C05713 * C00001))</v>
      </c>
    </row>
    <row r="484" spans="1:10">
      <c r="A484" s="19" t="s">
        <v>7064</v>
      </c>
      <c r="B484" s="1" t="s">
        <v>11590</v>
      </c>
      <c r="C484" s="32">
        <v>483</v>
      </c>
      <c r="D484" t="str">
        <f t="shared" si="29"/>
        <v>E3_2_1_21</v>
      </c>
      <c r="E484" s="22" t="s">
        <v>9860</v>
      </c>
      <c r="F484" s="22" t="s">
        <v>12197</v>
      </c>
      <c r="G484" s="20" t="s">
        <v>9861</v>
      </c>
      <c r="H484" s="20" t="s">
        <v>12623</v>
      </c>
      <c r="I484" t="str">
        <f t="shared" si="31"/>
        <v>(${Variables:E3_2_1_21_kcat} * E3_2_1_21 * C05839 * C00001 )/(${Variables:E3_2_1_21_km} + (E3_2_1_21 * C05839 * C00001 ))</v>
      </c>
      <c r="J484" t="str">
        <f t="shared" si="30"/>
        <v>r483: C05839 + C00001  -&gt; C05838 + C00031 | (${Variables:E3_2_1_21_kcat} * E3_2_1_21 * C05839 * C00001 )/(${Variables:E3_2_1_21_km} + (E3_2_1_21 * C05839 * C00001 ))</v>
      </c>
    </row>
    <row r="485" spans="1:10">
      <c r="A485" s="19" t="s">
        <v>7064</v>
      </c>
      <c r="B485" s="1" t="s">
        <v>11590</v>
      </c>
      <c r="C485" s="32">
        <v>484</v>
      </c>
      <c r="D485" t="str">
        <f t="shared" si="29"/>
        <v>E3_2_1_21</v>
      </c>
      <c r="E485" s="22" t="s">
        <v>12830</v>
      </c>
      <c r="F485" s="22" t="s">
        <v>12864</v>
      </c>
      <c r="G485" s="20" t="s">
        <v>12894</v>
      </c>
      <c r="H485" s="20" t="s">
        <v>12933</v>
      </c>
      <c r="I485" t="str">
        <f t="shared" si="31"/>
        <v>(${Variables:E3_2_1_21_kcat} * E3_2_1_21 * G10481 * C00001)/(${Variables:E3_2_1_21_km} + (E3_2_1_21 * G10481 * C00001))</v>
      </c>
      <c r="J485" t="str">
        <f t="shared" si="30"/>
        <v>r484: G10481 + C00001 -&gt;  G10481 + C00221 | (${Variables:E3_2_1_21_kcat} * E3_2_1_21 * G10481 * C00001)/(${Variables:E3_2_1_21_km} + (E3_2_1_21 * G10481 * C00001))</v>
      </c>
    </row>
    <row r="486" spans="1:10">
      <c r="A486" s="19" t="s">
        <v>7064</v>
      </c>
      <c r="B486" s="1" t="s">
        <v>11590</v>
      </c>
      <c r="C486" s="32">
        <v>485</v>
      </c>
      <c r="D486" t="str">
        <f t="shared" si="29"/>
        <v>E3_2_1_21</v>
      </c>
      <c r="E486" s="22" t="s">
        <v>9862</v>
      </c>
      <c r="F486" s="22" t="s">
        <v>12198</v>
      </c>
      <c r="G486" s="20" t="s">
        <v>12896</v>
      </c>
      <c r="H486" s="20" t="s">
        <v>12891</v>
      </c>
      <c r="I486" t="str">
        <f t="shared" si="31"/>
        <v>(${Variables:E3_2_1_21_kcat} * E3_2_1_21 * G00289 * C00001 )/(${Variables:E3_2_1_21_km} + (E3_2_1_21 * G00289 * C00001 ))</v>
      </c>
      <c r="J486" t="str">
        <f t="shared" si="30"/>
        <v>r485: G00289 + C00001  -&gt; C00221 | (${Variables:E3_2_1_21_kcat} * E3_2_1_21 * G00289 * C00001 )/(${Variables:E3_2_1_21_km} + (E3_2_1_21 * G00289 * C00001 ))</v>
      </c>
    </row>
    <row r="487" spans="1:10">
      <c r="A487" s="19" t="s">
        <v>7064</v>
      </c>
      <c r="B487" s="1" t="s">
        <v>11590</v>
      </c>
      <c r="C487" s="32">
        <v>486</v>
      </c>
      <c r="D487" t="str">
        <f t="shared" si="29"/>
        <v>E3_2_1_21</v>
      </c>
      <c r="E487" s="22" t="s">
        <v>9862</v>
      </c>
      <c r="F487" s="22" t="s">
        <v>12198</v>
      </c>
      <c r="G487" s="11" t="s">
        <v>12895</v>
      </c>
      <c r="H487" s="11" t="s">
        <v>12895</v>
      </c>
      <c r="I487" t="str">
        <f t="shared" si="31"/>
        <v>(${Variables:E3_2_1_21_kcat} * E3_2_1_21 * G00289 * C00001 )/(${Variables:E3_2_1_21_km} + (E3_2_1_21 * G00289 * C00001 ))</v>
      </c>
      <c r="J487" t="str">
        <f t="shared" si="30"/>
        <v>r486: G00289 + C00001  -&gt;  C00031 | (${Variables:E3_2_1_21_kcat} * E3_2_1_21 * G00289 * C00001 )/(${Variables:E3_2_1_21_km} + (E3_2_1_21 * G00289 * C00001 ))</v>
      </c>
    </row>
    <row r="488" spans="1:10">
      <c r="A488" s="19" t="s">
        <v>7064</v>
      </c>
      <c r="B488" s="1" t="s">
        <v>11590</v>
      </c>
      <c r="C488" s="32">
        <v>487</v>
      </c>
      <c r="D488" t="str">
        <f t="shared" si="29"/>
        <v>E3_2_1_21</v>
      </c>
      <c r="E488" s="22" t="s">
        <v>9865</v>
      </c>
      <c r="F488" s="22" t="s">
        <v>12199</v>
      </c>
      <c r="G488" s="20" t="s">
        <v>9866</v>
      </c>
      <c r="H488" s="20" t="s">
        <v>12624</v>
      </c>
      <c r="I488" t="str">
        <f t="shared" si="31"/>
        <v>(${Variables:E3_2_1_21_kcat} * E3_2_1_21 * C05143 * C00001)/(${Variables:E3_2_1_21_km} + (E3_2_1_21 * C05143 * C00001))</v>
      </c>
      <c r="J488" t="str">
        <f t="shared" si="30"/>
        <v>r487: C05143 + C00001 -&gt; C03742 + C00221 | (${Variables:E3_2_1_21_kcat} * E3_2_1_21 * C05143 * C00001)/(${Variables:E3_2_1_21_km} + (E3_2_1_21 * C05143 * C00001))</v>
      </c>
    </row>
    <row r="489" spans="1:10">
      <c r="A489" s="19" t="s">
        <v>7064</v>
      </c>
      <c r="B489" s="1" t="s">
        <v>11590</v>
      </c>
      <c r="C489" s="32">
        <v>488</v>
      </c>
      <c r="D489" t="str">
        <f t="shared" si="29"/>
        <v>E3_2_1_21</v>
      </c>
      <c r="E489" s="22" t="s">
        <v>9867</v>
      </c>
      <c r="F489" s="22" t="s">
        <v>12200</v>
      </c>
      <c r="G489" s="20" t="s">
        <v>9868</v>
      </c>
      <c r="H489" s="20" t="s">
        <v>12625</v>
      </c>
      <c r="I489" t="str">
        <f t="shared" si="31"/>
        <v>(${Variables:E3_2_1_21_kcat} * E3_2_1_21 * C08334 * C00001 )/(${Variables:E3_2_1_21_km} + (E3_2_1_21 * C08334 * C00001 ))</v>
      </c>
      <c r="J489" t="str">
        <f t="shared" si="30"/>
        <v>r488: C08334 + C00001  -&gt;  C18796 + C00221 | (${Variables:E3_2_1_21_kcat} * E3_2_1_21 * C08334 * C00001 )/(${Variables:E3_2_1_21_km} + (E3_2_1_21 * C08334 * C00001 ))</v>
      </c>
    </row>
    <row r="490" spans="1:10">
      <c r="A490" s="19" t="s">
        <v>7064</v>
      </c>
      <c r="B490" s="1" t="s">
        <v>11590</v>
      </c>
      <c r="C490" s="32">
        <v>489</v>
      </c>
      <c r="D490" t="str">
        <f t="shared" si="29"/>
        <v>E3_2_1_21</v>
      </c>
      <c r="E490" s="22" t="s">
        <v>9869</v>
      </c>
      <c r="F490" s="22" t="s">
        <v>12201</v>
      </c>
      <c r="G490" s="20" t="s">
        <v>9870</v>
      </c>
      <c r="H490" s="20" t="s">
        <v>12626</v>
      </c>
      <c r="I490" t="str">
        <f t="shared" si="31"/>
        <v>(${Variables:E3_2_1_21_kcat} * E3_2_1_21 * C01594 * C00001)/(${Variables:E3_2_1_21_km} + (E3_2_1_21 * C01594 * C00001))</v>
      </c>
      <c r="J490" t="str">
        <f t="shared" si="30"/>
        <v>r489: C01594 + C00001 -&gt;  C02659 + C00221 | (${Variables:E3_2_1_21_kcat} * E3_2_1_21 * C01594 * C00001)/(${Variables:E3_2_1_21_km} + (E3_2_1_21 * C01594 * C00001))</v>
      </c>
    </row>
    <row r="491" spans="1:10">
      <c r="A491" s="19" t="s">
        <v>7064</v>
      </c>
      <c r="B491" s="1" t="s">
        <v>11590</v>
      </c>
      <c r="C491" s="32">
        <v>490</v>
      </c>
      <c r="D491" t="str">
        <f t="shared" si="29"/>
        <v>E3_2_1_21</v>
      </c>
      <c r="E491" s="22" t="s">
        <v>9871</v>
      </c>
      <c r="F491" s="22" t="s">
        <v>12202</v>
      </c>
      <c r="G491" s="20" t="s">
        <v>9872</v>
      </c>
      <c r="H491" s="20" t="s">
        <v>12627</v>
      </c>
      <c r="I491" t="str">
        <f t="shared" si="31"/>
        <v>(${Variables:E3_2_1_21_kcat} * E3_2_1_21 * C10216 * C00001 )/(${Variables:E3_2_1_21_km} + (E3_2_1_21 * C10216 * C00001 ))</v>
      </c>
      <c r="J491" t="str">
        <f t="shared" si="30"/>
        <v>r490: C10216 + C00001  -&gt;  C10208 + C00221 | (${Variables:E3_2_1_21_kcat} * E3_2_1_21 * C10216 * C00001 )/(${Variables:E3_2_1_21_km} + (E3_2_1_21 * C10216 * C00001 ))</v>
      </c>
    </row>
    <row r="492" spans="1:10">
      <c r="A492" s="19" t="s">
        <v>7064</v>
      </c>
      <c r="B492" s="1" t="s">
        <v>11590</v>
      </c>
      <c r="C492" s="32">
        <v>491</v>
      </c>
      <c r="D492" t="str">
        <f t="shared" ref="D492:D537" si="32">CONCATENATE("E",B492)</f>
        <v>E3_2_1_21</v>
      </c>
      <c r="E492" s="22" t="s">
        <v>9873</v>
      </c>
      <c r="F492" s="22" t="s">
        <v>12203</v>
      </c>
      <c r="G492" s="20" t="s">
        <v>9874</v>
      </c>
      <c r="H492" s="20" t="s">
        <v>12628</v>
      </c>
      <c r="I492" t="str">
        <f t="shared" si="31"/>
        <v>(${Variables:E3_2_1_21_kcat} * E3_2_1_21 * C09126 * C00001 )/(${Variables:E3_2_1_21_km} + (E3_2_1_21 * C09126 * C00001 ))</v>
      </c>
      <c r="J492" t="str">
        <f t="shared" si="30"/>
        <v>r491: C09126 + C00001  -&gt; C06563 + C00221 | (${Variables:E3_2_1_21_kcat} * E3_2_1_21 * C09126 * C00001 )/(${Variables:E3_2_1_21_km} + (E3_2_1_21 * C09126 * C00001 ))</v>
      </c>
    </row>
    <row r="493" spans="1:10">
      <c r="A493" s="19" t="s">
        <v>7064</v>
      </c>
      <c r="B493" s="1" t="s">
        <v>11590</v>
      </c>
      <c r="C493" s="32">
        <v>492</v>
      </c>
      <c r="D493" t="str">
        <f t="shared" si="32"/>
        <v>E3_2_1_21</v>
      </c>
      <c r="E493" s="22" t="s">
        <v>9875</v>
      </c>
      <c r="F493" s="22" t="s">
        <v>12204</v>
      </c>
      <c r="G493" s="20" t="s">
        <v>9876</v>
      </c>
      <c r="H493" s="20" t="s">
        <v>12629</v>
      </c>
      <c r="I493" t="str">
        <f t="shared" si="31"/>
        <v>(${Variables:E3_2_1_21_kcat} * E3_2_1_21 * C05623 * C00001 )/(${Variables:E3_2_1_21_km} + (E3_2_1_21 * C05623 * C00001 ))</v>
      </c>
      <c r="J493" t="str">
        <f t="shared" si="30"/>
        <v>r492: C05623 + C00001  -&gt;  C00389 + C00221 | (${Variables:E3_2_1_21_kcat} * E3_2_1_21 * C05623 * C00001 )/(${Variables:E3_2_1_21_km} + (E3_2_1_21 * C05623 * C00001 ))</v>
      </c>
    </row>
    <row r="494" spans="1:10">
      <c r="A494" s="19" t="s">
        <v>7064</v>
      </c>
      <c r="B494" s="1" t="s">
        <v>11590</v>
      </c>
      <c r="C494" s="32">
        <v>493</v>
      </c>
      <c r="D494" t="str">
        <f t="shared" si="32"/>
        <v>E3_2_1_21</v>
      </c>
      <c r="E494" s="22" t="s">
        <v>9877</v>
      </c>
      <c r="F494" s="22" t="s">
        <v>12205</v>
      </c>
      <c r="G494" s="20" t="s">
        <v>9878</v>
      </c>
      <c r="H494" s="20" t="s">
        <v>12630</v>
      </c>
      <c r="I494" t="str">
        <f t="shared" si="31"/>
        <v>(${Variables:E3_2_1_21_kcat} * E3_2_1_21 * C09099 * C00001 )/(${Variables:E3_2_1_21_km} + (E3_2_1_21 * C09099 * C00001 ))</v>
      </c>
      <c r="J494" t="str">
        <f t="shared" si="30"/>
        <v>r493: C09099 + C00001  -&gt;  C00509 + C00221 | (${Variables:E3_2_1_21_kcat} * E3_2_1_21 * C09099 * C00001 )/(${Variables:E3_2_1_21_km} + (E3_2_1_21 * C09099 * C00001 ))</v>
      </c>
    </row>
    <row r="495" spans="1:10">
      <c r="A495" s="19" t="s">
        <v>8528</v>
      </c>
      <c r="B495" s="1" t="s">
        <v>11591</v>
      </c>
      <c r="C495" s="32">
        <v>494</v>
      </c>
      <c r="D495" t="str">
        <f t="shared" si="32"/>
        <v>E3_2_2_4</v>
      </c>
      <c r="E495" s="10" t="s">
        <v>10549</v>
      </c>
      <c r="F495" s="10" t="s">
        <v>12206</v>
      </c>
      <c r="G495" s="13" t="s">
        <v>10550</v>
      </c>
      <c r="H495" s="13" t="s">
        <v>12631</v>
      </c>
      <c r="I495" t="str">
        <f t="shared" si="31"/>
        <v>(${Variables:E3_2_2_4_kcat} * E3_2_2_4 * C00020 * C00001 )/(${Variables:E3_2_2_4_km} + (E3_2_2_4 * C00020 * C00001 ))</v>
      </c>
      <c r="J495" t="str">
        <f t="shared" si="30"/>
        <v>r494: C00020 + C00001  -&gt;  C00147 + C00117 | (${Variables:E3_2_2_4_kcat} * E3_2_2_4 * C00020 * C00001 )/(${Variables:E3_2_2_4_km} + (E3_2_2_4 * C00020 * C00001 ))</v>
      </c>
    </row>
    <row r="496" spans="1:10">
      <c r="A496" s="19" t="s">
        <v>6573</v>
      </c>
      <c r="B496" s="1" t="s">
        <v>11592</v>
      </c>
      <c r="C496" s="32">
        <v>495</v>
      </c>
      <c r="D496" t="str">
        <f t="shared" si="32"/>
        <v>E3_5_1_1</v>
      </c>
      <c r="E496" s="10" t="s">
        <v>10294</v>
      </c>
      <c r="F496" s="10" t="s">
        <v>12207</v>
      </c>
      <c r="G496" s="13" t="s">
        <v>10295</v>
      </c>
      <c r="H496" s="13" t="s">
        <v>12632</v>
      </c>
      <c r="I496" t="str">
        <f t="shared" si="31"/>
        <v>(${Variables:E3_5_1_1_kcat} * E3_5_1_1 * C00152 * C00001 )/(${Variables:E3_5_1_1_km} + (E3_5_1_1 * C00152 * C00001 ))</v>
      </c>
      <c r="J496" t="str">
        <f t="shared" si="30"/>
        <v>r495: C00152 + C00001  -&gt; C00049 + C00014 | (${Variables:E3_5_1_1_kcat} * E3_5_1_1 * C00152 * C00001 )/(${Variables:E3_5_1_1_km} + (E3_5_1_1 * C00152 * C00001 ))</v>
      </c>
    </row>
    <row r="497" spans="1:10">
      <c r="A497" s="19" t="s">
        <v>6573</v>
      </c>
      <c r="B497" s="1" t="s">
        <v>11592</v>
      </c>
      <c r="C497" s="32">
        <v>496</v>
      </c>
      <c r="D497" t="str">
        <f t="shared" si="32"/>
        <v>E3_5_1_1</v>
      </c>
      <c r="E497" s="10" t="s">
        <v>10296</v>
      </c>
      <c r="F497" s="10" t="s">
        <v>12208</v>
      </c>
      <c r="G497" s="13" t="s">
        <v>10297</v>
      </c>
      <c r="H497" s="13" t="s">
        <v>12633</v>
      </c>
      <c r="I497" t="str">
        <f t="shared" si="31"/>
        <v>(${Variables:E3_5_1_1_kcat} * E3_5_1_1 * C00241 * C00001 )/(${Variables:E3_5_1_1_km} + (E3_5_1_1 * C00241 * C00001 ))</v>
      </c>
      <c r="J497" t="str">
        <f t="shared" si="30"/>
        <v>r496: C00241 + C00001  -&gt; C00060 + C00014 | (${Variables:E3_5_1_1_kcat} * E3_5_1_1 * C00241 * C00001 )/(${Variables:E3_5_1_1_km} + (E3_5_1_1 * C00241 * C00001 ))</v>
      </c>
    </row>
    <row r="498" spans="1:10">
      <c r="A498" s="19" t="s">
        <v>3580</v>
      </c>
      <c r="B498" s="1" t="s">
        <v>11593</v>
      </c>
      <c r="C498" s="32">
        <v>497</v>
      </c>
      <c r="D498" t="str">
        <f t="shared" si="32"/>
        <v>E3_5_1_25</v>
      </c>
      <c r="E498" s="10" t="s">
        <v>9892</v>
      </c>
      <c r="F498" s="10" t="s">
        <v>12209</v>
      </c>
      <c r="G498" s="13" t="s">
        <v>9893</v>
      </c>
      <c r="H498" s="13" t="s">
        <v>12483</v>
      </c>
      <c r="I498" t="str">
        <f t="shared" si="31"/>
        <v>(${Variables:E3_5_1_25_kcat} * E3_5_1_25 * C00357 * C00001)/(${Variables:E3_5_1_25_km} + (E3_5_1_25 * C00357 * C00001))</v>
      </c>
      <c r="J498" t="str">
        <f t="shared" ref="J498:J554" si="33">CONCATENATE("r",C498,": ",E498," -&gt; ",G498," | ",I498)</f>
        <v>r497: C00357 + C00001 -&gt;  C00352 + C00033 | (${Variables:E3_5_1_25_kcat} * E3_5_1_25 * C00357 * C00001)/(${Variables:E3_5_1_25_km} + (E3_5_1_25 * C00357 * C00001))</v>
      </c>
    </row>
    <row r="499" spans="1:10">
      <c r="A499" s="19" t="s">
        <v>6042</v>
      </c>
      <c r="B499" s="1" t="s">
        <v>11593</v>
      </c>
      <c r="C499" s="32">
        <v>498</v>
      </c>
      <c r="D499" t="str">
        <f t="shared" si="32"/>
        <v>E3_5_1_25</v>
      </c>
      <c r="E499" s="10" t="s">
        <v>9894</v>
      </c>
      <c r="F499" s="10" t="s">
        <v>12210</v>
      </c>
      <c r="G499" s="13" t="s">
        <v>9893</v>
      </c>
      <c r="H499" s="13" t="s">
        <v>12483</v>
      </c>
      <c r="I499" t="str">
        <f t="shared" si="31"/>
        <v>(${Variables:E3_5_1_25_kcat} * E3_5_1_25 * C00357 * C00001 )/(${Variables:E3_5_1_25_km} + (E3_5_1_25 * C00357 * C00001 ))</v>
      </c>
      <c r="J499" t="str">
        <f t="shared" si="33"/>
        <v>r498: C00357 + C00001  -&gt;  C00352 + C00033 | (${Variables:E3_5_1_25_kcat} * E3_5_1_25 * C00357 * C00001 )/(${Variables:E3_5_1_25_km} + (E3_5_1_25 * C00357 * C00001 ))</v>
      </c>
    </row>
    <row r="500" spans="1:10">
      <c r="A500" s="19" t="s">
        <v>6044</v>
      </c>
      <c r="B500" s="1" t="s">
        <v>11593</v>
      </c>
      <c r="C500" s="32">
        <v>499</v>
      </c>
      <c r="D500" t="str">
        <f t="shared" si="32"/>
        <v>E3_5_1_25</v>
      </c>
      <c r="E500" s="10" t="s">
        <v>9894</v>
      </c>
      <c r="F500" s="10" t="s">
        <v>12210</v>
      </c>
      <c r="G500" s="13" t="s">
        <v>9893</v>
      </c>
      <c r="H500" s="13" t="s">
        <v>12483</v>
      </c>
      <c r="I500" t="str">
        <f t="shared" si="31"/>
        <v>(${Variables:E3_5_1_25_kcat} * E3_5_1_25 * C00357 * C00001 )/(${Variables:E3_5_1_25_km} + (E3_5_1_25 * C00357 * C00001 ))</v>
      </c>
      <c r="J500" t="str">
        <f t="shared" si="33"/>
        <v>r499: C00357 + C00001  -&gt;  C00352 + C00033 | (${Variables:E3_5_1_25_kcat} * E3_5_1_25 * C00357 * C00001 )/(${Variables:E3_5_1_25_km} + (E3_5_1_25 * C00357 * C00001 ))</v>
      </c>
    </row>
    <row r="501" spans="1:10">
      <c r="A501" s="19" t="s">
        <v>377</v>
      </c>
      <c r="B501" s="1" t="s">
        <v>11594</v>
      </c>
      <c r="C501" s="32">
        <v>500</v>
      </c>
      <c r="D501" t="str">
        <f t="shared" si="32"/>
        <v>E3_5_1_88</v>
      </c>
      <c r="E501" s="10" t="s">
        <v>11819</v>
      </c>
      <c r="F501" s="10" t="s">
        <v>12211</v>
      </c>
      <c r="G501" s="13" t="s">
        <v>11820</v>
      </c>
      <c r="H501" s="13" t="s">
        <v>12634</v>
      </c>
      <c r="I501" t="str">
        <f t="shared" si="31"/>
        <v>(${Variables:E3_5_1_88_kcat} * E3_5_1_88 * C11439 * C00001 )/(${Variables:E3_5_1_88_km} + (E3_5_1_88 * C11439 * C00001 ))</v>
      </c>
      <c r="J501" t="str">
        <f t="shared" si="33"/>
        <v>r500: C11439 + C00001  -&gt; C11440 + C00058 | (${Variables:E3_5_1_88_kcat} * E3_5_1_88 * C11439 * C00001 )/(${Variables:E3_5_1_88_km} + (E3_5_1_88 * C11439 * C00001 ))</v>
      </c>
    </row>
    <row r="502" spans="1:10">
      <c r="A502" s="19" t="s">
        <v>377</v>
      </c>
      <c r="B502" s="1" t="s">
        <v>11594</v>
      </c>
      <c r="C502" s="32">
        <v>501</v>
      </c>
      <c r="D502" t="str">
        <f t="shared" si="32"/>
        <v>E3_5_1_88</v>
      </c>
      <c r="E502" s="10" t="s">
        <v>11821</v>
      </c>
      <c r="F502" s="10" t="s">
        <v>12212</v>
      </c>
      <c r="G502" s="13" t="s">
        <v>11822</v>
      </c>
      <c r="H502" s="13" t="s">
        <v>12635</v>
      </c>
      <c r="I502" t="str">
        <f t="shared" si="31"/>
        <v>(${Variables:E3_5_1_88_kcat} * E3_5_1_88 * C04258 * C00001 )/(${Variables:E3_5_1_88_km} + (E3_5_1_88 * C04258 * C00001 ))</v>
      </c>
      <c r="J502" t="str">
        <f t="shared" si="33"/>
        <v>r501: C04258 + C00001  -&gt; C00058 + C03617 | (${Variables:E3_5_1_88_kcat} * E3_5_1_88 * C04258 * C00001 )/(${Variables:E3_5_1_88_km} + (E3_5_1_88 * C04258 * C00001 ))</v>
      </c>
    </row>
    <row r="503" spans="1:10">
      <c r="A503" s="19" t="s">
        <v>8052</v>
      </c>
      <c r="B503" s="1" t="s">
        <v>11595</v>
      </c>
      <c r="C503" s="32">
        <v>502</v>
      </c>
      <c r="D503" t="str">
        <f t="shared" si="32"/>
        <v>E3_5_2_3</v>
      </c>
      <c r="E503" s="10" t="s">
        <v>10508</v>
      </c>
      <c r="F503" s="10" t="s">
        <v>12213</v>
      </c>
      <c r="G503" s="13" t="s">
        <v>10509</v>
      </c>
      <c r="H503" s="13" t="s">
        <v>10509</v>
      </c>
      <c r="I503" t="str">
        <f t="shared" si="31"/>
        <v>(${Variables:E3_5_2_3_kcat} * E3_5_2_3 * C00337 * C00001 )/(${Variables:E3_5_2_3_km} + (E3_5_2_3 * C00337 * C00001 ))</v>
      </c>
      <c r="J503" t="str">
        <f t="shared" si="33"/>
        <v>r502: C00337 + C00001  -&gt;  C00438 | (${Variables:E3_5_2_3_kcat} * E3_5_2_3 * C00337 * C00001 )/(${Variables:E3_5_2_3_km} + (E3_5_2_3 * C00337 * C00001 ))</v>
      </c>
    </row>
    <row r="504" spans="1:10">
      <c r="A504" s="19" t="s">
        <v>4668</v>
      </c>
      <c r="B504" s="1" t="s">
        <v>11596</v>
      </c>
      <c r="C504" s="32">
        <v>503</v>
      </c>
      <c r="D504" t="str">
        <f t="shared" si="32"/>
        <v>E3_5_2_7</v>
      </c>
      <c r="E504" s="10" t="s">
        <v>10055</v>
      </c>
      <c r="F504" s="10" t="s">
        <v>12214</v>
      </c>
      <c r="G504" s="13" t="s">
        <v>10056</v>
      </c>
      <c r="H504" s="13" t="s">
        <v>10056</v>
      </c>
      <c r="I504" t="str">
        <f t="shared" si="31"/>
        <v>(${Variables:E3_5_2_7_kcat} * E3_5_2_7 * C03680 * C00001 )/(${Variables:E3_5_2_7_km} + (E3_5_2_7 * C03680 * C00001 ))</v>
      </c>
      <c r="J504" t="str">
        <f t="shared" si="33"/>
        <v>r503: C03680 + C00001  -&gt;  C00439 | (${Variables:E3_5_2_7_kcat} * E3_5_2_7 * C03680 * C00001 )/(${Variables:E3_5_2_7_km} + (E3_5_2_7 * C03680 * C00001 ))</v>
      </c>
    </row>
    <row r="505" spans="1:10">
      <c r="A505" s="19" t="s">
        <v>2503</v>
      </c>
      <c r="B505" s="1" t="s">
        <v>11597</v>
      </c>
      <c r="C505" s="32">
        <v>504</v>
      </c>
      <c r="D505" t="str">
        <f t="shared" si="32"/>
        <v>E3_5_3_1</v>
      </c>
      <c r="E505" s="10" t="s">
        <v>9721</v>
      </c>
      <c r="F505" s="10" t="s">
        <v>12215</v>
      </c>
      <c r="G505" s="13" t="s">
        <v>9722</v>
      </c>
      <c r="H505" s="13" t="s">
        <v>12636</v>
      </c>
      <c r="I505" t="str">
        <f t="shared" si="31"/>
        <v>(${Variables:E3_5_3_1_kcat} * E3_5_3_1 * C00062 * C00001 )/(${Variables:E3_5_3_1_km} + (E3_5_3_1 * C00062 * C00001 ))</v>
      </c>
      <c r="J505" t="str">
        <f t="shared" si="33"/>
        <v>r504: C00062 + C00001  -&gt; C00077 + C00086 | (${Variables:E3_5_3_1_kcat} * E3_5_3_1 * C00062 * C00001 )/(${Variables:E3_5_3_1_km} + (E3_5_3_1 * C00062 * C00001 ))</v>
      </c>
    </row>
    <row r="506" spans="1:10">
      <c r="A506" s="19" t="s">
        <v>797</v>
      </c>
      <c r="B506" s="1" t="s">
        <v>11598</v>
      </c>
      <c r="C506" s="32">
        <v>505</v>
      </c>
      <c r="D506" t="str">
        <f t="shared" si="32"/>
        <v>E3_5_4_10</v>
      </c>
      <c r="E506" s="10" t="s">
        <v>11823</v>
      </c>
      <c r="F506" s="10" t="s">
        <v>12216</v>
      </c>
      <c r="G506" s="13" t="s">
        <v>9397</v>
      </c>
      <c r="H506" s="13" t="s">
        <v>9397</v>
      </c>
      <c r="I506" t="str">
        <f t="shared" si="31"/>
        <v>(${Variables:E3_5_4_10_kcat} * E3_5_4_10 * C00130 * C00001)/(${Variables:E3_5_4_10_km} + (E3_5_4_10 * C00130 * C00001))</v>
      </c>
      <c r="J506" t="str">
        <f t="shared" si="33"/>
        <v>r505: C00130 + C00001 -&gt;  C04734 | (${Variables:E3_5_4_10_kcat} * E3_5_4_10 * C00130 * C00001)/(${Variables:E3_5_4_10_km} + (E3_5_4_10 * C00130 * C00001))</v>
      </c>
    </row>
    <row r="507" spans="1:10">
      <c r="A507" s="19" t="s">
        <v>2572</v>
      </c>
      <c r="B507" s="1" t="s">
        <v>11599</v>
      </c>
      <c r="C507" s="32">
        <v>506</v>
      </c>
      <c r="D507" t="str">
        <f t="shared" si="32"/>
        <v>E3_5_4_16</v>
      </c>
      <c r="E507" s="10" t="s">
        <v>9732</v>
      </c>
      <c r="F507" s="10" t="s">
        <v>12217</v>
      </c>
      <c r="G507" s="13" t="s">
        <v>9733</v>
      </c>
      <c r="H507" s="13" t="s">
        <v>12637</v>
      </c>
      <c r="I507" t="str">
        <f t="shared" si="31"/>
        <v>(${Variables:E3_5_4_16_kcat} * E3_5_4_16 * C00044 * C00001 )/(${Variables:E3_5_4_16_km} + (E3_5_4_16 * C00044 * C00001 ))</v>
      </c>
      <c r="J507" t="str">
        <f t="shared" si="33"/>
        <v>r506: C00044 + C00001  -&gt;  C04895 + C00058 | (${Variables:E3_5_4_16_kcat} * E3_5_4_16 * C00044 * C00001 )/(${Variables:E3_5_4_16_km} + (E3_5_4_16 * C00044 * C00001 ))</v>
      </c>
    </row>
    <row r="508" spans="1:10">
      <c r="A508" s="19" t="s">
        <v>2572</v>
      </c>
      <c r="B508" s="1" t="s">
        <v>11599</v>
      </c>
      <c r="C508" s="32">
        <v>507</v>
      </c>
      <c r="D508" t="str">
        <f t="shared" si="32"/>
        <v>E3_5_4_16</v>
      </c>
      <c r="E508" s="10" t="s">
        <v>9734</v>
      </c>
      <c r="F508" s="10" t="s">
        <v>12218</v>
      </c>
      <c r="G508" s="13" t="s">
        <v>9735</v>
      </c>
      <c r="H508" s="13" t="s">
        <v>9735</v>
      </c>
      <c r="I508" t="str">
        <f t="shared" si="31"/>
        <v>(${Variables:E3_5_4_16_kcat} * E3_5_4_16 * C00044 * C00001)/(${Variables:E3_5_4_16_km} + (E3_5_4_16 * C00044 * C00001))</v>
      </c>
      <c r="J508" t="str">
        <f t="shared" si="33"/>
        <v>r507: C00044 + C00001 -&gt;  C05922 | (${Variables:E3_5_4_16_kcat} * E3_5_4_16 * C00044 * C00001)/(${Variables:E3_5_4_16_km} + (E3_5_4_16 * C00044 * C00001))</v>
      </c>
    </row>
    <row r="509" spans="1:10">
      <c r="A509" s="19" t="s">
        <v>2572</v>
      </c>
      <c r="B509" s="1" t="s">
        <v>11599</v>
      </c>
      <c r="C509" s="32">
        <v>508</v>
      </c>
      <c r="D509" t="str">
        <f t="shared" si="32"/>
        <v>E3_5_4_16</v>
      </c>
      <c r="E509" s="10" t="s">
        <v>9736</v>
      </c>
      <c r="F509" s="10" t="s">
        <v>12219</v>
      </c>
      <c r="G509" s="13" t="s">
        <v>9737</v>
      </c>
      <c r="H509" s="13" t="s">
        <v>9737</v>
      </c>
      <c r="I509" t="str">
        <f t="shared" si="31"/>
        <v>(${Variables:E3_5_4_16_kcat} * E3_5_4_16 * C04895 * C00001 )/(${Variables:E3_5_4_16_km} + (E3_5_4_16 * C04895 * C00001 ))</v>
      </c>
      <c r="J509" t="str">
        <f t="shared" si="33"/>
        <v>r508: C04895 + C00001  -&gt;  C06148 | (${Variables:E3_5_4_16_kcat} * E3_5_4_16 * C04895 * C00001 )/(${Variables:E3_5_4_16_km} + (E3_5_4_16 * C04895 * C00001 ))</v>
      </c>
    </row>
    <row r="510" spans="1:10">
      <c r="A510" s="19" t="s">
        <v>2572</v>
      </c>
      <c r="B510" s="1" t="s">
        <v>11599</v>
      </c>
      <c r="C510" s="32">
        <v>509</v>
      </c>
      <c r="D510" t="str">
        <f t="shared" si="32"/>
        <v>E3_5_4_16</v>
      </c>
      <c r="E510" s="10" t="s">
        <v>9738</v>
      </c>
      <c r="F510" s="10" t="s">
        <v>12220</v>
      </c>
      <c r="G510" s="13" t="s">
        <v>9739</v>
      </c>
      <c r="H510" s="13" t="s">
        <v>12638</v>
      </c>
      <c r="I510" t="str">
        <f t="shared" si="31"/>
        <v>(${Variables:E3_5_4_16_kcat} * E3_5_4_16 * C05922 * C00001 )/(${Variables:E3_5_4_16_km} + (E3_5_4_16 * C05922 * C00001 ))</v>
      </c>
      <c r="J510" t="str">
        <f t="shared" si="33"/>
        <v>r509: C05922 + C00001  -&gt; C05923 + C00058 | (${Variables:E3_5_4_16_kcat} * E3_5_4_16 * C05922 * C00001 )/(${Variables:E3_5_4_16_km} + (E3_5_4_16 * C05922 * C00001 ))</v>
      </c>
    </row>
    <row r="511" spans="1:10">
      <c r="A511" s="19" t="s">
        <v>2572</v>
      </c>
      <c r="B511" s="1" t="s">
        <v>11599</v>
      </c>
      <c r="C511" s="32">
        <v>510</v>
      </c>
      <c r="D511" t="str">
        <f t="shared" si="32"/>
        <v>E3_5_4_16</v>
      </c>
      <c r="E511" s="10" t="s">
        <v>9740</v>
      </c>
      <c r="F511" s="10" t="s">
        <v>9740</v>
      </c>
      <c r="G511" s="13" t="s">
        <v>9741</v>
      </c>
      <c r="H511" s="13" t="s">
        <v>9741</v>
      </c>
      <c r="I511" t="str">
        <f t="shared" si="31"/>
        <v>(${Variables:E3_5_4_16_kcat} * E3_5_4_16 * C05923)/(${Variables:E3_5_4_16_km} + (E3_5_4_16 * C05923))</v>
      </c>
      <c r="J511" t="str">
        <f t="shared" si="33"/>
        <v>r510: C05923 -&gt; C06148 | (${Variables:E3_5_4_16_kcat} * E3_5_4_16 * C05923)/(${Variables:E3_5_4_16_km} + (E3_5_4_16 * C05923))</v>
      </c>
    </row>
    <row r="512" spans="1:10">
      <c r="A512" s="19" t="s">
        <v>1072</v>
      </c>
      <c r="B512" s="1" t="s">
        <v>11600</v>
      </c>
      <c r="C512" s="32">
        <v>511</v>
      </c>
      <c r="D512" t="str">
        <f t="shared" si="32"/>
        <v>E3_5_4_19</v>
      </c>
      <c r="E512" s="10" t="s">
        <v>11824</v>
      </c>
      <c r="F512" s="10" t="s">
        <v>12221</v>
      </c>
      <c r="G512" s="11" t="s">
        <v>9452</v>
      </c>
      <c r="H512" s="11" t="s">
        <v>9452</v>
      </c>
      <c r="I512" t="str">
        <f t="shared" si="31"/>
        <v>(${Variables:E3_5_4_19_kcat} * E3_5_4_19 * C02741 * C00001 )/(${Variables:E3_5_4_19_km} + (E3_5_4_19 * C02741 * C00001 ))</v>
      </c>
      <c r="J512" t="str">
        <f t="shared" si="33"/>
        <v>r511: C02741 + C00001  -&gt; C04896 | (${Variables:E3_5_4_19_kcat} * E3_5_4_19 * C02741 * C00001 )/(${Variables:E3_5_4_19_km} + (E3_5_4_19 * C02741 * C00001 ))</v>
      </c>
    </row>
    <row r="513" spans="1:10">
      <c r="A513" s="19" t="s">
        <v>3205</v>
      </c>
      <c r="B513" s="1" t="s">
        <v>11601</v>
      </c>
      <c r="C513" s="32">
        <v>512</v>
      </c>
      <c r="D513" t="str">
        <f t="shared" si="32"/>
        <v>E3_5_4_2</v>
      </c>
      <c r="E513" s="10" t="s">
        <v>9804</v>
      </c>
      <c r="F513" s="10" t="s">
        <v>12222</v>
      </c>
      <c r="G513" s="13" t="s">
        <v>9805</v>
      </c>
      <c r="H513" s="13" t="s">
        <v>12639</v>
      </c>
      <c r="I513" t="str">
        <f t="shared" si="31"/>
        <v>(${Variables:E3_5_4_2_kcat} * E3_5_4_2 * C00147 * C00001 )/(${Variables:E3_5_4_2_km} + (E3_5_4_2 * C00147 * C00001 ))</v>
      </c>
      <c r="J513" t="str">
        <f t="shared" si="33"/>
        <v>r512: C00147 + C00001  -&gt; C00262 + C00014 | (${Variables:E3_5_4_2_kcat} * E3_5_4_2 * C00147 * C00001 )/(${Variables:E3_5_4_2_km} + (E3_5_4_2 * C00147 * C00001 ))</v>
      </c>
    </row>
    <row r="514" spans="1:10">
      <c r="A514" s="19" t="s">
        <v>4321</v>
      </c>
      <c r="B514" s="1" t="s">
        <v>11602</v>
      </c>
      <c r="C514" s="32">
        <v>513</v>
      </c>
      <c r="D514" t="str">
        <f t="shared" si="32"/>
        <v>E3_5_4_25</v>
      </c>
      <c r="E514" s="10" t="s">
        <v>9732</v>
      </c>
      <c r="F514" s="62" t="s">
        <v>12217</v>
      </c>
      <c r="G514" s="13" t="s">
        <v>12897</v>
      </c>
      <c r="H514" s="13" t="s">
        <v>12936</v>
      </c>
      <c r="I514" t="str">
        <f t="shared" si="31"/>
        <v>(${Variables:E3_5_4_25_kcat} * E3_5_4_25 * C00044 * C00001 )/(${Variables:E3_5_4_25_km} + (E3_5_4_25 * C00044 * C00001 ))</v>
      </c>
      <c r="J514" t="str">
        <f t="shared" si="33"/>
        <v>r513: C00044 + C00001  -&gt; C00058 + C01304 + C00009 | (${Variables:E3_5_4_25_kcat} * E3_5_4_25 * C00044 * C00001 )/(${Variables:E3_5_4_25_km} + (E3_5_4_25 * C00044 * C00001 ))</v>
      </c>
    </row>
    <row r="515" spans="1:10">
      <c r="A515" s="19" t="s">
        <v>4754</v>
      </c>
      <c r="B515" s="1" t="s">
        <v>11603</v>
      </c>
      <c r="C515" s="32">
        <v>514</v>
      </c>
      <c r="D515" t="str">
        <f t="shared" si="32"/>
        <v>E3_5_4_26</v>
      </c>
      <c r="E515" s="10" t="s">
        <v>10085</v>
      </c>
      <c r="F515" s="10" t="s">
        <v>12223</v>
      </c>
      <c r="G515" s="13" t="s">
        <v>10086</v>
      </c>
      <c r="H515" s="13" t="s">
        <v>12640</v>
      </c>
      <c r="I515" t="str">
        <f t="shared" ref="I515:I578" si="34">CONCATENATE("(${Variables:",D515,"_kcat","} * ",D515," * ",F515,")","/(${Variables:",D515,"_km","} + (",D515," * ",F515,"))")</f>
        <v>(${Variables:E3_5_4_26_kcat} * E3_5_4_26 * C01304 * C00001 )/(${Variables:E3_5_4_26_km} + (E3_5_4_26 * C01304 * C00001 ))</v>
      </c>
      <c r="J515" t="str">
        <f t="shared" si="33"/>
        <v>r514: C01304 + C00001  -&gt;  C01268 + C00014 | (${Variables:E3_5_4_26_kcat} * E3_5_4_26 * C01304 * C00001 )/(${Variables:E3_5_4_26_km} + (E3_5_4_26 * C01304 * C00001 ))</v>
      </c>
    </row>
    <row r="516" spans="1:10">
      <c r="A516" s="19" t="s">
        <v>8500</v>
      </c>
      <c r="B516" s="1" t="s">
        <v>11604</v>
      </c>
      <c r="C516" s="32">
        <v>515</v>
      </c>
      <c r="D516" t="str">
        <f t="shared" si="32"/>
        <v>E3_5_4_3</v>
      </c>
      <c r="E516" s="11" t="s">
        <v>10546</v>
      </c>
      <c r="F516" s="11" t="s">
        <v>12224</v>
      </c>
      <c r="G516" s="13" t="s">
        <v>10547</v>
      </c>
      <c r="H516" s="13" t="s">
        <v>12641</v>
      </c>
      <c r="I516" t="str">
        <f t="shared" si="34"/>
        <v>(${Variables:E3_5_4_3_kcat} * E3_5_4_3 * C00242 * C00001 )/(${Variables:E3_5_4_3_km} + (E3_5_4_3 * C00242 * C00001 ))</v>
      </c>
      <c r="J516" t="str">
        <f t="shared" si="33"/>
        <v>r515: C00242 + C00001  -&gt; C00385 + C00014 | (${Variables:E3_5_4_3_kcat} * E3_5_4_3 * C00242 * C00001 )/(${Variables:E3_5_4_3_km} + (E3_5_4_3 * C00242 * C00001 ))</v>
      </c>
    </row>
    <row r="517" spans="1:10">
      <c r="A517" s="19" t="s">
        <v>1262</v>
      </c>
      <c r="B517" s="1" t="s">
        <v>11605</v>
      </c>
      <c r="C517" s="32">
        <v>516</v>
      </c>
      <c r="D517" t="str">
        <f t="shared" si="32"/>
        <v>E3_5_4_5</v>
      </c>
      <c r="E517" s="10" t="s">
        <v>11825</v>
      </c>
      <c r="F517" s="10" t="s">
        <v>12225</v>
      </c>
      <c r="G517" s="13" t="s">
        <v>11826</v>
      </c>
      <c r="H517" s="13" t="s">
        <v>12642</v>
      </c>
      <c r="I517" t="str">
        <f t="shared" si="34"/>
        <v>(${Variables:E3_5_4_5_kcat} * E3_5_4_5 * C00475 *  C00001)/(${Variables:E3_5_4_5_km} + (E3_5_4_5 * C00475 *  C00001))</v>
      </c>
      <c r="J517" t="str">
        <f t="shared" si="33"/>
        <v>r516: C00475 +  C00001 -&gt;  C00299 + C00014 | (${Variables:E3_5_4_5_kcat} * E3_5_4_5 * C00475 *  C00001)/(${Variables:E3_5_4_5_km} + (E3_5_4_5 * C00475 *  C00001))</v>
      </c>
    </row>
    <row r="518" spans="1:10">
      <c r="A518" s="19" t="s">
        <v>1262</v>
      </c>
      <c r="B518" s="1" t="s">
        <v>11605</v>
      </c>
      <c r="C518" s="32">
        <v>517</v>
      </c>
      <c r="D518" t="str">
        <f t="shared" si="32"/>
        <v>E3_5_4_5</v>
      </c>
      <c r="E518" s="10" t="s">
        <v>11827</v>
      </c>
      <c r="F518" s="10" t="s">
        <v>12226</v>
      </c>
      <c r="G518" s="13" t="s">
        <v>11828</v>
      </c>
      <c r="H518" s="13" t="s">
        <v>12643</v>
      </c>
      <c r="I518" t="str">
        <f t="shared" si="34"/>
        <v>(${Variables:E3_5_4_5_kcat} * E3_5_4_5 * C00881 * C00001 )/(${Variables:E3_5_4_5_km} + (E3_5_4_5 * C00881 * C00001 ))</v>
      </c>
      <c r="J518" t="str">
        <f t="shared" si="33"/>
        <v>r517: C00881 + C00001  -&gt;  C00526 + C00014 | (${Variables:E3_5_4_5_kcat} * E3_5_4_5 * C00881 * C00001 )/(${Variables:E3_5_4_5_km} + (E3_5_4_5 * C00881 * C00001 ))</v>
      </c>
    </row>
    <row r="519" spans="1:10">
      <c r="A519" s="19" t="s">
        <v>1262</v>
      </c>
      <c r="B519" s="1" t="s">
        <v>11605</v>
      </c>
      <c r="C519" s="32">
        <v>518</v>
      </c>
      <c r="D519" t="str">
        <f t="shared" si="32"/>
        <v>E3_5_4_5</v>
      </c>
      <c r="E519" s="10" t="s">
        <v>11829</v>
      </c>
      <c r="F519" s="10" t="s">
        <v>12227</v>
      </c>
      <c r="G519" s="13" t="s">
        <v>11830</v>
      </c>
      <c r="H519" s="13" t="s">
        <v>12644</v>
      </c>
      <c r="I519" t="str">
        <f t="shared" si="34"/>
        <v>(${Variables:E3_5_4_5_kcat} * E3_5_4_5 * C16635 * C00001)/(${Variables:E3_5_4_5_km} + (E3_5_4_5 * C16635 * C00001))</v>
      </c>
      <c r="J519" t="str">
        <f t="shared" si="33"/>
        <v>r518: C16635 + C00001 -&gt; C12739 + C00014 | (${Variables:E3_5_4_5_kcat} * E3_5_4_5 * C16635 * C00001)/(${Variables:E3_5_4_5_km} + (E3_5_4_5 * C16635 * C00001))</v>
      </c>
    </row>
    <row r="520" spans="1:10">
      <c r="A520" s="19" t="s">
        <v>4519</v>
      </c>
      <c r="B520" s="1" t="s">
        <v>11606</v>
      </c>
      <c r="C520" s="32">
        <v>519</v>
      </c>
      <c r="D520" t="str">
        <f t="shared" si="32"/>
        <v>E3_5_99_6</v>
      </c>
      <c r="E520" s="10" t="s">
        <v>10041</v>
      </c>
      <c r="F520" s="10" t="s">
        <v>12228</v>
      </c>
      <c r="G520" s="13" t="s">
        <v>10042</v>
      </c>
      <c r="H520" s="13" t="s">
        <v>12645</v>
      </c>
      <c r="I520" t="str">
        <f t="shared" si="34"/>
        <v>(${Variables:E3_5_99_6_kcat} * E3_5_99_6 * C00352 * C00001 )/(${Variables:E3_5_99_6_km} + (E3_5_99_6 * C00352 * C00001 ))</v>
      </c>
      <c r="J520" t="str">
        <f t="shared" si="33"/>
        <v>r519: C00352 + C00001  -&gt; C00085 + C00014 | (${Variables:E3_5_99_6_kcat} * E3_5_99_6 * C00352 * C00001 )/(${Variables:E3_5_99_6_km} + (E3_5_99_6 * C00352 * C00001 ))</v>
      </c>
    </row>
    <row r="521" spans="1:10">
      <c r="A521" s="19" t="s">
        <v>6046</v>
      </c>
      <c r="B521" s="1" t="s">
        <v>11606</v>
      </c>
      <c r="C521" s="32">
        <v>520</v>
      </c>
      <c r="D521" t="str">
        <f t="shared" si="32"/>
        <v>E3_5_99_6</v>
      </c>
      <c r="E521" s="10" t="s">
        <v>10041</v>
      </c>
      <c r="F521" s="10" t="s">
        <v>12228</v>
      </c>
      <c r="G521" s="13" t="s">
        <v>10227</v>
      </c>
      <c r="H521" s="13" t="s">
        <v>12646</v>
      </c>
      <c r="I521" t="str">
        <f t="shared" si="34"/>
        <v>(${Variables:E3_5_99_6_kcat} * E3_5_99_6 * C00352 * C00001 )/(${Variables:E3_5_99_6_km} + (E3_5_99_6 * C00352 * C00001 ))</v>
      </c>
      <c r="J521" t="str">
        <f t="shared" si="33"/>
        <v>r520: C00352 + C00001  -&gt;  C00085 + C00014 | (${Variables:E3_5_99_6_kcat} * E3_5_99_6 * C00352 * C00001 )/(${Variables:E3_5_99_6_km} + (E3_5_99_6 * C00352 * C00001 ))</v>
      </c>
    </row>
    <row r="522" spans="1:10">
      <c r="A522" s="19" t="s">
        <v>4881</v>
      </c>
      <c r="B522" s="1" t="s">
        <v>11607</v>
      </c>
      <c r="C522" s="32">
        <v>521</v>
      </c>
      <c r="D522" t="str">
        <f t="shared" si="32"/>
        <v>E3_6_1_1</v>
      </c>
      <c r="E522" s="10" t="s">
        <v>10112</v>
      </c>
      <c r="F522" s="10" t="s">
        <v>12229</v>
      </c>
      <c r="G522" s="13" t="s">
        <v>12898</v>
      </c>
      <c r="H522" s="13" t="s">
        <v>12937</v>
      </c>
      <c r="I522" t="str">
        <f t="shared" si="34"/>
        <v>(${Variables:E3_6_1_1_kcat} * E3_6_1_1 * C00013 * C00001)/(${Variables:E3_6_1_1_km} + (E3_6_1_1 * C00013 * C00001))</v>
      </c>
      <c r="J522" t="str">
        <f>CONCATENATE("r",C522,": ",E522," -&gt; ",G522," | ",I522)</f>
        <v>r521: C00013 + C00001 -&gt; C00009 | (${Variables:E3_6_1_1_kcat} * E3_6_1_1 * C00013 * C00001)/(${Variables:E3_6_1_1_km} + (E3_6_1_1 * C00013 * C00001))</v>
      </c>
    </row>
    <row r="523" spans="1:10">
      <c r="A523" s="19" t="s">
        <v>4287</v>
      </c>
      <c r="B523" s="1" t="s">
        <v>11608</v>
      </c>
      <c r="C523" s="32">
        <v>522</v>
      </c>
      <c r="D523" t="str">
        <f t="shared" si="32"/>
        <v>E3_6_1_22</v>
      </c>
      <c r="E523" s="10" t="s">
        <v>9994</v>
      </c>
      <c r="F523" s="10" t="s">
        <v>12230</v>
      </c>
      <c r="G523" s="10" t="s">
        <v>12899</v>
      </c>
      <c r="H523" s="10" t="s">
        <v>12900</v>
      </c>
      <c r="I523" t="str">
        <f t="shared" si="34"/>
        <v>(${Variables:E3_6_1_22_kcat} * E3_6_1_22 *  C00020 * C00013 * C03512)/(${Variables:E3_6_1_22_km} + (E3_6_1_22 *  C00020 * C00013 * C03512))</v>
      </c>
      <c r="J523" t="str">
        <f>CONCATENATE("r",C523,": ",E523," -&gt; ",G523," | ",I523)</f>
        <v>r522:  C00020 + C00013 + C03512 -&gt; C00002 + C00078 + C01652  | (${Variables:E3_6_1_22_kcat} * E3_6_1_22 *  C00020 * C00013 * C03512)/(${Variables:E3_6_1_22_km} + (E3_6_1_22 *  C00020 * C00013 * C03512))</v>
      </c>
    </row>
    <row r="524" spans="1:10">
      <c r="A524" s="19" t="s">
        <v>3635</v>
      </c>
      <c r="B524" s="1" t="s">
        <v>11609</v>
      </c>
      <c r="C524" s="32">
        <v>523</v>
      </c>
      <c r="D524" t="str">
        <f t="shared" si="32"/>
        <v>E3_6_1_23</v>
      </c>
      <c r="E524" s="10" t="s">
        <v>9902</v>
      </c>
      <c r="F524" s="10" t="s">
        <v>12231</v>
      </c>
      <c r="G524" s="13" t="s">
        <v>9903</v>
      </c>
      <c r="H524" s="13" t="s">
        <v>12647</v>
      </c>
      <c r="I524" t="str">
        <f t="shared" si="34"/>
        <v>(${Variables:E3_6_1_23_kcat} * E3_6_1_23 * C00460 * C00001)/(${Variables:E3_6_1_23_km} + (E3_6_1_23 * C00460 * C00001))</v>
      </c>
      <c r="J524" t="str">
        <f t="shared" si="33"/>
        <v>r523: C00460 + C00001 -&gt;  C00365 + C00013 | (${Variables:E3_6_1_23_kcat} * E3_6_1_23 * C00460 * C00001)/(${Variables:E3_6_1_23_km} + (E3_6_1_23 * C00460 * C00001))</v>
      </c>
    </row>
    <row r="525" spans="1:10">
      <c r="A525" s="19" t="s">
        <v>3635</v>
      </c>
      <c r="B525" s="1" t="s">
        <v>11609</v>
      </c>
      <c r="C525" s="32">
        <v>524</v>
      </c>
      <c r="D525" t="str">
        <f t="shared" si="32"/>
        <v>E3_6_1_23</v>
      </c>
      <c r="E525" s="21" t="s">
        <v>9904</v>
      </c>
      <c r="F525" s="21" t="s">
        <v>12232</v>
      </c>
      <c r="G525" s="13" t="s">
        <v>9905</v>
      </c>
      <c r="H525" s="13" t="s">
        <v>12648</v>
      </c>
      <c r="I525" t="str">
        <f t="shared" si="34"/>
        <v>(${Variables:E3_6_1_23_kcat} * E3_6_1_23 * C21751 * C00001)/(${Variables:E3_6_1_23_km} + (E3_6_1_23 * C21751 * C00001))</v>
      </c>
      <c r="J525" t="str">
        <f t="shared" si="33"/>
        <v>r524: C21751 + C00001 -&gt;  C04242 + C00013 | (${Variables:E3_6_1_23_kcat} * E3_6_1_23 * C21751 * C00001)/(${Variables:E3_6_1_23_km} + (E3_6_1_23 * C21751 * C00001))</v>
      </c>
    </row>
    <row r="526" spans="1:10">
      <c r="A526" s="19" t="s">
        <v>1072</v>
      </c>
      <c r="B526" s="1" t="s">
        <v>11610</v>
      </c>
      <c r="C526" s="32">
        <v>525</v>
      </c>
      <c r="D526" t="str">
        <f t="shared" si="32"/>
        <v>E3_6_1_31</v>
      </c>
      <c r="E526" s="10" t="s">
        <v>11831</v>
      </c>
      <c r="F526" s="10" t="s">
        <v>12233</v>
      </c>
      <c r="G526" s="13" t="s">
        <v>11832</v>
      </c>
      <c r="H526" s="13" t="s">
        <v>12649</v>
      </c>
      <c r="I526" t="str">
        <f t="shared" si="34"/>
        <v>(${Variables:E3_6_1_31_kcat} * E3_6_1_31 * C02739 * C00001)/(${Variables:E3_6_1_31_km} + (E3_6_1_31 * C02739 * C00001))</v>
      </c>
      <c r="J526" t="str">
        <f t="shared" si="33"/>
        <v>r525: C02739 + C00001 -&gt; C02741 + C00013 | (${Variables:E3_6_1_31_kcat} * E3_6_1_31 * C02739 * C00001)/(${Variables:E3_6_1_31_km} + (E3_6_1_31 * C02739 * C00001))</v>
      </c>
    </row>
    <row r="527" spans="1:10">
      <c r="A527" s="19" t="s">
        <v>4921</v>
      </c>
      <c r="B527" s="1" t="s">
        <v>11611</v>
      </c>
      <c r="C527" s="32">
        <v>526</v>
      </c>
      <c r="D527" t="str">
        <f t="shared" si="32"/>
        <v>E3_6_1_9</v>
      </c>
      <c r="E527" s="10" t="s">
        <v>10124</v>
      </c>
      <c r="F527" s="10" t="s">
        <v>12234</v>
      </c>
      <c r="G527" s="13" t="s">
        <v>10125</v>
      </c>
      <c r="H527" s="13" t="s">
        <v>12650</v>
      </c>
      <c r="I527" t="str">
        <f t="shared" si="34"/>
        <v>(${Variables:E3_6_1_9_kcat} * E3_6_1_9 * C00201 * C00001)/(${Variables:E3_6_1_9_km} + (E3_6_1_9 * C00201 * C00001))</v>
      </c>
      <c r="J527" t="str">
        <f t="shared" si="33"/>
        <v>r526: C00201 + C00001 -&gt; C00215 + C00013 | (${Variables:E3_6_1_9_kcat} * E3_6_1_9 * C00201 * C00001)/(${Variables:E3_6_1_9_km} + (E3_6_1_9 * C00201 * C00001))</v>
      </c>
    </row>
    <row r="528" spans="1:10">
      <c r="A528" s="19" t="s">
        <v>4921</v>
      </c>
      <c r="B528" s="1" t="s">
        <v>11611</v>
      </c>
      <c r="C528" s="32">
        <v>527</v>
      </c>
      <c r="D528" t="str">
        <f t="shared" si="32"/>
        <v>E3_6_1_9</v>
      </c>
      <c r="E528" s="10" t="s">
        <v>10126</v>
      </c>
      <c r="F528" s="10" t="s">
        <v>12235</v>
      </c>
      <c r="G528" s="13" t="s">
        <v>10127</v>
      </c>
      <c r="H528" s="13" t="s">
        <v>12651</v>
      </c>
      <c r="I528" t="str">
        <f t="shared" si="34"/>
        <v>(${Variables:E3_6_1_9_kcat} * E3_6_1_9 * C00002 * C00001)/(${Variables:E3_6_1_9_km} + (E3_6_1_9 * C00002 * C00001))</v>
      </c>
      <c r="J528" t="str">
        <f t="shared" si="33"/>
        <v>r527: C00002 + C00001 -&gt;  C00020 + C00013 | (${Variables:E3_6_1_9_kcat} * E3_6_1_9 * C00002 * C00001)/(${Variables:E3_6_1_9_km} + (E3_6_1_9 * C00002 * C00001))</v>
      </c>
    </row>
    <row r="529" spans="1:10">
      <c r="A529" s="19" t="s">
        <v>4921</v>
      </c>
      <c r="B529" s="1" t="s">
        <v>11611</v>
      </c>
      <c r="C529" s="32">
        <v>528</v>
      </c>
      <c r="D529" t="str">
        <f t="shared" si="32"/>
        <v>E3_6_1_9</v>
      </c>
      <c r="E529" s="10" t="s">
        <v>9732</v>
      </c>
      <c r="F529" s="10" t="s">
        <v>12217</v>
      </c>
      <c r="G529" s="13" t="s">
        <v>10128</v>
      </c>
      <c r="H529" s="13" t="s">
        <v>12652</v>
      </c>
      <c r="I529" t="str">
        <f t="shared" si="34"/>
        <v>(${Variables:E3_6_1_9_kcat} * E3_6_1_9 * C00044 * C00001 )/(${Variables:E3_6_1_9_km} + (E3_6_1_9 * C00044 * C00001 ))</v>
      </c>
      <c r="J529" t="str">
        <f t="shared" si="33"/>
        <v>r528: C00044 + C00001  -&gt;  C00144 + C00013 | (${Variables:E3_6_1_9_kcat} * E3_6_1_9 * C00044 * C00001 )/(${Variables:E3_6_1_9_km} + (E3_6_1_9 * C00044 * C00001 ))</v>
      </c>
    </row>
    <row r="530" spans="1:10">
      <c r="A530" s="19" t="s">
        <v>4921</v>
      </c>
      <c r="B530" s="1" t="s">
        <v>11611</v>
      </c>
      <c r="C530" s="32">
        <v>529</v>
      </c>
      <c r="D530" t="str">
        <f t="shared" si="32"/>
        <v>E3_6_1_9</v>
      </c>
      <c r="E530" s="10" t="s">
        <v>10129</v>
      </c>
      <c r="F530" s="10" t="s">
        <v>12236</v>
      </c>
      <c r="G530" s="13" t="s">
        <v>10130</v>
      </c>
      <c r="H530" s="13" t="s">
        <v>12653</v>
      </c>
      <c r="I530" t="str">
        <f t="shared" si="34"/>
        <v>(${Variables:E3_6_1_9_kcat} * E3_6_1_9 * C00063 * C00001 )/(${Variables:E3_6_1_9_km} + (E3_6_1_9 * C00063 * C00001 ))</v>
      </c>
      <c r="J530" t="str">
        <f t="shared" si="33"/>
        <v>r529: C00063 + C00001  -&gt; C00055 + C00013 | (${Variables:E3_6_1_9_kcat} * E3_6_1_9 * C00063 * C00001 )/(${Variables:E3_6_1_9_km} + (E3_6_1_9 * C00063 * C00001 ))</v>
      </c>
    </row>
    <row r="531" spans="1:10">
      <c r="A531" s="19" t="s">
        <v>4921</v>
      </c>
      <c r="B531" s="1" t="s">
        <v>11611</v>
      </c>
      <c r="C531" s="32">
        <v>530</v>
      </c>
      <c r="D531" t="str">
        <f t="shared" si="32"/>
        <v>E3_6_1_9</v>
      </c>
      <c r="E531" s="10" t="s">
        <v>10131</v>
      </c>
      <c r="F531" s="10" t="s">
        <v>12237</v>
      </c>
      <c r="G531" s="13" t="s">
        <v>10132</v>
      </c>
      <c r="H531" s="13" t="s">
        <v>12044</v>
      </c>
      <c r="I531" t="str">
        <f t="shared" si="34"/>
        <v>(${Variables:E3_6_1_9_kcat} * E3_6_1_9 * C00075 * C00001 )/(${Variables:E3_6_1_9_km} + (E3_6_1_9 * C00075 * C00001 ))</v>
      </c>
      <c r="J531" t="str">
        <f t="shared" si="33"/>
        <v>r530: C00075 + C00001  -&gt; C00105 + C00013 | (${Variables:E3_6_1_9_kcat} * E3_6_1_9 * C00075 * C00001 )/(${Variables:E3_6_1_9_km} + (E3_6_1_9 * C00075 * C00001 ))</v>
      </c>
    </row>
    <row r="532" spans="1:10">
      <c r="A532" s="19" t="s">
        <v>4921</v>
      </c>
      <c r="B532" s="1" t="s">
        <v>11611</v>
      </c>
      <c r="C532" s="32">
        <v>531</v>
      </c>
      <c r="D532" t="str">
        <f t="shared" si="32"/>
        <v>E3_6_1_9</v>
      </c>
      <c r="E532" s="10" t="s">
        <v>10133</v>
      </c>
      <c r="F532" s="10" t="s">
        <v>12238</v>
      </c>
      <c r="G532" s="13" t="s">
        <v>10134</v>
      </c>
      <c r="H532" s="13" t="s">
        <v>12654</v>
      </c>
      <c r="I532" t="str">
        <f t="shared" si="34"/>
        <v>(${Variables:E3_6_1_9_kcat} * E3_6_1_9 * C00459 * C00001 )/(${Variables:E3_6_1_9_km} + (E3_6_1_9 * C00459 * C00001 ))</v>
      </c>
      <c r="J532" t="str">
        <f t="shared" si="33"/>
        <v>r531: C00459 + C00001  -&gt; C00364 + C00013 | (${Variables:E3_6_1_9_kcat} * E3_6_1_9 * C00459 * C00001 )/(${Variables:E3_6_1_9_km} + (E3_6_1_9 * C00459 * C00001 ))</v>
      </c>
    </row>
    <row r="533" spans="1:10">
      <c r="A533" s="19" t="s">
        <v>4921</v>
      </c>
      <c r="B533" s="1" t="s">
        <v>11611</v>
      </c>
      <c r="C533" s="32">
        <v>532</v>
      </c>
      <c r="D533" t="str">
        <f t="shared" si="32"/>
        <v>E3_6_1_9</v>
      </c>
      <c r="E533" s="10" t="s">
        <v>10135</v>
      </c>
      <c r="F533" s="10" t="s">
        <v>12239</v>
      </c>
      <c r="G533" s="13" t="s">
        <v>10136</v>
      </c>
      <c r="H533" s="13" t="s">
        <v>12655</v>
      </c>
      <c r="I533" t="str">
        <f t="shared" si="34"/>
        <v>(${Variables:E3_6_1_9_kcat} * E3_6_1_9 * C00003 * C00001 )/(${Variables:E3_6_1_9_km} + (E3_6_1_9 * C00003 * C00001 ))</v>
      </c>
      <c r="J533" t="str">
        <f t="shared" si="33"/>
        <v>r532: C00003 + C00001  -&gt; C00020 + C00455 | (${Variables:E3_6_1_9_kcat} * E3_6_1_9 * C00003 * C00001 )/(${Variables:E3_6_1_9_km} + (E3_6_1_9 * C00003 * C00001 ))</v>
      </c>
    </row>
    <row r="534" spans="1:10">
      <c r="A534" s="19" t="s">
        <v>4921</v>
      </c>
      <c r="B534" s="1" t="s">
        <v>11611</v>
      </c>
      <c r="C534" s="32">
        <v>533</v>
      </c>
      <c r="D534" t="str">
        <f t="shared" si="32"/>
        <v>E3_6_1_9</v>
      </c>
      <c r="E534" s="10" t="s">
        <v>10137</v>
      </c>
      <c r="F534" s="10" t="s">
        <v>12240</v>
      </c>
      <c r="G534" s="13" t="s">
        <v>10138</v>
      </c>
      <c r="H534" s="13" t="s">
        <v>12656</v>
      </c>
      <c r="I534" t="str">
        <f t="shared" si="34"/>
        <v>(${Variables:E3_6_1_9_kcat} * E3_6_1_9 * C00016 * C00001)/(${Variables:E3_6_1_9_km} + (E3_6_1_9 * C00016 * C00001))</v>
      </c>
      <c r="J534" t="str">
        <f t="shared" si="33"/>
        <v>r533: C00016 + C00001 -&gt;  C00020 + C00061 | (${Variables:E3_6_1_9_kcat} * E3_6_1_9 * C00016 * C00001)/(${Variables:E3_6_1_9_km} + (E3_6_1_9 * C00016 * C00001))</v>
      </c>
    </row>
    <row r="535" spans="1:10">
      <c r="A535" s="19" t="s">
        <v>4921</v>
      </c>
      <c r="B535" s="1" t="s">
        <v>11611</v>
      </c>
      <c r="C535" s="32">
        <v>534</v>
      </c>
      <c r="D535" t="str">
        <f t="shared" si="32"/>
        <v>E3_6_1_9</v>
      </c>
      <c r="E535" s="10" t="s">
        <v>10139</v>
      </c>
      <c r="F535" s="10" t="s">
        <v>12241</v>
      </c>
      <c r="G535" s="13" t="s">
        <v>10140</v>
      </c>
      <c r="H535" s="13" t="s">
        <v>12657</v>
      </c>
      <c r="I535" t="str">
        <f t="shared" si="34"/>
        <v>(${Variables:E3_6_1_9_kcat} * E3_6_1_9 * C00029 * C00001)/(${Variables:E3_6_1_9_km} + (E3_6_1_9 * C00029 * C00001))</v>
      </c>
      <c r="J535" t="str">
        <f t="shared" si="33"/>
        <v>r534: C00029 + C00001 -&gt;  C00105 + C00103 | (${Variables:E3_6_1_9_kcat} * E3_6_1_9 * C00029 * C00001)/(${Variables:E3_6_1_9_km} + (E3_6_1_9 * C00029 * C00001))</v>
      </c>
    </row>
    <row r="536" spans="1:10">
      <c r="A536" s="19" t="s">
        <v>4921</v>
      </c>
      <c r="B536" s="1" t="s">
        <v>11611</v>
      </c>
      <c r="C536" s="32">
        <v>535</v>
      </c>
      <c r="D536" t="str">
        <f t="shared" si="32"/>
        <v>E3_6_1_9</v>
      </c>
      <c r="E536" s="10" t="s">
        <v>10141</v>
      </c>
      <c r="F536" s="10" t="s">
        <v>12242</v>
      </c>
      <c r="G536" s="13" t="s">
        <v>10142</v>
      </c>
      <c r="H536" s="13" t="s">
        <v>12658</v>
      </c>
      <c r="I536" t="str">
        <f t="shared" si="34"/>
        <v>(${Variables:E3_6_1_9_kcat} * E3_6_1_9 * C00857 * C00001 )/(${Variables:E3_6_1_9_km} + (E3_6_1_9 * C00857 * C00001 ))</v>
      </c>
      <c r="J536" t="str">
        <f t="shared" si="33"/>
        <v>r535: C00857 + C00001  -&gt;  C00020 + C01185 | (${Variables:E3_6_1_9_kcat} * E3_6_1_9 * C00857 * C00001 )/(${Variables:E3_6_1_9_km} + (E3_6_1_9 * C00857 * C00001 ))</v>
      </c>
    </row>
    <row r="537" spans="1:10">
      <c r="A537" s="19" t="s">
        <v>4921</v>
      </c>
      <c r="B537" s="1" t="s">
        <v>11611</v>
      </c>
      <c r="C537" s="32">
        <v>536</v>
      </c>
      <c r="D537" t="str">
        <f t="shared" si="32"/>
        <v>E3_6_1_9</v>
      </c>
      <c r="E537" s="10" t="s">
        <v>10143</v>
      </c>
      <c r="F537" s="10" t="s">
        <v>12243</v>
      </c>
      <c r="G537" s="13" t="s">
        <v>10144</v>
      </c>
      <c r="H537" s="13" t="s">
        <v>12659</v>
      </c>
      <c r="I537" t="str">
        <f t="shared" si="34"/>
        <v>(${Variables:E3_6_1_9_kcat} * E3_6_1_9 * C00882 * C00001 )/(${Variables:E3_6_1_9_km} + (E3_6_1_9 * C00882 * C00001 ))</v>
      </c>
      <c r="J537" t="str">
        <f t="shared" si="33"/>
        <v>r536: C00882 + C00001  -&gt; C01134 + C00020 | (${Variables:E3_6_1_9_kcat} * E3_6_1_9 * C00882 * C00001 )/(${Variables:E3_6_1_9_km} + (E3_6_1_9 * C00882 * C00001 ))</v>
      </c>
    </row>
    <row r="538" spans="1:10">
      <c r="A538" s="19" t="s">
        <v>6000</v>
      </c>
      <c r="B538" s="1" t="s">
        <v>11612</v>
      </c>
      <c r="C538" s="32">
        <v>537</v>
      </c>
      <c r="D538" t="str">
        <f t="shared" ref="D538:D600" si="35">CONCATENATE("E",B538)</f>
        <v>E4_1_1_11</v>
      </c>
      <c r="E538" s="10" t="s">
        <v>9273</v>
      </c>
      <c r="F538" s="10" t="s">
        <v>9273</v>
      </c>
      <c r="G538" s="13" t="s">
        <v>10226</v>
      </c>
      <c r="H538" s="13" t="s">
        <v>12660</v>
      </c>
      <c r="I538" t="str">
        <f t="shared" si="34"/>
        <v>(${Variables:E4_1_1_11_kcat} * E4_1_1_11 * C00049)/(${Variables:E4_1_1_11_km} + (E4_1_1_11 * C00049))</v>
      </c>
      <c r="J538" t="str">
        <f t="shared" si="33"/>
        <v>r537: C00049 -&gt;  C00099 + C00011 | (${Variables:E4_1_1_11_kcat} * E4_1_1_11 * C00049)/(${Variables:E4_1_1_11_km} + (E4_1_1_11 * C00049))</v>
      </c>
    </row>
    <row r="539" spans="1:10">
      <c r="A539" s="19" t="s">
        <v>8609</v>
      </c>
      <c r="B539" s="1" t="s">
        <v>11613</v>
      </c>
      <c r="C539" s="32">
        <v>538</v>
      </c>
      <c r="D539" t="str">
        <f t="shared" si="35"/>
        <v>E4_1_1_12</v>
      </c>
      <c r="E539" s="10" t="s">
        <v>10583</v>
      </c>
      <c r="F539" s="10" t="s">
        <v>10583</v>
      </c>
      <c r="G539" s="13" t="s">
        <v>10584</v>
      </c>
      <c r="H539" s="13" t="s">
        <v>12661</v>
      </c>
      <c r="I539" t="str">
        <f t="shared" si="34"/>
        <v>(${Variables:E4_1_1_12_kcat} * E4_1_1_12 * C00049 )/(${Variables:E4_1_1_12_km} + (E4_1_1_12 * C00049 ))</v>
      </c>
      <c r="J539" t="str">
        <f t="shared" si="33"/>
        <v>r538: C00049  -&gt;  C00041 + C00011 | (${Variables:E4_1_1_12_kcat} * E4_1_1_12 * C00049 )/(${Variables:E4_1_1_12_km} + (E4_1_1_12 * C00049 ))</v>
      </c>
    </row>
    <row r="540" spans="1:10">
      <c r="A540" s="19" t="s">
        <v>8609</v>
      </c>
      <c r="B540" s="1" t="s">
        <v>11613</v>
      </c>
      <c r="C540" s="32">
        <v>539</v>
      </c>
      <c r="D540" t="str">
        <f t="shared" si="35"/>
        <v>E4_1_1_12</v>
      </c>
      <c r="E540" s="10" t="s">
        <v>10585</v>
      </c>
      <c r="F540" s="10" t="s">
        <v>10585</v>
      </c>
      <c r="G540" s="13" t="s">
        <v>10586</v>
      </c>
      <c r="H540" s="13" t="s">
        <v>12662</v>
      </c>
      <c r="I540" t="str">
        <f t="shared" si="34"/>
        <v>(${Variables:E4_1_1_12_kcat} * E4_1_1_12 * C00606 )/(${Variables:E4_1_1_12_km} + (E4_1_1_12 * C00606 ))</v>
      </c>
      <c r="J540" t="str">
        <f t="shared" si="33"/>
        <v>r539: C00606  -&gt;  C00041 + C09306 | (${Variables:E4_1_1_12_kcat} * E4_1_1_12 * C00606 )/(${Variables:E4_1_1_12_km} + (E4_1_1_12 * C00606 ))</v>
      </c>
    </row>
    <row r="541" spans="1:10">
      <c r="A541" s="19" t="s">
        <v>114</v>
      </c>
      <c r="B541" s="1" t="s">
        <v>11614</v>
      </c>
      <c r="C541" s="32">
        <v>540</v>
      </c>
      <c r="D541" t="str">
        <f t="shared" si="35"/>
        <v>E4_1_1_15</v>
      </c>
      <c r="E541" s="11" t="s">
        <v>9272</v>
      </c>
      <c r="F541" s="11" t="s">
        <v>9272</v>
      </c>
      <c r="G541" s="16" t="s">
        <v>11833</v>
      </c>
      <c r="H541" s="16" t="s">
        <v>12663</v>
      </c>
      <c r="I541" t="str">
        <f t="shared" si="34"/>
        <v>(${Variables:E4_1_1_15_kcat} * E4_1_1_15 * C00025)/(${Variables:E4_1_1_15_km} + (E4_1_1_15 * C00025))</v>
      </c>
      <c r="J541" t="str">
        <f t="shared" si="33"/>
        <v>r540: C00025 -&gt; C00334 + C00011 | (${Variables:E4_1_1_15_kcat} * E4_1_1_15 * C00025)/(${Variables:E4_1_1_15_km} + (E4_1_1_15 * C00025))</v>
      </c>
    </row>
    <row r="542" spans="1:10">
      <c r="A542" s="19" t="s">
        <v>114</v>
      </c>
      <c r="B542" s="1" t="s">
        <v>11614</v>
      </c>
      <c r="C542" s="32">
        <v>541</v>
      </c>
      <c r="D542" t="str">
        <f t="shared" si="35"/>
        <v>E4_1_1_15</v>
      </c>
      <c r="E542" s="11" t="s">
        <v>9273</v>
      </c>
      <c r="F542" s="11" t="s">
        <v>9273</v>
      </c>
      <c r="G542" s="13" t="s">
        <v>11834</v>
      </c>
      <c r="H542" s="13" t="s">
        <v>12664</v>
      </c>
      <c r="I542" t="str">
        <f t="shared" si="34"/>
        <v>(${Variables:E4_1_1_15_kcat} * E4_1_1_15 * C00049)/(${Variables:E4_1_1_15_km} + (E4_1_1_15 * C00049))</v>
      </c>
      <c r="J542" t="str">
        <f t="shared" si="33"/>
        <v>r541: C00049 -&gt; C00099 + C00011 | (${Variables:E4_1_1_15_kcat} * E4_1_1_15 * C00049)/(${Variables:E4_1_1_15_km} + (E4_1_1_15 * C00049))</v>
      </c>
    </row>
    <row r="543" spans="1:10">
      <c r="A543" s="19" t="s">
        <v>3625</v>
      </c>
      <c r="B543" s="1" t="s">
        <v>11615</v>
      </c>
      <c r="C543" s="32">
        <v>542</v>
      </c>
      <c r="D543" t="str">
        <f t="shared" si="35"/>
        <v>E4_1_1_21</v>
      </c>
      <c r="E543" s="10" t="s">
        <v>9896</v>
      </c>
      <c r="F543" s="10" t="s">
        <v>9896</v>
      </c>
      <c r="G543" s="13" t="s">
        <v>9897</v>
      </c>
      <c r="H543" s="13" t="s">
        <v>12665</v>
      </c>
      <c r="I543" t="str">
        <f t="shared" si="34"/>
        <v>(${Variables:E4_1_1_21_kcat} * E4_1_1_21 * C04751 )/(${Variables:E4_1_1_21_km} + (E4_1_1_21 * C04751 ))</v>
      </c>
      <c r="J543" t="str">
        <f t="shared" si="33"/>
        <v>r542: C04751  -&gt;  C03373 + C00011 | (${Variables:E4_1_1_21_kcat} * E4_1_1_21 * C04751 )/(${Variables:E4_1_1_21_km} + (E4_1_1_21 * C04751 ))</v>
      </c>
    </row>
    <row r="544" spans="1:10">
      <c r="A544" s="19" t="s">
        <v>1275</v>
      </c>
      <c r="B544" s="1" t="s">
        <v>11616</v>
      </c>
      <c r="C544" s="32">
        <v>543</v>
      </c>
      <c r="D544" t="str">
        <f t="shared" si="35"/>
        <v>E4_1_1_23</v>
      </c>
      <c r="E544" s="11" t="s">
        <v>9526</v>
      </c>
      <c r="F544" s="11" t="s">
        <v>9526</v>
      </c>
      <c r="G544" s="13" t="s">
        <v>11835</v>
      </c>
      <c r="H544" s="13" t="s">
        <v>12666</v>
      </c>
      <c r="I544" t="str">
        <f t="shared" si="34"/>
        <v>(${Variables:E4_1_1_23_kcat} * E4_1_1_23 * C01103 )/(${Variables:E4_1_1_23_km} + (E4_1_1_23 * C01103 ))</v>
      </c>
      <c r="J544" t="str">
        <f t="shared" si="33"/>
        <v>r543: C01103  -&gt;  C00105 + C00011 | (${Variables:E4_1_1_23_kcat} * E4_1_1_23 * C01103 )/(${Variables:E4_1_1_23_km} + (E4_1_1_23 * C01103 ))</v>
      </c>
    </row>
    <row r="545" spans="1:10">
      <c r="A545" s="19" t="s">
        <v>289</v>
      </c>
      <c r="B545" s="1" t="s">
        <v>11617</v>
      </c>
      <c r="C545" s="32">
        <v>544</v>
      </c>
      <c r="D545" t="str">
        <f t="shared" si="35"/>
        <v>E4_1_1_36</v>
      </c>
      <c r="E545" s="11" t="s">
        <v>9316</v>
      </c>
      <c r="F545" s="11" t="s">
        <v>9316</v>
      </c>
      <c r="G545" s="13" t="s">
        <v>11836</v>
      </c>
      <c r="H545" s="13" t="s">
        <v>12667</v>
      </c>
      <c r="I545" t="str">
        <f t="shared" si="34"/>
        <v>(${Variables:E4_1_1_36_kcat} * E4_1_1_36 * C04352)/(${Variables:E4_1_1_36_km} + (E4_1_1_36 * C04352))</v>
      </c>
      <c r="J545" t="str">
        <f t="shared" si="33"/>
        <v>r544: C04352 -&gt; C01134 + C00011 | (${Variables:E4_1_1_36_kcat} * E4_1_1_36 * C04352)/(${Variables:E4_1_1_36_km} + (E4_1_1_36 * C04352))</v>
      </c>
    </row>
    <row r="546" spans="1:10">
      <c r="A546" s="19" t="s">
        <v>518</v>
      </c>
      <c r="B546" s="1" t="s">
        <v>11618</v>
      </c>
      <c r="C546" s="32">
        <v>545</v>
      </c>
      <c r="D546" t="str">
        <f t="shared" si="35"/>
        <v>E4_1_1_48</v>
      </c>
      <c r="E546" s="10" t="s">
        <v>9366</v>
      </c>
      <c r="F546" s="10" t="s">
        <v>9366</v>
      </c>
      <c r="G546" s="13" t="s">
        <v>11837</v>
      </c>
      <c r="H546" s="13" t="s">
        <v>12668</v>
      </c>
      <c r="I546" t="str">
        <f t="shared" si="34"/>
        <v>(${Variables:E4_1_1_48_kcat} * E4_1_1_48 * C01302)/(${Variables:E4_1_1_48_km} + (E4_1_1_48 * C01302))</v>
      </c>
      <c r="J546" t="str">
        <f t="shared" si="33"/>
        <v>r545: C01302 -&gt; C03506 ++ C00011 + C00001 | (${Variables:E4_1_1_48_kcat} * E4_1_1_48 * C01302)/(${Variables:E4_1_1_48_km} + (E4_1_1_48 * C01302))</v>
      </c>
    </row>
    <row r="547" spans="1:10">
      <c r="A547" s="19" t="s">
        <v>2799</v>
      </c>
      <c r="B547" s="1" t="s">
        <v>11619</v>
      </c>
      <c r="C547" s="32">
        <v>546</v>
      </c>
      <c r="D547" t="str">
        <f t="shared" si="35"/>
        <v>E4_1_1_49</v>
      </c>
      <c r="E547" s="10" t="s">
        <v>9762</v>
      </c>
      <c r="F547" s="10" t="s">
        <v>12244</v>
      </c>
      <c r="G547" s="13" t="s">
        <v>9763</v>
      </c>
      <c r="H547" s="13" t="s">
        <v>12669</v>
      </c>
      <c r="I547" t="str">
        <f t="shared" si="34"/>
        <v>(${Variables:E4_1_1_49_kcat} * E4_1_1_49 * C00002 * C00036 )/(${Variables:E4_1_1_49_km} + (E4_1_1_49 * C00002 * C00036 ))</v>
      </c>
      <c r="J547" t="str">
        <f t="shared" si="33"/>
        <v>r546: C00002 + C00036  -&gt; C00008 + C00074 + C00011 | (${Variables:E4_1_1_49_kcat} * E4_1_1_49 * C00002 * C00036 )/(${Variables:E4_1_1_49_km} + (E4_1_1_49 * C00002 * C00036 ))</v>
      </c>
    </row>
    <row r="548" spans="1:10">
      <c r="A548" s="19" t="s">
        <v>2281</v>
      </c>
      <c r="B548" s="1" t="s">
        <v>11620</v>
      </c>
      <c r="C548" s="32">
        <v>547</v>
      </c>
      <c r="D548" t="str">
        <f t="shared" si="35"/>
        <v>E4_1_1_65</v>
      </c>
      <c r="E548" s="10" t="s">
        <v>9695</v>
      </c>
      <c r="F548" s="10" t="s">
        <v>9695</v>
      </c>
      <c r="G548" s="13" t="s">
        <v>9696</v>
      </c>
      <c r="H548" s="13" t="s">
        <v>12670</v>
      </c>
      <c r="I548" t="str">
        <f t="shared" si="34"/>
        <v>(${Variables:E4_1_1_65_kcat} * E4_1_1_65 * C02737 )/(${Variables:E4_1_1_65_km} + (E4_1_1_65 * C02737 ))</v>
      </c>
      <c r="J548" t="str">
        <f t="shared" si="33"/>
        <v>r547: C02737  -&gt; C00350 +  C00011 | (${Variables:E4_1_1_65_kcat} * E4_1_1_65 * C02737 )/(${Variables:E4_1_1_65_km} + (E4_1_1_65 * C02737 ))</v>
      </c>
    </row>
    <row r="549" spans="1:10">
      <c r="A549" s="19" t="s">
        <v>8917</v>
      </c>
      <c r="B549" s="1" t="s">
        <v>11621</v>
      </c>
      <c r="C549" s="32">
        <v>548</v>
      </c>
      <c r="D549" t="str">
        <f t="shared" si="35"/>
        <v>E4_1_1_96</v>
      </c>
      <c r="E549" s="11" t="s">
        <v>10642</v>
      </c>
      <c r="F549" s="11" t="s">
        <v>10642</v>
      </c>
      <c r="G549" s="13" t="s">
        <v>10643</v>
      </c>
      <c r="H549" s="13" t="s">
        <v>12671</v>
      </c>
      <c r="I549" t="str">
        <f t="shared" si="34"/>
        <v>(${Variables:E4_1_1_96_kcat} * E4_1_1_96 * C18172 )/(${Variables:E4_1_1_96_km} + (E4_1_1_96 * C18172 ))</v>
      </c>
      <c r="J549" t="str">
        <f t="shared" si="33"/>
        <v>r548: C18172  -&gt;  C00315 + C00011 | (${Variables:E4_1_1_96_kcat} * E4_1_1_96 * C18172 )/(${Variables:E4_1_1_96_km} + (E4_1_1_96 * C18172 ))</v>
      </c>
    </row>
    <row r="550" spans="1:10">
      <c r="A550" s="19" t="s">
        <v>8917</v>
      </c>
      <c r="B550" s="1" t="s">
        <v>11621</v>
      </c>
      <c r="C550" s="32">
        <v>549</v>
      </c>
      <c r="D550" t="str">
        <f t="shared" si="35"/>
        <v>E4_1_1_96</v>
      </c>
      <c r="E550" s="10" t="s">
        <v>10644</v>
      </c>
      <c r="F550" s="10" t="s">
        <v>10644</v>
      </c>
      <c r="G550" s="13" t="s">
        <v>10645</v>
      </c>
      <c r="H550" s="13" t="s">
        <v>12672</v>
      </c>
      <c r="I550" t="str">
        <f t="shared" si="34"/>
        <v>(${Variables:E4_1_1_96_kcat} * E4_1_1_96 * C18174 )/(${Variables:E4_1_1_96_km} + (E4_1_1_96 * C18174 ))</v>
      </c>
      <c r="J550" t="str">
        <f t="shared" si="33"/>
        <v>r549: C18174  -&gt; C03375 + C00011 | (${Variables:E4_1_1_96_kcat} * E4_1_1_96 * C18174 )/(${Variables:E4_1_1_96_km} + (E4_1_1_96 * C18174 ))</v>
      </c>
    </row>
    <row r="551" spans="1:10">
      <c r="A551" s="19" t="s">
        <v>4367</v>
      </c>
      <c r="B551" s="1" t="s">
        <v>11622</v>
      </c>
      <c r="C551" s="32">
        <v>550</v>
      </c>
      <c r="D551" t="str">
        <f t="shared" si="35"/>
        <v>E4_1_2_13</v>
      </c>
      <c r="E551" s="10" t="s">
        <v>10027</v>
      </c>
      <c r="F551" s="10" t="s">
        <v>10027</v>
      </c>
      <c r="G551" s="13" t="s">
        <v>10028</v>
      </c>
      <c r="H551" s="13" t="s">
        <v>12673</v>
      </c>
      <c r="I551" t="str">
        <f t="shared" si="34"/>
        <v>(${Variables:E4_1_2_13_kcat} * E4_1_2_13 * C00354)/(${Variables:E4_1_2_13_km} + (E4_1_2_13 * C00354))</v>
      </c>
      <c r="J551" t="str">
        <f t="shared" si="33"/>
        <v>r550: C00354 -&gt; C00111 + C00118 | (${Variables:E4_1_2_13_kcat} * E4_1_2_13 * C00354)/(${Variables:E4_1_2_13_km} + (E4_1_2_13 * C00354))</v>
      </c>
    </row>
    <row r="552" spans="1:10">
      <c r="A552" s="19" t="s">
        <v>4367</v>
      </c>
      <c r="B552" s="1" t="s">
        <v>11622</v>
      </c>
      <c r="C552" s="32">
        <v>551</v>
      </c>
      <c r="D552" t="str">
        <f t="shared" si="35"/>
        <v>E4_1_2_13</v>
      </c>
      <c r="E552" s="10" t="s">
        <v>10029</v>
      </c>
      <c r="F552" s="10" t="s">
        <v>10029</v>
      </c>
      <c r="G552" s="13" t="s">
        <v>10028</v>
      </c>
      <c r="H552" s="13" t="s">
        <v>12673</v>
      </c>
      <c r="I552" t="str">
        <f t="shared" si="34"/>
        <v>(${Variables:E4_1_2_13_kcat} * E4_1_2_13 * C05378)/(${Variables:E4_1_2_13_km} + (E4_1_2_13 * C05378))</v>
      </c>
      <c r="J552" t="str">
        <f t="shared" si="33"/>
        <v>r551: C05378 -&gt; C00111 + C00118 | (${Variables:E4_1_2_13_kcat} * E4_1_2_13 * C05378)/(${Variables:E4_1_2_13_km} + (E4_1_2_13 * C05378))</v>
      </c>
    </row>
    <row r="553" spans="1:10">
      <c r="A553" s="19" t="s">
        <v>4367</v>
      </c>
      <c r="B553" s="1" t="s">
        <v>11622</v>
      </c>
      <c r="C553" s="32">
        <v>552</v>
      </c>
      <c r="D553" t="str">
        <f t="shared" si="35"/>
        <v>E4_1_2_13</v>
      </c>
      <c r="E553" s="10" t="s">
        <v>10030</v>
      </c>
      <c r="F553" s="10" t="s">
        <v>10030</v>
      </c>
      <c r="G553" s="13" t="s">
        <v>10031</v>
      </c>
      <c r="H553" s="13" t="s">
        <v>12674</v>
      </c>
      <c r="I553" t="str">
        <f t="shared" si="34"/>
        <v>(${Variables:E4_1_2_13_kcat} * E4_1_2_13 * C00447 )/(${Variables:E4_1_2_13_km} + (E4_1_2_13 * C00447 ))</v>
      </c>
      <c r="J553" t="str">
        <f t="shared" si="33"/>
        <v>r552: C00447  -&gt;  C00111 + C00279 | (${Variables:E4_1_2_13_kcat} * E4_1_2_13 * C00447 )/(${Variables:E4_1_2_13_km} + (E4_1_2_13 * C00447 ))</v>
      </c>
    </row>
    <row r="554" spans="1:10">
      <c r="A554" s="19" t="s">
        <v>4367</v>
      </c>
      <c r="B554" s="1" t="s">
        <v>11622</v>
      </c>
      <c r="C554" s="32">
        <v>553</v>
      </c>
      <c r="D554" t="str">
        <f t="shared" si="35"/>
        <v>E4_1_2_13</v>
      </c>
      <c r="E554" s="10" t="s">
        <v>10032</v>
      </c>
      <c r="F554" s="10" t="s">
        <v>10032</v>
      </c>
      <c r="G554" s="13" t="s">
        <v>10033</v>
      </c>
      <c r="H554" s="13" t="s">
        <v>12675</v>
      </c>
      <c r="I554" t="str">
        <f t="shared" si="34"/>
        <v>(${Variables:E4_1_2_13_kcat} * E4_1_2_13 * C01094)/(${Variables:E4_1_2_13_km} + (E4_1_2_13 * C01094))</v>
      </c>
      <c r="J554" t="str">
        <f t="shared" si="33"/>
        <v>r553: C01094 -&gt;  C00111 + C00577 | (${Variables:E4_1_2_13_kcat} * E4_1_2_13 * C01094)/(${Variables:E4_1_2_13_km} + (E4_1_2_13 * C01094))</v>
      </c>
    </row>
    <row r="555" spans="1:10">
      <c r="A555" s="19" t="s">
        <v>7684</v>
      </c>
      <c r="B555" s="1" t="s">
        <v>11622</v>
      </c>
      <c r="C555" s="32">
        <v>554</v>
      </c>
      <c r="D555" t="str">
        <f t="shared" si="35"/>
        <v>E4_1_2_13</v>
      </c>
      <c r="E555" s="10" t="s">
        <v>10481</v>
      </c>
      <c r="F555" s="10" t="s">
        <v>10481</v>
      </c>
      <c r="G555" s="13" t="s">
        <v>10028</v>
      </c>
      <c r="H555" s="13" t="s">
        <v>12673</v>
      </c>
      <c r="I555" t="str">
        <f t="shared" si="34"/>
        <v>(${Variables:E4_1_2_13_kcat} * E4_1_2_13 * C00354 )/(${Variables:E4_1_2_13_km} + (E4_1_2_13 * C00354 ))</v>
      </c>
      <c r="J555" t="str">
        <f t="shared" ref="J555:J617" si="36">CONCATENATE("r",C555,": ",E555," -&gt; ",G555," | ",I555)</f>
        <v>r554: C00354  -&gt; C00111 + C00118 | (${Variables:E4_1_2_13_kcat} * E4_1_2_13 * C00354 )/(${Variables:E4_1_2_13_km} + (E4_1_2_13 * C00354 ))</v>
      </c>
    </row>
    <row r="556" spans="1:10">
      <c r="A556" s="19" t="s">
        <v>7684</v>
      </c>
      <c r="B556" s="1" t="s">
        <v>11622</v>
      </c>
      <c r="C556" s="32">
        <v>555</v>
      </c>
      <c r="D556" t="str">
        <f t="shared" si="35"/>
        <v>E4_1_2_13</v>
      </c>
      <c r="E556" s="10" t="s">
        <v>10482</v>
      </c>
      <c r="F556" s="10" t="s">
        <v>10482</v>
      </c>
      <c r="G556" s="13" t="s">
        <v>10028</v>
      </c>
      <c r="H556" s="13" t="s">
        <v>12673</v>
      </c>
      <c r="I556" t="str">
        <f t="shared" si="34"/>
        <v>(${Variables:E4_1_2_13_kcat} * E4_1_2_13 * C05378 )/(${Variables:E4_1_2_13_km} + (E4_1_2_13 * C05378 ))</v>
      </c>
      <c r="J556" t="str">
        <f t="shared" si="36"/>
        <v>r555: C05378  -&gt; C00111 + C00118 | (${Variables:E4_1_2_13_kcat} * E4_1_2_13 * C05378 )/(${Variables:E4_1_2_13_km} + (E4_1_2_13 * C05378 ))</v>
      </c>
    </row>
    <row r="557" spans="1:10">
      <c r="A557" s="19" t="s">
        <v>7684</v>
      </c>
      <c r="B557" s="1" t="s">
        <v>11622</v>
      </c>
      <c r="C557" s="32">
        <v>556</v>
      </c>
      <c r="D557" t="str">
        <f t="shared" si="35"/>
        <v>E4_1_2_13</v>
      </c>
      <c r="E557" s="10" t="s">
        <v>10483</v>
      </c>
      <c r="F557" s="10" t="s">
        <v>10483</v>
      </c>
      <c r="G557" s="13" t="s">
        <v>10031</v>
      </c>
      <c r="H557" s="13" t="s">
        <v>12674</v>
      </c>
      <c r="I557" t="str">
        <f t="shared" si="34"/>
        <v>(${Variables:E4_1_2_13_kcat} * E4_1_2_13 * C00447)/(${Variables:E4_1_2_13_km} + (E4_1_2_13 * C00447))</v>
      </c>
      <c r="J557" t="str">
        <f t="shared" si="36"/>
        <v>r556: C00447 -&gt;  C00111 + C00279 | (${Variables:E4_1_2_13_kcat} * E4_1_2_13 * C00447)/(${Variables:E4_1_2_13_km} + (E4_1_2_13 * C00447))</v>
      </c>
    </row>
    <row r="558" spans="1:10">
      <c r="A558" s="19" t="s">
        <v>7684</v>
      </c>
      <c r="B558" s="1" t="s">
        <v>11622</v>
      </c>
      <c r="C558" s="32">
        <v>557</v>
      </c>
      <c r="D558" t="str">
        <f t="shared" si="35"/>
        <v>E4_1_2_13</v>
      </c>
      <c r="E558" s="10" t="s">
        <v>10484</v>
      </c>
      <c r="F558" s="10" t="s">
        <v>10484</v>
      </c>
      <c r="G558" s="13" t="s">
        <v>10485</v>
      </c>
      <c r="H558" s="13" t="s">
        <v>12676</v>
      </c>
      <c r="I558" t="str">
        <f t="shared" si="34"/>
        <v>(${Variables:E4_1_2_13_kcat} * E4_1_2_13 * C01094 )/(${Variables:E4_1_2_13_km} + (E4_1_2_13 * C01094 ))</v>
      </c>
      <c r="J558" t="str">
        <f t="shared" si="36"/>
        <v>r557: C01094  -&gt; C00111 + C00577 | (${Variables:E4_1_2_13_kcat} * E4_1_2_13 * C01094 )/(${Variables:E4_1_2_13_km} + (E4_1_2_13 * C01094 ))</v>
      </c>
    </row>
    <row r="559" spans="1:10">
      <c r="A559" s="19" t="s">
        <v>8009</v>
      </c>
      <c r="B559" s="1" t="s">
        <v>11623</v>
      </c>
      <c r="C559" s="32">
        <v>558</v>
      </c>
      <c r="D559" t="str">
        <f t="shared" si="35"/>
        <v>E4_1_2_19</v>
      </c>
      <c r="E559" s="10" t="s">
        <v>10503</v>
      </c>
      <c r="F559" s="10" t="s">
        <v>10503</v>
      </c>
      <c r="G559" s="13" t="s">
        <v>10504</v>
      </c>
      <c r="H559" s="13" t="s">
        <v>12677</v>
      </c>
      <c r="I559" t="str">
        <f t="shared" si="34"/>
        <v>(${Variables:E4_1_2_19_kcat} * E4_1_2_19 * C01131 )/(${Variables:E4_1_2_19_km} + (E4_1_2_19 * C01131 ))</v>
      </c>
      <c r="J559" t="str">
        <f t="shared" si="36"/>
        <v>r558: C01131  -&gt;  C00111 + C00424 | (${Variables:E4_1_2_19_kcat} * E4_1_2_19 * C01131 )/(${Variables:E4_1_2_19_km} + (E4_1_2_19 * C01131 ))</v>
      </c>
    </row>
    <row r="560" spans="1:10">
      <c r="A560" s="19" t="s">
        <v>8009</v>
      </c>
      <c r="B560" s="1" t="s">
        <v>11623</v>
      </c>
      <c r="C560" s="32">
        <v>559</v>
      </c>
      <c r="D560" t="str">
        <f t="shared" si="35"/>
        <v>E4_1_2_19</v>
      </c>
      <c r="E560" s="10" t="s">
        <v>10505</v>
      </c>
      <c r="F560" s="10" t="s">
        <v>10505</v>
      </c>
      <c r="G560" s="13" t="s">
        <v>10506</v>
      </c>
      <c r="H560" s="13" t="s">
        <v>12678</v>
      </c>
      <c r="I560" t="str">
        <f t="shared" si="34"/>
        <v>(${Variables:E4_1_2_19_kcat} * E4_1_2_19 * C06441 )/(${Variables:E4_1_2_19_km} + (E4_1_2_19 * C06441 ))</v>
      </c>
      <c r="J560" t="str">
        <f t="shared" si="36"/>
        <v>r559: C06441  -&gt; C00111 + C00266 | (${Variables:E4_1_2_19_kcat} * E4_1_2_19 * C06441 )/(${Variables:E4_1_2_19_km} + (E4_1_2_19 * C06441 ))</v>
      </c>
    </row>
    <row r="561" spans="1:10">
      <c r="A561" s="19" t="s">
        <v>5540</v>
      </c>
      <c r="B561" s="1" t="s">
        <v>11624</v>
      </c>
      <c r="C561" s="32">
        <v>560</v>
      </c>
      <c r="D561" t="str">
        <f t="shared" si="35"/>
        <v>E4_1_2_25</v>
      </c>
      <c r="E561" s="10" t="s">
        <v>10179</v>
      </c>
      <c r="F561" s="10" t="s">
        <v>10179</v>
      </c>
      <c r="G561" s="13" t="s">
        <v>10180</v>
      </c>
      <c r="H561" s="13" t="s">
        <v>12679</v>
      </c>
      <c r="I561" t="str">
        <f t="shared" si="34"/>
        <v>(${Variables:E4_1_2_25_kcat} * E4_1_2_25 * C04874)/(${Variables:E4_1_2_25_km} + (E4_1_2_25 * C04874))</v>
      </c>
      <c r="J561" t="str">
        <f t="shared" si="36"/>
        <v>r560: C04874 -&gt;  C00266 + C01300 | (${Variables:E4_1_2_25_kcat} * E4_1_2_25 * C04874)/(${Variables:E4_1_2_25_km} + (E4_1_2_25 * C04874))</v>
      </c>
    </row>
    <row r="562" spans="1:10">
      <c r="A562" s="19" t="s">
        <v>3215</v>
      </c>
      <c r="B562" s="1" t="s">
        <v>11625</v>
      </c>
      <c r="C562" s="32">
        <v>561</v>
      </c>
      <c r="D562" t="str">
        <f t="shared" si="35"/>
        <v>E4_1_2_4</v>
      </c>
      <c r="E562" s="10" t="s">
        <v>9807</v>
      </c>
      <c r="F562" s="10" t="s">
        <v>9807</v>
      </c>
      <c r="G562" s="13" t="s">
        <v>9808</v>
      </c>
      <c r="H562" s="13" t="s">
        <v>12680</v>
      </c>
      <c r="I562" t="str">
        <f t="shared" si="34"/>
        <v>(${Variables:E4_1_2_4_kcat} * E4_1_2_4 * C00673)/(${Variables:E4_1_2_4_km} + (E4_1_2_4 * C00673))</v>
      </c>
      <c r="J562" t="str">
        <f t="shared" si="36"/>
        <v>r561: C00673 -&gt;  C00118 + C00084 | (${Variables:E4_1_2_4_kcat} * E4_1_2_4 * C00673)/(${Variables:E4_1_2_4_km} + (E4_1_2_4 * C00673))</v>
      </c>
    </row>
    <row r="563" spans="1:10">
      <c r="A563" s="19" t="s">
        <v>8482</v>
      </c>
      <c r="B563" s="1" t="s">
        <v>11626</v>
      </c>
      <c r="C563" s="32">
        <v>562</v>
      </c>
      <c r="D563" t="str">
        <f t="shared" si="35"/>
        <v>E4_1_3_36</v>
      </c>
      <c r="E563" s="10" t="s">
        <v>10536</v>
      </c>
      <c r="F563" s="10" t="s">
        <v>10536</v>
      </c>
      <c r="G563" s="13" t="s">
        <v>10537</v>
      </c>
      <c r="H563" s="13" t="s">
        <v>12681</v>
      </c>
      <c r="I563" t="str">
        <f t="shared" si="34"/>
        <v>(${Variables:E4_1_3_36_kcat} * E4_1_3_36 * C03160 )/(${Variables:E4_1_3_36_km} + (E4_1_3_36 * C03160 ))</v>
      </c>
      <c r="J563" t="str">
        <f t="shared" si="36"/>
        <v>r562: C03160  -&gt; C03657 + C00010 | (${Variables:E4_1_3_36_kcat} * E4_1_3_36 * C03160 )/(${Variables:E4_1_3_36_km} + (E4_1_3_36 * C03160 ))</v>
      </c>
    </row>
    <row r="564" spans="1:10">
      <c r="A564" s="19" t="s">
        <v>8482</v>
      </c>
      <c r="B564" s="1" t="s">
        <v>11626</v>
      </c>
      <c r="C564" s="32">
        <v>563</v>
      </c>
      <c r="D564" t="str">
        <f t="shared" si="35"/>
        <v>E4_1_3_36</v>
      </c>
      <c r="E564" s="10" t="s">
        <v>10538</v>
      </c>
      <c r="F564" s="10" t="s">
        <v>10538</v>
      </c>
      <c r="G564" s="13" t="s">
        <v>10539</v>
      </c>
      <c r="H564" s="13" t="s">
        <v>12682</v>
      </c>
      <c r="I564" t="str">
        <f t="shared" si="34"/>
        <v>(${Variables:E4_1_3_36_kcat} * E4_1_3_36 * C03160)/(${Variables:E4_1_3_36_km} + (E4_1_3_36 * C03160))</v>
      </c>
      <c r="J564" t="str">
        <f t="shared" si="36"/>
        <v>r563: C03160 -&gt;  C15547 + C00001 | (${Variables:E4_1_3_36_kcat} * E4_1_3_36 * C03160)/(${Variables:E4_1_3_36_km} + (E4_1_3_36 * C03160))</v>
      </c>
    </row>
    <row r="565" spans="1:10">
      <c r="A565" s="19" t="s">
        <v>4321</v>
      </c>
      <c r="B565" s="1" t="s">
        <v>11627</v>
      </c>
      <c r="C565" s="32">
        <v>564</v>
      </c>
      <c r="D565" t="str">
        <f t="shared" si="35"/>
        <v>E4_1_99_12</v>
      </c>
      <c r="E565" s="10" t="s">
        <v>9999</v>
      </c>
      <c r="F565" s="10" t="s">
        <v>9999</v>
      </c>
      <c r="G565" s="13" t="s">
        <v>10000</v>
      </c>
      <c r="H565" s="13" t="s">
        <v>12683</v>
      </c>
      <c r="I565" t="str">
        <f t="shared" si="34"/>
        <v>(${Variables:E4_1_99_12_kcat} * E4_1_99_12 * C00199 )/(${Variables:E4_1_99_12_km} + (E4_1_99_12 * C00199 ))</v>
      </c>
      <c r="J565" t="str">
        <f t="shared" si="36"/>
        <v>r564: C00199  -&gt;  C15556 + C00058 | (${Variables:E4_1_99_12_kcat} * E4_1_99_12 * C00199 )/(${Variables:E4_1_99_12_km} + (E4_1_99_12 * C00199 ))</v>
      </c>
    </row>
    <row r="566" spans="1:10">
      <c r="A566" s="19" t="s">
        <v>8635</v>
      </c>
      <c r="B566" s="1" t="s">
        <v>11628</v>
      </c>
      <c r="C566" s="32">
        <v>565</v>
      </c>
      <c r="D566" t="str">
        <f t="shared" si="35"/>
        <v>E4_1_99_17</v>
      </c>
      <c r="E566" s="10" t="s">
        <v>10602</v>
      </c>
      <c r="F566" s="10" t="s">
        <v>12245</v>
      </c>
      <c r="G566" s="13" t="s">
        <v>10603</v>
      </c>
      <c r="H566" s="13" t="s">
        <v>12684</v>
      </c>
      <c r="I566" t="str">
        <f t="shared" si="34"/>
        <v>(${Variables:E4_1_99_17_kcat} * E4_1_99_17 * C03373 * C00019 )/(${Variables:E4_1_99_17_km} + (E4_1_99_17 * C03373 * C00019 ))</v>
      </c>
      <c r="J566" t="str">
        <f t="shared" si="36"/>
        <v>r565: C03373 + C00019  -&gt;  C04556 + C05198 + C00073 + C00058 + C00237 | (${Variables:E4_1_99_17_kcat} * E4_1_99_17 * C03373 * C00019 )/(${Variables:E4_1_99_17_km} + (E4_1_99_17 * C03373 * C00019 ))</v>
      </c>
    </row>
    <row r="567" spans="1:10">
      <c r="A567" s="19" t="s">
        <v>1804</v>
      </c>
      <c r="B567" s="1" t="s">
        <v>11629</v>
      </c>
      <c r="C567" s="32">
        <v>566</v>
      </c>
      <c r="D567" t="str">
        <f t="shared" si="35"/>
        <v>E4_2_1_1</v>
      </c>
      <c r="E567" s="10" t="s">
        <v>9625</v>
      </c>
      <c r="F567" s="10" t="s">
        <v>9625</v>
      </c>
      <c r="G567" s="13" t="s">
        <v>9626</v>
      </c>
      <c r="H567" s="13" t="s">
        <v>12685</v>
      </c>
      <c r="I567" t="str">
        <f t="shared" si="34"/>
        <v>(${Variables:E4_2_1_1_kcat} * E4_2_1_1 * C01353)/(${Variables:E4_2_1_1_km} + (E4_2_1_1 * C01353))</v>
      </c>
      <c r="J567" t="str">
        <f t="shared" si="36"/>
        <v>r566: C01353 -&gt; C00011 + C00001 | (${Variables:E4_2_1_1_kcat} * E4_2_1_1 * C01353)/(${Variables:E4_2_1_1_km} + (E4_2_1_1 * C01353))</v>
      </c>
    </row>
    <row r="568" spans="1:10">
      <c r="A568" s="19" t="s">
        <v>1804</v>
      </c>
      <c r="B568" s="1" t="s">
        <v>11629</v>
      </c>
      <c r="C568" s="32">
        <v>567</v>
      </c>
      <c r="D568" t="str">
        <f t="shared" si="35"/>
        <v>E4_2_1_1</v>
      </c>
      <c r="E568" s="10" t="s">
        <v>9627</v>
      </c>
      <c r="F568" s="10" t="s">
        <v>12246</v>
      </c>
      <c r="G568" s="13" t="s">
        <v>9626</v>
      </c>
      <c r="H568" s="13" t="s">
        <v>12685</v>
      </c>
      <c r="I568" t="str">
        <f t="shared" si="34"/>
        <v>(${Variables:E4_2_1_1_kcat} * E4_2_1_1 * C00288 * C00080)/(${Variables:E4_2_1_1_km} + (E4_2_1_1 * C00288 * C00080))</v>
      </c>
      <c r="J568" t="str">
        <f t="shared" si="36"/>
        <v>r567: C00288 + C00080 -&gt; C00011 + C00001 | (${Variables:E4_2_1_1_kcat} * E4_2_1_1 * C00288 * C00080)/(${Variables:E4_2_1_1_km} + (E4_2_1_1 * C00288 * C00080))</v>
      </c>
    </row>
    <row r="569" spans="1:10">
      <c r="A569" s="19" t="s">
        <v>3809</v>
      </c>
      <c r="B569" s="1" t="s">
        <v>11630</v>
      </c>
      <c r="C569" s="32">
        <v>568</v>
      </c>
      <c r="D569" t="str">
        <f t="shared" si="35"/>
        <v>E4_2_1_10</v>
      </c>
      <c r="E569" s="10" t="s">
        <v>9919</v>
      </c>
      <c r="F569" s="10" t="s">
        <v>9919</v>
      </c>
      <c r="G569" s="13" t="s">
        <v>9920</v>
      </c>
      <c r="H569" s="13" t="s">
        <v>12686</v>
      </c>
      <c r="I569" t="str">
        <f t="shared" si="34"/>
        <v>(${Variables:E4_2_1_10_kcat} * E4_2_1_10 * C00944 )/(${Variables:E4_2_1_10_km} + (E4_2_1_10 * C00944 ))</v>
      </c>
      <c r="J569" t="str">
        <f t="shared" si="36"/>
        <v>r568: C00944  -&gt; C02637 + C00001 | (${Variables:E4_2_1_10_kcat} * E4_2_1_10 * C00944 )/(${Variables:E4_2_1_10_km} + (E4_2_1_10 * C00944 ))</v>
      </c>
    </row>
    <row r="570" spans="1:10">
      <c r="A570" s="19" t="s">
        <v>4077</v>
      </c>
      <c r="B570" s="1" t="s">
        <v>11631</v>
      </c>
      <c r="C570" s="32">
        <v>569</v>
      </c>
      <c r="D570" t="str">
        <f t="shared" si="35"/>
        <v>E4_2_1_11</v>
      </c>
      <c r="E570" s="10" t="s">
        <v>9716</v>
      </c>
      <c r="F570" s="10" t="s">
        <v>9716</v>
      </c>
      <c r="G570" s="13" t="s">
        <v>9948</v>
      </c>
      <c r="H570" s="13" t="s">
        <v>12687</v>
      </c>
      <c r="I570" t="str">
        <f t="shared" si="34"/>
        <v>(${Variables:E4_2_1_11_kcat} * E4_2_1_11 * C00631 )/(${Variables:E4_2_1_11_km} + (E4_2_1_11 * C00631 ))</v>
      </c>
      <c r="J570" t="str">
        <f t="shared" si="36"/>
        <v>r569: C00631  -&gt; C00074 + C00001 | (${Variables:E4_2_1_11_kcat} * E4_2_1_11 * C00631 )/(${Variables:E4_2_1_11_km} + (E4_2_1_11 * C00631 ))</v>
      </c>
    </row>
    <row r="571" spans="1:10">
      <c r="A571" s="19" t="s">
        <v>4077</v>
      </c>
      <c r="B571" s="1" t="s">
        <v>11631</v>
      </c>
      <c r="C571" s="32">
        <v>570</v>
      </c>
      <c r="D571" t="str">
        <f t="shared" si="35"/>
        <v>E4_2_1_11</v>
      </c>
      <c r="E571" s="10" t="s">
        <v>9949</v>
      </c>
      <c r="F571" s="10" t="s">
        <v>9949</v>
      </c>
      <c r="G571" s="13" t="s">
        <v>9950</v>
      </c>
      <c r="H571" s="13" t="s">
        <v>12688</v>
      </c>
      <c r="I571" t="str">
        <f t="shared" si="34"/>
        <v>(${Variables:E4_2_1_11_kcat} * E4_2_1_11 * C03356)/(${Variables:E4_2_1_11_km} + (E4_2_1_11 * C03356))</v>
      </c>
      <c r="J571" t="str">
        <f t="shared" si="36"/>
        <v>r570: C03356 -&gt;  C04309 + C00001 | (${Variables:E4_2_1_11_kcat} * E4_2_1_11 * C03356)/(${Variables:E4_2_1_11_km} + (E4_2_1_11 * C03356))</v>
      </c>
    </row>
    <row r="572" spans="1:10">
      <c r="A572" s="19" t="s">
        <v>5678</v>
      </c>
      <c r="B572" s="1" t="s">
        <v>11632</v>
      </c>
      <c r="C572" s="32">
        <v>571</v>
      </c>
      <c r="D572" t="str">
        <f t="shared" si="35"/>
        <v>E4_2_1_126</v>
      </c>
      <c r="E572" s="10" t="s">
        <v>10182</v>
      </c>
      <c r="F572" s="10" t="s">
        <v>12247</v>
      </c>
      <c r="G572" s="13" t="s">
        <v>10183</v>
      </c>
      <c r="H572" s="13" t="s">
        <v>12689</v>
      </c>
      <c r="I572" t="str">
        <f t="shared" si="34"/>
        <v>(${Variables:E4_2_1_126_kcat} * E4_2_1_126 * C01250 * C00009 * C00006)/(${Variables:E4_2_1_126_km} + (E4_2_1_126 * C01250 * C00009 * C00006))</v>
      </c>
      <c r="J572" t="str">
        <f t="shared" si="36"/>
        <v>r571: C01250 + C00009 + C00006 -&gt;  C04133 + C00005 + C00080 | (${Variables:E4_2_1_126_kcat} * E4_2_1_126 * C01250 * C00009 * C00006)/(${Variables:E4_2_1_126_km} + (E4_2_1_126 * C01250 * C00009 * C00006))</v>
      </c>
    </row>
    <row r="573" spans="1:10">
      <c r="A573" s="19" t="s">
        <v>8802</v>
      </c>
      <c r="B573" s="1" t="s">
        <v>11633</v>
      </c>
      <c r="C573" s="32">
        <v>572</v>
      </c>
      <c r="D573" t="str">
        <f t="shared" si="35"/>
        <v>E4_2_1_19</v>
      </c>
      <c r="E573" s="10" t="s">
        <v>10626</v>
      </c>
      <c r="F573" s="10" t="s">
        <v>10626</v>
      </c>
      <c r="G573" s="13" t="s">
        <v>10627</v>
      </c>
      <c r="H573" s="13" t="s">
        <v>12690</v>
      </c>
      <c r="I573" t="str">
        <f t="shared" si="34"/>
        <v>(${Variables:E4_2_1_19_kcat} * E4_2_1_19 * C04666 )/(${Variables:E4_2_1_19_km} + (E4_2_1_19 * C04666 ))</v>
      </c>
      <c r="J573" t="str">
        <f t="shared" si="36"/>
        <v>r572: C04666  -&gt;  C01267 + C00001 | (${Variables:E4_2_1_19_kcat} * E4_2_1_19 * C04666 )/(${Variables:E4_2_1_19_km} + (E4_2_1_19 * C04666 ))</v>
      </c>
    </row>
    <row r="574" spans="1:10">
      <c r="A574" s="19" t="s">
        <v>6684</v>
      </c>
      <c r="B574" s="1" t="s">
        <v>11634</v>
      </c>
      <c r="C574" s="32">
        <v>573</v>
      </c>
      <c r="D574" t="str">
        <f t="shared" si="35"/>
        <v>E4_2_1_2</v>
      </c>
      <c r="E574" s="10" t="s">
        <v>10312</v>
      </c>
      <c r="F574" s="10" t="s">
        <v>10312</v>
      </c>
      <c r="G574" s="13" t="s">
        <v>10313</v>
      </c>
      <c r="H574" s="13" t="s">
        <v>12691</v>
      </c>
      <c r="I574" t="str">
        <f t="shared" si="34"/>
        <v>(${Variables:E4_2_1_2_kcat} * E4_2_1_2 * C00149)/(${Variables:E4_2_1_2_km} + (E4_2_1_2 * C00149))</v>
      </c>
      <c r="J574" t="str">
        <f t="shared" si="36"/>
        <v>r573: C00149 -&gt; C00122 + C00001 | (${Variables:E4_2_1_2_kcat} * E4_2_1_2 * C00149)/(${Variables:E4_2_1_2_km} + (E4_2_1_2 * C00149))</v>
      </c>
    </row>
    <row r="575" spans="1:10">
      <c r="A575" s="19" t="s">
        <v>509</v>
      </c>
      <c r="B575" s="1" t="s">
        <v>11635</v>
      </c>
      <c r="C575" s="32">
        <v>574</v>
      </c>
      <c r="D575" t="str">
        <f t="shared" si="35"/>
        <v>E4_2_1_20</v>
      </c>
      <c r="E575" s="10" t="s">
        <v>11838</v>
      </c>
      <c r="F575" s="10" t="s">
        <v>12248</v>
      </c>
      <c r="G575" s="13" t="s">
        <v>11839</v>
      </c>
      <c r="H575" s="13" t="s">
        <v>12692</v>
      </c>
      <c r="I575" t="str">
        <f t="shared" si="34"/>
        <v>(${Variables:E4_2_1_20_kcat} * E4_2_1_20 * C00065 * C00463 )/(${Variables:E4_2_1_20_km} + (E4_2_1_20 * C00065 * C00463 ))</v>
      </c>
      <c r="J575" t="str">
        <f t="shared" si="36"/>
        <v>r574: C00065 + C00463  -&gt; C00078 + C00001 | (${Variables:E4_2_1_20_kcat} * E4_2_1_20 * C00065 * C00463 )/(${Variables:E4_2_1_20_km} + (E4_2_1_20 * C00065 * C00463 ))</v>
      </c>
    </row>
    <row r="576" spans="1:10">
      <c r="A576" s="19" t="s">
        <v>509</v>
      </c>
      <c r="B576" s="1" t="s">
        <v>11635</v>
      </c>
      <c r="C576" s="32">
        <v>575</v>
      </c>
      <c r="D576" t="str">
        <f t="shared" si="35"/>
        <v>E4_2_1_20</v>
      </c>
      <c r="E576" s="10" t="s">
        <v>9360</v>
      </c>
      <c r="F576" s="10" t="s">
        <v>9360</v>
      </c>
      <c r="G576" s="13" t="s">
        <v>11840</v>
      </c>
      <c r="H576" s="13" t="s">
        <v>12693</v>
      </c>
      <c r="I576" t="str">
        <f t="shared" si="34"/>
        <v>(${Variables:E4_2_1_20_kcat} * E4_2_1_20 * C03506)/(${Variables:E4_2_1_20_km} + (E4_2_1_20 * C03506))</v>
      </c>
      <c r="J576" t="str">
        <f t="shared" si="36"/>
        <v>r575: C03506 -&gt; C00463  + C00118 | (${Variables:E4_2_1_20_kcat} * E4_2_1_20 * C03506)/(${Variables:E4_2_1_20_km} + (E4_2_1_20 * C03506))</v>
      </c>
    </row>
    <row r="577" spans="1:10">
      <c r="A577" s="19" t="s">
        <v>523</v>
      </c>
      <c r="B577" s="1" t="s">
        <v>11635</v>
      </c>
      <c r="C577" s="32">
        <v>576</v>
      </c>
      <c r="D577" t="str">
        <f t="shared" si="35"/>
        <v>E4_2_1_20</v>
      </c>
      <c r="E577" s="10" t="s">
        <v>11841</v>
      </c>
      <c r="F577" s="10" t="s">
        <v>12249</v>
      </c>
      <c r="G577" s="13" t="s">
        <v>11839</v>
      </c>
      <c r="H577" s="13" t="s">
        <v>12692</v>
      </c>
      <c r="I577" t="str">
        <f t="shared" si="34"/>
        <v>(${Variables:E4_2_1_20_kcat} * E4_2_1_20 * C00065 * C00463)/(${Variables:E4_2_1_20_km} + (E4_2_1_20 * C00065 * C00463))</v>
      </c>
      <c r="J577" t="str">
        <f t="shared" si="36"/>
        <v>r576: C00065 + C00463 -&gt; C00078 + C00001 | (${Variables:E4_2_1_20_kcat} * E4_2_1_20 * C00065 * C00463)/(${Variables:E4_2_1_20_km} + (E4_2_1_20 * C00065 * C00463))</v>
      </c>
    </row>
    <row r="578" spans="1:10">
      <c r="A578" s="19" t="s">
        <v>523</v>
      </c>
      <c r="B578" s="1" t="s">
        <v>11635</v>
      </c>
      <c r="C578" s="32">
        <v>577</v>
      </c>
      <c r="D578" t="str">
        <f t="shared" si="35"/>
        <v>E4_2_1_20</v>
      </c>
      <c r="E578" s="10" t="s">
        <v>9360</v>
      </c>
      <c r="F578" s="10" t="s">
        <v>9360</v>
      </c>
      <c r="G578" s="13" t="s">
        <v>11842</v>
      </c>
      <c r="H578" s="13" t="s">
        <v>12694</v>
      </c>
      <c r="I578" t="str">
        <f t="shared" si="34"/>
        <v>(${Variables:E4_2_1_20_kcat} * E4_2_1_20 * C03506)/(${Variables:E4_2_1_20_km} + (E4_2_1_20 * C03506))</v>
      </c>
      <c r="J578" t="str">
        <f t="shared" si="36"/>
        <v>r577: C03506 -&gt;  C00463 + C00118 | (${Variables:E4_2_1_20_kcat} * E4_2_1_20 * C03506)/(${Variables:E4_2_1_20_km} + (E4_2_1_20 * C03506))</v>
      </c>
    </row>
    <row r="579" spans="1:10">
      <c r="A579" s="19" t="s">
        <v>523</v>
      </c>
      <c r="B579" s="1" t="s">
        <v>11635</v>
      </c>
      <c r="C579" s="32">
        <v>578</v>
      </c>
      <c r="D579" t="str">
        <f t="shared" si="35"/>
        <v>E4_2_1_20</v>
      </c>
      <c r="E579" s="10" t="s">
        <v>11843</v>
      </c>
      <c r="F579" s="10" t="s">
        <v>12250</v>
      </c>
      <c r="G579" s="13" t="s">
        <v>11844</v>
      </c>
      <c r="H579" s="13" t="s">
        <v>12695</v>
      </c>
      <c r="I579" t="str">
        <f t="shared" ref="I579:I642" si="37">CONCATENATE("(${Variables:",D579,"_kcat","} * ",D579," * ",F579,")","/(${Variables:",D579,"_km","} + (",D579," * ",F579,"))")</f>
        <v>(${Variables:E4_2_1_20_kcat} * E4_2_1_20 * C00065 * C03506)/(${Variables:E4_2_1_20_km} + (E4_2_1_20 * C00065 * C03506))</v>
      </c>
      <c r="J579" t="str">
        <f t="shared" si="36"/>
        <v>r578: C00065 + C03506 -&gt;  C00078 + C00118 + C00001 | (${Variables:E4_2_1_20_kcat} * E4_2_1_20 * C00065 * C03506)/(${Variables:E4_2_1_20_km} + (E4_2_1_20 * C00065 * C03506))</v>
      </c>
    </row>
    <row r="580" spans="1:10">
      <c r="A580" s="19" t="s">
        <v>8607</v>
      </c>
      <c r="B580" s="1" t="s">
        <v>11636</v>
      </c>
      <c r="C580" s="32">
        <v>579</v>
      </c>
      <c r="D580" t="str">
        <f t="shared" si="35"/>
        <v>E4_2_1_3</v>
      </c>
      <c r="E580" s="10" t="s">
        <v>10560</v>
      </c>
      <c r="F580" s="10" t="s">
        <v>10560</v>
      </c>
      <c r="G580" s="13" t="s">
        <v>10561</v>
      </c>
      <c r="H580" s="13" t="s">
        <v>10561</v>
      </c>
      <c r="I580" t="str">
        <f t="shared" si="37"/>
        <v>(${Variables:E4_2_1_3_kcat} * E4_2_1_3 * C00158)/(${Variables:E4_2_1_3_km} + (E4_2_1_3 * C00158))</v>
      </c>
      <c r="J580" t="str">
        <f t="shared" si="36"/>
        <v>r579: C00158 -&gt;  C00311 | (${Variables:E4_2_1_3_kcat} * E4_2_1_3 * C00158)/(${Variables:E4_2_1_3_km} + (E4_2_1_3 * C00158))</v>
      </c>
    </row>
    <row r="581" spans="1:10">
      <c r="A581" s="19" t="s">
        <v>8607</v>
      </c>
      <c r="B581" s="1" t="s">
        <v>11636</v>
      </c>
      <c r="C581" s="32">
        <v>580</v>
      </c>
      <c r="D581" t="str">
        <f t="shared" si="35"/>
        <v>E4_2_1_3</v>
      </c>
      <c r="E581" s="10" t="s">
        <v>10562</v>
      </c>
      <c r="F581" s="10" t="s">
        <v>10562</v>
      </c>
      <c r="G581" s="13" t="s">
        <v>10563</v>
      </c>
      <c r="H581" s="13" t="s">
        <v>12696</v>
      </c>
      <c r="I581" t="str">
        <f t="shared" si="37"/>
        <v>(${Variables:E4_2_1_3_kcat} * E4_2_1_3 * C00158 )/(${Variables:E4_2_1_3_km} + (E4_2_1_3 * C00158 ))</v>
      </c>
      <c r="J581" t="str">
        <f t="shared" si="36"/>
        <v>r580: C00158  -&gt;  C00417 + C00001 | (${Variables:E4_2_1_3_kcat} * E4_2_1_3 * C00158 )/(${Variables:E4_2_1_3_km} + (E4_2_1_3 * C00158 ))</v>
      </c>
    </row>
    <row r="582" spans="1:10">
      <c r="A582" s="19" t="s">
        <v>8607</v>
      </c>
      <c r="B582" s="1" t="s">
        <v>11636</v>
      </c>
      <c r="C582" s="32">
        <v>581</v>
      </c>
      <c r="D582" t="str">
        <f t="shared" si="35"/>
        <v>E4_2_1_3</v>
      </c>
      <c r="E582" s="10" t="s">
        <v>10564</v>
      </c>
      <c r="F582" s="10" t="s">
        <v>10564</v>
      </c>
      <c r="G582" s="13" t="s">
        <v>10565</v>
      </c>
      <c r="H582" s="13" t="s">
        <v>12697</v>
      </c>
      <c r="I582" t="str">
        <f t="shared" si="37"/>
        <v>(${Variables:E4_2_1_3_kcat} * E4_2_1_3 * C00311 )/(${Variables:E4_2_1_3_km} + (E4_2_1_3 * C00311 ))</v>
      </c>
      <c r="J582" t="str">
        <f t="shared" si="36"/>
        <v>r581: C00311  -&gt; C00417 + C00001 | (${Variables:E4_2_1_3_kcat} * E4_2_1_3 * C00311 )/(${Variables:E4_2_1_3_km} + (E4_2_1_3 * C00311 ))</v>
      </c>
    </row>
    <row r="583" spans="1:10">
      <c r="A583" s="19" t="s">
        <v>1191</v>
      </c>
      <c r="B583" s="1" t="s">
        <v>11637</v>
      </c>
      <c r="C583" s="32">
        <v>582</v>
      </c>
      <c r="D583" t="str">
        <f t="shared" si="35"/>
        <v>E4_2_1_33</v>
      </c>
      <c r="E583" s="21" t="s">
        <v>9481</v>
      </c>
      <c r="F583" s="21" t="s">
        <v>9481</v>
      </c>
      <c r="G583" s="13" t="s">
        <v>11845</v>
      </c>
      <c r="H583" s="13" t="s">
        <v>12698</v>
      </c>
      <c r="I583" t="str">
        <f t="shared" si="37"/>
        <v>(${Variables:E4_2_1_33_kcat} * E4_2_1_33 * C02504)/(${Variables:E4_2_1_33_km} + (E4_2_1_33 * C02504))</v>
      </c>
      <c r="J583" t="str">
        <f t="shared" si="36"/>
        <v>r582: C02504 -&gt; C02631 + C00001 | (${Variables:E4_2_1_33_kcat} * E4_2_1_33 * C02504)/(${Variables:E4_2_1_33_km} + (E4_2_1_33 * C02504))</v>
      </c>
    </row>
    <row r="584" spans="1:10">
      <c r="A584" s="19" t="s">
        <v>1191</v>
      </c>
      <c r="B584" s="1" t="s">
        <v>11637</v>
      </c>
      <c r="C584" s="32">
        <v>583</v>
      </c>
      <c r="D584" t="str">
        <f t="shared" si="35"/>
        <v>E4_2_1_33</v>
      </c>
      <c r="E584" s="10" t="s">
        <v>9483</v>
      </c>
      <c r="F584" s="10" t="s">
        <v>9483</v>
      </c>
      <c r="G584" s="13" t="s">
        <v>11845</v>
      </c>
      <c r="H584" s="13" t="s">
        <v>12698</v>
      </c>
      <c r="I584" t="str">
        <f t="shared" si="37"/>
        <v>(${Variables:E4_2_1_33_kcat} * E4_2_1_33 * C04411 )/(${Variables:E4_2_1_33_km} + (E4_2_1_33 * C04411 ))</v>
      </c>
      <c r="J584" t="str">
        <f t="shared" si="36"/>
        <v>r583: C04411  -&gt; C02631 + C00001 | (${Variables:E4_2_1_33_kcat} * E4_2_1_33 * C04411 )/(${Variables:E4_2_1_33_km} + (E4_2_1_33 * C04411 ))</v>
      </c>
    </row>
    <row r="585" spans="1:10">
      <c r="A585" s="19" t="s">
        <v>1191</v>
      </c>
      <c r="B585" s="1" t="s">
        <v>11637</v>
      </c>
      <c r="C585" s="32">
        <v>584</v>
      </c>
      <c r="D585" t="str">
        <f t="shared" si="35"/>
        <v>E4_2_1_33</v>
      </c>
      <c r="E585" s="10" t="s">
        <v>9484</v>
      </c>
      <c r="F585" s="10" t="s">
        <v>9484</v>
      </c>
      <c r="G585" s="13" t="s">
        <v>9481</v>
      </c>
      <c r="H585" s="13" t="s">
        <v>9481</v>
      </c>
      <c r="I585" t="str">
        <f t="shared" si="37"/>
        <v>(${Variables:E4_2_1_33_kcat} * E4_2_1_33 * C04411)/(${Variables:E4_2_1_33_km} + (E4_2_1_33 * C04411))</v>
      </c>
      <c r="J585" t="str">
        <f t="shared" si="36"/>
        <v>r584: C04411 -&gt; C02504 | (${Variables:E4_2_1_33_kcat} * E4_2_1_33 * C04411)/(${Variables:E4_2_1_33_km} + (E4_2_1_33 * C04411))</v>
      </c>
    </row>
    <row r="586" spans="1:10">
      <c r="A586" s="19" t="s">
        <v>1194</v>
      </c>
      <c r="B586" s="1" t="s">
        <v>11637</v>
      </c>
      <c r="C586" s="32">
        <v>585</v>
      </c>
      <c r="D586" t="str">
        <f t="shared" si="35"/>
        <v>E4_2_1_33</v>
      </c>
      <c r="E586" s="21" t="s">
        <v>9481</v>
      </c>
      <c r="F586" s="21" t="s">
        <v>9481</v>
      </c>
      <c r="G586" s="13" t="s">
        <v>11845</v>
      </c>
      <c r="H586" s="13" t="s">
        <v>12698</v>
      </c>
      <c r="I586" t="str">
        <f t="shared" si="37"/>
        <v>(${Variables:E4_2_1_33_kcat} * E4_2_1_33 * C02504)/(${Variables:E4_2_1_33_km} + (E4_2_1_33 * C02504))</v>
      </c>
      <c r="J586" t="str">
        <f t="shared" si="36"/>
        <v>r585: C02504 -&gt; C02631 + C00001 | (${Variables:E4_2_1_33_kcat} * E4_2_1_33 * C02504)/(${Variables:E4_2_1_33_km} + (E4_2_1_33 * C02504))</v>
      </c>
    </row>
    <row r="587" spans="1:10">
      <c r="A587" s="19" t="s">
        <v>1194</v>
      </c>
      <c r="B587" s="1" t="s">
        <v>11637</v>
      </c>
      <c r="C587" s="32">
        <v>586</v>
      </c>
      <c r="D587" t="str">
        <f t="shared" si="35"/>
        <v>E4_2_1_33</v>
      </c>
      <c r="E587" s="10" t="s">
        <v>9483</v>
      </c>
      <c r="F587" s="10" t="s">
        <v>9483</v>
      </c>
      <c r="G587" s="13" t="s">
        <v>11845</v>
      </c>
      <c r="H587" s="13" t="s">
        <v>12698</v>
      </c>
      <c r="I587" t="str">
        <f t="shared" si="37"/>
        <v>(${Variables:E4_2_1_33_kcat} * E4_2_1_33 * C04411 )/(${Variables:E4_2_1_33_km} + (E4_2_1_33 * C04411 ))</v>
      </c>
      <c r="J587" t="str">
        <f t="shared" si="36"/>
        <v>r586: C04411  -&gt; C02631 + C00001 | (${Variables:E4_2_1_33_kcat} * E4_2_1_33 * C04411 )/(${Variables:E4_2_1_33_km} + (E4_2_1_33 * C04411 ))</v>
      </c>
    </row>
    <row r="588" spans="1:10">
      <c r="A588" s="19" t="s">
        <v>1194</v>
      </c>
      <c r="B588" s="1" t="s">
        <v>11637</v>
      </c>
      <c r="C588" s="32">
        <v>587</v>
      </c>
      <c r="D588" t="str">
        <f t="shared" si="35"/>
        <v>E4_2_1_33</v>
      </c>
      <c r="E588" s="10" t="s">
        <v>9484</v>
      </c>
      <c r="F588" s="10" t="s">
        <v>9484</v>
      </c>
      <c r="G588" s="13" t="s">
        <v>9481</v>
      </c>
      <c r="H588" s="13" t="s">
        <v>9481</v>
      </c>
      <c r="I588" t="str">
        <f t="shared" si="37"/>
        <v>(${Variables:E4_2_1_33_kcat} * E4_2_1_33 * C04411)/(${Variables:E4_2_1_33_km} + (E4_2_1_33 * C04411))</v>
      </c>
      <c r="J588" t="str">
        <f t="shared" si="36"/>
        <v>r587: C04411 -&gt; C02504 | (${Variables:E4_2_1_33_kcat} * E4_2_1_33 * C04411)/(${Variables:E4_2_1_33_km} + (E4_2_1_33 * C04411))</v>
      </c>
    </row>
    <row r="589" spans="1:10">
      <c r="A589" s="19" t="s">
        <v>6949</v>
      </c>
      <c r="B589" s="1" t="s">
        <v>11638</v>
      </c>
      <c r="C589" s="32">
        <v>588</v>
      </c>
      <c r="D589" t="str">
        <f t="shared" si="35"/>
        <v>E4_2_1_46</v>
      </c>
      <c r="E589" s="10" t="s">
        <v>10318</v>
      </c>
      <c r="F589" s="10" t="s">
        <v>10318</v>
      </c>
      <c r="G589" s="13" t="s">
        <v>10319</v>
      </c>
      <c r="H589" s="13" t="s">
        <v>12699</v>
      </c>
      <c r="I589" t="str">
        <f t="shared" si="37"/>
        <v>(${Variables:E4_2_1_46_kcat} * E4_2_1_46 * C00842 )/(${Variables:E4_2_1_46_km} + (E4_2_1_46 * C00842 ))</v>
      </c>
      <c r="J589" t="str">
        <f t="shared" si="36"/>
        <v>r588: C00842  -&gt; C11907 + C00001 | (${Variables:E4_2_1_46_kcat} * E4_2_1_46 * C00842 )/(${Variables:E4_2_1_46_km} + (E4_2_1_46 * C00842 ))</v>
      </c>
    </row>
    <row r="590" spans="1:10">
      <c r="A590" s="19" t="s">
        <v>387</v>
      </c>
      <c r="B590" s="1" t="s">
        <v>11639</v>
      </c>
      <c r="C590" s="32">
        <v>589</v>
      </c>
      <c r="D590" t="str">
        <f t="shared" si="35"/>
        <v>E4_2_1_47</v>
      </c>
      <c r="E590" s="11" t="s">
        <v>9341</v>
      </c>
      <c r="F590" s="11" t="s">
        <v>9341</v>
      </c>
      <c r="G590" s="13" t="s">
        <v>11846</v>
      </c>
      <c r="H590" s="13" t="s">
        <v>12700</v>
      </c>
      <c r="I590" t="str">
        <f t="shared" si="37"/>
        <v>(${Variables:E4_2_1_47_kcat} * E4_2_1_47 * C00096)/(${Variables:E4_2_1_47_km} + (E4_2_1_47 * C00096))</v>
      </c>
      <c r="J590" t="str">
        <f t="shared" si="36"/>
        <v>r589: C00096 -&gt; C01222 + C00001 | (${Variables:E4_2_1_47_kcat} * E4_2_1_47 * C00096)/(${Variables:E4_2_1_47_km} + (E4_2_1_47 * C00096))</v>
      </c>
    </row>
    <row r="591" spans="1:10">
      <c r="A591" s="19" t="s">
        <v>550</v>
      </c>
      <c r="B591" s="1" t="s">
        <v>11639</v>
      </c>
      <c r="C591" s="32">
        <v>590</v>
      </c>
      <c r="D591" t="str">
        <f t="shared" si="35"/>
        <v>E4_2_1_47</v>
      </c>
      <c r="E591" s="11" t="s">
        <v>9341</v>
      </c>
      <c r="F591" s="11" t="s">
        <v>9341</v>
      </c>
      <c r="G591" s="13" t="s">
        <v>11846</v>
      </c>
      <c r="H591" s="13" t="s">
        <v>12700</v>
      </c>
      <c r="I591" t="str">
        <f t="shared" si="37"/>
        <v>(${Variables:E4_2_1_47_kcat} * E4_2_1_47 * C00096)/(${Variables:E4_2_1_47_km} + (E4_2_1_47 * C00096))</v>
      </c>
      <c r="J591" t="str">
        <f t="shared" si="36"/>
        <v>r590: C00096 -&gt; C01222 + C00001 | (${Variables:E4_2_1_47_kcat} * E4_2_1_47 * C00096)/(${Variables:E4_2_1_47_km} + (E4_2_1_47 * C00096))</v>
      </c>
    </row>
    <row r="592" spans="1:10">
      <c r="A592" s="19" t="s">
        <v>4627</v>
      </c>
      <c r="B592" s="1" t="s">
        <v>11639</v>
      </c>
      <c r="C592" s="32">
        <v>591</v>
      </c>
      <c r="D592" t="str">
        <f t="shared" si="35"/>
        <v>E4_2_1_47</v>
      </c>
      <c r="E592" s="10" t="s">
        <v>9384</v>
      </c>
      <c r="F592" s="10" t="s">
        <v>9384</v>
      </c>
      <c r="G592" s="13" t="s">
        <v>25605</v>
      </c>
      <c r="H592" s="13" t="s">
        <v>25604</v>
      </c>
      <c r="I592" t="str">
        <f t="shared" si="37"/>
        <v>(${Variables:E4_2_1_47_kcat} * E4_2_1_47 * C00096 )/(${Variables:E4_2_1_47_km} + (E4_2_1_47 * C00096 ))</v>
      </c>
      <c r="J592" t="str">
        <f t="shared" si="36"/>
        <v>r591: C00096  -&gt;  C01222 + C00001 | (${Variables:E4_2_1_47_kcat} * E4_2_1_47 * C00096 )/(${Variables:E4_2_1_47_km} + (E4_2_1_47 * C00096 ))</v>
      </c>
    </row>
    <row r="593" spans="1:10">
      <c r="A593" s="19" t="s">
        <v>5602</v>
      </c>
      <c r="B593" s="1" t="s">
        <v>11639</v>
      </c>
      <c r="C593" s="32">
        <v>592</v>
      </c>
      <c r="D593" t="str">
        <f t="shared" si="35"/>
        <v>E4_2_1_47</v>
      </c>
      <c r="E593" s="10" t="s">
        <v>9384</v>
      </c>
      <c r="F593" s="10" t="s">
        <v>9384</v>
      </c>
      <c r="G593" s="13" t="s">
        <v>25605</v>
      </c>
      <c r="H593" s="13" t="s">
        <v>25604</v>
      </c>
      <c r="I593" t="str">
        <f t="shared" si="37"/>
        <v>(${Variables:E4_2_1_47_kcat} * E4_2_1_47 * C00096 )/(${Variables:E4_2_1_47_km} + (E4_2_1_47 * C00096 ))</v>
      </c>
      <c r="J593" t="str">
        <f t="shared" si="36"/>
        <v>r592: C00096  -&gt;  C01222 + C00001 | (${Variables:E4_2_1_47_kcat} * E4_2_1_47 * C00096 )/(${Variables:E4_2_1_47_km} + (E4_2_1_47 * C00096 ))</v>
      </c>
    </row>
    <row r="594" spans="1:10">
      <c r="A594" s="19" t="s">
        <v>4662</v>
      </c>
      <c r="B594" s="1" t="s">
        <v>11640</v>
      </c>
      <c r="C594" s="32">
        <v>593</v>
      </c>
      <c r="D594" t="str">
        <f t="shared" si="35"/>
        <v>E4_2_1_49</v>
      </c>
      <c r="E594" s="11" t="s">
        <v>10047</v>
      </c>
      <c r="F594" s="11" t="s">
        <v>10047</v>
      </c>
      <c r="G594" s="13" t="s">
        <v>10048</v>
      </c>
      <c r="H594" s="13" t="s">
        <v>12701</v>
      </c>
      <c r="I594" t="str">
        <f t="shared" si="37"/>
        <v>(${Variables:E4_2_1_49_kcat} * E4_2_1_49 * C03680 )/(${Variables:E4_2_1_49_km} + (E4_2_1_49 * C03680 ))</v>
      </c>
      <c r="J594" t="str">
        <f t="shared" si="36"/>
        <v>r593: C03680  -&gt;  C00785 + C00001 | (${Variables:E4_2_1_49_kcat} * E4_2_1_49 * C03680 )/(${Variables:E4_2_1_49_km} + (E4_2_1_49 * C03680 ))</v>
      </c>
    </row>
    <row r="595" spans="1:10">
      <c r="A595" s="19" t="s">
        <v>7103</v>
      </c>
      <c r="B595" s="1" t="s">
        <v>11641</v>
      </c>
      <c r="C595" s="32">
        <v>594</v>
      </c>
      <c r="D595" t="str">
        <f t="shared" si="35"/>
        <v>E4_2_1_8</v>
      </c>
      <c r="E595" s="11" t="s">
        <v>10335</v>
      </c>
      <c r="F595" s="11" t="s">
        <v>10335</v>
      </c>
      <c r="G595" s="13" t="s">
        <v>10336</v>
      </c>
      <c r="H595" s="13" t="s">
        <v>12702</v>
      </c>
      <c r="I595" t="str">
        <f t="shared" si="37"/>
        <v>(${Variables:E4_2_1_8_kcat} * E4_2_1_8 * C00514 )/(${Variables:E4_2_1_8_km} + (E4_2_1_8 * C00514 ))</v>
      </c>
      <c r="J595" t="str">
        <f t="shared" si="36"/>
        <v>r594: C00514  -&gt; C00204 + C00001 | (${Variables:E4_2_1_8_kcat} * E4_2_1_8 * C00514 )/(${Variables:E4_2_1_8_km} + (E4_2_1_8 * C00514 ))</v>
      </c>
    </row>
    <row r="596" spans="1:10">
      <c r="A596" s="19" t="s">
        <v>1221</v>
      </c>
      <c r="B596" s="1" t="s">
        <v>11642</v>
      </c>
      <c r="C596" s="32">
        <v>595</v>
      </c>
      <c r="D596" t="str">
        <f t="shared" si="35"/>
        <v>E4_2_1_9</v>
      </c>
      <c r="E596" s="10" t="s">
        <v>9503</v>
      </c>
      <c r="F596" s="10" t="s">
        <v>9503</v>
      </c>
      <c r="G596" s="13" t="s">
        <v>11847</v>
      </c>
      <c r="H596" s="13" t="s">
        <v>12703</v>
      </c>
      <c r="I596" t="str">
        <f t="shared" si="37"/>
        <v>(${Variables:E4_2_1_9_kcat} * E4_2_1_9 * C04039)/(${Variables:E4_2_1_9_km} + (E4_2_1_9 * C04039))</v>
      </c>
      <c r="J596" t="str">
        <f t="shared" si="36"/>
        <v>r595: C04039 -&gt;  C00141 + C00001 | (${Variables:E4_2_1_9_kcat} * E4_2_1_9 * C04039)/(${Variables:E4_2_1_9_km} + (E4_2_1_9 * C04039))</v>
      </c>
    </row>
    <row r="597" spans="1:10">
      <c r="A597" s="19" t="s">
        <v>1221</v>
      </c>
      <c r="B597" s="1" t="s">
        <v>11642</v>
      </c>
      <c r="C597" s="32">
        <v>596</v>
      </c>
      <c r="D597" t="str">
        <f t="shared" si="35"/>
        <v>E4_2_1_9</v>
      </c>
      <c r="E597" s="10" t="s">
        <v>9505</v>
      </c>
      <c r="F597" s="10" t="s">
        <v>9505</v>
      </c>
      <c r="G597" s="13" t="s">
        <v>11848</v>
      </c>
      <c r="H597" s="13" t="s">
        <v>12704</v>
      </c>
      <c r="I597" t="str">
        <f t="shared" si="37"/>
        <v>(${Variables:E4_2_1_9_kcat} * E4_2_1_9 * C04272)/(${Variables:E4_2_1_9_km} + (E4_2_1_9 * C04272))</v>
      </c>
      <c r="J597" t="str">
        <f t="shared" si="36"/>
        <v>r596: C04272 -&gt; C00141 + C00001 | (${Variables:E4_2_1_9_kcat} * E4_2_1_9 * C04272)/(${Variables:E4_2_1_9_km} + (E4_2_1_9 * C04272))</v>
      </c>
    </row>
    <row r="598" spans="1:10">
      <c r="A598" s="19" t="s">
        <v>1221</v>
      </c>
      <c r="B598" s="1" t="s">
        <v>11642</v>
      </c>
      <c r="C598" s="32">
        <v>597</v>
      </c>
      <c r="D598" t="str">
        <f t="shared" si="35"/>
        <v>E4_2_1_9</v>
      </c>
      <c r="E598" s="10" t="s">
        <v>9507</v>
      </c>
      <c r="F598" s="10" t="s">
        <v>9507</v>
      </c>
      <c r="G598" s="13" t="s">
        <v>11849</v>
      </c>
      <c r="H598" s="13" t="s">
        <v>12705</v>
      </c>
      <c r="I598" t="str">
        <f t="shared" si="37"/>
        <v>(${Variables:E4_2_1_9_kcat} * E4_2_1_9 * C06007 )/(${Variables:E4_2_1_9_km} + (E4_2_1_9 * C06007 ))</v>
      </c>
      <c r="J598" t="str">
        <f t="shared" si="36"/>
        <v>r597: C06007  -&gt;  C00671 + C00001 | (${Variables:E4_2_1_9_kcat} * E4_2_1_9 * C06007 )/(${Variables:E4_2_1_9_km} + (E4_2_1_9 * C06007 ))</v>
      </c>
    </row>
    <row r="599" spans="1:10">
      <c r="A599" s="19" t="s">
        <v>6075</v>
      </c>
      <c r="B599" s="1" t="s">
        <v>11643</v>
      </c>
      <c r="C599" s="32">
        <v>598</v>
      </c>
      <c r="D599" t="str">
        <f t="shared" si="35"/>
        <v>E4_2_3_1</v>
      </c>
      <c r="E599" s="10" t="s">
        <v>10228</v>
      </c>
      <c r="F599" s="10" t="s">
        <v>12251</v>
      </c>
      <c r="G599" s="13" t="s">
        <v>10229</v>
      </c>
      <c r="H599" s="13" t="s">
        <v>12706</v>
      </c>
      <c r="I599" t="str">
        <f t="shared" si="37"/>
        <v>(${Variables:E4_2_3_1_kcat} * E4_2_3_1 * C01102 * C00001 )/(${Variables:E4_2_3_1_km} + (E4_2_3_1 * C01102 * C00001 ))</v>
      </c>
      <c r="J599" t="str">
        <f t="shared" si="36"/>
        <v>r598: C01102 + C00001  -&gt; C00188 + C00009 | (${Variables:E4_2_3_1_kcat} * E4_2_3_1 * C01102 * C00001 )/(${Variables:E4_2_3_1_km} + (E4_2_3_1 * C01102 * C00001 ))</v>
      </c>
    </row>
    <row r="600" spans="1:10">
      <c r="A600" s="19" t="s">
        <v>6075</v>
      </c>
      <c r="B600" s="1" t="s">
        <v>11643</v>
      </c>
      <c r="C600" s="32">
        <v>599</v>
      </c>
      <c r="D600" t="str">
        <f t="shared" si="35"/>
        <v>E4_2_3_1</v>
      </c>
      <c r="E600" s="10" t="s">
        <v>10230</v>
      </c>
      <c r="F600" s="10" t="s">
        <v>12252</v>
      </c>
      <c r="G600" s="13" t="s">
        <v>10231</v>
      </c>
      <c r="H600" s="13" t="s">
        <v>12707</v>
      </c>
      <c r="I600" t="str">
        <f t="shared" si="37"/>
        <v>(${Variables:E4_2_3_1_kcat} * E4_2_3_1 * C06055 * C00001)/(${Variables:E4_2_3_1_km} + (E4_2_3_1 * C06055 * C00001))</v>
      </c>
      <c r="J600" t="str">
        <f t="shared" si="36"/>
        <v>r599: C06055 + C00001 -&gt;  C06056 + C00009 | (${Variables:E4_2_3_1_kcat} * E4_2_3_1 * C06055 * C00001)/(${Variables:E4_2_3_1_km} + (E4_2_3_1 * C06055 * C00001))</v>
      </c>
    </row>
    <row r="601" spans="1:10">
      <c r="A601" s="19" t="s">
        <v>1186</v>
      </c>
      <c r="B601" s="1" t="s">
        <v>11644</v>
      </c>
      <c r="C601" s="32">
        <v>600</v>
      </c>
      <c r="D601" t="str">
        <f t="shared" ref="D601:D664" si="38">CONCATENATE("E",B601)</f>
        <v>E4_2_3_3</v>
      </c>
      <c r="E601" s="11" t="s">
        <v>9478</v>
      </c>
      <c r="F601" s="11" t="s">
        <v>9478</v>
      </c>
      <c r="G601" s="13" t="s">
        <v>11850</v>
      </c>
      <c r="H601" s="13" t="s">
        <v>12708</v>
      </c>
      <c r="I601" t="str">
        <f t="shared" si="37"/>
        <v>(${Variables:E4_2_3_3_kcat} * E4_2_3_3 * C00111 )/(${Variables:E4_2_3_3_km} + (E4_2_3_3 * C00111 ))</v>
      </c>
      <c r="J601" t="str">
        <f t="shared" si="36"/>
        <v>r600: C00111  -&gt;  C00546 + C00009 | (${Variables:E4_2_3_3_kcat} * E4_2_3_3 * C00111 )/(${Variables:E4_2_3_3_km} + (E4_2_3_3 * C00111 ))</v>
      </c>
    </row>
    <row r="602" spans="1:10">
      <c r="A602" s="19" t="s">
        <v>4350</v>
      </c>
      <c r="B602" s="1" t="s">
        <v>11644</v>
      </c>
      <c r="C602" s="32">
        <v>601</v>
      </c>
      <c r="D602" t="str">
        <f t="shared" si="38"/>
        <v>E4_2_3_3</v>
      </c>
      <c r="E602" s="10" t="s">
        <v>10001</v>
      </c>
      <c r="F602" s="10" t="s">
        <v>10001</v>
      </c>
      <c r="G602" s="13" t="s">
        <v>10002</v>
      </c>
      <c r="H602" s="13" t="s">
        <v>12709</v>
      </c>
      <c r="I602" t="str">
        <f t="shared" si="37"/>
        <v>(${Variables:E4_2_3_3_kcat} * E4_2_3_3 * C00111)/(${Variables:E4_2_3_3_km} + (E4_2_3_3 * C00111))</v>
      </c>
      <c r="J602" t="str">
        <f t="shared" si="36"/>
        <v>r601: C00111 -&gt; C00546 + C00009 | (${Variables:E4_2_3_3_kcat} * E4_2_3_3 * C00111)/(${Variables:E4_2_3_3_km} + (E4_2_3_3 * C00111))</v>
      </c>
    </row>
    <row r="603" spans="1:10">
      <c r="A603" s="19" t="s">
        <v>2183</v>
      </c>
      <c r="B603" s="1" t="s">
        <v>11645</v>
      </c>
      <c r="C603" s="32">
        <v>602</v>
      </c>
      <c r="D603" t="str">
        <f t="shared" si="38"/>
        <v>E4_2_3_4</v>
      </c>
      <c r="E603" s="10" t="s">
        <v>9682</v>
      </c>
      <c r="F603" s="10" t="s">
        <v>9682</v>
      </c>
      <c r="G603" s="13" t="s">
        <v>9683</v>
      </c>
      <c r="H603" s="13" t="s">
        <v>12710</v>
      </c>
      <c r="I603" t="str">
        <f t="shared" si="37"/>
        <v>(${Variables:E4_2_3_4_kcat} * E4_2_3_4 * C04691)/(${Variables:E4_2_3_4_km} + (E4_2_3_4 * C04691))</v>
      </c>
      <c r="J603" t="str">
        <f t="shared" si="36"/>
        <v>r602: C04691 -&gt; C00944 + C00009 | (${Variables:E4_2_3_4_kcat} * E4_2_3_4 * C04691)/(${Variables:E4_2_3_4_km} + (E4_2_3_4 * C04691))</v>
      </c>
    </row>
    <row r="604" spans="1:10">
      <c r="A604" s="19" t="s">
        <v>1228</v>
      </c>
      <c r="B604" s="1" t="s">
        <v>11646</v>
      </c>
      <c r="C604" s="32">
        <v>603</v>
      </c>
      <c r="D604" t="str">
        <f t="shared" si="38"/>
        <v>E4_2_3_5</v>
      </c>
      <c r="E604" s="10" t="s">
        <v>9509</v>
      </c>
      <c r="F604" s="10" t="s">
        <v>9509</v>
      </c>
      <c r="G604" s="13" t="s">
        <v>11851</v>
      </c>
      <c r="H604" s="13" t="s">
        <v>12711</v>
      </c>
      <c r="I604" t="str">
        <f t="shared" si="37"/>
        <v>(${Variables:E4_2_3_5_kcat} * E4_2_3_5 * C01269 )/(${Variables:E4_2_3_5_km} + (E4_2_3_5 * C01269 ))</v>
      </c>
      <c r="J604" t="str">
        <f t="shared" si="36"/>
        <v>r603: C01269  -&gt;  C00251 + C00009 | (${Variables:E4_2_3_5_kcat} * E4_2_3_5 * C01269 )/(${Variables:E4_2_3_5_km} + (E4_2_3_5 * C01269 ))</v>
      </c>
    </row>
    <row r="605" spans="1:10">
      <c r="A605" s="19" t="s">
        <v>7969</v>
      </c>
      <c r="B605" s="1" t="s">
        <v>11647</v>
      </c>
      <c r="C605" s="32">
        <v>604</v>
      </c>
      <c r="D605" t="str">
        <f t="shared" si="38"/>
        <v>E4_3_1_17</v>
      </c>
      <c r="E605" s="10" t="s">
        <v>9444</v>
      </c>
      <c r="F605" s="10" t="s">
        <v>9444</v>
      </c>
      <c r="G605" s="13" t="s">
        <v>10493</v>
      </c>
      <c r="H605" s="13" t="s">
        <v>12712</v>
      </c>
      <c r="I605" t="str">
        <f t="shared" si="37"/>
        <v>(${Variables:E4_3_1_17_kcat} * E4_3_1_17 * C00065 )/(${Variables:E4_3_1_17_km} + (E4_3_1_17 * C00065 ))</v>
      </c>
      <c r="J605" t="str">
        <f t="shared" si="36"/>
        <v>r604: C00065  -&gt;  C00022 + C00014 | (${Variables:E4_3_1_17_kcat} * E4_3_1_17 * C00065 )/(${Variables:E4_3_1_17_km} + (E4_3_1_17 * C00065 ))</v>
      </c>
    </row>
    <row r="606" spans="1:10">
      <c r="A606" s="19" t="s">
        <v>7969</v>
      </c>
      <c r="B606" s="1" t="s">
        <v>11647</v>
      </c>
      <c r="C606" s="32">
        <v>605</v>
      </c>
      <c r="D606" t="str">
        <f t="shared" si="38"/>
        <v>E4_3_1_17</v>
      </c>
      <c r="E606" s="10" t="s">
        <v>9444</v>
      </c>
      <c r="F606" s="10" t="s">
        <v>9444</v>
      </c>
      <c r="G606" s="13" t="s">
        <v>10494</v>
      </c>
      <c r="H606" s="13" t="s">
        <v>12713</v>
      </c>
      <c r="I606" t="str">
        <f t="shared" si="37"/>
        <v>(${Variables:E4_3_1_17_kcat} * E4_3_1_17 * C00065 )/(${Variables:E4_3_1_17_km} + (E4_3_1_17 * C00065 ))</v>
      </c>
      <c r="J606" t="str">
        <f t="shared" si="36"/>
        <v>r605: C00065  -&gt;  C02218 + C00001 | (${Variables:E4_3_1_17_kcat} * E4_3_1_17 * C00065 )/(${Variables:E4_3_1_17_km} + (E4_3_1_17 * C00065 ))</v>
      </c>
    </row>
    <row r="607" spans="1:10">
      <c r="A607" s="19" t="s">
        <v>7969</v>
      </c>
      <c r="B607" s="1" t="s">
        <v>11647</v>
      </c>
      <c r="C607" s="32">
        <v>606</v>
      </c>
      <c r="D607" t="str">
        <f t="shared" si="38"/>
        <v>E4_3_1_17</v>
      </c>
      <c r="E607" s="10" t="s">
        <v>10495</v>
      </c>
      <c r="F607" s="10" t="s">
        <v>12253</v>
      </c>
      <c r="G607" s="13" t="s">
        <v>10493</v>
      </c>
      <c r="H607" s="13" t="s">
        <v>12712</v>
      </c>
      <c r="I607" t="str">
        <f t="shared" si="37"/>
        <v>(${Variables:E4_3_1_17_kcat} * E4_3_1_17 * C20904 * C00001)/(${Variables:E4_3_1_17_km} + (E4_3_1_17 * C20904 * C00001))</v>
      </c>
      <c r="J607" t="str">
        <f t="shared" si="36"/>
        <v>r606: C20904 + C00001 -&gt;  C00022 + C00014 | (${Variables:E4_3_1_17_kcat} * E4_3_1_17 * C20904 * C00001)/(${Variables:E4_3_1_17_km} + (E4_3_1_17 * C20904 * C00001))</v>
      </c>
    </row>
    <row r="608" spans="1:10">
      <c r="A608" s="19" t="s">
        <v>7969</v>
      </c>
      <c r="B608" s="1" t="s">
        <v>11647</v>
      </c>
      <c r="C608" s="32">
        <v>607</v>
      </c>
      <c r="D608" t="str">
        <f t="shared" si="38"/>
        <v>E4_3_1_17</v>
      </c>
      <c r="E608" s="10" t="s">
        <v>10496</v>
      </c>
      <c r="F608" s="10" t="s">
        <v>10496</v>
      </c>
      <c r="G608" s="13" t="s">
        <v>10497</v>
      </c>
      <c r="H608" s="13" t="s">
        <v>10497</v>
      </c>
      <c r="I608" t="str">
        <f t="shared" si="37"/>
        <v>(${Variables:E4_3_1_17_kcat} * E4_3_1_17 * C02218 )/(${Variables:E4_3_1_17_km} + (E4_3_1_17 * C02218 ))</v>
      </c>
      <c r="J608" t="str">
        <f t="shared" si="36"/>
        <v>r607: C02218  -&gt;  C20904 | (${Variables:E4_3_1_17_kcat} * E4_3_1_17 * C02218 )/(${Variables:E4_3_1_17_km} + (E4_3_1_17 * C02218 ))</v>
      </c>
    </row>
    <row r="609" spans="1:10">
      <c r="A609" s="19" t="s">
        <v>7969</v>
      </c>
      <c r="B609" s="1" t="s">
        <v>11647</v>
      </c>
      <c r="C609" s="32">
        <v>608</v>
      </c>
      <c r="D609" t="str">
        <f t="shared" si="38"/>
        <v>E4_3_1_17</v>
      </c>
      <c r="E609" s="10" t="s">
        <v>10060</v>
      </c>
      <c r="F609" s="10" t="s">
        <v>10060</v>
      </c>
      <c r="G609" s="13" t="s">
        <v>10498</v>
      </c>
      <c r="H609" s="13" t="s">
        <v>12714</v>
      </c>
      <c r="I609" t="str">
        <f t="shared" si="37"/>
        <v>(${Variables:E4_3_1_17_kcat} * E4_3_1_17 * C05167 )/(${Variables:E4_3_1_17_km} + (E4_3_1_17 * C05167 ))</v>
      </c>
      <c r="J609" t="str">
        <f t="shared" si="36"/>
        <v>r608: C05167  -&gt; C00161 + C00014 | (${Variables:E4_3_1_17_kcat} * E4_3_1_17 * C05167 )/(${Variables:E4_3_1_17_km} + (E4_3_1_17 * C05167 ))</v>
      </c>
    </row>
    <row r="610" spans="1:10">
      <c r="A610" s="19" t="s">
        <v>990</v>
      </c>
      <c r="B610" s="1" t="s">
        <v>11648</v>
      </c>
      <c r="C610" s="32">
        <v>609</v>
      </c>
      <c r="D610" t="str">
        <f t="shared" si="38"/>
        <v>E4_3_1_19</v>
      </c>
      <c r="E610" s="10" t="s">
        <v>9438</v>
      </c>
      <c r="F610" s="10" t="s">
        <v>9438</v>
      </c>
      <c r="G610" s="13" t="s">
        <v>11852</v>
      </c>
      <c r="H610" s="13" t="s">
        <v>12715</v>
      </c>
      <c r="I610" t="str">
        <f t="shared" si="37"/>
        <v>(${Variables:E4_3_1_19_kcat} * E4_3_1_19 * C00188)/(${Variables:E4_3_1_19_km} + (E4_3_1_19 * C00188))</v>
      </c>
      <c r="J610" t="str">
        <f t="shared" si="36"/>
        <v>r609: C00188 -&gt;  C00109 + C00014 | (${Variables:E4_3_1_19_kcat} * E4_3_1_19 * C00188)/(${Variables:E4_3_1_19_km} + (E4_3_1_19 * C00188))</v>
      </c>
    </row>
    <row r="611" spans="1:10">
      <c r="A611" s="19" t="s">
        <v>990</v>
      </c>
      <c r="B611" s="1" t="s">
        <v>11648</v>
      </c>
      <c r="C611" s="32">
        <v>610</v>
      </c>
      <c r="D611" t="str">
        <f t="shared" si="38"/>
        <v>E4_3_1_19</v>
      </c>
      <c r="E611" s="10" t="s">
        <v>11853</v>
      </c>
      <c r="F611" s="10" t="s">
        <v>12254</v>
      </c>
      <c r="G611" s="13" t="s">
        <v>11854</v>
      </c>
      <c r="H611" s="13" t="s">
        <v>12716</v>
      </c>
      <c r="I611" t="str">
        <f t="shared" si="37"/>
        <v>(${Variables:E4_3_1_19_kcat} * E4_3_1_19 * C20905 * C00001)/(${Variables:E4_3_1_19_km} + (E4_3_1_19 * C20905 * C00001))</v>
      </c>
      <c r="J611" t="str">
        <f t="shared" si="36"/>
        <v>r610: C20905 + C00001 -&gt; C00109 + C00014 | (${Variables:E4_3_1_19_kcat} * E4_3_1_19 * C20905 * C00001)/(${Variables:E4_3_1_19_km} + (E4_3_1_19 * C20905 * C00001))</v>
      </c>
    </row>
    <row r="612" spans="1:10">
      <c r="A612" s="19" t="s">
        <v>990</v>
      </c>
      <c r="B612" s="1" t="s">
        <v>11648</v>
      </c>
      <c r="C612" s="32">
        <v>611</v>
      </c>
      <c r="D612" t="str">
        <f t="shared" si="38"/>
        <v>E4_3_1_19</v>
      </c>
      <c r="E612" s="10" t="s">
        <v>9442</v>
      </c>
      <c r="F612" s="10" t="s">
        <v>9442</v>
      </c>
      <c r="G612" s="11" t="s">
        <v>9443</v>
      </c>
      <c r="H612" s="11" t="s">
        <v>9443</v>
      </c>
      <c r="I612" t="str">
        <f t="shared" si="37"/>
        <v>(${Variables:E4_3_1_19_kcat} * E4_3_1_19 * C17234 )/(${Variables:E4_3_1_19_km} + (E4_3_1_19 * C17234 ))</v>
      </c>
      <c r="J612" t="str">
        <f t="shared" si="36"/>
        <v>r611: C17234  -&gt; C20905 | (${Variables:E4_3_1_19_kcat} * E4_3_1_19 * C17234 )/(${Variables:E4_3_1_19_km} + (E4_3_1_19 * C17234 ))</v>
      </c>
    </row>
    <row r="613" spans="1:10">
      <c r="A613" s="19" t="s">
        <v>990</v>
      </c>
      <c r="B613" s="1" t="s">
        <v>11648</v>
      </c>
      <c r="C613" s="32">
        <v>612</v>
      </c>
      <c r="D613" t="str">
        <f t="shared" si="38"/>
        <v>E4_3_1_19</v>
      </c>
      <c r="E613" s="10" t="s">
        <v>9444</v>
      </c>
      <c r="F613" s="10" t="s">
        <v>9444</v>
      </c>
      <c r="G613" s="13" t="s">
        <v>11855</v>
      </c>
      <c r="H613" s="13" t="s">
        <v>12717</v>
      </c>
      <c r="I613" t="str">
        <f t="shared" si="37"/>
        <v>(${Variables:E4_3_1_19_kcat} * E4_3_1_19 * C00065 )/(${Variables:E4_3_1_19_km} + (E4_3_1_19 * C00065 ))</v>
      </c>
      <c r="J613" t="str">
        <f t="shared" si="36"/>
        <v>r612: C00065  -&gt; C00022 + C00014 | (${Variables:E4_3_1_19_kcat} * E4_3_1_19 * C00065 )/(${Variables:E4_3_1_19_km} + (E4_3_1_19 * C00065 ))</v>
      </c>
    </row>
    <row r="614" spans="1:10">
      <c r="A614" s="19" t="s">
        <v>990</v>
      </c>
      <c r="B614" s="1" t="s">
        <v>11648</v>
      </c>
      <c r="C614" s="32">
        <v>613</v>
      </c>
      <c r="D614" t="str">
        <f t="shared" si="38"/>
        <v>E4_3_1_19</v>
      </c>
      <c r="E614" s="11" t="s">
        <v>9446</v>
      </c>
      <c r="F614" s="11" t="s">
        <v>9446</v>
      </c>
      <c r="G614" s="13" t="s">
        <v>10498</v>
      </c>
      <c r="H614" s="13" t="s">
        <v>12714</v>
      </c>
      <c r="I614" t="str">
        <f t="shared" si="37"/>
        <v>(${Variables:E4_3_1_19_kcat} * E4_3_1_19 * C05167)/(${Variables:E4_3_1_19_km} + (E4_3_1_19 * C05167))</v>
      </c>
      <c r="J614" t="str">
        <f t="shared" si="36"/>
        <v>r613: C05167 -&gt; C00161 + C00014 | (${Variables:E4_3_1_19_kcat} * E4_3_1_19 * C05167)/(${Variables:E4_3_1_19_km} + (E4_3_1_19 * C05167))</v>
      </c>
    </row>
    <row r="615" spans="1:10">
      <c r="A615" s="19" t="s">
        <v>4672</v>
      </c>
      <c r="B615" s="1" t="s">
        <v>11649</v>
      </c>
      <c r="C615" s="32">
        <v>614</v>
      </c>
      <c r="D615" t="str">
        <f t="shared" si="38"/>
        <v>E4_3_1_3</v>
      </c>
      <c r="E615" s="10" t="s">
        <v>10058</v>
      </c>
      <c r="F615" s="10" t="s">
        <v>10058</v>
      </c>
      <c r="G615" s="13" t="s">
        <v>10059</v>
      </c>
      <c r="H615" s="13" t="s">
        <v>12718</v>
      </c>
      <c r="I615" t="str">
        <f t="shared" si="37"/>
        <v>(${Variables:E4_3_1_3_kcat} * E4_3_1_3 * C00135)/(${Variables:E4_3_1_3_km} + (E4_3_1_3 * C00135))</v>
      </c>
      <c r="J615" t="str">
        <f t="shared" si="36"/>
        <v>r614: C00135 -&gt;  C00785 + C00014 | (${Variables:E4_3_1_3_kcat} * E4_3_1_3 * C00135)/(${Variables:E4_3_1_3_km} + (E4_3_1_3 * C00135))</v>
      </c>
    </row>
    <row r="616" spans="1:10">
      <c r="A616" s="19" t="s">
        <v>4672</v>
      </c>
      <c r="B616" s="1" t="s">
        <v>11649</v>
      </c>
      <c r="C616" s="32">
        <v>615</v>
      </c>
      <c r="D616" t="str">
        <f t="shared" si="38"/>
        <v>E4_3_1_3</v>
      </c>
      <c r="E616" s="10" t="s">
        <v>10060</v>
      </c>
      <c r="F616" s="10" t="s">
        <v>10060</v>
      </c>
      <c r="G616" s="13" t="s">
        <v>10061</v>
      </c>
      <c r="H616" s="13" t="s">
        <v>12719</v>
      </c>
      <c r="I616" t="str">
        <f t="shared" si="37"/>
        <v>(${Variables:E4_3_1_3_kcat} * E4_3_1_3 * C05167 )/(${Variables:E4_3_1_3_km} + (E4_3_1_3 * C05167 ))</v>
      </c>
      <c r="J616" t="str">
        <f t="shared" si="36"/>
        <v>r615: C05167  -&gt;  C11823 + C00014 | (${Variables:E4_3_1_3_kcat} * E4_3_1_3 * C05167 )/(${Variables:E4_3_1_3_km} + (E4_3_1_3 * C05167 ))</v>
      </c>
    </row>
    <row r="617" spans="1:10">
      <c r="A617" s="19" t="s">
        <v>4742</v>
      </c>
      <c r="B617" s="1" t="s">
        <v>11650</v>
      </c>
      <c r="C617" s="32">
        <v>616</v>
      </c>
      <c r="D617" t="str">
        <f t="shared" si="38"/>
        <v>E4_3_2_1</v>
      </c>
      <c r="E617" s="11" t="s">
        <v>10074</v>
      </c>
      <c r="F617" s="11" t="s">
        <v>10074</v>
      </c>
      <c r="G617" s="13" t="s">
        <v>10075</v>
      </c>
      <c r="H617" s="13" t="s">
        <v>12720</v>
      </c>
      <c r="I617" t="str">
        <f t="shared" si="37"/>
        <v>(${Variables:E4_3_2_1_kcat} * E4_3_2_1 * C03406)/(${Variables:E4_3_2_1_km} + (E4_3_2_1 * C03406))</v>
      </c>
      <c r="J617" t="str">
        <f t="shared" si="36"/>
        <v>r616: C03406 -&gt; C00122 + C00062 | (${Variables:E4_3_2_1_kcat} * E4_3_2_1 * C03406)/(${Variables:E4_3_2_1_km} + (E4_3_2_1 * C03406))</v>
      </c>
    </row>
    <row r="618" spans="1:10">
      <c r="A618" s="19" t="s">
        <v>4800</v>
      </c>
      <c r="B618" s="1" t="s">
        <v>11651</v>
      </c>
      <c r="C618" s="32">
        <v>617</v>
      </c>
      <c r="D618" t="str">
        <f t="shared" si="38"/>
        <v>E4_3_2_2</v>
      </c>
      <c r="E618" s="10" t="s">
        <v>10093</v>
      </c>
      <c r="F618" s="10" t="s">
        <v>10093</v>
      </c>
      <c r="G618" s="13" t="s">
        <v>10094</v>
      </c>
      <c r="H618" s="13" t="s">
        <v>12721</v>
      </c>
      <c r="I618" t="str">
        <f t="shared" si="37"/>
        <v>(${Variables:E4_3_2_2_kcat} * E4_3_2_2 * C03794 )/(${Variables:E4_3_2_2_km} + (E4_3_2_2 * C03794 ))</v>
      </c>
      <c r="J618" t="str">
        <f t="shared" ref="J618:J680" si="39">CONCATENATE("r",C618,": ",E618," -&gt; ",G618," | ",I618)</f>
        <v>r617: C03794  -&gt; C00122 + C00020 | (${Variables:E4_3_2_2_kcat} * E4_3_2_2 * C03794 )/(${Variables:E4_3_2_2_km} + (E4_3_2_2 * C03794 ))</v>
      </c>
    </row>
    <row r="619" spans="1:10">
      <c r="A619" s="19" t="s">
        <v>4800</v>
      </c>
      <c r="B619" s="1" t="s">
        <v>11651</v>
      </c>
      <c r="C619" s="32">
        <v>618</v>
      </c>
      <c r="D619" t="str">
        <f t="shared" si="38"/>
        <v>E4_3_2_2</v>
      </c>
      <c r="E619" s="10" t="s">
        <v>10095</v>
      </c>
      <c r="F619" s="10" t="s">
        <v>10095</v>
      </c>
      <c r="G619" s="13" t="s">
        <v>10096</v>
      </c>
      <c r="H619" s="13" t="s">
        <v>12722</v>
      </c>
      <c r="I619" t="str">
        <f t="shared" si="37"/>
        <v>(${Variables:E4_3_2_2_kcat} * E4_3_2_2 * C04823)/(${Variables:E4_3_2_2_km} + (E4_3_2_2 * C04823))</v>
      </c>
      <c r="J619" t="str">
        <f t="shared" si="39"/>
        <v>r618: C04823 -&gt;  C00122 + C04677 | (${Variables:E4_3_2_2_kcat} * E4_3_2_2 * C04823)/(${Variables:E4_3_2_2_km} + (E4_3_2_2 * C04823))</v>
      </c>
    </row>
    <row r="620" spans="1:10">
      <c r="A620" s="19" t="s">
        <v>4800</v>
      </c>
      <c r="B620" s="1" t="s">
        <v>11651</v>
      </c>
      <c r="C620" s="32">
        <v>619</v>
      </c>
      <c r="D620" t="str">
        <f t="shared" si="38"/>
        <v>E4_3_2_2</v>
      </c>
      <c r="E620" s="10" t="s">
        <v>10097</v>
      </c>
      <c r="F620" s="10" t="s">
        <v>10097</v>
      </c>
      <c r="G620" s="13" t="s">
        <v>10098</v>
      </c>
      <c r="H620" s="13" t="s">
        <v>12723</v>
      </c>
      <c r="I620" t="str">
        <f t="shared" si="37"/>
        <v>(${Variables:E4_3_2_2_kcat} * E4_3_2_2 * C22395 )/(${Variables:E4_3_2_2_km} + (E4_3_2_2 * C22395 ))</v>
      </c>
      <c r="J620" t="str">
        <f t="shared" si="39"/>
        <v>r619: C22395  -&gt;  C22441 + C00122 | (${Variables:E4_3_2_2_kcat} * E4_3_2_2 * C22395 )/(${Variables:E4_3_2_2_km} + (E4_3_2_2 * C22395 ))</v>
      </c>
    </row>
    <row r="621" spans="1:10">
      <c r="A621" s="19" t="s">
        <v>157</v>
      </c>
      <c r="B621" s="1" t="s">
        <v>11652</v>
      </c>
      <c r="C621" s="32">
        <v>620</v>
      </c>
      <c r="D621" t="str">
        <f t="shared" si="38"/>
        <v>E4_3_3_7</v>
      </c>
      <c r="E621" s="21" t="s">
        <v>11856</v>
      </c>
      <c r="F621" s="21" t="s">
        <v>12255</v>
      </c>
      <c r="G621" s="13" t="s">
        <v>11857</v>
      </c>
      <c r="H621" s="13" t="s">
        <v>12724</v>
      </c>
      <c r="I621" t="str">
        <f t="shared" si="37"/>
        <v>(${Variables:E4_3_3_7_kcat} * E4_3_3_7 * C00441  * C00022)/(${Variables:E4_3_3_7_km} + (E4_3_3_7 * C00441  * C00022))</v>
      </c>
      <c r="J621" t="str">
        <f t="shared" si="39"/>
        <v>r620: C00441  + C00022 -&gt; C20258  + C00001 | (${Variables:E4_3_3_7_kcat} * E4_3_3_7 * C00441  * C00022)/(${Variables:E4_3_3_7_km} + (E4_3_3_7 * C00441  * C00022))</v>
      </c>
    </row>
    <row r="622" spans="1:10">
      <c r="A622" s="19" t="s">
        <v>2294</v>
      </c>
      <c r="B622" s="1" t="s">
        <v>11653</v>
      </c>
      <c r="C622" s="32">
        <v>621</v>
      </c>
      <c r="D622" t="str">
        <f t="shared" si="38"/>
        <v>E4_6_1_12</v>
      </c>
      <c r="E622" s="10" t="s">
        <v>9697</v>
      </c>
      <c r="F622" s="10" t="s">
        <v>9697</v>
      </c>
      <c r="G622" s="13" t="s">
        <v>9699</v>
      </c>
      <c r="H622" s="13" t="s">
        <v>12725</v>
      </c>
      <c r="I622" t="str">
        <f t="shared" si="37"/>
        <v>(${Variables:E4_6_1_12_kcat} * E4_6_1_12 * C11436)/(${Variables:E4_6_1_12_km} + (E4_6_1_12 * C11436))</v>
      </c>
      <c r="J622" t="str">
        <f t="shared" si="39"/>
        <v>r621: C11436 -&gt; C11453 + C00055 | (${Variables:E4_6_1_12_kcat} * E4_6_1_12 * C11436)/(${Variables:E4_6_1_12_km} + (E4_6_1_12 * C11436))</v>
      </c>
    </row>
    <row r="623" spans="1:10">
      <c r="A623" s="19" t="s">
        <v>4768</v>
      </c>
      <c r="B623" s="1" t="s">
        <v>11654</v>
      </c>
      <c r="C623" s="32">
        <v>622</v>
      </c>
      <c r="D623" t="str">
        <f t="shared" si="38"/>
        <v>E5_1_1_3</v>
      </c>
      <c r="E623" s="10" t="s">
        <v>9272</v>
      </c>
      <c r="F623" s="10" t="s">
        <v>9272</v>
      </c>
      <c r="G623" s="13" t="s">
        <v>10088</v>
      </c>
      <c r="H623" s="13" t="s">
        <v>10088</v>
      </c>
      <c r="I623" t="str">
        <f t="shared" si="37"/>
        <v>(${Variables:E5_1_1_3_kcat} * E5_1_1_3 * C00025)/(${Variables:E5_1_1_3_km} + (E5_1_1_3 * C00025))</v>
      </c>
      <c r="J623" t="str">
        <f t="shared" si="39"/>
        <v>r622: C00025 -&gt;  C00217 | (${Variables:E5_1_1_3_kcat} * E5_1_1_3 * C00025)/(${Variables:E5_1_1_3_km} + (E5_1_1_3 * C00025))</v>
      </c>
    </row>
    <row r="624" spans="1:10">
      <c r="A624" s="19" t="s">
        <v>6223</v>
      </c>
      <c r="B624" s="1" t="s">
        <v>11655</v>
      </c>
      <c r="C624" s="32">
        <v>623</v>
      </c>
      <c r="D624" t="str">
        <f t="shared" si="38"/>
        <v>E5_1_1_7</v>
      </c>
      <c r="E624" s="10" t="s">
        <v>10252</v>
      </c>
      <c r="F624" s="10" t="s">
        <v>10252</v>
      </c>
      <c r="G624" s="13" t="s">
        <v>10253</v>
      </c>
      <c r="H624" s="13" t="s">
        <v>10253</v>
      </c>
      <c r="I624" t="str">
        <f t="shared" si="37"/>
        <v>(${Variables:E5_1_1_7_kcat} * E5_1_1_7 * C00666)/(${Variables:E5_1_1_7_km} + (E5_1_1_7 * C00666))</v>
      </c>
      <c r="J624" t="str">
        <f t="shared" si="39"/>
        <v>r623: C00666 -&gt;  C00680 | (${Variables:E5_1_1_7_kcat} * E5_1_1_7 * C00666)/(${Variables:E5_1_1_7_km} + (E5_1_1_7 * C00666))</v>
      </c>
    </row>
    <row r="625" spans="1:10">
      <c r="A625" s="19" t="s">
        <v>6590</v>
      </c>
      <c r="B625" s="1" t="s">
        <v>11656</v>
      </c>
      <c r="C625" s="32">
        <v>624</v>
      </c>
      <c r="D625" t="str">
        <f t="shared" si="38"/>
        <v>E5_1_3_1</v>
      </c>
      <c r="E625" s="10" t="s">
        <v>9543</v>
      </c>
      <c r="F625" s="10" t="s">
        <v>9543</v>
      </c>
      <c r="G625" s="13" t="s">
        <v>10299</v>
      </c>
      <c r="H625" s="13" t="s">
        <v>10299</v>
      </c>
      <c r="I625" t="str">
        <f t="shared" si="37"/>
        <v>(${Variables:E5_1_3_1_kcat} * E5_1_3_1 * C00199)/(${Variables:E5_1_3_1_km} + (E5_1_3_1 * C00199))</v>
      </c>
      <c r="J625" t="str">
        <f t="shared" si="39"/>
        <v>r624: C00199 -&gt;  C00231 | (${Variables:E5_1_3_1_kcat} * E5_1_3_1 * C00199)/(${Variables:E5_1_3_1_km} + (E5_1_3_1 * C00199))</v>
      </c>
    </row>
    <row r="626" spans="1:10">
      <c r="A626" s="19" t="s">
        <v>6951</v>
      </c>
      <c r="B626" s="1" t="s">
        <v>11657</v>
      </c>
      <c r="C626" s="32">
        <v>625</v>
      </c>
      <c r="D626" t="str">
        <f t="shared" si="38"/>
        <v>E5_1_3_13</v>
      </c>
      <c r="E626" s="10" t="s">
        <v>10321</v>
      </c>
      <c r="F626" s="10" t="s">
        <v>10321</v>
      </c>
      <c r="G626" s="13" t="s">
        <v>10322</v>
      </c>
      <c r="H626" s="13" t="s">
        <v>10322</v>
      </c>
      <c r="I626" t="str">
        <f t="shared" si="37"/>
        <v>(${Variables:E5_1_3_13_kcat} * E5_1_3_13 * C11907)/(${Variables:E5_1_3_13_km} + (E5_1_3_13 * C11907))</v>
      </c>
      <c r="J626" t="str">
        <f t="shared" si="39"/>
        <v>r625: C11907 -&gt;  C00688 | (${Variables:E5_1_3_13_kcat} * E5_1_3_13 * C11907)/(${Variables:E5_1_3_13_km} + (E5_1_3_13 * C11907))</v>
      </c>
    </row>
    <row r="627" spans="1:10">
      <c r="A627" s="19" t="s">
        <v>569</v>
      </c>
      <c r="B627" s="1" t="s">
        <v>11658</v>
      </c>
      <c r="C627" s="32">
        <v>626</v>
      </c>
      <c r="D627" t="str">
        <f t="shared" si="38"/>
        <v>E5_1_3_14</v>
      </c>
      <c r="E627" s="10" t="s">
        <v>9386</v>
      </c>
      <c r="F627" s="10" t="s">
        <v>9386</v>
      </c>
      <c r="G627" s="11" t="s">
        <v>9387</v>
      </c>
      <c r="H627" s="11" t="s">
        <v>9387</v>
      </c>
      <c r="I627" t="str">
        <f t="shared" si="37"/>
        <v>(${Variables:E5_1_3_14_kcat} * E5_1_3_14 * C00043)/(${Variables:E5_1_3_14_km} + (E5_1_3_14 * C00043))</v>
      </c>
      <c r="J627" t="str">
        <f t="shared" si="39"/>
        <v>r626: C00043 -&gt; C01170 | (${Variables:E5_1_3_14_kcat} * E5_1_3_14 * C00043)/(${Variables:E5_1_3_14_km} + (E5_1_3_14 * C00043))</v>
      </c>
    </row>
    <row r="628" spans="1:10">
      <c r="A628" s="19" t="s">
        <v>569</v>
      </c>
      <c r="B628" s="1" t="s">
        <v>11658</v>
      </c>
      <c r="C628" s="32">
        <v>627</v>
      </c>
      <c r="D628" t="str">
        <f t="shared" si="38"/>
        <v>E5_1_3_14</v>
      </c>
      <c r="E628" s="10" t="s">
        <v>11858</v>
      </c>
      <c r="F628" s="10" t="s">
        <v>12256</v>
      </c>
      <c r="G628" s="13" t="s">
        <v>11859</v>
      </c>
      <c r="H628" s="13" t="s">
        <v>12726</v>
      </c>
      <c r="I628" t="str">
        <f t="shared" si="37"/>
        <v>(${Variables:E5_1_3_14_kcat} * E5_1_3_14 * C00043 * C00001)/(${Variables:E5_1_3_14_km} + (E5_1_3_14 * C00043 * C00001))</v>
      </c>
      <c r="J628" t="str">
        <f t="shared" si="39"/>
        <v>r627: C00043 + C00001 -&gt; C00645 + C00015 | (${Variables:E5_1_3_14_kcat} * E5_1_3_14 * C00043 * C00001)/(${Variables:E5_1_3_14_km} + (E5_1_3_14 * C00043 * C00001))</v>
      </c>
    </row>
    <row r="629" spans="1:10">
      <c r="A629" s="19" t="s">
        <v>569</v>
      </c>
      <c r="B629" s="1" t="s">
        <v>11658</v>
      </c>
      <c r="C629" s="32">
        <v>628</v>
      </c>
      <c r="D629" t="str">
        <f t="shared" si="38"/>
        <v>E5_1_3_14</v>
      </c>
      <c r="E629" s="10" t="s">
        <v>11860</v>
      </c>
      <c r="F629" s="10" t="s">
        <v>12257</v>
      </c>
      <c r="G629" s="13" t="s">
        <v>11861</v>
      </c>
      <c r="H629" s="13" t="s">
        <v>12727</v>
      </c>
      <c r="I629" t="str">
        <f t="shared" si="37"/>
        <v>(${Variables:E5_1_3_14_kcat} * E5_1_3_14 * C00645 * C00015 )/(${Variables:E5_1_3_14_km} + (E5_1_3_14 * C00645 * C00015 ))</v>
      </c>
      <c r="J629" t="str">
        <f t="shared" si="39"/>
        <v>r628: C00645 + C00015  -&gt;  C01170 + C00001 | (${Variables:E5_1_3_14_kcat} * E5_1_3_14 * C00645 * C00015 )/(${Variables:E5_1_3_14_km} + (E5_1_3_14 * C00645 * C00015 ))</v>
      </c>
    </row>
    <row r="630" spans="1:10">
      <c r="A630" s="19" t="s">
        <v>7463</v>
      </c>
      <c r="B630" s="1" t="s">
        <v>11658</v>
      </c>
      <c r="C630" s="32">
        <v>629</v>
      </c>
      <c r="D630" t="str">
        <f t="shared" si="38"/>
        <v>E5_1_3_14</v>
      </c>
      <c r="E630" s="10" t="s">
        <v>9386</v>
      </c>
      <c r="F630" s="10" t="s">
        <v>9386</v>
      </c>
      <c r="G630" s="11" t="s">
        <v>9387</v>
      </c>
      <c r="H630" s="11" t="s">
        <v>9387</v>
      </c>
      <c r="I630" t="str">
        <f t="shared" si="37"/>
        <v>(${Variables:E5_1_3_14_kcat} * E5_1_3_14 * C00043)/(${Variables:E5_1_3_14_km} + (E5_1_3_14 * C00043))</v>
      </c>
      <c r="J630" t="str">
        <f t="shared" si="39"/>
        <v>r629: C00043 -&gt; C01170 | (${Variables:E5_1_3_14_kcat} * E5_1_3_14 * C00043)/(${Variables:E5_1_3_14_km} + (E5_1_3_14 * C00043))</v>
      </c>
    </row>
    <row r="631" spans="1:10">
      <c r="A631" s="19" t="s">
        <v>7463</v>
      </c>
      <c r="B631" s="1" t="s">
        <v>11658</v>
      </c>
      <c r="C631" s="32">
        <v>630</v>
      </c>
      <c r="D631" t="str">
        <f t="shared" si="38"/>
        <v>E5_1_3_14</v>
      </c>
      <c r="E631" s="10" t="s">
        <v>11858</v>
      </c>
      <c r="F631" s="10" t="s">
        <v>12256</v>
      </c>
      <c r="G631" s="13" t="s">
        <v>11859</v>
      </c>
      <c r="H631" s="13" t="s">
        <v>12726</v>
      </c>
      <c r="I631" t="str">
        <f t="shared" si="37"/>
        <v>(${Variables:E5_1_3_14_kcat} * E5_1_3_14 * C00043 * C00001)/(${Variables:E5_1_3_14_km} + (E5_1_3_14 * C00043 * C00001))</v>
      </c>
      <c r="J631" t="str">
        <f t="shared" si="39"/>
        <v>r630: C00043 + C00001 -&gt; C00645 + C00015 | (${Variables:E5_1_3_14_kcat} * E5_1_3_14 * C00043 * C00001)/(${Variables:E5_1_3_14_km} + (E5_1_3_14 * C00043 * C00001))</v>
      </c>
    </row>
    <row r="632" spans="1:10">
      <c r="A632" s="19" t="s">
        <v>7463</v>
      </c>
      <c r="B632" s="1" t="s">
        <v>11658</v>
      </c>
      <c r="C632" s="32">
        <v>631</v>
      </c>
      <c r="D632" t="str">
        <f t="shared" si="38"/>
        <v>E5_1_3_14</v>
      </c>
      <c r="E632" s="10" t="s">
        <v>11860</v>
      </c>
      <c r="F632" s="10" t="s">
        <v>12257</v>
      </c>
      <c r="G632" s="13" t="s">
        <v>11861</v>
      </c>
      <c r="H632" s="13" t="s">
        <v>12727</v>
      </c>
      <c r="I632" t="str">
        <f t="shared" si="37"/>
        <v>(${Variables:E5_1_3_14_kcat} * E5_1_3_14 * C00645 * C00015 )/(${Variables:E5_1_3_14_km} + (E5_1_3_14 * C00645 * C00015 ))</v>
      </c>
      <c r="J632" t="str">
        <f t="shared" si="39"/>
        <v>r631: C00645 + C00015  -&gt;  C01170 + C00001 | (${Variables:E5_1_3_14_kcat} * E5_1_3_14 * C00645 * C00015 )/(${Variables:E5_1_3_14_km} + (E5_1_3_14 * C00645 * C00015 ))</v>
      </c>
    </row>
    <row r="633" spans="1:10">
      <c r="A633" s="19" t="s">
        <v>7707</v>
      </c>
      <c r="B633" s="1" t="s">
        <v>11658</v>
      </c>
      <c r="C633" s="32">
        <v>632</v>
      </c>
      <c r="D633" t="str">
        <f t="shared" si="38"/>
        <v>E5_1_3_14</v>
      </c>
      <c r="E633" s="22" t="s">
        <v>9386</v>
      </c>
      <c r="F633" s="22" t="s">
        <v>9386</v>
      </c>
      <c r="G633" s="11" t="s">
        <v>9387</v>
      </c>
      <c r="H633" s="11" t="s">
        <v>9387</v>
      </c>
      <c r="I633" t="str">
        <f t="shared" si="37"/>
        <v>(${Variables:E5_1_3_14_kcat} * E5_1_3_14 * C00043)/(${Variables:E5_1_3_14_km} + (E5_1_3_14 * C00043))</v>
      </c>
      <c r="J633" t="str">
        <f t="shared" si="39"/>
        <v>r632: C00043 -&gt; C01170 | (${Variables:E5_1_3_14_kcat} * E5_1_3_14 * C00043)/(${Variables:E5_1_3_14_km} + (E5_1_3_14 * C00043))</v>
      </c>
    </row>
    <row r="634" spans="1:10">
      <c r="A634" s="19" t="s">
        <v>7707</v>
      </c>
      <c r="B634" s="1" t="s">
        <v>11658</v>
      </c>
      <c r="C634" s="32">
        <v>633</v>
      </c>
      <c r="D634" t="str">
        <f t="shared" si="38"/>
        <v>E5_1_3_14</v>
      </c>
      <c r="E634" s="22" t="s">
        <v>11858</v>
      </c>
      <c r="F634" s="22" t="s">
        <v>12256</v>
      </c>
      <c r="G634" s="20" t="s">
        <v>11859</v>
      </c>
      <c r="H634" s="20" t="s">
        <v>12726</v>
      </c>
      <c r="I634" t="str">
        <f t="shared" si="37"/>
        <v>(${Variables:E5_1_3_14_kcat} * E5_1_3_14 * C00043 * C00001)/(${Variables:E5_1_3_14_km} + (E5_1_3_14 * C00043 * C00001))</v>
      </c>
      <c r="J634" t="str">
        <f t="shared" si="39"/>
        <v>r633: C00043 + C00001 -&gt; C00645 + C00015 | (${Variables:E5_1_3_14_kcat} * E5_1_3_14 * C00043 * C00001)/(${Variables:E5_1_3_14_km} + (E5_1_3_14 * C00043 * C00001))</v>
      </c>
    </row>
    <row r="635" spans="1:10">
      <c r="A635" s="19" t="s">
        <v>7707</v>
      </c>
      <c r="B635" s="1" t="s">
        <v>11658</v>
      </c>
      <c r="C635" s="32">
        <v>634</v>
      </c>
      <c r="D635" t="str">
        <f t="shared" si="38"/>
        <v>E5_1_3_14</v>
      </c>
      <c r="E635" s="22" t="s">
        <v>11860</v>
      </c>
      <c r="F635" s="22" t="s">
        <v>12257</v>
      </c>
      <c r="G635" s="20" t="s">
        <v>11861</v>
      </c>
      <c r="H635" s="20" t="s">
        <v>12727</v>
      </c>
      <c r="I635" t="str">
        <f t="shared" si="37"/>
        <v>(${Variables:E5_1_3_14_kcat} * E5_1_3_14 * C00645 * C00015 )/(${Variables:E5_1_3_14_km} + (E5_1_3_14 * C00645 * C00015 ))</v>
      </c>
      <c r="J635" t="str">
        <f t="shared" si="39"/>
        <v>r634: C00645 + C00015  -&gt;  C01170 + C00001 | (${Variables:E5_1_3_14_kcat} * E5_1_3_14 * C00645 * C00015 )/(${Variables:E5_1_3_14_km} + (E5_1_3_14 * C00645 * C00015 ))</v>
      </c>
    </row>
    <row r="636" spans="1:10">
      <c r="A636" s="19" t="s">
        <v>7340</v>
      </c>
      <c r="B636" s="1" t="s">
        <v>11659</v>
      </c>
      <c r="C636" s="32">
        <v>635</v>
      </c>
      <c r="D636" t="str">
        <f t="shared" si="38"/>
        <v>E5_1_3_2</v>
      </c>
      <c r="E636" s="10" t="s">
        <v>10384</v>
      </c>
      <c r="F636" s="10" t="s">
        <v>10384</v>
      </c>
      <c r="G636" s="13" t="s">
        <v>10385</v>
      </c>
      <c r="H636" s="13" t="s">
        <v>10385</v>
      </c>
      <c r="I636" t="str">
        <f t="shared" si="37"/>
        <v>(${Variables:E5_1_3_2_kcat} * E5_1_3_2 * C00029 )/(${Variables:E5_1_3_2_km} + (E5_1_3_2 * C00029 ))</v>
      </c>
      <c r="J636" t="str">
        <f t="shared" si="39"/>
        <v>r635: C00029  -&gt;  C00052 | (${Variables:E5_1_3_2_kcat} * E5_1_3_2 * C00029 )/(${Variables:E5_1_3_2_km} + (E5_1_3_2 * C00029 ))</v>
      </c>
    </row>
    <row r="637" spans="1:10">
      <c r="A637" s="19" t="s">
        <v>7340</v>
      </c>
      <c r="B637" s="1" t="s">
        <v>11659</v>
      </c>
      <c r="C637" s="32">
        <v>636</v>
      </c>
      <c r="D637" t="str">
        <f t="shared" si="38"/>
        <v>E5_1_3_2</v>
      </c>
      <c r="E637" s="10" t="s">
        <v>10386</v>
      </c>
      <c r="F637" s="10" t="s">
        <v>10386</v>
      </c>
      <c r="G637" s="13" t="s">
        <v>10387</v>
      </c>
      <c r="H637" s="13" t="s">
        <v>10387</v>
      </c>
      <c r="I637" t="str">
        <f t="shared" si="37"/>
        <v>(${Variables:E5_1_3_2_kcat} * E5_1_3_2 * C00043 )/(${Variables:E5_1_3_2_km} + (E5_1_3_2 * C00043 ))</v>
      </c>
      <c r="J637" t="str">
        <f t="shared" si="39"/>
        <v>r636: C00043  -&gt;  C00203 | (${Variables:E5_1_3_2_kcat} * E5_1_3_2 * C00043 )/(${Variables:E5_1_3_2_km} + (E5_1_3_2 * C00043 ))</v>
      </c>
    </row>
    <row r="638" spans="1:10">
      <c r="A638" s="19" t="s">
        <v>7340</v>
      </c>
      <c r="B638" s="1" t="s">
        <v>11659</v>
      </c>
      <c r="C638" s="32">
        <v>637</v>
      </c>
      <c r="D638" t="str">
        <f t="shared" si="38"/>
        <v>E5_1_3_2</v>
      </c>
      <c r="E638" s="10" t="s">
        <v>10318</v>
      </c>
      <c r="F638" s="10" t="s">
        <v>10318</v>
      </c>
      <c r="G638" s="13" t="s">
        <v>10388</v>
      </c>
      <c r="H638" s="13" t="s">
        <v>10388</v>
      </c>
      <c r="I638" t="str">
        <f t="shared" si="37"/>
        <v>(${Variables:E5_1_3_2_kcat} * E5_1_3_2 * C00842 )/(${Variables:E5_1_3_2_km} + (E5_1_3_2 * C00842 ))</v>
      </c>
      <c r="J638" t="str">
        <f t="shared" si="39"/>
        <v>r637: C00842  -&gt;  C02097 | (${Variables:E5_1_3_2_kcat} * E5_1_3_2 * C00842 )/(${Variables:E5_1_3_2_km} + (E5_1_3_2 * C00842 ))</v>
      </c>
    </row>
    <row r="639" spans="1:10">
      <c r="A639" s="19" t="s">
        <v>5900</v>
      </c>
      <c r="B639" s="1" t="s">
        <v>11660</v>
      </c>
      <c r="C639" s="32">
        <v>638</v>
      </c>
      <c r="D639" t="str">
        <f t="shared" si="38"/>
        <v>E5_1_99_1</v>
      </c>
      <c r="E639" s="10" t="s">
        <v>10211</v>
      </c>
      <c r="F639" s="10" t="s">
        <v>10211</v>
      </c>
      <c r="G639" s="13" t="s">
        <v>10212</v>
      </c>
      <c r="H639" s="13" t="s">
        <v>10212</v>
      </c>
      <c r="I639" t="str">
        <f t="shared" si="37"/>
        <v>(${Variables:E5_1_99_1_kcat} * E5_1_99_1 * C01213 )/(${Variables:E5_1_99_1_km} + (E5_1_99_1 * C01213 ))</v>
      </c>
      <c r="J639" t="str">
        <f t="shared" si="39"/>
        <v>r638: C01213  -&gt;  C00683 | (${Variables:E5_1_99_1_kcat} * E5_1_99_1 * C01213 )/(${Variables:E5_1_99_1_km} + (E5_1_99_1 * C01213 ))</v>
      </c>
    </row>
    <row r="640" spans="1:10">
      <c r="A640" s="19" t="s">
        <v>5900</v>
      </c>
      <c r="B640" s="1" t="s">
        <v>11660</v>
      </c>
      <c r="C640" s="32">
        <v>639</v>
      </c>
      <c r="D640" t="str">
        <f t="shared" si="38"/>
        <v>E5_1_99_1</v>
      </c>
      <c r="E640" s="10" t="s">
        <v>10213</v>
      </c>
      <c r="F640" s="10" t="s">
        <v>10213</v>
      </c>
      <c r="G640" s="13" t="s">
        <v>10214</v>
      </c>
      <c r="H640" s="13" t="s">
        <v>10214</v>
      </c>
      <c r="I640" t="str">
        <f t="shared" si="37"/>
        <v>(${Variables:E5_1_99_1_kcat} * E5_1_99_1 * C18026)/(${Variables:E5_1_99_1_km} + (E5_1_99_1 * C18026))</v>
      </c>
      <c r="J640" t="str">
        <f t="shared" si="39"/>
        <v>r639: C18026 -&gt; C20238 | (${Variables:E5_1_99_1_kcat} * E5_1_99_1 * C18026)/(${Variables:E5_1_99_1_km} + (E5_1_99_1 * C18026))</v>
      </c>
    </row>
    <row r="641" spans="1:10">
      <c r="A641" s="19" t="s">
        <v>1898</v>
      </c>
      <c r="B641" s="1" t="s">
        <v>11661</v>
      </c>
      <c r="C641" s="32">
        <v>640</v>
      </c>
      <c r="D641" t="str">
        <f t="shared" si="38"/>
        <v>E5_2_1_8</v>
      </c>
      <c r="E641" s="10" t="s">
        <v>9637</v>
      </c>
      <c r="F641" s="10" t="s">
        <v>9637</v>
      </c>
      <c r="G641" s="13" t="s">
        <v>9638</v>
      </c>
      <c r="H641" s="13" t="s">
        <v>9638</v>
      </c>
      <c r="I641" t="str">
        <f t="shared" si="37"/>
        <v>(${Variables:E5_2_1_8_kcat} * E5_2_1_8 * C03798)/(${Variables:E5_2_1_8_km} + (E5_2_1_8 * C03798))</v>
      </c>
      <c r="J641" t="str">
        <f t="shared" si="39"/>
        <v>r640: C03798 -&gt;  C03633 | (${Variables:E5_2_1_8_kcat} * E5_2_1_8 * C03798)/(${Variables:E5_2_1_8_km} + (E5_2_1_8 * C03798))</v>
      </c>
    </row>
    <row r="642" spans="1:10">
      <c r="A642" s="19" t="s">
        <v>2577</v>
      </c>
      <c r="B642" s="1" t="s">
        <v>11662</v>
      </c>
      <c r="C642" s="32">
        <v>641</v>
      </c>
      <c r="D642" t="str">
        <f t="shared" si="38"/>
        <v>E5_3_1_1</v>
      </c>
      <c r="E642" s="10" t="s">
        <v>9743</v>
      </c>
      <c r="F642" s="10" t="s">
        <v>9743</v>
      </c>
      <c r="G642" s="11" t="s">
        <v>9744</v>
      </c>
      <c r="H642" s="11" t="s">
        <v>9744</v>
      </c>
      <c r="I642" t="str">
        <f t="shared" si="37"/>
        <v>(${Variables:E5_3_1_1_kcat} * E5_3_1_1 * C00118 )/(${Variables:E5_3_1_1_km} + (E5_3_1_1 * C00118 ))</v>
      </c>
      <c r="J642" t="str">
        <f t="shared" si="39"/>
        <v>r641: C00118  -&gt;  C00111 | (${Variables:E5_3_1_1_kcat} * E5_3_1_1 * C00118 )/(${Variables:E5_3_1_1_km} + (E5_3_1_1 * C00118 ))</v>
      </c>
    </row>
    <row r="643" spans="1:10">
      <c r="A643" s="19" t="s">
        <v>3658</v>
      </c>
      <c r="B643" s="1" t="s">
        <v>11663</v>
      </c>
      <c r="C643" s="32">
        <v>642</v>
      </c>
      <c r="D643" t="str">
        <f t="shared" si="38"/>
        <v>E5_3_1_12</v>
      </c>
      <c r="E643" s="10" t="s">
        <v>9909</v>
      </c>
      <c r="F643" s="10" t="s">
        <v>9909</v>
      </c>
      <c r="G643" s="11" t="s">
        <v>9910</v>
      </c>
      <c r="H643" s="11" t="s">
        <v>9910</v>
      </c>
      <c r="I643" t="str">
        <f t="shared" ref="I643:I706" si="40">CONCATENATE("(${Variables:",D643,"_kcat","} * ",D643," * ",F643,")","/(${Variables:",D643,"_km","} + (",D643," * ",F643,"))")</f>
        <v>(${Variables:E5_3_1_12_kcat} * E5_3_1_12 * C00333)/(${Variables:E5_3_1_12_km} + (E5_3_1_12 * C00333))</v>
      </c>
      <c r="J643" t="str">
        <f t="shared" si="39"/>
        <v>r642: C00333 -&gt; C00558 | (${Variables:E5_3_1_12_kcat} * E5_3_1_12 * C00333)/(${Variables:E5_3_1_12_km} + (E5_3_1_12 * C00333))</v>
      </c>
    </row>
    <row r="644" spans="1:10">
      <c r="A644" s="19" t="s">
        <v>3658</v>
      </c>
      <c r="B644" s="1" t="s">
        <v>11663</v>
      </c>
      <c r="C644" s="32">
        <v>643</v>
      </c>
      <c r="D644" t="str">
        <f t="shared" si="38"/>
        <v>E5_3_1_12</v>
      </c>
      <c r="E644" s="10" t="s">
        <v>9907</v>
      </c>
      <c r="F644" s="10" t="s">
        <v>9907</v>
      </c>
      <c r="G644" s="11" t="s">
        <v>9908</v>
      </c>
      <c r="H644" s="11" t="s">
        <v>9908</v>
      </c>
      <c r="I644" t="str">
        <f t="shared" si="40"/>
        <v>(${Variables:E5_3_1_12_kcat} * E5_3_1_12 * C00191)/(${Variables:E5_3_1_12_km} + (E5_3_1_12 * C00191))</v>
      </c>
      <c r="J644" t="str">
        <f t="shared" si="39"/>
        <v>r643: C00191 -&gt; C00905 | (${Variables:E5_3_1_12_kcat} * E5_3_1_12 * C00191)/(${Variables:E5_3_1_12_km} + (E5_3_1_12 * C00191))</v>
      </c>
    </row>
    <row r="645" spans="1:10">
      <c r="A645" s="19" t="s">
        <v>8005</v>
      </c>
      <c r="B645" s="1" t="s">
        <v>11664</v>
      </c>
      <c r="C645" s="32">
        <v>644</v>
      </c>
      <c r="D645" t="str">
        <f t="shared" si="38"/>
        <v>E5_3_1_14</v>
      </c>
      <c r="E645" s="10" t="s">
        <v>10500</v>
      </c>
      <c r="F645" s="10" t="s">
        <v>10500</v>
      </c>
      <c r="G645" s="13" t="s">
        <v>10501</v>
      </c>
      <c r="H645" s="13" t="s">
        <v>10501</v>
      </c>
      <c r="I645" t="str">
        <f t="shared" si="40"/>
        <v>(${Variables:E5_3_1_14_kcat} * E5_3_1_14 * C00507 )/(${Variables:E5_3_1_14_km} + (E5_3_1_14 * C00507 ))</v>
      </c>
      <c r="J645" t="str">
        <f t="shared" si="39"/>
        <v>r644: C00507  -&gt;  C00861 | (${Variables:E5_3_1_14_kcat} * E5_3_1_14 * C00507 )/(${Variables:E5_3_1_14_km} + (E5_3_1_14 * C00507 ))</v>
      </c>
    </row>
    <row r="646" spans="1:10">
      <c r="A646" s="19" t="s">
        <v>1066</v>
      </c>
      <c r="B646" s="1" t="s">
        <v>11665</v>
      </c>
      <c r="C646" s="32">
        <v>645</v>
      </c>
      <c r="D646" t="str">
        <f t="shared" si="38"/>
        <v>E5_3_1_16</v>
      </c>
      <c r="E646" s="10" t="s">
        <v>9452</v>
      </c>
      <c r="F646" s="10" t="s">
        <v>9452</v>
      </c>
      <c r="G646" s="13" t="s">
        <v>9453</v>
      </c>
      <c r="H646" s="13" t="s">
        <v>9453</v>
      </c>
      <c r="I646" t="str">
        <f t="shared" si="40"/>
        <v>(${Variables:E5_3_1_16_kcat} * E5_3_1_16 * C04896)/(${Variables:E5_3_1_16_km} + (E5_3_1_16 * C04896))</v>
      </c>
      <c r="J646" t="str">
        <f t="shared" si="39"/>
        <v>r645: C04896 -&gt; C04916 | (${Variables:E5_3_1_16_kcat} * E5_3_1_16 * C04896)/(${Variables:E5_3_1_16_km} + (E5_3_1_16 * C04896))</v>
      </c>
    </row>
    <row r="647" spans="1:10">
      <c r="A647" s="19" t="s">
        <v>1675</v>
      </c>
      <c r="B647" s="1" t="s">
        <v>11666</v>
      </c>
      <c r="C647" s="32">
        <v>646</v>
      </c>
      <c r="D647" t="str">
        <f t="shared" si="38"/>
        <v>E5_3_1_23</v>
      </c>
      <c r="E647" s="11" t="s">
        <v>9608</v>
      </c>
      <c r="F647" s="11" t="s">
        <v>9608</v>
      </c>
      <c r="G647" s="13" t="s">
        <v>9609</v>
      </c>
      <c r="H647" s="13" t="s">
        <v>9609</v>
      </c>
      <c r="I647" t="str">
        <f t="shared" si="40"/>
        <v>(${Variables:E5_3_1_23_kcat} * E5_3_1_23 * C04188)/(${Variables:E5_3_1_23_km} + (E5_3_1_23 * C04188))</v>
      </c>
      <c r="J647" t="str">
        <f t="shared" si="39"/>
        <v>r646: C04188 -&gt; C04582 | (${Variables:E5_3_1_23_kcat} * E5_3_1_23 * C04188)/(${Variables:E5_3_1_23_km} + (E5_3_1_23 * C04188))</v>
      </c>
    </row>
    <row r="648" spans="1:10">
      <c r="A648" s="19" t="s">
        <v>197</v>
      </c>
      <c r="B648" s="1" t="s">
        <v>11667</v>
      </c>
      <c r="C648" s="32">
        <v>647</v>
      </c>
      <c r="D648" t="str">
        <f t="shared" si="38"/>
        <v>E5_3_1_5</v>
      </c>
      <c r="E648" s="10" t="s">
        <v>9302</v>
      </c>
      <c r="F648" s="10" t="s">
        <v>9302</v>
      </c>
      <c r="G648" s="13" t="s">
        <v>9303</v>
      </c>
      <c r="H648" s="13" t="s">
        <v>9303</v>
      </c>
      <c r="I648" t="str">
        <f t="shared" si="40"/>
        <v>(${Variables:E5_3_1_5_kcat} * E5_3_1_5 * C02205)/(${Variables:E5_3_1_5_km} + (E5_3_1_5 * C02205))</v>
      </c>
      <c r="J648" t="str">
        <f t="shared" si="39"/>
        <v>r647: C02205 -&gt; C22501 | (${Variables:E5_3_1_5_kcat} * E5_3_1_5 * C02205)/(${Variables:E5_3_1_5_km} + (E5_3_1_5 * C02205))</v>
      </c>
    </row>
    <row r="649" spans="1:10">
      <c r="A649" s="19" t="s">
        <v>197</v>
      </c>
      <c r="B649" s="1" t="s">
        <v>11667</v>
      </c>
      <c r="C649" s="32">
        <v>648</v>
      </c>
      <c r="D649" t="str">
        <f t="shared" si="38"/>
        <v>E5_3_1_5</v>
      </c>
      <c r="E649" s="10" t="s">
        <v>9304</v>
      </c>
      <c r="F649" s="10" t="s">
        <v>9304</v>
      </c>
      <c r="G649" s="13" t="s">
        <v>9305</v>
      </c>
      <c r="H649" s="13" t="s">
        <v>9305</v>
      </c>
      <c r="I649" t="str">
        <f t="shared" si="40"/>
        <v>(${Variables:E5_3_1_5_kcat} * E5_3_1_5 * C00267)/(${Variables:E5_3_1_5_km} + (E5_3_1_5 * C00267))</v>
      </c>
      <c r="J649" t="str">
        <f t="shared" si="39"/>
        <v>r648: C00267 -&gt; C22502 | (${Variables:E5_3_1_5_kcat} * E5_3_1_5 * C00267)/(${Variables:E5_3_1_5_km} + (E5_3_1_5 * C00267))</v>
      </c>
    </row>
    <row r="650" spans="1:10">
      <c r="A650" s="19" t="s">
        <v>1304</v>
      </c>
      <c r="B650" s="1" t="s">
        <v>11668</v>
      </c>
      <c r="C650" s="32">
        <v>649</v>
      </c>
      <c r="D650" t="str">
        <f t="shared" si="38"/>
        <v>E5_3_1_6</v>
      </c>
      <c r="E650" s="10" t="s">
        <v>9542</v>
      </c>
      <c r="F650" s="10" t="s">
        <v>9542</v>
      </c>
      <c r="G650" s="13" t="s">
        <v>9543</v>
      </c>
      <c r="H650" s="13" t="s">
        <v>9543</v>
      </c>
      <c r="I650" t="str">
        <f t="shared" si="40"/>
        <v>(${Variables:E5_3_1_6_kcat} * E5_3_1_6 * C00117)/(${Variables:E5_3_1_6_km} + (E5_3_1_6 * C00117))</v>
      </c>
      <c r="J650" t="str">
        <f t="shared" si="39"/>
        <v>r649: C00117 -&gt; C00199 | (${Variables:E5_3_1_6_kcat} * E5_3_1_6 * C00117)/(${Variables:E5_3_1_6_km} + (E5_3_1_6 * C00117))</v>
      </c>
    </row>
    <row r="651" spans="1:10">
      <c r="A651" s="19" t="s">
        <v>1304</v>
      </c>
      <c r="B651" s="1" t="s">
        <v>11668</v>
      </c>
      <c r="C651" s="32">
        <v>650</v>
      </c>
      <c r="D651" t="str">
        <f t="shared" si="38"/>
        <v>E5_3_1_6</v>
      </c>
      <c r="E651" s="10" t="s">
        <v>9544</v>
      </c>
      <c r="F651" s="10" t="s">
        <v>9544</v>
      </c>
      <c r="G651" s="13" t="s">
        <v>9545</v>
      </c>
      <c r="H651" s="13" t="s">
        <v>9545</v>
      </c>
      <c r="I651" t="str">
        <f t="shared" si="40"/>
        <v>(${Variables:E5_3_1_6_kcat} * E5_3_1_6 * C02962)/(${Variables:E5_3_1_6_km} + (E5_3_1_6 * C02962))</v>
      </c>
      <c r="J651" t="str">
        <f t="shared" si="39"/>
        <v>r650: C02962 -&gt; C18096 | (${Variables:E5_3_1_6_kcat} * E5_3_1_6 * C02962)/(${Variables:E5_3_1_6_km} + (E5_3_1_6 * C02962))</v>
      </c>
    </row>
    <row r="652" spans="1:10">
      <c r="A652" s="19" t="s">
        <v>6644</v>
      </c>
      <c r="B652" s="1" t="s">
        <v>11668</v>
      </c>
      <c r="C652" s="32">
        <v>651</v>
      </c>
      <c r="D652" t="str">
        <f t="shared" si="38"/>
        <v>E5_3_1_6</v>
      </c>
      <c r="E652" s="22" t="s">
        <v>9542</v>
      </c>
      <c r="F652" s="22" t="s">
        <v>9542</v>
      </c>
      <c r="G652" s="20" t="s">
        <v>9543</v>
      </c>
      <c r="H652" s="20" t="s">
        <v>9543</v>
      </c>
      <c r="I652" t="str">
        <f t="shared" si="40"/>
        <v>(${Variables:E5_3_1_6_kcat} * E5_3_1_6 * C00117)/(${Variables:E5_3_1_6_km} + (E5_3_1_6 * C00117))</v>
      </c>
      <c r="J652" t="str">
        <f t="shared" si="39"/>
        <v>r651: C00117 -&gt; C00199 | (${Variables:E5_3_1_6_kcat} * E5_3_1_6 * C00117)/(${Variables:E5_3_1_6_km} + (E5_3_1_6 * C00117))</v>
      </c>
    </row>
    <row r="653" spans="1:10">
      <c r="A653" s="19" t="s">
        <v>6644</v>
      </c>
      <c r="B653" s="1" t="s">
        <v>11668</v>
      </c>
      <c r="C653" s="32">
        <v>652</v>
      </c>
      <c r="D653" t="str">
        <f t="shared" si="38"/>
        <v>E5_3_1_6</v>
      </c>
      <c r="E653" s="22" t="s">
        <v>9544</v>
      </c>
      <c r="F653" s="22" t="s">
        <v>9544</v>
      </c>
      <c r="G653" s="20" t="s">
        <v>9545</v>
      </c>
      <c r="H653" s="20" t="s">
        <v>9545</v>
      </c>
      <c r="I653" t="str">
        <f t="shared" si="40"/>
        <v>(${Variables:E5_3_1_6_kcat} * E5_3_1_6 * C02962)/(${Variables:E5_3_1_6_km} + (E5_3_1_6 * C02962))</v>
      </c>
      <c r="J653" t="str">
        <f t="shared" si="39"/>
        <v>r652: C02962 -&gt; C18096 | (${Variables:E5_3_1_6_kcat} * E5_3_1_6 * C02962)/(${Variables:E5_3_1_6_km} + (E5_3_1_6 * C02962))</v>
      </c>
    </row>
    <row r="654" spans="1:10">
      <c r="A654" s="19" t="s">
        <v>5860</v>
      </c>
      <c r="B654" s="1" t="s">
        <v>11669</v>
      </c>
      <c r="C654" s="32">
        <v>653</v>
      </c>
      <c r="D654" t="str">
        <f t="shared" si="38"/>
        <v>E5_3_1_9</v>
      </c>
      <c r="E654" s="10" t="s">
        <v>10185</v>
      </c>
      <c r="F654" s="10" t="s">
        <v>10185</v>
      </c>
      <c r="G654" s="13" t="s">
        <v>10186</v>
      </c>
      <c r="H654" s="13" t="s">
        <v>10186</v>
      </c>
      <c r="I654" t="str">
        <f t="shared" si="40"/>
        <v>(${Variables:E5_3_1_9_kcat} * E5_3_1_9 * C00668 )/(${Variables:E5_3_1_9_km} + (E5_3_1_9 * C00668 ))</v>
      </c>
      <c r="J654" t="str">
        <f t="shared" si="39"/>
        <v>r653: C00668  -&gt;  C05345 | (${Variables:E5_3_1_9_kcat} * E5_3_1_9 * C00668 )/(${Variables:E5_3_1_9_km} + (E5_3_1_9 * C00668 ))</v>
      </c>
    </row>
    <row r="655" spans="1:10">
      <c r="A655" s="19" t="s">
        <v>5860</v>
      </c>
      <c r="B655" s="1" t="s">
        <v>11669</v>
      </c>
      <c r="C655" s="32">
        <v>654</v>
      </c>
      <c r="D655" t="str">
        <f t="shared" si="38"/>
        <v>E5_3_1_9</v>
      </c>
      <c r="E655" s="10" t="s">
        <v>10187</v>
      </c>
      <c r="F655" s="10" t="s">
        <v>10187</v>
      </c>
      <c r="G655" s="13" t="s">
        <v>10188</v>
      </c>
      <c r="H655" s="13" t="s">
        <v>10188</v>
      </c>
      <c r="I655" t="str">
        <f t="shared" si="40"/>
        <v>(${Variables:E5_3_1_9_kcat} * E5_3_1_9 * C00092 )/(${Variables:E5_3_1_9_km} + (E5_3_1_9 * C00092 ))</v>
      </c>
      <c r="J655" t="str">
        <f t="shared" si="39"/>
        <v>r654: C00092  -&gt; C00085 | (${Variables:E5_3_1_9_kcat} * E5_3_1_9 * C00092 )/(${Variables:E5_3_1_9_km} + (E5_3_1_9 * C00092 ))</v>
      </c>
    </row>
    <row r="656" spans="1:10">
      <c r="A656" s="19" t="s">
        <v>5860</v>
      </c>
      <c r="B656" s="1" t="s">
        <v>11669</v>
      </c>
      <c r="C656" s="32">
        <v>655</v>
      </c>
      <c r="D656" t="str">
        <f t="shared" si="38"/>
        <v>E5_3_1_9</v>
      </c>
      <c r="E656" s="10" t="s">
        <v>10185</v>
      </c>
      <c r="F656" s="10" t="s">
        <v>10185</v>
      </c>
      <c r="G656" s="11" t="s">
        <v>10189</v>
      </c>
      <c r="H656" s="11" t="s">
        <v>10189</v>
      </c>
      <c r="I656" t="str">
        <f t="shared" si="40"/>
        <v>(${Variables:E5_3_1_9_kcat} * E5_3_1_9 * C00668 )/(${Variables:E5_3_1_9_km} + (E5_3_1_9 * C00668 ))</v>
      </c>
      <c r="J656" t="str">
        <f t="shared" si="39"/>
        <v>r655: C00668  -&gt;  C01172 | (${Variables:E5_3_1_9_kcat} * E5_3_1_9 * C00668 )/(${Variables:E5_3_1_9_km} + (E5_3_1_9 * C00668 ))</v>
      </c>
    </row>
    <row r="657" spans="1:10">
      <c r="A657" s="19" t="s">
        <v>5860</v>
      </c>
      <c r="B657" s="1" t="s">
        <v>11669</v>
      </c>
      <c r="C657" s="32">
        <v>656</v>
      </c>
      <c r="D657" t="str">
        <f t="shared" si="38"/>
        <v>E5_3_1_9</v>
      </c>
      <c r="E657" s="11" t="s">
        <v>10190</v>
      </c>
      <c r="F657" s="11" t="s">
        <v>10190</v>
      </c>
      <c r="G657" s="13" t="s">
        <v>10186</v>
      </c>
      <c r="H657" s="13" t="s">
        <v>10186</v>
      </c>
      <c r="I657" t="str">
        <f t="shared" si="40"/>
        <v>(${Variables:E5_3_1_9_kcat} * E5_3_1_9 * C01172)/(${Variables:E5_3_1_9_km} + (E5_3_1_9 * C01172))</v>
      </c>
      <c r="J657" t="str">
        <f t="shared" si="39"/>
        <v>r656: C01172 -&gt;  C05345 | (${Variables:E5_3_1_9_kcat} * E5_3_1_9 * C01172)/(${Variables:E5_3_1_9_km} + (E5_3_1_9 * C01172))</v>
      </c>
    </row>
    <row r="658" spans="1:10">
      <c r="A658" s="19" t="s">
        <v>5860</v>
      </c>
      <c r="B658" s="1" t="s">
        <v>11669</v>
      </c>
      <c r="C658" s="32">
        <v>657</v>
      </c>
      <c r="D658" t="str">
        <f t="shared" si="38"/>
        <v>E5_3_1_9</v>
      </c>
      <c r="E658" s="10" t="s">
        <v>10185</v>
      </c>
      <c r="F658" s="10" t="s">
        <v>10185</v>
      </c>
      <c r="G658" s="13" t="s">
        <v>10188</v>
      </c>
      <c r="H658" s="13" t="s">
        <v>10188</v>
      </c>
      <c r="I658" t="str">
        <f t="shared" si="40"/>
        <v>(${Variables:E5_3_1_9_kcat} * E5_3_1_9 * C00668 )/(${Variables:E5_3_1_9_km} + (E5_3_1_9 * C00668 ))</v>
      </c>
      <c r="J658" t="str">
        <f t="shared" si="39"/>
        <v>r657: C00668  -&gt; C00085 | (${Variables:E5_3_1_9_kcat} * E5_3_1_9 * C00668 )/(${Variables:E5_3_1_9_km} + (E5_3_1_9 * C00668 ))</v>
      </c>
    </row>
    <row r="659" spans="1:10">
      <c r="A659" s="19" t="s">
        <v>6598</v>
      </c>
      <c r="B659" s="1" t="s">
        <v>11670</v>
      </c>
      <c r="C659" s="32">
        <v>658</v>
      </c>
      <c r="D659" t="str">
        <f t="shared" si="38"/>
        <v>E5_4_2_10</v>
      </c>
      <c r="E659" s="10" t="s">
        <v>10301</v>
      </c>
      <c r="F659" s="10" t="s">
        <v>10301</v>
      </c>
      <c r="G659" s="13" t="s">
        <v>10302</v>
      </c>
      <c r="H659" s="13" t="s">
        <v>10302</v>
      </c>
      <c r="I659" t="str">
        <f t="shared" si="40"/>
        <v>(${Variables:E5_4_2_10_kcat} * E5_4_2_10 * C06156 )/(${Variables:E5_4_2_10_km} + (E5_4_2_10 * C06156 ))</v>
      </c>
      <c r="J659" t="str">
        <f t="shared" si="39"/>
        <v>r658: C06156  -&gt; C00352 | (${Variables:E5_4_2_10_kcat} * E5_4_2_10 * C06156 )/(${Variables:E5_4_2_10_km} + (E5_4_2_10 * C06156 ))</v>
      </c>
    </row>
    <row r="660" spans="1:10">
      <c r="A660" s="19" t="s">
        <v>500</v>
      </c>
      <c r="B660" s="1" t="s">
        <v>11671</v>
      </c>
      <c r="C660" s="32">
        <v>659</v>
      </c>
      <c r="D660" t="str">
        <f t="shared" si="38"/>
        <v>E5_4_2_11</v>
      </c>
      <c r="E660" s="10" t="s">
        <v>11862</v>
      </c>
      <c r="F660" s="10" t="s">
        <v>12258</v>
      </c>
      <c r="G660" s="13" t="s">
        <v>11863</v>
      </c>
      <c r="H660" s="13" t="s">
        <v>12728</v>
      </c>
      <c r="I660" t="str">
        <f t="shared" si="40"/>
        <v>(${Variables:E5_4_2_11_kcat} * E5_4_2_11 * C01159 * C00615)/(${Variables:E5_4_2_11_km} + (E5_4_2_11 * C01159 * C00615))</v>
      </c>
      <c r="J660" t="str">
        <f t="shared" si="39"/>
        <v>r659: C01159 + C00615 -&gt; C00197  + C04262 | (${Variables:E5_4_2_11_kcat} * E5_4_2_11 * C01159 * C00615)/(${Variables:E5_4_2_11_km} + (E5_4_2_11 * C01159 * C00615))</v>
      </c>
    </row>
    <row r="661" spans="1:10">
      <c r="A661" s="19" t="s">
        <v>500</v>
      </c>
      <c r="B661" s="1" t="s">
        <v>11671</v>
      </c>
      <c r="C661" s="32">
        <v>660</v>
      </c>
      <c r="D661" t="str">
        <f t="shared" si="38"/>
        <v>E5_4_2_11</v>
      </c>
      <c r="E661" s="10" t="s">
        <v>9355</v>
      </c>
      <c r="F661" s="10" t="s">
        <v>9355</v>
      </c>
      <c r="G661" s="13" t="s">
        <v>9356</v>
      </c>
      <c r="H661" s="13" t="s">
        <v>9356</v>
      </c>
      <c r="I661" t="str">
        <f t="shared" si="40"/>
        <v>(${Variables:E5_4_2_11_kcat} * E5_4_2_11 * C00631)/(${Variables:E5_4_2_11_km} + (E5_4_2_11 * C00631))</v>
      </c>
      <c r="J661" t="str">
        <f t="shared" si="39"/>
        <v>r660: C00631 -&gt; C00197 | (${Variables:E5_4_2_11_kcat} * E5_4_2_11 * C00631)/(${Variables:E5_4_2_11_km} + (E5_4_2_11 * C00631))</v>
      </c>
    </row>
    <row r="662" spans="1:10">
      <c r="A662" s="19" t="s">
        <v>4365</v>
      </c>
      <c r="B662" s="1" t="s">
        <v>11671</v>
      </c>
      <c r="C662" s="32">
        <v>661</v>
      </c>
      <c r="D662" t="str">
        <f t="shared" si="38"/>
        <v>E5_4_2_11</v>
      </c>
      <c r="E662" s="10" t="s">
        <v>10024</v>
      </c>
      <c r="F662" s="10" t="s">
        <v>12259</v>
      </c>
      <c r="G662" s="13" t="s">
        <v>10025</v>
      </c>
      <c r="H662" s="13" t="s">
        <v>12729</v>
      </c>
      <c r="I662" t="str">
        <f t="shared" si="40"/>
        <v>(${Variables:E5_4_2_11_kcat} * E5_4_2_11 * C01159 * C00615 )/(${Variables:E5_4_2_11_km} + (E5_4_2_11 * C01159 * C00615 ))</v>
      </c>
      <c r="J662" t="str">
        <f t="shared" si="39"/>
        <v>r661: C01159 + C00615  -&gt;  C00197 + C04262 | (${Variables:E5_4_2_11_kcat} * E5_4_2_11 * C01159 * C00615 )/(${Variables:E5_4_2_11_km} + (E5_4_2_11 * C01159 * C00615 ))</v>
      </c>
    </row>
    <row r="663" spans="1:10">
      <c r="A663" s="19" t="s">
        <v>4365</v>
      </c>
      <c r="B663" s="1" t="s">
        <v>11671</v>
      </c>
      <c r="C663" s="32">
        <v>662</v>
      </c>
      <c r="D663" t="str">
        <f t="shared" si="38"/>
        <v>E5_4_2_11</v>
      </c>
      <c r="E663" s="10" t="s">
        <v>9355</v>
      </c>
      <c r="F663" s="10" t="s">
        <v>9355</v>
      </c>
      <c r="G663" s="13" t="s">
        <v>9356</v>
      </c>
      <c r="H663" s="13" t="s">
        <v>9356</v>
      </c>
      <c r="I663" t="str">
        <f t="shared" si="40"/>
        <v>(${Variables:E5_4_2_11_kcat} * E5_4_2_11 * C00631)/(${Variables:E5_4_2_11_km} + (E5_4_2_11 * C00631))</v>
      </c>
      <c r="J663" t="str">
        <f t="shared" si="39"/>
        <v>r662: C00631 -&gt; C00197 | (${Variables:E5_4_2_11_kcat} * E5_4_2_11 * C00631)/(${Variables:E5_4_2_11_km} + (E5_4_2_11 * C00631))</v>
      </c>
    </row>
    <row r="664" spans="1:10">
      <c r="A664" s="19" t="s">
        <v>2469</v>
      </c>
      <c r="B664" s="1" t="s">
        <v>11672</v>
      </c>
      <c r="C664" s="32">
        <v>663</v>
      </c>
      <c r="D664" t="str">
        <f t="shared" si="38"/>
        <v>E5_4_2_12</v>
      </c>
      <c r="E664" s="11" t="s">
        <v>9715</v>
      </c>
      <c r="F664" s="11" t="s">
        <v>9715</v>
      </c>
      <c r="G664" s="13" t="s">
        <v>9356</v>
      </c>
      <c r="H664" s="13" t="s">
        <v>9356</v>
      </c>
      <c r="I664" t="str">
        <f t="shared" si="40"/>
        <v>(${Variables:E5_4_2_12_kcat} * E5_4_2_12 * C00631 )/(${Variables:E5_4_2_12_km} + (E5_4_2_12 * C00631 ))</v>
      </c>
      <c r="J664" t="str">
        <f t="shared" si="39"/>
        <v>r663: C00631  -&gt; C00197 | (${Variables:E5_4_2_12_kcat} * E5_4_2_12 * C00631 )/(${Variables:E5_4_2_12_km} + (E5_4_2_12 * C00631 ))</v>
      </c>
    </row>
    <row r="665" spans="1:10">
      <c r="A665" s="19" t="s">
        <v>6077</v>
      </c>
      <c r="B665" s="1" t="s">
        <v>11672</v>
      </c>
      <c r="C665" s="32">
        <v>664</v>
      </c>
      <c r="D665" t="str">
        <f t="shared" ref="D665:D727" si="41">CONCATENATE("E",B665)</f>
        <v>E5_4_2_12</v>
      </c>
      <c r="E665" s="10" t="s">
        <v>9716</v>
      </c>
      <c r="F665" s="10" t="s">
        <v>9716</v>
      </c>
      <c r="G665" s="13" t="s">
        <v>9356</v>
      </c>
      <c r="H665" s="13" t="s">
        <v>9356</v>
      </c>
      <c r="I665" t="str">
        <f t="shared" si="40"/>
        <v>(${Variables:E5_4_2_12_kcat} * E5_4_2_12 * C00631 )/(${Variables:E5_4_2_12_km} + (E5_4_2_12 * C00631 ))</v>
      </c>
      <c r="J665" t="str">
        <f t="shared" si="39"/>
        <v>r664: C00631  -&gt; C00197 | (${Variables:E5_4_2_12_kcat} * E5_4_2_12 * C00631 )/(${Variables:E5_4_2_12_km} + (E5_4_2_12 * C00631 ))</v>
      </c>
    </row>
    <row r="666" spans="1:10">
      <c r="A666" s="19" t="s">
        <v>8486</v>
      </c>
      <c r="B666" s="1" t="s">
        <v>11673</v>
      </c>
      <c r="C666" s="32">
        <v>665</v>
      </c>
      <c r="D666" t="str">
        <f t="shared" si="41"/>
        <v>E5_4_4_2</v>
      </c>
      <c r="E666" s="10" t="s">
        <v>10543</v>
      </c>
      <c r="F666" s="10" t="s">
        <v>10543</v>
      </c>
      <c r="G666" s="13" t="s">
        <v>10544</v>
      </c>
      <c r="H666" s="13" t="s">
        <v>10544</v>
      </c>
      <c r="I666" t="str">
        <f t="shared" si="40"/>
        <v>(${Variables:E5_4_4_2_kcat} * E5_4_4_2 * C00251)/(${Variables:E5_4_4_2_km} + (E5_4_4_2 * C00251))</v>
      </c>
      <c r="J666" t="str">
        <f t="shared" si="39"/>
        <v>r665: C00251 -&gt; C00885 | (${Variables:E5_4_4_2_kcat} * E5_4_4_2 * C00251)/(${Variables:E5_4_4_2_km} + (E5_4_4_2 * C00251))</v>
      </c>
    </row>
    <row r="667" spans="1:10">
      <c r="A667" s="19" t="s">
        <v>909</v>
      </c>
      <c r="B667" s="1" t="s">
        <v>11674</v>
      </c>
      <c r="C667" s="32">
        <v>666</v>
      </c>
      <c r="D667" t="str">
        <f t="shared" si="41"/>
        <v>E5_4_99_12</v>
      </c>
      <c r="E667" s="11" t="s">
        <v>9435</v>
      </c>
      <c r="F667" s="11" t="s">
        <v>9435</v>
      </c>
      <c r="G667" s="11" t="s">
        <v>9436</v>
      </c>
      <c r="H667" s="11" t="s">
        <v>9436</v>
      </c>
      <c r="I667" t="str">
        <f t="shared" si="40"/>
        <v>(${Variables:E5_4_99_12_kcat} * E5_4_99_12 * C00868)/(${Variables:E5_4_99_12_km} + (E5_4_99_12 * C00868))</v>
      </c>
      <c r="J667" t="str">
        <f t="shared" si="39"/>
        <v>r666: C00868 -&gt; C02764 | (${Variables:E5_4_99_12_kcat} * E5_4_99_12 * C00868)/(${Variables:E5_4_99_12_km} + (E5_4_99_12 * C00868))</v>
      </c>
    </row>
    <row r="668" spans="1:10">
      <c r="A668" s="19" t="s">
        <v>3625</v>
      </c>
      <c r="B668" s="1" t="s">
        <v>11675</v>
      </c>
      <c r="C668" s="32">
        <v>667</v>
      </c>
      <c r="D668" t="str">
        <f t="shared" si="41"/>
        <v>E5_4_99_18</v>
      </c>
      <c r="E668" s="10" t="s">
        <v>9899</v>
      </c>
      <c r="F668" s="10" t="s">
        <v>9899</v>
      </c>
      <c r="G668" s="13" t="s">
        <v>9900</v>
      </c>
      <c r="H668" s="13" t="s">
        <v>9900</v>
      </c>
      <c r="I668" t="str">
        <f t="shared" si="40"/>
        <v>(${Variables:E5_4_99_18_kcat} * E5_4_99_18 * C15667 )/(${Variables:E5_4_99_18_km} + (E5_4_99_18 * C15667 ))</v>
      </c>
      <c r="J668" t="str">
        <f t="shared" si="39"/>
        <v>r667: C15667  -&gt; C04751 | (${Variables:E5_4_99_18_kcat} * E5_4_99_18 * C15667 )/(${Variables:E5_4_99_18_km} + (E5_4_99_18 * C15667 ))</v>
      </c>
    </row>
    <row r="669" spans="1:10">
      <c r="A669" s="19" t="s">
        <v>1708</v>
      </c>
      <c r="B669" s="1" t="s">
        <v>11676</v>
      </c>
      <c r="C669" s="32">
        <v>668</v>
      </c>
      <c r="D669" t="str">
        <f t="shared" si="41"/>
        <v>E5_4_99_2</v>
      </c>
      <c r="E669" s="10" t="s">
        <v>9622</v>
      </c>
      <c r="F669" s="10" t="s">
        <v>9622</v>
      </c>
      <c r="G669" s="13" t="s">
        <v>9623</v>
      </c>
      <c r="H669" s="13" t="s">
        <v>9623</v>
      </c>
      <c r="I669" t="str">
        <f t="shared" si="40"/>
        <v>(${Variables:E5_4_99_2_kcat} * E5_4_99_2 * C01213)/(${Variables:E5_4_99_2_km} + (E5_4_99_2 * C01213))</v>
      </c>
      <c r="J669" t="str">
        <f t="shared" si="39"/>
        <v>r668: C01213 -&gt; C00091 | (${Variables:E5_4_99_2_kcat} * E5_4_99_2 * C01213)/(${Variables:E5_4_99_2_km} + (E5_4_99_2 * C01213))</v>
      </c>
    </row>
    <row r="670" spans="1:10">
      <c r="A670" s="19" t="s">
        <v>1711</v>
      </c>
      <c r="B670" s="1" t="s">
        <v>11676</v>
      </c>
      <c r="C670" s="32">
        <v>669</v>
      </c>
      <c r="D670" t="str">
        <f t="shared" si="41"/>
        <v>E5_4_99_2</v>
      </c>
      <c r="E670" s="10" t="s">
        <v>9622</v>
      </c>
      <c r="F670" s="10" t="s">
        <v>9622</v>
      </c>
      <c r="G670" s="13" t="s">
        <v>9623</v>
      </c>
      <c r="H670" s="13" t="s">
        <v>9623</v>
      </c>
      <c r="I670" t="str">
        <f t="shared" si="40"/>
        <v>(${Variables:E5_4_99_2_kcat} * E5_4_99_2 * C01213)/(${Variables:E5_4_99_2_km} + (E5_4_99_2 * C01213))</v>
      </c>
      <c r="J670" t="str">
        <f t="shared" si="39"/>
        <v>r669: C01213 -&gt; C00091 | (${Variables:E5_4_99_2_kcat} * E5_4_99_2 * C01213)/(${Variables:E5_4_99_2_km} + (E5_4_99_2 * C01213))</v>
      </c>
    </row>
    <row r="671" spans="1:10">
      <c r="A671" s="19" t="s">
        <v>38</v>
      </c>
      <c r="B671" s="1" t="s">
        <v>11677</v>
      </c>
      <c r="C671" s="32">
        <v>670</v>
      </c>
      <c r="D671" t="str">
        <f t="shared" si="41"/>
        <v>E5_4_99_9</v>
      </c>
      <c r="E671" s="11" t="s">
        <v>9263</v>
      </c>
      <c r="F671" s="11" t="s">
        <v>9263</v>
      </c>
      <c r="G671" s="14" t="s">
        <v>9266</v>
      </c>
      <c r="H671" s="14" t="s">
        <v>9266</v>
      </c>
      <c r="I671" t="str">
        <f t="shared" si="40"/>
        <v>(${Variables:E5_4_99_9_kcat} * E5_4_99_9 * C00052 )/(${Variables:E5_4_99_9_km} + (E5_4_99_9 * C00052 ))</v>
      </c>
      <c r="J671" t="str">
        <f t="shared" si="39"/>
        <v>r670: C00052  -&gt;  C03733 | (${Variables:E5_4_99_9_kcat} * E5_4_99_9 * C00052 )/(${Variables:E5_4_99_9_km} + (E5_4_99_9 * C00052 ))</v>
      </c>
    </row>
    <row r="672" spans="1:10">
      <c r="A672" s="19" t="s">
        <v>38</v>
      </c>
      <c r="B672" s="1" t="s">
        <v>11677</v>
      </c>
      <c r="C672" s="32">
        <v>671</v>
      </c>
      <c r="D672" t="str">
        <f t="shared" si="41"/>
        <v>E5_4_99_9</v>
      </c>
      <c r="E672" s="11" t="s">
        <v>9267</v>
      </c>
      <c r="F672" s="11" t="s">
        <v>9267</v>
      </c>
      <c r="G672" s="14" t="s">
        <v>9268</v>
      </c>
      <c r="H672" s="14" t="s">
        <v>9268</v>
      </c>
      <c r="I672" t="str">
        <f t="shared" si="40"/>
        <v>(${Variables:E5_4_99_9_kcat} * E5_4_99_9 * C00935 )/(${Variables:E5_4_99_9_km} + (E5_4_99_9 * C00935 ))</v>
      </c>
      <c r="J672" t="str">
        <f t="shared" si="39"/>
        <v>r671: C00935  -&gt; C18094 | (${Variables:E5_4_99_9_kcat} * E5_4_99_9 * C00935 )/(${Variables:E5_4_99_9_km} + (E5_4_99_9 * C00935 ))</v>
      </c>
    </row>
    <row r="673" spans="1:10">
      <c r="A673" s="19" t="s">
        <v>2762</v>
      </c>
      <c r="B673" s="1" t="s">
        <v>11677</v>
      </c>
      <c r="C673" s="32">
        <v>672</v>
      </c>
      <c r="D673" t="str">
        <f t="shared" si="41"/>
        <v>E5_4_99_9</v>
      </c>
      <c r="E673" s="11" t="s">
        <v>9263</v>
      </c>
      <c r="F673" s="14" t="s">
        <v>9266</v>
      </c>
      <c r="G673" s="11" t="s">
        <v>9263</v>
      </c>
      <c r="H673" s="11" t="s">
        <v>9263</v>
      </c>
      <c r="I673" t="str">
        <f t="shared" si="40"/>
        <v>(${Variables:E5_4_99_9_kcat} * E5_4_99_9 *  C03733)/(${Variables:E5_4_99_9_km} + (E5_4_99_9 *  C03733))</v>
      </c>
      <c r="J673" t="str">
        <f t="shared" si="39"/>
        <v>r672: C00052  -&gt; C00052  | (${Variables:E5_4_99_9_kcat} * E5_4_99_9 *  C03733)/(${Variables:E5_4_99_9_km} + (E5_4_99_9 *  C03733))</v>
      </c>
    </row>
    <row r="674" spans="1:10">
      <c r="A674" s="19" t="s">
        <v>2762</v>
      </c>
      <c r="B674" s="1" t="s">
        <v>11677</v>
      </c>
      <c r="C674" s="32">
        <v>673</v>
      </c>
      <c r="D674" t="str">
        <f t="shared" si="41"/>
        <v>E5_4_99_9</v>
      </c>
      <c r="E674" s="11" t="s">
        <v>9267</v>
      </c>
      <c r="F674" s="14" t="s">
        <v>9268</v>
      </c>
      <c r="G674" s="11" t="s">
        <v>9267</v>
      </c>
      <c r="H674" s="11" t="s">
        <v>9267</v>
      </c>
      <c r="I674" t="str">
        <f t="shared" si="40"/>
        <v>(${Variables:E5_4_99_9_kcat} * E5_4_99_9 * C18094)/(${Variables:E5_4_99_9_km} + (E5_4_99_9 * C18094))</v>
      </c>
      <c r="J674" t="str">
        <f t="shared" si="39"/>
        <v>r673: C00935  -&gt; C00935  | (${Variables:E5_4_99_9_kcat} * E5_4_99_9 * C18094)/(${Variables:E5_4_99_9_km} + (E5_4_99_9 * C18094))</v>
      </c>
    </row>
    <row r="675" spans="1:10">
      <c r="A675" s="19" t="s">
        <v>6167</v>
      </c>
      <c r="B675" s="1" t="s">
        <v>11677</v>
      </c>
      <c r="C675" s="32">
        <v>674</v>
      </c>
      <c r="D675" t="str">
        <f t="shared" si="41"/>
        <v>E5_4_99_9</v>
      </c>
      <c r="E675" s="11" t="s">
        <v>9263</v>
      </c>
      <c r="F675" s="14" t="s">
        <v>9266</v>
      </c>
      <c r="G675" s="11" t="s">
        <v>9263</v>
      </c>
      <c r="H675" s="11" t="s">
        <v>9263</v>
      </c>
      <c r="I675" t="str">
        <f t="shared" si="40"/>
        <v>(${Variables:E5_4_99_9_kcat} * E5_4_99_9 *  C03733)/(${Variables:E5_4_99_9_km} + (E5_4_99_9 *  C03733))</v>
      </c>
      <c r="J675" t="str">
        <f t="shared" si="39"/>
        <v>r674: C00052  -&gt; C00052  | (${Variables:E5_4_99_9_kcat} * E5_4_99_9 *  C03733)/(${Variables:E5_4_99_9_km} + (E5_4_99_9 *  C03733))</v>
      </c>
    </row>
    <row r="676" spans="1:10">
      <c r="A676" s="19" t="s">
        <v>6167</v>
      </c>
      <c r="B676" s="1" t="s">
        <v>11677</v>
      </c>
      <c r="C676" s="32">
        <v>675</v>
      </c>
      <c r="D676" t="str">
        <f t="shared" si="41"/>
        <v>E5_4_99_9</v>
      </c>
      <c r="E676" s="11" t="s">
        <v>9267</v>
      </c>
      <c r="F676" s="14" t="s">
        <v>9268</v>
      </c>
      <c r="G676" s="11" t="s">
        <v>9267</v>
      </c>
      <c r="H676" s="11" t="s">
        <v>9267</v>
      </c>
      <c r="I676" t="str">
        <f t="shared" si="40"/>
        <v>(${Variables:E5_4_99_9_kcat} * E5_4_99_9 * C18094)/(${Variables:E5_4_99_9_km} + (E5_4_99_9 * C18094))</v>
      </c>
      <c r="J676" t="str">
        <f t="shared" si="39"/>
        <v>r675: C00935  -&gt; C00935  | (${Variables:E5_4_99_9_kcat} * E5_4_99_9 * C18094)/(${Variables:E5_4_99_9_km} + (E5_4_99_9 * C18094))</v>
      </c>
    </row>
    <row r="677" spans="1:10">
      <c r="A677" s="19" t="s">
        <v>3388</v>
      </c>
      <c r="B677" s="1" t="s">
        <v>11678</v>
      </c>
      <c r="C677" s="32">
        <v>676</v>
      </c>
      <c r="D677" t="str">
        <f t="shared" si="41"/>
        <v>E6_1_1_1</v>
      </c>
      <c r="E677" s="10" t="s">
        <v>9845</v>
      </c>
      <c r="F677" s="10" t="s">
        <v>12260</v>
      </c>
      <c r="G677" s="13" t="s">
        <v>9846</v>
      </c>
      <c r="H677" s="13" t="s">
        <v>12730</v>
      </c>
      <c r="I677" t="str">
        <f t="shared" si="40"/>
        <v>(${Variables:E6_1_1_1_kcat} * E6_1_1_1 * C00002 * C00082 * C00787 )/(${Variables:E6_1_1_1_km} + (E6_1_1_1 * C00002 * C00082 * C00787 ))</v>
      </c>
      <c r="J677" t="str">
        <f t="shared" si="39"/>
        <v>r676: C00002 + C00082 + C00787  -&gt;  C00020 + C00013 + C02839 | (${Variables:E6_1_1_1_kcat} * E6_1_1_1 * C00002 * C00082 * C00787 )/(${Variables:E6_1_1_1_km} + (E6_1_1_1 * C00002 * C00082 * C00787 ))</v>
      </c>
    </row>
    <row r="678" spans="1:10">
      <c r="A678" s="19" t="s">
        <v>2774</v>
      </c>
      <c r="B678" s="1" t="s">
        <v>11679</v>
      </c>
      <c r="C678" s="32">
        <v>677</v>
      </c>
      <c r="D678" t="str">
        <f t="shared" si="41"/>
        <v>E6_1_1_10</v>
      </c>
      <c r="E678" s="10" t="s">
        <v>9757</v>
      </c>
      <c r="F678" s="10" t="s">
        <v>12261</v>
      </c>
      <c r="G678" s="13" t="s">
        <v>9758</v>
      </c>
      <c r="H678" s="13" t="s">
        <v>12731</v>
      </c>
      <c r="I678" t="str">
        <f t="shared" si="40"/>
        <v>(${Variables:E6_1_1_10_kcat} * E6_1_1_10 * C00002 * C00073 * C01647 )/(${Variables:E6_1_1_10_km} + (E6_1_1_10 * C00002 * C00073 * C01647 ))</v>
      </c>
      <c r="J678" t="str">
        <f t="shared" si="39"/>
        <v>r677: C00002 + C00073 + C01647  -&gt; C00020 + C00013 + C02430 | (${Variables:E6_1_1_10_kcat} * E6_1_1_10 * C00002 * C00073 * C01647 )/(${Variables:E6_1_1_10_km} + (E6_1_1_10 * C00002 * C00073 * C01647 ))</v>
      </c>
    </row>
    <row r="679" spans="1:10">
      <c r="A679" s="19" t="s">
        <v>2774</v>
      </c>
      <c r="B679" s="1" t="s">
        <v>11679</v>
      </c>
      <c r="C679" s="32">
        <v>678</v>
      </c>
      <c r="D679" t="str">
        <f t="shared" si="41"/>
        <v>E6_1_1_10</v>
      </c>
      <c r="E679" s="10" t="s">
        <v>9759</v>
      </c>
      <c r="F679" s="10" t="s">
        <v>12262</v>
      </c>
      <c r="G679" s="13" t="s">
        <v>9760</v>
      </c>
      <c r="H679" s="13" t="s">
        <v>12732</v>
      </c>
      <c r="I679" t="str">
        <f t="shared" si="40"/>
        <v>(${Variables:E6_1_1_10_kcat} * E6_1_1_10 * C00002 * C05335 * C01647 )/(${Variables:E6_1_1_10_km} + (E6_1_1_10 * C00002 * C05335 * C01647 ))</v>
      </c>
      <c r="J679" t="str">
        <f t="shared" si="39"/>
        <v>r678: C00002 + C05335 + C01647  -&gt;  C00020 + C00013 + C05336 | (${Variables:E6_1_1_10_kcat} * E6_1_1_10 * C00002 * C05335 * C01647 )/(${Variables:E6_1_1_10_km} + (E6_1_1_10 * C00002 * C05335 * C01647 ))</v>
      </c>
    </row>
    <row r="680" spans="1:10">
      <c r="A680" s="19" t="s">
        <v>7400</v>
      </c>
      <c r="B680" s="1" t="s">
        <v>11680</v>
      </c>
      <c r="C680" s="32">
        <v>679</v>
      </c>
      <c r="D680" t="str">
        <f t="shared" si="41"/>
        <v>E6_1_1_11</v>
      </c>
      <c r="E680" s="10" t="s">
        <v>10398</v>
      </c>
      <c r="F680" s="10" t="s">
        <v>12263</v>
      </c>
      <c r="G680" s="13" t="s">
        <v>10399</v>
      </c>
      <c r="H680" s="13" t="s">
        <v>12733</v>
      </c>
      <c r="I680" t="str">
        <f t="shared" si="40"/>
        <v>(${Variables:E6_1_1_11_kcat} * E6_1_1_11 * C00002 * C00065 * C01650 )/(${Variables:E6_1_1_11_km} + (E6_1_1_11 * C00002 * C00065 * C01650 ))</v>
      </c>
      <c r="J680" t="str">
        <f t="shared" si="39"/>
        <v>r679: C00002 + C00065 + C01650  -&gt;  C00020 + C00013 + C02553 | (${Variables:E6_1_1_11_kcat} * E6_1_1_11 * C00002 * C00065 * C01650 )/(${Variables:E6_1_1_11_km} + (E6_1_1_11 * C00002 * C00065 * C01650 ))</v>
      </c>
    </row>
    <row r="681" spans="1:10">
      <c r="A681" s="19" t="s">
        <v>7400</v>
      </c>
      <c r="B681" s="1" t="s">
        <v>11680</v>
      </c>
      <c r="C681" s="32">
        <v>680</v>
      </c>
      <c r="D681" t="str">
        <f t="shared" si="41"/>
        <v>E6_1_1_11</v>
      </c>
      <c r="E681" s="10" t="s">
        <v>10400</v>
      </c>
      <c r="F681" s="10" t="s">
        <v>12264</v>
      </c>
      <c r="G681" s="13" t="s">
        <v>10401</v>
      </c>
      <c r="H681" s="13" t="s">
        <v>12734</v>
      </c>
      <c r="I681" t="str">
        <f t="shared" si="40"/>
        <v>(${Variables:E6_1_1_11_kcat} * E6_1_1_11 * C00002 * C00065 * C16636 )/(${Variables:E6_1_1_11_km} + (E6_1_1_11 * C00002 * C00065 * C16636 ))</v>
      </c>
      <c r="J681" t="str">
        <f t="shared" ref="J681:J744" si="42">CONCATENATE("r",C681,": ",E681," -&gt; ",G681," | ",I681)</f>
        <v>r680: C00002 + C00065 + C16636  -&gt;  C00020 + C00013 + C06481 | (${Variables:E6_1_1_11_kcat} * E6_1_1_11 * C00002 * C00065 * C16636 )/(${Variables:E6_1_1_11_km} + (E6_1_1_11 * C00002 * C00065 * C16636 ))</v>
      </c>
    </row>
    <row r="682" spans="1:10">
      <c r="A682" s="19" t="s">
        <v>7836</v>
      </c>
      <c r="B682" s="1" t="s">
        <v>11681</v>
      </c>
      <c r="C682" s="32">
        <v>681</v>
      </c>
      <c r="D682" t="str">
        <f t="shared" si="41"/>
        <v>E6_1_1_12</v>
      </c>
      <c r="E682" s="10" t="s">
        <v>10487</v>
      </c>
      <c r="F682" s="10" t="s">
        <v>12265</v>
      </c>
      <c r="G682" s="13" t="s">
        <v>10488</v>
      </c>
      <c r="H682" s="13" t="s">
        <v>12735</v>
      </c>
      <c r="I682" t="str">
        <f t="shared" si="40"/>
        <v>(${Variables:E6_1_1_12_kcat} * E6_1_1_12 * C01638 * C00049 * C00002 )/(${Variables:E6_1_1_12_km} + (E6_1_1_12 * C01638 * C00049 * C00002 ))</v>
      </c>
      <c r="J682" t="str">
        <f t="shared" si="42"/>
        <v>r681: C01638 + C00049 + C00002  -&gt;  C02984 + C00013 + C00020 | (${Variables:E6_1_1_12_kcat} * E6_1_1_12 * C01638 * C00049 * C00002 )/(${Variables:E6_1_1_12_km} + (E6_1_1_12 * C01638 * C00049 * C00002 ))</v>
      </c>
    </row>
    <row r="683" spans="1:10">
      <c r="A683" s="19" t="s">
        <v>3693</v>
      </c>
      <c r="B683" s="1" t="s">
        <v>11682</v>
      </c>
      <c r="C683" s="32">
        <v>682</v>
      </c>
      <c r="D683" t="str">
        <f t="shared" si="41"/>
        <v>E6_1_1_14</v>
      </c>
      <c r="E683" s="10" t="s">
        <v>9912</v>
      </c>
      <c r="F683" s="10" t="s">
        <v>12266</v>
      </c>
      <c r="G683" s="13" t="s">
        <v>9913</v>
      </c>
      <c r="H683" s="13" t="s">
        <v>12736</v>
      </c>
      <c r="I683" t="str">
        <f t="shared" si="40"/>
        <v>(${Variables:E6_1_1_14_kcat} * E6_1_1_14 * C00002 * C00037 * C01642)/(${Variables:E6_1_1_14_km} + (E6_1_1_14 * C00002 * C00037 * C01642))</v>
      </c>
      <c r="J683" t="str">
        <f t="shared" si="42"/>
        <v>r682: C00002 + C00037 + C01642 -&gt;  C00020 + C00013 + C02412 | (${Variables:E6_1_1_14_kcat} * E6_1_1_14 * C00002 * C00037 * C01642)/(${Variables:E6_1_1_14_km} + (E6_1_1_14 * C00002 * C00037 * C01642))</v>
      </c>
    </row>
    <row r="684" spans="1:10">
      <c r="A684" s="19" t="s">
        <v>8763</v>
      </c>
      <c r="B684" s="1" t="s">
        <v>11683</v>
      </c>
      <c r="C684" s="32">
        <v>683</v>
      </c>
      <c r="D684" t="str">
        <f t="shared" si="41"/>
        <v>E6_1_1_15</v>
      </c>
      <c r="E684" s="10" t="s">
        <v>10611</v>
      </c>
      <c r="F684" s="10" t="s">
        <v>12267</v>
      </c>
      <c r="G684" s="13" t="s">
        <v>10612</v>
      </c>
      <c r="H684" s="13" t="s">
        <v>12737</v>
      </c>
      <c r="I684" t="str">
        <f t="shared" si="40"/>
        <v>(${Variables:E6_1_1_15_kcat} * E6_1_1_15 * C00002 * C00148 * C01649 )/(${Variables:E6_1_1_15_km} + (E6_1_1_15 * C00002 * C00148 * C01649 ))</v>
      </c>
      <c r="J684" t="str">
        <f t="shared" si="42"/>
        <v>r683: C00002 + C00148 + C01649  -&gt;  C00020 + C00013 + C02702 | (${Variables:E6_1_1_15_kcat} * E6_1_1_15 * C00002 * C00148 * C01649 )/(${Variables:E6_1_1_15_km} + (E6_1_1_15 * C00002 * C00148 * C01649 ))</v>
      </c>
    </row>
    <row r="685" spans="1:10">
      <c r="A685" s="19" t="s">
        <v>2874</v>
      </c>
      <c r="B685" s="1" t="s">
        <v>11684</v>
      </c>
      <c r="C685" s="32">
        <v>684</v>
      </c>
      <c r="D685" t="str">
        <f t="shared" si="41"/>
        <v>E6_1_1_16</v>
      </c>
      <c r="E685" s="10" t="s">
        <v>9789</v>
      </c>
      <c r="F685" s="10" t="s">
        <v>12268</v>
      </c>
      <c r="G685" s="13" t="s">
        <v>9790</v>
      </c>
      <c r="H685" s="13" t="s">
        <v>12738</v>
      </c>
      <c r="I685" t="str">
        <f t="shared" si="40"/>
        <v>(${Variables:E6_1_1_16_kcat} * E6_1_1_16 * C00002 * C00097 * C01639 )/(${Variables:E6_1_1_16_km} + (E6_1_1_16 * C00002 * C00097 * C01639 ))</v>
      </c>
      <c r="J685" t="str">
        <f t="shared" si="42"/>
        <v>r684: C00002 + C00097 + C01639  -&gt;  C00020 + C00013 + C03125 | (${Variables:E6_1_1_16_kcat} * E6_1_1_16 * C00002 * C00097 * C01639 )/(${Variables:E6_1_1_16_km} + (E6_1_1_16 * C00002 * C00097 * C01639 ))</v>
      </c>
    </row>
    <row r="686" spans="1:10">
      <c r="A686" s="19" t="s">
        <v>1694</v>
      </c>
      <c r="B686" s="1" t="s">
        <v>11685</v>
      </c>
      <c r="C686" s="32">
        <v>685</v>
      </c>
      <c r="D686" t="str">
        <f t="shared" si="41"/>
        <v>E6_1_1_17</v>
      </c>
      <c r="E686" s="10" t="s">
        <v>9612</v>
      </c>
      <c r="F686" s="10" t="s">
        <v>12269</v>
      </c>
      <c r="G686" s="13" t="s">
        <v>9613</v>
      </c>
      <c r="H686" s="13" t="s">
        <v>12739</v>
      </c>
      <c r="I686" t="str">
        <f t="shared" si="40"/>
        <v>(${Variables:E6_1_1_17_kcat} * E6_1_1_17 * C01641 * C00025 * C00002 )/(${Variables:E6_1_1_17_km} + (E6_1_1_17 * C01641 * C00025 * C00002 ))</v>
      </c>
      <c r="J686" t="str">
        <f t="shared" si="42"/>
        <v>r685: C01641 + C00025 + C00002  -&gt;  C02987 + C00013 + C00020 | (${Variables:E6_1_1_17_kcat} * E6_1_1_17 * C01641 * C00025 * C00002 )/(${Variables:E6_1_1_17_km} + (E6_1_1_17 * C01641 * C00025 * C00002 ))</v>
      </c>
    </row>
    <row r="687" spans="1:10">
      <c r="A687" s="19" t="s">
        <v>4585</v>
      </c>
      <c r="B687" s="1" t="s">
        <v>11686</v>
      </c>
      <c r="C687" s="32">
        <v>686</v>
      </c>
      <c r="D687" t="str">
        <f t="shared" si="41"/>
        <v>E6_1_1_19</v>
      </c>
      <c r="E687" s="10" t="s">
        <v>10044</v>
      </c>
      <c r="F687" s="10" t="s">
        <v>12270</v>
      </c>
      <c r="G687" s="13" t="s">
        <v>10045</v>
      </c>
      <c r="H687" s="13" t="s">
        <v>12740</v>
      </c>
      <c r="I687" t="str">
        <f t="shared" si="40"/>
        <v>(${Variables:E6_1_1_19_kcat} * E6_1_1_19 * C00002 * C00062 * C01636)/(${Variables:E6_1_1_19_km} + (E6_1_1_19 * C00002 * C00062 * C01636))</v>
      </c>
      <c r="J687" t="str">
        <f t="shared" si="42"/>
        <v>r686: C00002 + C00062 + C01636 -&gt;  C00020 + C00013 + C02163 | (${Variables:E6_1_1_19_kcat} * E6_1_1_19 * C00002 * C00062 * C01636)/(${Variables:E6_1_1_19_km} + (E6_1_1_19 * C00002 * C00062 * C01636))</v>
      </c>
    </row>
    <row r="688" spans="1:10">
      <c r="A688" s="19" t="s">
        <v>4229</v>
      </c>
      <c r="B688" s="1" t="s">
        <v>11687</v>
      </c>
      <c r="C688" s="32">
        <v>687</v>
      </c>
      <c r="D688" t="str">
        <f t="shared" si="41"/>
        <v>E6_1_1_2</v>
      </c>
      <c r="E688" s="10" t="s">
        <v>9992</v>
      </c>
      <c r="F688" s="10" t="s">
        <v>12271</v>
      </c>
      <c r="G688" s="13" t="s">
        <v>9993</v>
      </c>
      <c r="H688" s="13" t="s">
        <v>12741</v>
      </c>
      <c r="I688" t="str">
        <f t="shared" si="40"/>
        <v>(${Variables:E6_1_1_2_kcat} * E6_1_1_2 * C00002 * C00078 * C01652)/(${Variables:E6_1_1_2_km} + (E6_1_1_2 * C00002 * C00078 * C01652))</v>
      </c>
      <c r="J688" t="str">
        <f t="shared" si="42"/>
        <v>r687: C00002 + C00078 + C01652 -&gt; C00020 + C00013 + C03512 | (${Variables:E6_1_1_2_kcat} * E6_1_1_2 * C00002 * C00078 * C01652)/(${Variables:E6_1_1_2_km} + (E6_1_1_2 * C00002 * C00078 * C01652))</v>
      </c>
    </row>
    <row r="689" spans="1:10">
      <c r="A689" s="19" t="s">
        <v>8991</v>
      </c>
      <c r="B689" s="1" t="s">
        <v>11688</v>
      </c>
      <c r="C689" s="32">
        <v>688</v>
      </c>
      <c r="D689" t="str">
        <f t="shared" si="41"/>
        <v>E6_1_1_20</v>
      </c>
      <c r="E689" s="10" t="s">
        <v>10655</v>
      </c>
      <c r="F689" s="10" t="s">
        <v>12272</v>
      </c>
      <c r="G689" s="13" t="s">
        <v>10656</v>
      </c>
      <c r="H689" s="13" t="s">
        <v>12742</v>
      </c>
      <c r="I689" t="str">
        <f t="shared" si="40"/>
        <v>(${Variables:E6_1_1_20_kcat} * E6_1_1_20 * C00002 * C00079 * C01648)/(${Variables:E6_1_1_20_km} + (E6_1_1_20 * C00002 * C00079 * C01648))</v>
      </c>
      <c r="J689" t="str">
        <f t="shared" si="42"/>
        <v>r688: C00002 + C00079 + C01648 -&gt; C00020 + C00013 + C03511 | (${Variables:E6_1_1_20_kcat} * E6_1_1_20 * C00002 * C00079 * C01648)/(${Variables:E6_1_1_20_km} + (E6_1_1_20 * C00002 * C00079 * C01648))</v>
      </c>
    </row>
    <row r="690" spans="1:10">
      <c r="A690" s="19" t="s">
        <v>4906</v>
      </c>
      <c r="B690" s="1" t="s">
        <v>11689</v>
      </c>
      <c r="C690" s="32">
        <v>689</v>
      </c>
      <c r="D690" t="str">
        <f t="shared" si="41"/>
        <v>E6_1_1_21</v>
      </c>
      <c r="E690" s="10" t="s">
        <v>10121</v>
      </c>
      <c r="F690" s="10" t="s">
        <v>12273</v>
      </c>
      <c r="G690" s="13" t="s">
        <v>10122</v>
      </c>
      <c r="H690" s="13" t="s">
        <v>12743</v>
      </c>
      <c r="I690" t="str">
        <f t="shared" si="40"/>
        <v>(${Variables:E6_1_1_21_kcat} * E6_1_1_21 * C00002 * C00135 * C01643)/(${Variables:E6_1_1_21_km} + (E6_1_1_21 * C00002 * C00135 * C01643))</v>
      </c>
      <c r="J690" t="str">
        <f t="shared" si="42"/>
        <v>r689: C00002 + C00135 + C01643 -&gt; C00020 + C00013 + C02988 | (${Variables:E6_1_1_21_kcat} * E6_1_1_21 * C00002 * C00135 * C01643)/(${Variables:E6_1_1_21_km} + (E6_1_1_21 * C00002 * C00135 * C01643))</v>
      </c>
    </row>
    <row r="691" spans="1:10">
      <c r="A691" s="19" t="s">
        <v>4804</v>
      </c>
      <c r="B691" s="1" t="s">
        <v>11690</v>
      </c>
      <c r="C691" s="32">
        <v>690</v>
      </c>
      <c r="D691" t="str">
        <f t="shared" si="41"/>
        <v>E6_1_1_22</v>
      </c>
      <c r="E691" s="10" t="s">
        <v>10100</v>
      </c>
      <c r="F691" s="10" t="s">
        <v>12274</v>
      </c>
      <c r="G691" s="13" t="s">
        <v>10101</v>
      </c>
      <c r="H691" s="13" t="s">
        <v>12744</v>
      </c>
      <c r="I691" t="str">
        <f t="shared" si="40"/>
        <v>(${Variables:E6_1_1_22_kcat} * E6_1_1_22 * C00002 * C00152 * C01637 )/(${Variables:E6_1_1_22_km} + (E6_1_1_22 * C00002 * C00152 * C01637 ))</v>
      </c>
      <c r="J691" t="str">
        <f t="shared" si="42"/>
        <v>r690: C00002 + C00152 + C01637  -&gt;  C00020 + C00013 + C03402 | (${Variables:E6_1_1_22_kcat} * E6_1_1_22 * C00002 * C00152 * C01637 )/(${Variables:E6_1_1_22_km} + (E6_1_1_22 * C00002 * C00152 * C01637 ))</v>
      </c>
    </row>
    <row r="692" spans="1:10">
      <c r="A692" s="19" t="s">
        <v>368</v>
      </c>
      <c r="B692" s="1" t="s">
        <v>11691</v>
      </c>
      <c r="C692" s="32">
        <v>691</v>
      </c>
      <c r="D692" t="str">
        <f t="shared" si="41"/>
        <v>E6_1_1_3</v>
      </c>
      <c r="E692" s="10" t="s">
        <v>11864</v>
      </c>
      <c r="F692" s="10" t="s">
        <v>12275</v>
      </c>
      <c r="G692" s="13" t="s">
        <v>11865</v>
      </c>
      <c r="H692" s="13" t="s">
        <v>12745</v>
      </c>
      <c r="I692" t="str">
        <f t="shared" si="40"/>
        <v>(${Variables:E6_1_1_3_kcat} * E6_1_1_3 * C00002 * C00188 *C01651)/(${Variables:E6_1_1_3_km} + (E6_1_1_3 * C00002 * C00188 *C01651))</v>
      </c>
      <c r="J692" t="str">
        <f t="shared" si="42"/>
        <v>r691: C00002 + C00188 +C01651 -&gt; C00020 + C00013 + C02992 | (${Variables:E6_1_1_3_kcat} * E6_1_1_3 * C00002 * C00188 *C01651)/(${Variables:E6_1_1_3_km} + (E6_1_1_3 * C00002 * C00188 *C01651))</v>
      </c>
    </row>
    <row r="693" spans="1:10">
      <c r="A693" s="19" t="s">
        <v>3268</v>
      </c>
      <c r="B693" s="1" t="s">
        <v>11692</v>
      </c>
      <c r="C693" s="32">
        <v>692</v>
      </c>
      <c r="D693" t="str">
        <f t="shared" si="41"/>
        <v>E6_1_1_4</v>
      </c>
      <c r="E693" s="10" t="s">
        <v>9828</v>
      </c>
      <c r="F693" s="10" t="s">
        <v>12276</v>
      </c>
      <c r="G693" s="13" t="s">
        <v>9829</v>
      </c>
      <c r="H693" s="13" t="s">
        <v>12746</v>
      </c>
      <c r="I693" t="str">
        <f t="shared" si="40"/>
        <v>(${Variables:E6_1_1_4_kcat} * E6_1_1_4 * C00002 * C00123 * C01645)/(${Variables:E6_1_1_4_km} + (E6_1_1_4 * C00002 * C00123 * C01645))</v>
      </c>
      <c r="J693" t="str">
        <f t="shared" si="42"/>
        <v>r692: C00002 + C00123 + C01645 -&gt; C00020 + C00013 + C02047 | (${Variables:E6_1_1_4_kcat} * E6_1_1_4 * C00002 * C00123 * C01645)/(${Variables:E6_1_1_4_km} + (E6_1_1_4 * C00002 * C00123 * C01645))</v>
      </c>
    </row>
    <row r="694" spans="1:10">
      <c r="A694" s="19" t="s">
        <v>7217</v>
      </c>
      <c r="B694" s="1" t="s">
        <v>11693</v>
      </c>
      <c r="C694" s="32">
        <v>693</v>
      </c>
      <c r="D694" t="str">
        <f t="shared" si="41"/>
        <v>E6_1_1_5</v>
      </c>
      <c r="E694" s="10" t="s">
        <v>10357</v>
      </c>
      <c r="F694" s="10" t="s">
        <v>12277</v>
      </c>
      <c r="G694" s="13" t="s">
        <v>10358</v>
      </c>
      <c r="H694" s="13" t="s">
        <v>12747</v>
      </c>
      <c r="I694" t="str">
        <f t="shared" si="40"/>
        <v>(${Variables:E6_1_1_5_kcat} * E6_1_1_5 * C00002 * C00407 * C01644 )/(${Variables:E6_1_1_5_km} + (E6_1_1_5 * C00002 * C00407 * C01644 ))</v>
      </c>
      <c r="J694" t="str">
        <f t="shared" si="42"/>
        <v>r693: C00002 + C00407 + C01644  -&gt; C00020 + C00013 + C03127 | (${Variables:E6_1_1_5_kcat} * E6_1_1_5 * C00002 * C00407 * C01644 )/(${Variables:E6_1_1_5_km} + (E6_1_1_5 * C00002 * C00407 * C01644 ))</v>
      </c>
    </row>
    <row r="695" spans="1:10">
      <c r="A695" s="19" t="s">
        <v>5864</v>
      </c>
      <c r="B695" s="1" t="s">
        <v>11694</v>
      </c>
      <c r="C695" s="32">
        <v>694</v>
      </c>
      <c r="D695" t="str">
        <f t="shared" si="41"/>
        <v>E6_1_1_6</v>
      </c>
      <c r="E695" s="10" t="s">
        <v>10197</v>
      </c>
      <c r="F695" s="10" t="s">
        <v>12278</v>
      </c>
      <c r="G695" s="13" t="s">
        <v>10198</v>
      </c>
      <c r="H695" s="13" t="s">
        <v>12748</v>
      </c>
      <c r="I695" t="str">
        <f t="shared" si="40"/>
        <v>(${Variables:E6_1_1_6_kcat} * E6_1_1_6 * C00002 * C00047 * C01646 )/(${Variables:E6_1_1_6_km} + (E6_1_1_6 * C00002 * C00047 * C01646 ))</v>
      </c>
      <c r="J695" t="str">
        <f t="shared" si="42"/>
        <v>r694: C00002 + C00047 + C01646  -&gt;  C00020 + C00013 + C01931 | (${Variables:E6_1_1_6_kcat} * E6_1_1_6 * C00002 * C00047 * C01646 )/(${Variables:E6_1_1_6_km} + (E6_1_1_6 * C00002 * C00047 * C01646 ))</v>
      </c>
    </row>
    <row r="696" spans="1:10">
      <c r="A696" s="19" t="s">
        <v>2186</v>
      </c>
      <c r="B696" s="1" t="s">
        <v>11695</v>
      </c>
      <c r="C696" s="32">
        <v>695</v>
      </c>
      <c r="D696" t="str">
        <f t="shared" si="41"/>
        <v>E6_1_1_7</v>
      </c>
      <c r="E696" s="10" t="s">
        <v>9684</v>
      </c>
      <c r="F696" s="10" t="s">
        <v>12279</v>
      </c>
      <c r="G696" s="13" t="s">
        <v>9686</v>
      </c>
      <c r="H696" s="13" t="s">
        <v>12749</v>
      </c>
      <c r="I696" t="str">
        <f t="shared" si="40"/>
        <v>(${Variables:E6_1_1_7_kcat} * E6_1_1_7 * C00002 * C00041 * C01635)/(${Variables:E6_1_1_7_km} + (E6_1_1_7 * C00002 * C00041 * C01635))</v>
      </c>
      <c r="J696" t="str">
        <f t="shared" si="42"/>
        <v>r695: C00002 + C00041 + C01635 -&gt;  C00020 + C00013 + C00886 | (${Variables:E6_1_1_7_kcat} * E6_1_1_7 * C00002 * C00041 * C01635)/(${Variables:E6_1_1_7_km} + (E6_1_1_7 * C00002 * C00041 * C01635))</v>
      </c>
    </row>
    <row r="697" spans="1:10">
      <c r="A697" s="19" t="s">
        <v>4927</v>
      </c>
      <c r="B697" s="1" t="s">
        <v>11696</v>
      </c>
      <c r="C697" s="32">
        <v>696</v>
      </c>
      <c r="D697" t="str">
        <f t="shared" si="41"/>
        <v>E6_1_1_9</v>
      </c>
      <c r="E697" s="10" t="s">
        <v>10146</v>
      </c>
      <c r="F697" s="10" t="s">
        <v>12280</v>
      </c>
      <c r="G697" s="13" t="s">
        <v>10147</v>
      </c>
      <c r="H697" s="13" t="s">
        <v>12750</v>
      </c>
      <c r="I697" t="str">
        <f t="shared" si="40"/>
        <v>(${Variables:E6_1_1_9_kcat} * E6_1_1_9 * C00002 * C00183 * C01653 )/(${Variables:E6_1_1_9_km} + (E6_1_1_9 * C00002 * C00183 * C01653 ))</v>
      </c>
      <c r="J697" t="str">
        <f t="shared" si="42"/>
        <v>r696: C00002 + C00183 + C01653  -&gt; C00020 + C00013 + C02554 | (${Variables:E6_1_1_9_kcat} * E6_1_1_9 * C00002 * C00183 * C01653 )/(${Variables:E6_1_1_9_km} + (E6_1_1_9 * C00002 * C00183 * C01653 ))</v>
      </c>
    </row>
    <row r="698" spans="1:10">
      <c r="A698" s="19" t="s">
        <v>4792</v>
      </c>
      <c r="B698" s="1" t="s">
        <v>11697</v>
      </c>
      <c r="C698" s="32">
        <v>697</v>
      </c>
      <c r="D698" t="str">
        <f t="shared" si="41"/>
        <v>E6_3_1_1</v>
      </c>
      <c r="E698" s="10" t="s">
        <v>10090</v>
      </c>
      <c r="F698" s="10" t="s">
        <v>12281</v>
      </c>
      <c r="G698" s="13" t="s">
        <v>10091</v>
      </c>
      <c r="H698" s="13" t="s">
        <v>12751</v>
      </c>
      <c r="I698" t="str">
        <f t="shared" si="40"/>
        <v>(${Variables:E6_3_1_1_kcat} * E6_3_1_1 * C00002 * C00049 * C00014 )/(${Variables:E6_3_1_1_km} + (E6_3_1_1 * C00002 * C00049 * C00014 ))</v>
      </c>
      <c r="J698" t="str">
        <f t="shared" si="42"/>
        <v>r697: C00002 + C00049 + C00014  -&gt;  C00020 + C00013 + C00152 | (${Variables:E6_3_1_1_kcat} * E6_3_1_1 * C00002 * C00049 * C00014 )/(${Variables:E6_3_1_1_km} + (E6_3_1_1 * C00002 * C00049 * C00014 ))</v>
      </c>
    </row>
    <row r="699" spans="1:10">
      <c r="A699" s="19" t="s">
        <v>6213</v>
      </c>
      <c r="B699" s="1" t="s">
        <v>11698</v>
      </c>
      <c r="C699" s="32">
        <v>698</v>
      </c>
      <c r="D699" t="str">
        <f t="shared" si="41"/>
        <v>E6_3_1_5</v>
      </c>
      <c r="E699" s="10" t="s">
        <v>10246</v>
      </c>
      <c r="F699" s="10" t="s">
        <v>12282</v>
      </c>
      <c r="G699" s="13" t="s">
        <v>10247</v>
      </c>
      <c r="H699" s="13" t="s">
        <v>12752</v>
      </c>
      <c r="I699" t="str">
        <f t="shared" si="40"/>
        <v>(${Variables:E6_3_1_5_kcat} * E6_3_1_5 * C00002 * C00857 * C00014)/(${Variables:E6_3_1_5_km} + (E6_3_1_5 * C00002 * C00857 * C00014))</v>
      </c>
      <c r="J699" t="str">
        <f t="shared" si="42"/>
        <v>r698: C00002 + C00857 + C00014 -&gt;  C00020 + C00013 + C00003 | (${Variables:E6_3_1_5_kcat} * E6_3_1_5 * C00002 * C00857 * C00014)/(${Variables:E6_3_1_5_km} + (E6_3_1_5 * C00002 * C00857 * C00014))</v>
      </c>
    </row>
    <row r="700" spans="1:10">
      <c r="A700" s="19" t="s">
        <v>2098</v>
      </c>
      <c r="B700" s="1" t="s">
        <v>11699</v>
      </c>
      <c r="C700" s="32">
        <v>699</v>
      </c>
      <c r="D700" t="str">
        <f t="shared" si="41"/>
        <v>E6_3_2_13</v>
      </c>
      <c r="E700" s="21" t="s">
        <v>9671</v>
      </c>
      <c r="F700" s="21" t="s">
        <v>12283</v>
      </c>
      <c r="G700" s="13" t="s">
        <v>9672</v>
      </c>
      <c r="H700" s="13" t="s">
        <v>12753</v>
      </c>
      <c r="I700" t="str">
        <f t="shared" si="40"/>
        <v>(${Variables:E6_3_2_13_kcat} * E6_3_2_13 * C04882 * C17556)/(${Variables:E6_3_2_13_km} + (E6_3_2_13 * C04882 * C17556))</v>
      </c>
      <c r="J700" t="str">
        <f t="shared" si="42"/>
        <v>r699: C04882 + C17556 -&gt;  C00105 + C05897 | (${Variables:E6_3_2_13_kcat} * E6_3_2_13 * C04882 * C17556)/(${Variables:E6_3_2_13_km} + (E6_3_2_13 * C04882 * C17556))</v>
      </c>
    </row>
    <row r="701" spans="1:10">
      <c r="A701" s="19" t="s">
        <v>5998</v>
      </c>
      <c r="B701" s="1" t="s">
        <v>11699</v>
      </c>
      <c r="C701" s="32">
        <v>700</v>
      </c>
      <c r="D701" t="str">
        <f t="shared" si="41"/>
        <v>E6_3_2_13</v>
      </c>
      <c r="E701" s="21" t="s">
        <v>9671</v>
      </c>
      <c r="F701" s="21" t="s">
        <v>12283</v>
      </c>
      <c r="G701" s="13" t="s">
        <v>9672</v>
      </c>
      <c r="H701" s="13" t="s">
        <v>12753</v>
      </c>
      <c r="I701" t="str">
        <f t="shared" si="40"/>
        <v>(${Variables:E6_3_2_13_kcat} * E6_3_2_13 * C04882 * C17556)/(${Variables:E6_3_2_13_km} + (E6_3_2_13 * C04882 * C17556))</v>
      </c>
      <c r="J701" t="str">
        <f t="shared" si="42"/>
        <v>r700: C04882 + C17556 -&gt;  C00105 + C05897 | (${Variables:E6_3_2_13_kcat} * E6_3_2_13 * C04882 * C17556)/(${Variables:E6_3_2_13_km} + (E6_3_2_13 * C04882 * C17556))</v>
      </c>
    </row>
    <row r="702" spans="1:10">
      <c r="A702" s="19" t="s">
        <v>2525</v>
      </c>
      <c r="B702" s="1" t="s">
        <v>11700</v>
      </c>
      <c r="C702" s="32">
        <v>701</v>
      </c>
      <c r="D702" t="str">
        <f t="shared" si="41"/>
        <v>E6_3_2_4</v>
      </c>
      <c r="E702" s="62" t="s">
        <v>25598</v>
      </c>
      <c r="F702" s="62" t="s">
        <v>25597</v>
      </c>
      <c r="G702" s="13" t="s">
        <v>9730</v>
      </c>
      <c r="H702" s="13" t="s">
        <v>12754</v>
      </c>
      <c r="I702" t="str">
        <f t="shared" si="40"/>
        <v>(${Variables:E6_3_2_4_kcat} * E6_3_2_4 * C00002 * C00133)/(${Variables:E6_3_2_4_km} + (E6_3_2_4 * C00002 * C00133))</v>
      </c>
      <c r="J702" t="str">
        <f t="shared" si="42"/>
        <v>r701: C00002 + C00133 -&gt;  C00008 + C00009 + C00993 | (${Variables:E6_3_2_4_kcat} * E6_3_2_4 * C00002 * C00133)/(${Variables:E6_3_2_4_km} + (E6_3_2_4 * C00002 * C00133))</v>
      </c>
    </row>
    <row r="703" spans="1:10">
      <c r="A703" s="19" t="s">
        <v>289</v>
      </c>
      <c r="B703" s="1" t="s">
        <v>11701</v>
      </c>
      <c r="C703" s="32">
        <v>702</v>
      </c>
      <c r="D703" t="str">
        <f t="shared" si="41"/>
        <v>E6_3_2_5</v>
      </c>
      <c r="E703" s="10" t="s">
        <v>11866</v>
      </c>
      <c r="F703" s="10" t="s">
        <v>12284</v>
      </c>
      <c r="G703" s="13" t="s">
        <v>11867</v>
      </c>
      <c r="H703" s="13" t="s">
        <v>12755</v>
      </c>
      <c r="I703" t="str">
        <f t="shared" si="40"/>
        <v>(${Variables:E6_3_2_5_kcat} * E6_3_2_5 * C00063 * C03492 * C00097 )/(${Variables:E6_3_2_5_km} + (E6_3_2_5 * C00063 * C03492 * C00097 ))</v>
      </c>
      <c r="J703" t="str">
        <f t="shared" si="42"/>
        <v>r702: C00063 + C03492 + C00097  -&gt; C00055 + C00013 + C04352 | (${Variables:E6_3_2_5_kcat} * E6_3_2_5 * C00063 * C03492 * C00097 )/(${Variables:E6_3_2_5_km} + (E6_3_2_5 * C00063 * C03492 * C00097 ))</v>
      </c>
    </row>
    <row r="704" spans="1:10">
      <c r="A704" s="19" t="s">
        <v>1007</v>
      </c>
      <c r="B704" s="1" t="s">
        <v>11702</v>
      </c>
      <c r="C704" s="32">
        <v>703</v>
      </c>
      <c r="D704" t="str">
        <f t="shared" si="41"/>
        <v>E6_3_2_6</v>
      </c>
      <c r="E704" s="10" t="s">
        <v>11868</v>
      </c>
      <c r="F704" s="10" t="s">
        <v>12285</v>
      </c>
      <c r="G704" s="13" t="s">
        <v>11869</v>
      </c>
      <c r="H704" s="13" t="s">
        <v>12756</v>
      </c>
      <c r="I704" t="str">
        <f t="shared" si="40"/>
        <v>(${Variables:E6_3_2_6_kcat} * E6_3_2_6 * C00002 *C04751 * C00049)/(${Variables:E6_3_2_6_km} + (E6_3_2_6 * C00002 *C04751 * C00049))</v>
      </c>
      <c r="J704" t="str">
        <f t="shared" si="42"/>
        <v>r703: C00002 +C04751 + C00049 -&gt; C00008 + C00009 + C04823 | (${Variables:E6_3_2_6_kcat} * E6_3_2_6 * C00002 *C04751 * C00049)/(${Variables:E6_3_2_6_km} + (E6_3_2_6 * C00002 *C04751 * C00049))</v>
      </c>
    </row>
    <row r="705" spans="1:10">
      <c r="A705" s="19" t="s">
        <v>2084</v>
      </c>
      <c r="B705" s="1" t="s">
        <v>11703</v>
      </c>
      <c r="C705" s="32">
        <v>704</v>
      </c>
      <c r="D705" t="str">
        <f t="shared" si="41"/>
        <v>E6_3_2_8</v>
      </c>
      <c r="E705" s="10" t="s">
        <v>9652</v>
      </c>
      <c r="F705" s="10" t="s">
        <v>12286</v>
      </c>
      <c r="G705" s="13" t="s">
        <v>9653</v>
      </c>
      <c r="H705" s="13" t="s">
        <v>12757</v>
      </c>
      <c r="I705" t="str">
        <f t="shared" si="40"/>
        <v>(${Variables:E6_3_2_8_kcat} * E6_3_2_8 * C00002 * C01050 * C00041 )/(${Variables:E6_3_2_8_km} + (E6_3_2_8 * C00002 * C01050 * C00041 ))</v>
      </c>
      <c r="J705" t="str">
        <f t="shared" si="42"/>
        <v>r704: C00002 + C01050 + C00041  -&gt;  C00008 + C00009 + C01212 | (${Variables:E6_3_2_8_kcat} * E6_3_2_8 * C00002 * C01050 * C00041 )/(${Variables:E6_3_2_8_km} + (E6_3_2_8 * C00002 * C01050 * C00041 ))</v>
      </c>
    </row>
    <row r="706" spans="1:10">
      <c r="A706" s="19" t="s">
        <v>2092</v>
      </c>
      <c r="B706" s="1" t="s">
        <v>11704</v>
      </c>
      <c r="C706" s="32">
        <v>705</v>
      </c>
      <c r="D706" t="str">
        <f t="shared" si="41"/>
        <v>E6_3_2_9</v>
      </c>
      <c r="E706" s="10" t="s">
        <v>9666</v>
      </c>
      <c r="F706" s="10" t="s">
        <v>12287</v>
      </c>
      <c r="G706" s="13" t="s">
        <v>9667</v>
      </c>
      <c r="H706" s="13" t="s">
        <v>12758</v>
      </c>
      <c r="I706" t="str">
        <f t="shared" si="40"/>
        <v>(${Variables:E6_3_2_9_kcat} * E6_3_2_9 * C00002 * C01212 * C00217 )/(${Variables:E6_3_2_9_km} + (E6_3_2_9 * C00002 * C01212 * C00217 ))</v>
      </c>
      <c r="J706" t="str">
        <f t="shared" si="42"/>
        <v>r705: C00002 + C01212 + C00217  -&gt;  C00008 + C00009 + C00692 | (${Variables:E6_3_2_9_kcat} * E6_3_2_9 * C00002 * C01212 * C00217 )/(${Variables:E6_3_2_9_km} + (E6_3_2_9 * C00002 * C01212 * C00217 ))</v>
      </c>
    </row>
    <row r="707" spans="1:10">
      <c r="A707" s="19" t="s">
        <v>5980</v>
      </c>
      <c r="B707" s="1" t="s">
        <v>11705</v>
      </c>
      <c r="C707" s="32">
        <v>706</v>
      </c>
      <c r="D707" t="str">
        <f t="shared" si="41"/>
        <v>E6_3_3_2</v>
      </c>
      <c r="E707" s="62" t="s">
        <v>25599</v>
      </c>
      <c r="F707" s="62" t="s">
        <v>25606</v>
      </c>
      <c r="G707" s="13" t="s">
        <v>10224</v>
      </c>
      <c r="H707" s="13" t="s">
        <v>12759</v>
      </c>
      <c r="I707" t="str">
        <f t="shared" ref="I707:I753" si="43">CONCATENATE("(${Variables:",D707,"_kcat","} * ",D707," * ",F707,")","/(${Variables:",D707,"_km","} + (",D707," * ",F707,"))")</f>
        <v>(${Variables:E6_3_3_2_kcat} * E6_3_3_2 * C00002 * C03479 * C00080)/(${Variables:E6_3_3_2_km} + (E6_3_3_2 * C00002 * C03479 * C00080))</v>
      </c>
      <c r="J707" t="str">
        <f t="shared" si="42"/>
        <v>r706: C00002 + C03479 + C00080 -&gt;  C00008 + C00009 + C00445 | (${Variables:E6_3_3_2_kcat} * E6_3_3_2 * C00002 * C03479 * C00080)/(${Variables:E6_3_3_2_km} + (E6_3_3_2 * C00002 * C03479 * C00080))</v>
      </c>
    </row>
    <row r="708" spans="1:10">
      <c r="A708" s="19" t="s">
        <v>872</v>
      </c>
      <c r="B708" s="1" t="s">
        <v>11706</v>
      </c>
      <c r="C708" s="32">
        <v>707</v>
      </c>
      <c r="D708" t="str">
        <f t="shared" si="41"/>
        <v>E6_3_3_3</v>
      </c>
      <c r="E708" s="10" t="s">
        <v>11870</v>
      </c>
      <c r="F708" s="10" t="s">
        <v>12288</v>
      </c>
      <c r="G708" s="13" t="s">
        <v>11871</v>
      </c>
      <c r="H708" s="13" t="s">
        <v>12760</v>
      </c>
      <c r="I708" t="str">
        <f t="shared" si="43"/>
        <v>(${Variables:E6_3_3_3_kcat} * E6_3_3_3 * C00002 * C01037 * C00011)/(${Variables:E6_3_3_3_km} + (E6_3_3_3 * C00002 * C01037 * C00011))</v>
      </c>
      <c r="J708" t="str">
        <f t="shared" si="42"/>
        <v>r707: C00002 + C01037 + C00011 -&gt; C00008 + C00009 + C01909 | (${Variables:E6_3_3_3_kcat} * E6_3_3_3 * C00002 * C01037 * C00011)/(${Variables:E6_3_3_3_km} + (E6_3_3_3 * C00002 * C01037 * C00011))</v>
      </c>
    </row>
    <row r="709" spans="1:10">
      <c r="A709" s="19" t="s">
        <v>872</v>
      </c>
      <c r="B709" s="1" t="s">
        <v>11706</v>
      </c>
      <c r="C709" s="32">
        <v>708</v>
      </c>
      <c r="D709" t="str">
        <f t="shared" si="41"/>
        <v>E6_3_3_3</v>
      </c>
      <c r="E709" s="10" t="s">
        <v>11872</v>
      </c>
      <c r="F709" s="10" t="s">
        <v>12289</v>
      </c>
      <c r="G709" s="13" t="s">
        <v>9431</v>
      </c>
      <c r="H709" s="13" t="s">
        <v>9431</v>
      </c>
      <c r="I709" t="str">
        <f t="shared" si="43"/>
        <v>(${Variables:E6_3_3_3_kcat} * E6_3_3_3 * C01037 * C00011 )/(${Variables:E6_3_3_3_km} + (E6_3_3_3 * C01037 * C00011 ))</v>
      </c>
      <c r="J709" t="str">
        <f t="shared" si="42"/>
        <v>r708: C01037 + C00011  -&gt; C22458 | (${Variables:E6_3_3_3_kcat} * E6_3_3_3 * C01037 * C00011 )/(${Variables:E6_3_3_3_km} + (E6_3_3_3 * C01037 * C00011 ))</v>
      </c>
    </row>
    <row r="710" spans="1:10">
      <c r="A710" s="19" t="s">
        <v>872</v>
      </c>
      <c r="B710" s="1" t="s">
        <v>11706</v>
      </c>
      <c r="C710" s="32">
        <v>709</v>
      </c>
      <c r="D710" t="str">
        <f t="shared" si="41"/>
        <v>E6_3_3_3</v>
      </c>
      <c r="E710" s="10" t="s">
        <v>11873</v>
      </c>
      <c r="F710" s="10" t="s">
        <v>12290</v>
      </c>
      <c r="G710" s="13" t="s">
        <v>11874</v>
      </c>
      <c r="H710" s="13" t="s">
        <v>12761</v>
      </c>
      <c r="I710" t="str">
        <f t="shared" si="43"/>
        <v>(${Variables:E6_3_3_3_kcat} * E6_3_3_3 * C22458 * C00002)/(${Variables:E6_3_3_3_km} + (E6_3_3_3 * C22458 * C00002))</v>
      </c>
      <c r="J710" t="str">
        <f t="shared" si="42"/>
        <v>r709: C22458 + C00002 -&gt;  C01909 + C00008 + C00009 | (${Variables:E6_3_3_3_kcat} * E6_3_3_3 * C22458 * C00002)/(${Variables:E6_3_3_3_km} + (E6_3_3_3 * C22458 * C00002))</v>
      </c>
    </row>
    <row r="711" spans="1:10">
      <c r="A711" s="19" t="s">
        <v>3477</v>
      </c>
      <c r="B711" s="1" t="s">
        <v>11707</v>
      </c>
      <c r="C711" s="32">
        <v>710</v>
      </c>
      <c r="D711" t="str">
        <f t="shared" si="41"/>
        <v>E6_3_4_13</v>
      </c>
      <c r="E711" s="10" t="s">
        <v>9883</v>
      </c>
      <c r="F711" s="10" t="s">
        <v>12291</v>
      </c>
      <c r="G711" s="13" t="s">
        <v>9884</v>
      </c>
      <c r="H711" s="13" t="s">
        <v>12762</v>
      </c>
      <c r="I711" t="str">
        <f t="shared" si="43"/>
        <v>(${Variables:E6_3_4_13_kcat} * E6_3_4_13 * C00002 * C03090 * C00037)/(${Variables:E6_3_4_13_km} + (E6_3_4_13 * C00002 * C03090 * C00037))</v>
      </c>
      <c r="J711" t="str">
        <f t="shared" si="42"/>
        <v>r710: C00002 + C03090 + C00037 -&gt;  C00008 + C00009 + C03838 | (${Variables:E6_3_4_13_kcat} * E6_3_4_13 * C00002 * C03090 * C00037)/(${Variables:E6_3_4_13_km} + (E6_3_4_13 * C00002 * C03090 * C00037))</v>
      </c>
    </row>
    <row r="712" spans="1:10">
      <c r="A712" s="19" t="s">
        <v>4155</v>
      </c>
      <c r="B712" s="1" t="s">
        <v>11708</v>
      </c>
      <c r="C712" s="32">
        <v>711</v>
      </c>
      <c r="D712" t="str">
        <f t="shared" si="41"/>
        <v>E6_3_4_14</v>
      </c>
      <c r="E712" s="10" t="s">
        <v>9956</v>
      </c>
      <c r="F712" s="10" t="s">
        <v>12292</v>
      </c>
      <c r="G712" s="13" t="s">
        <v>9957</v>
      </c>
      <c r="H712" s="13" t="s">
        <v>12763</v>
      </c>
      <c r="I712" t="str">
        <f t="shared" si="43"/>
        <v>(${Variables:E6_3_4_14_kcat} * E6_3_4_14 * C00002 * C06250 * C00288 )/(${Variables:E6_3_4_14_km} + (E6_3_4_14 * C00002 * C06250 * C00288 ))</v>
      </c>
      <c r="J712" t="str">
        <f t="shared" si="42"/>
        <v>r711: C00002 + C06250 + C00288  -&gt;  C00008 + C00009 + C04419 | (${Variables:E6_3_4_14_kcat} * E6_3_4_14 * C00002 * C06250 * C00288 )/(${Variables:E6_3_4_14_km} + (E6_3_4_14 * C00002 * C06250 * C00288 ))</v>
      </c>
    </row>
    <row r="713" spans="1:10">
      <c r="A713" s="19" t="s">
        <v>5670</v>
      </c>
      <c r="B713" s="2" t="s">
        <v>11708</v>
      </c>
      <c r="C713" s="32">
        <v>712</v>
      </c>
      <c r="D713" t="str">
        <f t="shared" si="41"/>
        <v>E6_3_4_14</v>
      </c>
      <c r="E713" s="22" t="s">
        <v>9956</v>
      </c>
      <c r="F713" s="22" t="s">
        <v>12292</v>
      </c>
      <c r="G713" s="20" t="s">
        <v>9957</v>
      </c>
      <c r="H713" s="20" t="s">
        <v>12763</v>
      </c>
      <c r="I713" t="str">
        <f t="shared" si="43"/>
        <v>(${Variables:E6_3_4_14_kcat} * E6_3_4_14 * C00002 * C06250 * C00288 )/(${Variables:E6_3_4_14_km} + (E6_3_4_14 * C00002 * C06250 * C00288 ))</v>
      </c>
      <c r="J713" t="str">
        <f t="shared" si="42"/>
        <v>r712: C00002 + C06250 + C00288  -&gt;  C00008 + C00009 + C04419 | (${Variables:E6_3_4_14_kcat} * E6_3_4_14 * C00002 * C06250 * C00288 )/(${Variables:E6_3_4_14_km} + (E6_3_4_14 * C00002 * C06250 * C00288 ))</v>
      </c>
    </row>
    <row r="714" spans="1:10">
      <c r="A714" s="19" t="s">
        <v>2266</v>
      </c>
      <c r="B714" s="1" t="s">
        <v>11709</v>
      </c>
      <c r="C714" s="32">
        <v>713</v>
      </c>
      <c r="D714" t="str">
        <f t="shared" si="41"/>
        <v>E6_3_4_15</v>
      </c>
      <c r="E714" s="10" t="s">
        <v>9688</v>
      </c>
      <c r="F714" s="10" t="s">
        <v>12293</v>
      </c>
      <c r="G714" s="13" t="s">
        <v>9689</v>
      </c>
      <c r="H714" s="13" t="s">
        <v>12764</v>
      </c>
      <c r="I714" t="str">
        <f t="shared" si="43"/>
        <v>(${Variables:E6_3_4_15_kcat} * E6_3_4_15 * C00002 * C00120 * C04735)/(${Variables:E6_3_4_15_km} + (E6_3_4_15 * C00002 * C00120 * C04735))</v>
      </c>
      <c r="J714" t="str">
        <f t="shared" si="42"/>
        <v>r713: C00002 + C00120 + C04735 -&gt;  C00020 + C00013 + C04681 | (${Variables:E6_3_4_15_kcat} * E6_3_4_15 * C00002 * C00120 * C04735)/(${Variables:E6_3_4_15_km} + (E6_3_4_15 * C00002 * C00120 * C04735))</v>
      </c>
    </row>
    <row r="715" spans="1:10">
      <c r="A715" s="19" t="s">
        <v>2266</v>
      </c>
      <c r="B715" s="1" t="s">
        <v>11709</v>
      </c>
      <c r="C715" s="32">
        <v>714</v>
      </c>
      <c r="D715" t="str">
        <f t="shared" si="41"/>
        <v>E6_3_4_15</v>
      </c>
      <c r="E715" s="10" t="s">
        <v>9690</v>
      </c>
      <c r="F715" s="10" t="s">
        <v>12294</v>
      </c>
      <c r="G715" s="13" t="s">
        <v>9691</v>
      </c>
      <c r="H715" s="13" t="s">
        <v>12765</v>
      </c>
      <c r="I715" t="str">
        <f t="shared" si="43"/>
        <v>(${Variables:E6_3_4_15_kcat} * E6_3_4_15 * C00002 * C00120)/(${Variables:E6_3_4_15_km} + (E6_3_4_15 * C00002 * C00120))</v>
      </c>
      <c r="J715" t="str">
        <f t="shared" si="42"/>
        <v>r714: C00002 + C00120 -&gt;  C00013 + C05921 | (${Variables:E6_3_4_15_kcat} * E6_3_4_15 * C00002 * C00120)/(${Variables:E6_3_4_15_km} + (E6_3_4_15 * C00002 * C00120))</v>
      </c>
    </row>
    <row r="716" spans="1:10">
      <c r="A716" s="19" t="s">
        <v>2266</v>
      </c>
      <c r="B716" s="1" t="s">
        <v>11709</v>
      </c>
      <c r="C716" s="32">
        <v>715</v>
      </c>
      <c r="D716" t="str">
        <f t="shared" si="41"/>
        <v>E6_3_4_15</v>
      </c>
      <c r="E716" s="10" t="s">
        <v>9692</v>
      </c>
      <c r="F716" s="10" t="s">
        <v>12295</v>
      </c>
      <c r="G716" s="13" t="s">
        <v>9693</v>
      </c>
      <c r="H716" s="13" t="s">
        <v>12766</v>
      </c>
      <c r="I716" t="str">
        <f t="shared" si="43"/>
        <v>(${Variables:E6_3_4_15_kcat} * E6_3_4_15 * C05921 * C06249)/(${Variables:E6_3_4_15_km} + (E6_3_4_15 * C05921 * C06249))</v>
      </c>
      <c r="J716" t="str">
        <f t="shared" si="42"/>
        <v>r715: C05921 + C06249 -&gt;  C00020 + C06250 | (${Variables:E6_3_4_15_kcat} * E6_3_4_15 * C05921 * C06249)/(${Variables:E6_3_4_15_km} + (E6_3_4_15 * C05921 * C06249))</v>
      </c>
    </row>
    <row r="717" spans="1:10">
      <c r="A717" s="19" t="s">
        <v>7842</v>
      </c>
      <c r="B717" s="1" t="s">
        <v>11710</v>
      </c>
      <c r="C717" s="32">
        <v>716</v>
      </c>
      <c r="D717" t="str">
        <f t="shared" si="41"/>
        <v>E6_3_4_19</v>
      </c>
      <c r="E717" s="10" t="s">
        <v>10490</v>
      </c>
      <c r="F717" s="10" t="s">
        <v>12296</v>
      </c>
      <c r="G717" s="13" t="s">
        <v>10491</v>
      </c>
      <c r="H717" s="13" t="s">
        <v>12767</v>
      </c>
      <c r="I717" t="str">
        <f t="shared" si="43"/>
        <v>(${Variables:E6_3_4_19_kcat} * E6_3_4_19 * C19722 * C00047 * C00002 )/(${Variables:E6_3_4_19_km} + (E6_3_4_19 * C19722 * C00047 * C00002 ))</v>
      </c>
      <c r="J717" t="str">
        <f t="shared" si="42"/>
        <v>r716: C19722 + C00047 + C00002  -&gt; C19723 + C00020 + C00013 + C00001 | (${Variables:E6_3_4_19_kcat} * E6_3_4_19 * C19722 * C00047 * C00002 )/(${Variables:E6_3_4_19_km} + (E6_3_4_19 * C19722 * C00047 * C00002 ))</v>
      </c>
    </row>
    <row r="718" spans="1:10">
      <c r="A718" s="19" t="s">
        <v>7358</v>
      </c>
      <c r="B718" s="1" t="s">
        <v>11711</v>
      </c>
      <c r="C718" s="32">
        <v>717</v>
      </c>
      <c r="D718" t="str">
        <f t="shared" si="41"/>
        <v>E6_3_4_2</v>
      </c>
      <c r="E718" s="10" t="s">
        <v>10324</v>
      </c>
      <c r="F718" s="10" t="s">
        <v>12297</v>
      </c>
      <c r="G718" s="13" t="s">
        <v>10324</v>
      </c>
      <c r="H718" s="13" t="s">
        <v>12297</v>
      </c>
      <c r="I718" t="str">
        <f t="shared" si="43"/>
        <v>(${Variables:E6_3_4_2_kcat} * E6_3_4_2 * C00064 * C00001)/(${Variables:E6_3_4_2_km} + (E6_3_4_2 * C00064 * C00001))</v>
      </c>
      <c r="J718" t="str">
        <f t="shared" si="42"/>
        <v>r717: C00064 + C00001 -&gt; C00064 + C00001 | (${Variables:E6_3_4_2_kcat} * E6_3_4_2 * C00064 * C00001)/(${Variables:E6_3_4_2_km} + (E6_3_4_2 * C00064 * C00001))</v>
      </c>
    </row>
    <row r="719" spans="1:10">
      <c r="A719" s="19" t="s">
        <v>7358</v>
      </c>
      <c r="B719" s="1" t="s">
        <v>11711</v>
      </c>
      <c r="C719" s="32">
        <v>718</v>
      </c>
      <c r="D719" t="str">
        <f t="shared" si="41"/>
        <v>E6_3_4_2</v>
      </c>
      <c r="E719" s="10" t="s">
        <v>10390</v>
      </c>
      <c r="F719" s="10" t="s">
        <v>12298</v>
      </c>
      <c r="G719" s="13" t="s">
        <v>10391</v>
      </c>
      <c r="H719" s="13" t="s">
        <v>12768</v>
      </c>
      <c r="I719" t="str">
        <f t="shared" si="43"/>
        <v>(${Variables:E6_3_4_2_kcat} * E6_3_4_2 * C00002 * C00075 * C00014 )/(${Variables:E6_3_4_2_km} + (E6_3_4_2 * C00002 * C00075 * C00014 ))</v>
      </c>
      <c r="J719" t="str">
        <f t="shared" si="42"/>
        <v>r718: C00002 + C00075 + C00014  -&gt; C00008 + C00009 + C00063 | (${Variables:E6_3_4_2_kcat} * E6_3_4_2 * C00002 * C00075 * C00014 )/(${Variables:E6_3_4_2_km} + (E6_3_4_2 * C00002 * C00075 * C00014 ))</v>
      </c>
    </row>
    <row r="720" spans="1:10">
      <c r="A720" s="19" t="s">
        <v>7358</v>
      </c>
      <c r="B720" s="1" t="s">
        <v>11711</v>
      </c>
      <c r="C720" s="32">
        <v>719</v>
      </c>
      <c r="D720" t="str">
        <f t="shared" si="41"/>
        <v>E6_3_4_2</v>
      </c>
      <c r="E720" s="10" t="s">
        <v>10392</v>
      </c>
      <c r="F720" s="10" t="s">
        <v>12299</v>
      </c>
      <c r="G720" s="13" t="s">
        <v>10393</v>
      </c>
      <c r="H720" s="13" t="s">
        <v>12769</v>
      </c>
      <c r="I720" t="str">
        <f t="shared" si="43"/>
        <v>(${Variables:E6_3_4_2_kcat} * E6_3_4_2 * C00002 * C00075 * C00064 * C00001)/(${Variables:E6_3_4_2_km} + (E6_3_4_2 * C00002 * C00075 * C00064 * C00001))</v>
      </c>
      <c r="J720" t="str">
        <f t="shared" si="42"/>
        <v>r719: C00002 + C00075 + C00064 + C00001 -&gt; C00008 + C00009 + C00063 + C00025 | (${Variables:E6_3_4_2_kcat} * E6_3_4_2 * C00002 * C00075 * C00064 * C00001)/(${Variables:E6_3_4_2_km} + (E6_3_4_2 * C00002 * C00075 * C00064 * C00001))</v>
      </c>
    </row>
    <row r="721" spans="1:10">
      <c r="A721" s="19" t="s">
        <v>8761</v>
      </c>
      <c r="B721" s="1" t="s">
        <v>11712</v>
      </c>
      <c r="C721" s="32">
        <v>720</v>
      </c>
      <c r="D721" t="str">
        <f t="shared" si="41"/>
        <v>E6_3_4_3</v>
      </c>
      <c r="E721" s="10" t="s">
        <v>10608</v>
      </c>
      <c r="F721" s="10" t="s">
        <v>12300</v>
      </c>
      <c r="G721" s="13" t="s">
        <v>10609</v>
      </c>
      <c r="H721" s="13" t="s">
        <v>12770</v>
      </c>
      <c r="I721" t="str">
        <f t="shared" si="43"/>
        <v>(${Variables:E6_3_4_3_kcat} * E6_3_4_3 * C00101 * C00058 * C00002 )/(${Variables:E6_3_4_3_km} + (E6_3_4_3 * C00101 * C00058 * C00002 ))</v>
      </c>
      <c r="J721" t="str">
        <f t="shared" si="42"/>
        <v>r720: C00101 + C00058 + C00002  -&gt;  C00008 + C00009 + C00234 | (${Variables:E6_3_4_3_kcat} * E6_3_4_3 * C00101 * C00058 * C00002 )/(${Variables:E6_3_4_3_km} + (E6_3_4_3 * C00101 * C00058 * C00002 ))</v>
      </c>
    </row>
    <row r="722" spans="1:10">
      <c r="A722" s="19" t="s">
        <v>4902</v>
      </c>
      <c r="B722" s="1" t="s">
        <v>11713</v>
      </c>
      <c r="C722" s="32">
        <v>721</v>
      </c>
      <c r="D722" t="str">
        <f t="shared" si="41"/>
        <v>E6_3_4_4</v>
      </c>
      <c r="E722" s="10" t="s">
        <v>10118</v>
      </c>
      <c r="F722" s="10" t="s">
        <v>12301</v>
      </c>
      <c r="G722" s="13" t="s">
        <v>10119</v>
      </c>
      <c r="H722" s="13" t="s">
        <v>12771</v>
      </c>
      <c r="I722" t="str">
        <f t="shared" si="43"/>
        <v>(${Variables:E6_3_4_4_kcat} * E6_3_4_4 * C00044 * C00130 * C00049 )/(${Variables:E6_3_4_4_km} + (E6_3_4_4 * C00044 * C00130 * C00049 ))</v>
      </c>
      <c r="J722" t="str">
        <f t="shared" si="42"/>
        <v>r721: C00044 + C00130 + C00049  -&gt; C00035 + C00009 + C03794 | (${Variables:E6_3_4_4_kcat} * E6_3_4_4 * C00044 * C00130 * C00049 )/(${Variables:E6_3_4_4_km} + (E6_3_4_4 * C00044 * C00130 * C00049 ))</v>
      </c>
    </row>
    <row r="723" spans="1:10">
      <c r="A723" s="19" t="s">
        <v>6985</v>
      </c>
      <c r="B723" s="1" t="s">
        <v>11714</v>
      </c>
      <c r="C723" s="32">
        <v>722</v>
      </c>
      <c r="D723" t="str">
        <f t="shared" si="41"/>
        <v>E6_3_5_2</v>
      </c>
      <c r="E723" s="10" t="s">
        <v>10324</v>
      </c>
      <c r="F723" s="10" t="s">
        <v>12297</v>
      </c>
      <c r="G723" s="13" t="s">
        <v>10072</v>
      </c>
      <c r="H723" s="13" t="s">
        <v>12377</v>
      </c>
      <c r="I723" t="str">
        <f t="shared" si="43"/>
        <v>(${Variables:E6_3_5_2_kcat} * E6_3_5_2 * C00064 * C00001)/(${Variables:E6_3_5_2_km} + (E6_3_5_2 * C00064 * C00001))</v>
      </c>
      <c r="J723" t="str">
        <f t="shared" si="42"/>
        <v>r722: C00064 + C00001 -&gt;  C00025 + C00014 | (${Variables:E6_3_5_2_kcat} * E6_3_5_2 * C00064 * C00001)/(${Variables:E6_3_5_2_km} + (E6_3_5_2 * C00064 * C00001))</v>
      </c>
    </row>
    <row r="724" spans="1:10">
      <c r="A724" s="19" t="s">
        <v>6985</v>
      </c>
      <c r="B724" s="1" t="s">
        <v>11714</v>
      </c>
      <c r="C724" s="32">
        <v>723</v>
      </c>
      <c r="D724" t="str">
        <f t="shared" si="41"/>
        <v>E6_3_5_2</v>
      </c>
      <c r="E724" s="10" t="s">
        <v>10330</v>
      </c>
      <c r="F724" s="10" t="s">
        <v>12302</v>
      </c>
      <c r="G724" s="13" t="s">
        <v>10325</v>
      </c>
      <c r="H724" s="13" t="s">
        <v>12772</v>
      </c>
      <c r="I724" t="str">
        <f t="shared" si="43"/>
        <v>(${Variables:E6_3_5_2_kcat} * E6_3_5_2 * C00064 * C00002)/(${Variables:E6_3_5_2_km} + (E6_3_5_2 * C00064 * C00002))</v>
      </c>
      <c r="J724" t="str">
        <f t="shared" si="42"/>
        <v>r723: C00064 + C00002 -&gt;  C00020 + C00013 + C00144 | (${Variables:E6_3_5_2_kcat} * E6_3_5_2 * C00064 * C00002)/(${Variables:E6_3_5_2_km} + (E6_3_5_2 * C00064 * C00002))</v>
      </c>
    </row>
    <row r="725" spans="1:10">
      <c r="A725" s="19" t="s">
        <v>6985</v>
      </c>
      <c r="B725" s="1" t="s">
        <v>11714</v>
      </c>
      <c r="C725" s="32">
        <v>724</v>
      </c>
      <c r="D725" t="str">
        <f t="shared" si="41"/>
        <v>E6_3_5_2</v>
      </c>
      <c r="E725" s="10" t="s">
        <v>10326</v>
      </c>
      <c r="F725" s="10" t="s">
        <v>12303</v>
      </c>
      <c r="G725" s="13" t="s">
        <v>10327</v>
      </c>
      <c r="H725" s="13" t="s">
        <v>12773</v>
      </c>
      <c r="I725" t="str">
        <f t="shared" si="43"/>
        <v>(${Variables:E6_3_5_2_kcat} * E6_3_5_2 * C00002 * C00655 * C00064 * C00001 )/(${Variables:E6_3_5_2_km} + (E6_3_5_2 * C00002 * C00655 * C00064 * C00001 ))</v>
      </c>
      <c r="J725" t="str">
        <f t="shared" si="42"/>
        <v>r724: C00002 + C00655 + C00064 + C00001  -&gt; C00020 + C00013 + C00144 + C00025 | (${Variables:E6_3_5_2_kcat} * E6_3_5_2 * C00002 * C00655 * C00064 * C00001 )/(${Variables:E6_3_5_2_km} + (E6_3_5_2 * C00002 * C00655 * C00064 * C00001 ))</v>
      </c>
    </row>
    <row r="726" spans="1:10">
      <c r="A726" s="19" t="s">
        <v>6985</v>
      </c>
      <c r="B726" s="1" t="s">
        <v>11714</v>
      </c>
      <c r="C726" s="32">
        <v>725</v>
      </c>
      <c r="D726" t="str">
        <f t="shared" si="41"/>
        <v>E6_3_5_2</v>
      </c>
      <c r="E726" s="10" t="s">
        <v>10328</v>
      </c>
      <c r="F726" s="10" t="s">
        <v>12304</v>
      </c>
      <c r="G726" s="13" t="s">
        <v>10329</v>
      </c>
      <c r="H726" s="13" t="s">
        <v>12774</v>
      </c>
      <c r="I726" t="str">
        <f t="shared" si="43"/>
        <v>(${Variables:E6_3_5_2_kcat} * E6_3_5_2 * C16618 * C00002 * C00064 * C00001 )/(${Variables:E6_3_5_2_km} + (E6_3_5_2 * C16618 * C00002 * C00064 * C00001 ))</v>
      </c>
      <c r="J726" t="str">
        <f t="shared" si="42"/>
        <v>r725: C16618 + C00002 + C00064 + C00001  -&gt; C16619 + C00020 + C00013 + C00025 | (${Variables:E6_3_5_2_kcat} * E6_3_5_2 * C16618 * C00002 * C00064 * C00001 )/(${Variables:E6_3_5_2_km} + (E6_3_5_2 * C16618 * C00002 * C00064 * C00001 ))</v>
      </c>
    </row>
    <row r="727" spans="1:10">
      <c r="A727" s="19" t="s">
        <v>6987</v>
      </c>
      <c r="B727" s="1" t="s">
        <v>11714</v>
      </c>
      <c r="C727" s="32">
        <v>726</v>
      </c>
      <c r="D727" t="str">
        <f t="shared" si="41"/>
        <v>E6_3_5_2</v>
      </c>
      <c r="E727" s="10" t="s">
        <v>10324</v>
      </c>
      <c r="F727" s="10" t="s">
        <v>12297</v>
      </c>
      <c r="G727" s="13" t="s">
        <v>10072</v>
      </c>
      <c r="H727" s="13" t="s">
        <v>12377</v>
      </c>
      <c r="I727" t="str">
        <f t="shared" si="43"/>
        <v>(${Variables:E6_3_5_2_kcat} * E6_3_5_2 * C00064 * C00001)/(${Variables:E6_3_5_2_km} + (E6_3_5_2 * C00064 * C00001))</v>
      </c>
      <c r="J727" t="str">
        <f t="shared" si="42"/>
        <v>r726: C00064 + C00001 -&gt;  C00025 + C00014 | (${Variables:E6_3_5_2_kcat} * E6_3_5_2 * C00064 * C00001)/(${Variables:E6_3_5_2_km} + (E6_3_5_2 * C00064 * C00001))</v>
      </c>
    </row>
    <row r="728" spans="1:10">
      <c r="A728" s="19" t="s">
        <v>6987</v>
      </c>
      <c r="B728" s="1" t="s">
        <v>11714</v>
      </c>
      <c r="C728" s="32">
        <v>727</v>
      </c>
      <c r="D728" t="str">
        <f t="shared" ref="D728:D753" si="44">CONCATENATE("E",B728)</f>
        <v>E6_3_5_2</v>
      </c>
      <c r="E728" s="10" t="s">
        <v>10330</v>
      </c>
      <c r="F728" s="10" t="s">
        <v>12302</v>
      </c>
      <c r="G728" s="13" t="s">
        <v>10325</v>
      </c>
      <c r="H728" s="13" t="s">
        <v>12772</v>
      </c>
      <c r="I728" t="str">
        <f t="shared" si="43"/>
        <v>(${Variables:E6_3_5_2_kcat} * E6_3_5_2 * C00064 * C00002)/(${Variables:E6_3_5_2_km} + (E6_3_5_2 * C00064 * C00002))</v>
      </c>
      <c r="J728" t="str">
        <f t="shared" si="42"/>
        <v>r727: C00064 + C00002 -&gt;  C00020 + C00013 + C00144 | (${Variables:E6_3_5_2_kcat} * E6_3_5_2 * C00064 * C00002)/(${Variables:E6_3_5_2_km} + (E6_3_5_2 * C00064 * C00002))</v>
      </c>
    </row>
    <row r="729" spans="1:10">
      <c r="A729" s="19" t="s">
        <v>6987</v>
      </c>
      <c r="B729" s="1" t="s">
        <v>11714</v>
      </c>
      <c r="C729" s="32">
        <v>728</v>
      </c>
      <c r="D729" t="str">
        <f t="shared" si="44"/>
        <v>E6_3_5_2</v>
      </c>
      <c r="E729" s="10" t="s">
        <v>10326</v>
      </c>
      <c r="F729" s="10" t="s">
        <v>12303</v>
      </c>
      <c r="G729" s="13" t="s">
        <v>10327</v>
      </c>
      <c r="H729" s="13" t="s">
        <v>12773</v>
      </c>
      <c r="I729" t="str">
        <f t="shared" si="43"/>
        <v>(${Variables:E6_3_5_2_kcat} * E6_3_5_2 * C00002 * C00655 * C00064 * C00001 )/(${Variables:E6_3_5_2_km} + (E6_3_5_2 * C00002 * C00655 * C00064 * C00001 ))</v>
      </c>
      <c r="J729" t="str">
        <f t="shared" si="42"/>
        <v>r728: C00002 + C00655 + C00064 + C00001  -&gt; C00020 + C00013 + C00144 + C00025 | (${Variables:E6_3_5_2_kcat} * E6_3_5_2 * C00002 * C00655 * C00064 * C00001 )/(${Variables:E6_3_5_2_km} + (E6_3_5_2 * C00002 * C00655 * C00064 * C00001 ))</v>
      </c>
    </row>
    <row r="730" spans="1:10">
      <c r="A730" s="19" t="s">
        <v>6987</v>
      </c>
      <c r="B730" s="1" t="s">
        <v>11714</v>
      </c>
      <c r="C730" s="32">
        <v>729</v>
      </c>
      <c r="D730" t="str">
        <f t="shared" si="44"/>
        <v>E6_3_5_2</v>
      </c>
      <c r="E730" s="10" t="s">
        <v>10328</v>
      </c>
      <c r="F730" s="10" t="s">
        <v>12304</v>
      </c>
      <c r="G730" s="13" t="s">
        <v>10329</v>
      </c>
      <c r="H730" s="13" t="s">
        <v>12774</v>
      </c>
      <c r="I730" t="str">
        <f t="shared" si="43"/>
        <v>(${Variables:E6_3_5_2_kcat} * E6_3_5_2 * C16618 * C00002 * C00064 * C00001 )/(${Variables:E6_3_5_2_km} + (E6_3_5_2 * C16618 * C00002 * C00064 * C00001 ))</v>
      </c>
      <c r="J730" t="str">
        <f t="shared" si="42"/>
        <v>r729: C16618 + C00002 + C00064 + C00001  -&gt; C16619 + C00020 + C00013 + C00025 | (${Variables:E6_3_5_2_kcat} * E6_3_5_2 * C16618 * C00002 * C00064 * C00001 )/(${Variables:E6_3_5_2_km} + (E6_3_5_2 * C16618 * C00002 * C00064 * C00001 ))</v>
      </c>
    </row>
    <row r="731" spans="1:10">
      <c r="A731" s="19" t="s">
        <v>2167</v>
      </c>
      <c r="B731" s="1" t="s">
        <v>11715</v>
      </c>
      <c r="C731" s="32">
        <v>730</v>
      </c>
      <c r="D731" t="str">
        <f t="shared" si="44"/>
        <v>E6_3_5_3</v>
      </c>
      <c r="E731" s="10" t="s">
        <v>9677</v>
      </c>
      <c r="F731" s="10" t="s">
        <v>12305</v>
      </c>
      <c r="G731" s="23" t="s">
        <v>9678</v>
      </c>
      <c r="H731" s="23" t="s">
        <v>12775</v>
      </c>
      <c r="I731" t="str">
        <f t="shared" si="43"/>
        <v>(${Variables:E6_3_5_3_kcat} * E6_3_5_3 * C00002 * C04376 * C00064 * C00001)/(${Variables:E6_3_5_3_km} + (E6_3_5_3 * C00002 * C04376 * C00064 * C00001))</v>
      </c>
      <c r="J731" t="str">
        <f t="shared" si="42"/>
        <v>r730: C00002 + C04376 + C00064 + C00001 -&gt; C00008 + C00009 + C04640 + C00025 | (${Variables:E6_3_5_3_kcat} * E6_3_5_3 * C00002 * C04376 * C00064 * C00001)/(${Variables:E6_3_5_3_km} + (E6_3_5_3 * C00002 * C04376 * C00064 * C00001))</v>
      </c>
    </row>
    <row r="732" spans="1:10">
      <c r="A732" s="19" t="s">
        <v>6227</v>
      </c>
      <c r="B732" s="1" t="s">
        <v>11716</v>
      </c>
      <c r="C732" s="32">
        <v>731</v>
      </c>
      <c r="D732" t="str">
        <f t="shared" si="44"/>
        <v>E6_3_5_4</v>
      </c>
      <c r="E732" s="10" t="s">
        <v>10071</v>
      </c>
      <c r="F732" s="10" t="s">
        <v>11945</v>
      </c>
      <c r="G732" s="13" t="s">
        <v>10255</v>
      </c>
      <c r="H732" s="13" t="s">
        <v>12776</v>
      </c>
      <c r="I732" t="str">
        <f t="shared" si="43"/>
        <v>(${Variables:E6_3_5_4_kcat} * E6_3_5_4 * C00064 * C00001 )/(${Variables:E6_3_5_4_km} + (E6_3_5_4 * C00064 * C00001 ))</v>
      </c>
      <c r="J732" t="str">
        <f t="shared" si="42"/>
        <v>r731: C00064 + C00001  -&gt; C00025 + C00014 | (${Variables:E6_3_5_4_kcat} * E6_3_5_4 * C00064 * C00001 )/(${Variables:E6_3_5_4_km} + (E6_3_5_4 * C00064 * C00001 ))</v>
      </c>
    </row>
    <row r="733" spans="1:10">
      <c r="A733" s="19" t="s">
        <v>6227</v>
      </c>
      <c r="B733" s="1" t="s">
        <v>11716</v>
      </c>
      <c r="C733" s="32">
        <v>732</v>
      </c>
      <c r="D733" t="str">
        <f t="shared" si="44"/>
        <v>E6_3_5_4</v>
      </c>
      <c r="E733" s="10" t="s">
        <v>10090</v>
      </c>
      <c r="F733" s="10" t="s">
        <v>12281</v>
      </c>
      <c r="G733" s="13" t="s">
        <v>10091</v>
      </c>
      <c r="H733" s="13" t="s">
        <v>12751</v>
      </c>
      <c r="I733" t="str">
        <f t="shared" si="43"/>
        <v>(${Variables:E6_3_5_4_kcat} * E6_3_5_4 * C00002 * C00049 * C00014 )/(${Variables:E6_3_5_4_km} + (E6_3_5_4 * C00002 * C00049 * C00014 ))</v>
      </c>
      <c r="J733" t="str">
        <f t="shared" si="42"/>
        <v>r732: C00002 + C00049 + C00014  -&gt;  C00020 + C00013 + C00152 | (${Variables:E6_3_5_4_kcat} * E6_3_5_4 * C00002 * C00049 * C00014 )/(${Variables:E6_3_5_4_km} + (E6_3_5_4 * C00002 * C00049 * C00014 ))</v>
      </c>
    </row>
    <row r="734" spans="1:10">
      <c r="A734" s="19" t="s">
        <v>6227</v>
      </c>
      <c r="B734" s="1" t="s">
        <v>11716</v>
      </c>
      <c r="C734" s="32">
        <v>733</v>
      </c>
      <c r="D734" t="str">
        <f t="shared" si="44"/>
        <v>E6_3_5_4</v>
      </c>
      <c r="E734" s="10" t="s">
        <v>10256</v>
      </c>
      <c r="F734" s="10" t="s">
        <v>12306</v>
      </c>
      <c r="G734" s="13" t="s">
        <v>10257</v>
      </c>
      <c r="H734" s="13" t="s">
        <v>12777</v>
      </c>
      <c r="I734" t="str">
        <f t="shared" si="43"/>
        <v>(${Variables:E6_3_5_4_kcat} * E6_3_5_4 * C00002 * C00049 * C00064 * C00001 )/(${Variables:E6_3_5_4_km} + (E6_3_5_4 * C00002 * C00049 * C00064 * C00001 ))</v>
      </c>
      <c r="J734" t="str">
        <f t="shared" si="42"/>
        <v>r733: C00002 + C00049 + C00064 + C00001  -&gt;  C00020 + C00013 + C00152 + C00025 | (${Variables:E6_3_5_4_kcat} * E6_3_5_4 * C00002 * C00049 * C00064 * C00001 )/(${Variables:E6_3_5_4_km} + (E6_3_5_4 * C00002 * C00049 * C00064 * C00001 ))</v>
      </c>
    </row>
    <row r="735" spans="1:10">
      <c r="A735" s="19" t="s">
        <v>535</v>
      </c>
      <c r="B735" s="2" t="s">
        <v>11717</v>
      </c>
      <c r="C735" s="32">
        <v>734</v>
      </c>
      <c r="D735" t="str">
        <f t="shared" si="44"/>
        <v>E6_3_5_5</v>
      </c>
      <c r="E735" s="10" t="s">
        <v>10071</v>
      </c>
      <c r="F735" s="10" t="s">
        <v>11945</v>
      </c>
      <c r="G735" s="13" t="s">
        <v>10255</v>
      </c>
      <c r="H735" s="13" t="s">
        <v>12776</v>
      </c>
      <c r="I735" t="str">
        <f t="shared" si="43"/>
        <v>(${Variables:E6_3_5_5_kcat} * E6_3_5_5 * C00064 * C00001 )/(${Variables:E6_3_5_5_km} + (E6_3_5_5 * C00064 * C00001 ))</v>
      </c>
      <c r="J735" t="str">
        <f t="shared" si="42"/>
        <v>r734: C00064 + C00001  -&gt; C00025 + C00014 | (${Variables:E6_3_5_5_kcat} * E6_3_5_5 * C00064 * C00001 )/(${Variables:E6_3_5_5_km} + (E6_3_5_5 * C00064 * C00001 ))</v>
      </c>
    </row>
    <row r="736" spans="1:10">
      <c r="A736" s="19" t="s">
        <v>535</v>
      </c>
      <c r="B736" s="2" t="s">
        <v>11717</v>
      </c>
      <c r="C736" s="32">
        <v>735</v>
      </c>
      <c r="D736" t="str">
        <f t="shared" si="44"/>
        <v>E6_3_5_5</v>
      </c>
      <c r="E736" s="10" t="s">
        <v>12832</v>
      </c>
      <c r="F736" s="10" t="s">
        <v>12865</v>
      </c>
      <c r="G736" s="13" t="s">
        <v>12901</v>
      </c>
      <c r="H736" s="13" t="s">
        <v>12938</v>
      </c>
      <c r="I736" t="str">
        <f t="shared" si="43"/>
        <v>(${Variables:E6_3_5_5_kcat} * E6_3_5_5 * C00002 * C00064 * C00288 * C00001)/(${Variables:E6_3_5_5_km} + (E6_3_5_5 * C00002 * C00064 * C00288 * C00001))</v>
      </c>
      <c r="J736" t="str">
        <f t="shared" si="42"/>
        <v>r735: C00002 + C00064 + C00288 + C00001 -&gt;  C00008 + C00009 + C00025 + C00169 | (${Variables:E6_3_5_5_kcat} * E6_3_5_5 * C00002 * C00064 * C00288 * C00001)/(${Variables:E6_3_5_5_km} + (E6_3_5_5 * C00002 * C00064 * C00288 * C00001))</v>
      </c>
    </row>
    <row r="737" spans="1:10">
      <c r="A737" s="19" t="s">
        <v>535</v>
      </c>
      <c r="B737" s="2" t="s">
        <v>11717</v>
      </c>
      <c r="C737" s="32">
        <v>736</v>
      </c>
      <c r="D737" t="str">
        <f t="shared" si="44"/>
        <v>E6_3_5_5</v>
      </c>
      <c r="E737" s="10" t="s">
        <v>11875</v>
      </c>
      <c r="F737" s="10" t="s">
        <v>12307</v>
      </c>
      <c r="G737" s="13" t="s">
        <v>11876</v>
      </c>
      <c r="H737" s="13" t="s">
        <v>12778</v>
      </c>
      <c r="I737" t="str">
        <f t="shared" si="43"/>
        <v>(${Variables:E6_3_5_5_kcat} * E6_3_5_5 * C00002 * C01563 )/(${Variables:E6_3_5_5_km} + (E6_3_5_5 * C00002 * C01563 ))</v>
      </c>
      <c r="J737" t="str">
        <f t="shared" si="42"/>
        <v>r736: C00002 + C01563  -&gt; C00008 + C00169 | (${Variables:E6_3_5_5_kcat} * E6_3_5_5 * C00002 * C01563 )/(${Variables:E6_3_5_5_km} + (E6_3_5_5 * C00002 * C01563 ))</v>
      </c>
    </row>
    <row r="738" spans="1:10">
      <c r="A738" s="19" t="s">
        <v>535</v>
      </c>
      <c r="B738" s="2" t="s">
        <v>11717</v>
      </c>
      <c r="C738" s="32">
        <v>737</v>
      </c>
      <c r="D738" t="str">
        <f t="shared" si="44"/>
        <v>E6_3_5_5</v>
      </c>
      <c r="E738" s="10" t="s">
        <v>11877</v>
      </c>
      <c r="F738" s="10" t="s">
        <v>12308</v>
      </c>
      <c r="G738" s="13" t="s">
        <v>11878</v>
      </c>
      <c r="H738" s="13" t="s">
        <v>12779</v>
      </c>
      <c r="I738" t="str">
        <f t="shared" si="43"/>
        <v>(${Variables:E6_3_5_5_kcat} * E6_3_5_5 * C00002 * C00288)/(${Variables:E6_3_5_5_km} + (E6_3_5_5 * C00002 * C00288))</v>
      </c>
      <c r="J738" t="str">
        <f t="shared" si="42"/>
        <v>r737: C00002 + C00288 -&gt; C00008 + C20969 | (${Variables:E6_3_5_5_kcat} * E6_3_5_5 * C00002 * C00288)/(${Variables:E6_3_5_5_km} + (E6_3_5_5 * C00002 * C00288))</v>
      </c>
    </row>
    <row r="739" spans="1:10">
      <c r="A739" s="19" t="s">
        <v>535</v>
      </c>
      <c r="B739" s="2" t="s">
        <v>11717</v>
      </c>
      <c r="C739" s="32">
        <v>738</v>
      </c>
      <c r="D739" t="str">
        <f t="shared" si="44"/>
        <v>E6_3_5_5</v>
      </c>
      <c r="E739" s="10" t="s">
        <v>11879</v>
      </c>
      <c r="F739" s="10" t="s">
        <v>12309</v>
      </c>
      <c r="G739" s="13" t="s">
        <v>11880</v>
      </c>
      <c r="H739" s="13" t="s">
        <v>12780</v>
      </c>
      <c r="I739" t="str">
        <f t="shared" si="43"/>
        <v>(${Variables:E6_3_5_5_kcat} * E6_3_5_5 * C00014 *  C20969)/(${Variables:E6_3_5_5_km} + (E6_3_5_5 * C00014 *  C20969))</v>
      </c>
      <c r="J739" t="str">
        <f t="shared" si="42"/>
        <v>r738: C00014 +  C20969 -&gt; C01563 +  C00009 | (${Variables:E6_3_5_5_kcat} * E6_3_5_5 * C00014 *  C20969)/(${Variables:E6_3_5_5_km} + (E6_3_5_5 * C00014 *  C20969))</v>
      </c>
    </row>
    <row r="740" spans="1:10">
      <c r="A740" s="19" t="s">
        <v>535</v>
      </c>
      <c r="B740" s="2" t="s">
        <v>11717</v>
      </c>
      <c r="C740" s="32">
        <v>739</v>
      </c>
      <c r="D740" t="str">
        <f t="shared" si="44"/>
        <v>E6_3_5_5</v>
      </c>
      <c r="E740" s="10" t="s">
        <v>12833</v>
      </c>
      <c r="F740" s="10" t="s">
        <v>12866</v>
      </c>
      <c r="G740" s="13" t="s">
        <v>12902</v>
      </c>
      <c r="H740" s="13" t="s">
        <v>12939</v>
      </c>
      <c r="I740" t="str">
        <f t="shared" si="43"/>
        <v>(${Variables:E6_3_5_5_kcat} * E6_3_5_5 * C00002  *  C00288  * C00014)/(${Variables:E6_3_5_5_km} + (E6_3_5_5 * C00002  *  C00288  * C00014))</v>
      </c>
      <c r="J740" t="str">
        <f t="shared" si="42"/>
        <v>r739:  C00002  +  C00288  + C00014 -&gt;  C00008 + C00009 + C00169 | (${Variables:E6_3_5_5_kcat} * E6_3_5_5 * C00002  *  C00288  * C00014)/(${Variables:E6_3_5_5_km} + (E6_3_5_5 * C00002  *  C00288  * C00014))</v>
      </c>
    </row>
    <row r="741" spans="1:10">
      <c r="A741" s="19" t="s">
        <v>538</v>
      </c>
      <c r="B741" s="1" t="s">
        <v>11717</v>
      </c>
      <c r="C741" s="32">
        <v>740</v>
      </c>
      <c r="D741" t="str">
        <f t="shared" si="44"/>
        <v>E6_3_5_5</v>
      </c>
      <c r="E741" s="10" t="s">
        <v>10071</v>
      </c>
      <c r="F741" s="10" t="s">
        <v>11945</v>
      </c>
      <c r="G741" s="13" t="s">
        <v>10255</v>
      </c>
      <c r="H741" s="13" t="s">
        <v>12776</v>
      </c>
      <c r="I741" t="str">
        <f t="shared" si="43"/>
        <v>(${Variables:E6_3_5_5_kcat} * E6_3_5_5 * C00064 * C00001 )/(${Variables:E6_3_5_5_km} + (E6_3_5_5 * C00064 * C00001 ))</v>
      </c>
      <c r="J741" t="str">
        <f t="shared" si="42"/>
        <v>r740: C00064 + C00001  -&gt; C00025 + C00014 | (${Variables:E6_3_5_5_kcat} * E6_3_5_5 * C00064 * C00001 )/(${Variables:E6_3_5_5_km} + (E6_3_5_5 * C00064 * C00001 ))</v>
      </c>
    </row>
    <row r="742" spans="1:10">
      <c r="A742" s="19" t="s">
        <v>538</v>
      </c>
      <c r="B742" s="1" t="s">
        <v>11717</v>
      </c>
      <c r="C742" s="32">
        <v>741</v>
      </c>
      <c r="D742" t="str">
        <f t="shared" si="44"/>
        <v>E6_3_5_5</v>
      </c>
      <c r="E742" s="10" t="s">
        <v>12832</v>
      </c>
      <c r="F742" s="10" t="s">
        <v>12867</v>
      </c>
      <c r="G742" s="13" t="s">
        <v>12903</v>
      </c>
      <c r="H742" s="13" t="s">
        <v>12938</v>
      </c>
      <c r="I742" t="str">
        <f t="shared" si="43"/>
        <v>(${Variables:E6_3_5_5_kcat} * E6_3_5_5 *  C00002 * C00064 * C00288 * C00001)/(${Variables:E6_3_5_5_km} + (E6_3_5_5 *  C00002 * C00064 * C00288 * C00001))</v>
      </c>
      <c r="J742" t="str">
        <f t="shared" si="42"/>
        <v>r741: C00002 + C00064 + C00288 + C00001 -&gt; C00008 + C00009 + C00025 + C00169 | (${Variables:E6_3_5_5_kcat} * E6_3_5_5 *  C00002 * C00064 * C00288 * C00001)/(${Variables:E6_3_5_5_km} + (E6_3_5_5 *  C00002 * C00064 * C00288 * C00001))</v>
      </c>
    </row>
    <row r="743" spans="1:10">
      <c r="A743" s="19" t="s">
        <v>538</v>
      </c>
      <c r="B743" s="1" t="s">
        <v>11717</v>
      </c>
      <c r="C743" s="32">
        <v>742</v>
      </c>
      <c r="D743" t="str">
        <f t="shared" si="44"/>
        <v>E6_3_5_5</v>
      </c>
      <c r="E743" s="10" t="s">
        <v>11875</v>
      </c>
      <c r="F743" s="10" t="s">
        <v>12307</v>
      </c>
      <c r="G743" s="13" t="s">
        <v>11876</v>
      </c>
      <c r="H743" s="13" t="s">
        <v>12778</v>
      </c>
      <c r="I743" t="str">
        <f t="shared" si="43"/>
        <v>(${Variables:E6_3_5_5_kcat} * E6_3_5_5 * C00002 * C01563 )/(${Variables:E6_3_5_5_km} + (E6_3_5_5 * C00002 * C01563 ))</v>
      </c>
      <c r="J743" t="str">
        <f t="shared" si="42"/>
        <v>r742: C00002 + C01563  -&gt; C00008 + C00169 | (${Variables:E6_3_5_5_kcat} * E6_3_5_5 * C00002 * C01563 )/(${Variables:E6_3_5_5_km} + (E6_3_5_5 * C00002 * C01563 ))</v>
      </c>
    </row>
    <row r="744" spans="1:10">
      <c r="A744" s="19" t="s">
        <v>538</v>
      </c>
      <c r="B744" s="1" t="s">
        <v>11717</v>
      </c>
      <c r="C744" s="32">
        <v>743</v>
      </c>
      <c r="D744" t="str">
        <f t="shared" si="44"/>
        <v>E6_3_5_5</v>
      </c>
      <c r="E744" s="10" t="s">
        <v>11877</v>
      </c>
      <c r="F744" s="10" t="s">
        <v>12308</v>
      </c>
      <c r="G744" s="13" t="s">
        <v>11878</v>
      </c>
      <c r="H744" s="13" t="s">
        <v>12779</v>
      </c>
      <c r="I744" t="str">
        <f t="shared" si="43"/>
        <v>(${Variables:E6_3_5_5_kcat} * E6_3_5_5 * C00002 * C00288)/(${Variables:E6_3_5_5_km} + (E6_3_5_5 * C00002 * C00288))</v>
      </c>
      <c r="J744" t="str">
        <f t="shared" si="42"/>
        <v>r743: C00002 + C00288 -&gt; C00008 + C20969 | (${Variables:E6_3_5_5_kcat} * E6_3_5_5 * C00002 * C00288)/(${Variables:E6_3_5_5_km} + (E6_3_5_5 * C00002 * C00288))</v>
      </c>
    </row>
    <row r="745" spans="1:10">
      <c r="A745" s="19" t="s">
        <v>538</v>
      </c>
      <c r="B745" s="1" t="s">
        <v>11717</v>
      </c>
      <c r="C745" s="32">
        <v>744</v>
      </c>
      <c r="D745" t="str">
        <f t="shared" si="44"/>
        <v>E6_3_5_5</v>
      </c>
      <c r="E745" s="10" t="s">
        <v>11879</v>
      </c>
      <c r="F745" s="10" t="s">
        <v>12309</v>
      </c>
      <c r="G745" s="13" t="s">
        <v>11880</v>
      </c>
      <c r="H745" s="13" t="s">
        <v>12780</v>
      </c>
      <c r="I745" t="str">
        <f t="shared" si="43"/>
        <v>(${Variables:E6_3_5_5_kcat} * E6_3_5_5 * C00014 *  C20969)/(${Variables:E6_3_5_5_km} + (E6_3_5_5 * C00014 *  C20969))</v>
      </c>
      <c r="J745" t="str">
        <f t="shared" ref="J745:J753" si="45">CONCATENATE("r",C745,": ",E745," -&gt; ",G745," | ",I745)</f>
        <v>r744: C00014 +  C20969 -&gt; C01563 +  C00009 | (${Variables:E6_3_5_5_kcat} * E6_3_5_5 * C00014 *  C20969)/(${Variables:E6_3_5_5_km} + (E6_3_5_5 * C00014 *  C20969))</v>
      </c>
    </row>
    <row r="746" spans="1:10">
      <c r="A746" s="19" t="s">
        <v>538</v>
      </c>
      <c r="B746" s="1" t="s">
        <v>11717</v>
      </c>
      <c r="C746" s="32">
        <v>745</v>
      </c>
      <c r="D746" t="str">
        <f t="shared" si="44"/>
        <v>E6_3_5_5</v>
      </c>
      <c r="E746" s="10" t="s">
        <v>12834</v>
      </c>
      <c r="F746" s="10" t="s">
        <v>12868</v>
      </c>
      <c r="G746" s="13" t="s">
        <v>12904</v>
      </c>
      <c r="H746" s="13" t="s">
        <v>12939</v>
      </c>
      <c r="I746" t="str">
        <f t="shared" si="43"/>
        <v>(${Variables:E6_3_5_5_kcat} * E6_3_5_5 *  C00002  *  C00288  * C00014)/(${Variables:E6_3_5_5_km} + (E6_3_5_5 *  C00002  *  C00288  * C00014))</v>
      </c>
      <c r="J746" t="str">
        <f t="shared" si="45"/>
        <v>r745: C00002  +  C00288  + C00014 -&gt; C00008 + C00009 + C00169 | (${Variables:E6_3_5_5_kcat} * E6_3_5_5 *  C00002  *  C00288  * C00014)/(${Variables:E6_3_5_5_km} + (E6_3_5_5 *  C00002  *  C00288  * C00014))</v>
      </c>
    </row>
    <row r="747" spans="1:10">
      <c r="A747" s="19" t="s">
        <v>4176</v>
      </c>
      <c r="B747" s="25" t="s">
        <v>11717</v>
      </c>
      <c r="C747" s="32">
        <v>746</v>
      </c>
      <c r="D747" t="str">
        <f t="shared" si="44"/>
        <v>E6_3_5_5</v>
      </c>
      <c r="E747" s="22" t="s">
        <v>10071</v>
      </c>
      <c r="F747" s="22" t="s">
        <v>11945</v>
      </c>
      <c r="G747" s="20" t="s">
        <v>10255</v>
      </c>
      <c r="H747" s="20" t="s">
        <v>12776</v>
      </c>
      <c r="I747" t="str">
        <f t="shared" si="43"/>
        <v>(${Variables:E6_3_5_5_kcat} * E6_3_5_5 * C00064 * C00001 )/(${Variables:E6_3_5_5_km} + (E6_3_5_5 * C00064 * C00001 ))</v>
      </c>
      <c r="J747" t="str">
        <f t="shared" si="45"/>
        <v>r746: C00064 + C00001  -&gt; C00025 + C00014 | (${Variables:E6_3_5_5_kcat} * E6_3_5_5 * C00064 * C00001 )/(${Variables:E6_3_5_5_km} + (E6_3_5_5 * C00064 * C00001 ))</v>
      </c>
    </row>
    <row r="748" spans="1:10">
      <c r="A748" s="19" t="s">
        <v>4176</v>
      </c>
      <c r="B748" s="25" t="s">
        <v>11717</v>
      </c>
      <c r="C748" s="32">
        <v>747</v>
      </c>
      <c r="D748" t="str">
        <f t="shared" si="44"/>
        <v>E6_3_5_5</v>
      </c>
      <c r="E748" s="22" t="s">
        <v>12832</v>
      </c>
      <c r="F748" s="22" t="s">
        <v>12867</v>
      </c>
      <c r="G748" s="20" t="s">
        <v>12903</v>
      </c>
      <c r="H748" s="20" t="s">
        <v>12938</v>
      </c>
      <c r="I748" t="str">
        <f t="shared" si="43"/>
        <v>(${Variables:E6_3_5_5_kcat} * E6_3_5_5 *  C00002 * C00064 * C00288 * C00001)/(${Variables:E6_3_5_5_km} + (E6_3_5_5 *  C00002 * C00064 * C00288 * C00001))</v>
      </c>
      <c r="J748" t="str">
        <f t="shared" si="45"/>
        <v>r747: C00002 + C00064 + C00288 + C00001 -&gt; C00008 + C00009 + C00025 + C00169 | (${Variables:E6_3_5_5_kcat} * E6_3_5_5 *  C00002 * C00064 * C00288 * C00001)/(${Variables:E6_3_5_5_km} + (E6_3_5_5 *  C00002 * C00064 * C00288 * C00001))</v>
      </c>
    </row>
    <row r="749" spans="1:10">
      <c r="A749" s="19" t="s">
        <v>4176</v>
      </c>
      <c r="B749" s="25" t="s">
        <v>11717</v>
      </c>
      <c r="C749" s="32">
        <v>748</v>
      </c>
      <c r="D749" t="str">
        <f t="shared" si="44"/>
        <v>E6_3_5_5</v>
      </c>
      <c r="E749" s="22" t="s">
        <v>11875</v>
      </c>
      <c r="F749" s="22" t="s">
        <v>12307</v>
      </c>
      <c r="G749" s="20" t="s">
        <v>11876</v>
      </c>
      <c r="H749" s="20" t="s">
        <v>12778</v>
      </c>
      <c r="I749" t="str">
        <f t="shared" si="43"/>
        <v>(${Variables:E6_3_5_5_kcat} * E6_3_5_5 * C00002 * C01563 )/(${Variables:E6_3_5_5_km} + (E6_3_5_5 * C00002 * C01563 ))</v>
      </c>
      <c r="J749" t="str">
        <f t="shared" si="45"/>
        <v>r748: C00002 + C01563  -&gt; C00008 + C00169 | (${Variables:E6_3_5_5_kcat} * E6_3_5_5 * C00002 * C01563 )/(${Variables:E6_3_5_5_km} + (E6_3_5_5 * C00002 * C01563 ))</v>
      </c>
    </row>
    <row r="750" spans="1:10">
      <c r="A750" s="19" t="s">
        <v>4176</v>
      </c>
      <c r="B750" s="25" t="s">
        <v>11717</v>
      </c>
      <c r="C750" s="32">
        <v>749</v>
      </c>
      <c r="D750" t="str">
        <f t="shared" si="44"/>
        <v>E6_3_5_5</v>
      </c>
      <c r="E750" s="22" t="s">
        <v>11877</v>
      </c>
      <c r="F750" s="22" t="s">
        <v>12308</v>
      </c>
      <c r="G750" s="20" t="s">
        <v>11878</v>
      </c>
      <c r="H750" s="20" t="s">
        <v>12779</v>
      </c>
      <c r="I750" t="str">
        <f t="shared" si="43"/>
        <v>(${Variables:E6_3_5_5_kcat} * E6_3_5_5 * C00002 * C00288)/(${Variables:E6_3_5_5_km} + (E6_3_5_5 * C00002 * C00288))</v>
      </c>
      <c r="J750" t="str">
        <f t="shared" si="45"/>
        <v>r749: C00002 + C00288 -&gt; C00008 + C20969 | (${Variables:E6_3_5_5_kcat} * E6_3_5_5 * C00002 * C00288)/(${Variables:E6_3_5_5_km} + (E6_3_5_5 * C00002 * C00288))</v>
      </c>
    </row>
    <row r="751" spans="1:10">
      <c r="A751" s="19" t="s">
        <v>4176</v>
      </c>
      <c r="B751" s="25" t="s">
        <v>11717</v>
      </c>
      <c r="C751" s="32">
        <v>750</v>
      </c>
      <c r="D751" t="str">
        <f t="shared" si="44"/>
        <v>E6_3_5_5</v>
      </c>
      <c r="E751" s="22" t="s">
        <v>11879</v>
      </c>
      <c r="F751" s="22" t="s">
        <v>12309</v>
      </c>
      <c r="G751" s="20" t="s">
        <v>11880</v>
      </c>
      <c r="H751" s="20" t="s">
        <v>12780</v>
      </c>
      <c r="I751" t="str">
        <f t="shared" si="43"/>
        <v>(${Variables:E6_3_5_5_kcat} * E6_3_5_5 * C00014 *  C20969)/(${Variables:E6_3_5_5_km} + (E6_3_5_5 * C00014 *  C20969))</v>
      </c>
      <c r="J751" t="str">
        <f t="shared" si="45"/>
        <v>r750: C00014 +  C20969 -&gt; C01563 +  C00009 | (${Variables:E6_3_5_5_kcat} * E6_3_5_5 * C00014 *  C20969)/(${Variables:E6_3_5_5_km} + (E6_3_5_5 * C00014 *  C20969))</v>
      </c>
    </row>
    <row r="752" spans="1:10">
      <c r="A752" s="19" t="s">
        <v>4176</v>
      </c>
      <c r="B752" s="25" t="s">
        <v>11717</v>
      </c>
      <c r="C752" s="32">
        <v>751</v>
      </c>
      <c r="D752" t="str">
        <f t="shared" si="44"/>
        <v>E6_3_5_5</v>
      </c>
      <c r="E752" s="22" t="s">
        <v>12834</v>
      </c>
      <c r="F752" s="22" t="s">
        <v>12868</v>
      </c>
      <c r="G752" s="20" t="s">
        <v>12904</v>
      </c>
      <c r="H752" s="20" t="s">
        <v>12940</v>
      </c>
      <c r="I752" t="str">
        <f t="shared" si="43"/>
        <v>(${Variables:E6_3_5_5_kcat} * E6_3_5_5 *  C00002  *  C00288  * C00014)/(${Variables:E6_3_5_5_km} + (E6_3_5_5 *  C00002  *  C00288  * C00014))</v>
      </c>
      <c r="J752" t="str">
        <f t="shared" si="45"/>
        <v>r751: C00002  +  C00288  + C00014 -&gt; C00008 + C00009 + C00169 | (${Variables:E6_3_5_5_kcat} * E6_3_5_5 *  C00002  *  C00288  * C00014)/(${Variables:E6_3_5_5_km} + (E6_3_5_5 *  C00002  *  C00288  * C00014))</v>
      </c>
    </row>
    <row r="753" spans="1:10">
      <c r="A753" s="19" t="s">
        <v>162</v>
      </c>
      <c r="B753" s="1" t="s">
        <v>11718</v>
      </c>
      <c r="C753" s="32">
        <v>752</v>
      </c>
      <c r="D753" t="str">
        <f t="shared" si="44"/>
        <v>E6_5_1_2</v>
      </c>
      <c r="E753" s="21" t="s">
        <v>12835</v>
      </c>
      <c r="F753" s="63" t="s">
        <v>25594</v>
      </c>
      <c r="G753" s="13" t="s">
        <v>25595</v>
      </c>
      <c r="H753" s="13" t="s">
        <v>25596</v>
      </c>
      <c r="I753" t="str">
        <f t="shared" si="43"/>
        <v>(${Variables:E6_5_1_2_kcat} * E6_5_1_2 * C00003 * C00039 * C02128)/(${Variables:E6_5_1_2_km} + (E6_5_1_2 * C00003 * C00039 * C02128))</v>
      </c>
      <c r="J753" t="str">
        <f t="shared" si="45"/>
        <v>r752: C00003 + C00039 + C02128 -&gt;  C00020 + C00455 + C00039 | (${Variables:E6_5_1_2_kcat} * E6_5_1_2 * C00003 * C00039 * C02128)/(${Variables:E6_5_1_2_km} + (E6_5_1_2 * C00003 * C00039 * C02128))</v>
      </c>
    </row>
    <row r="754" spans="1:10">
      <c r="C754" s="32"/>
      <c r="D754" s="32"/>
      <c r="I754" s="32"/>
      <c r="J754" s="32"/>
    </row>
    <row r="755" spans="1:10">
      <c r="C755" s="32"/>
    </row>
    <row r="756" spans="1:10">
      <c r="C756" s="32"/>
    </row>
    <row r="757" spans="1:10">
      <c r="C757" s="32"/>
    </row>
    <row r="758" spans="1:10">
      <c r="C758" s="32"/>
    </row>
    <row r="759" spans="1:10">
      <c r="C759" s="32"/>
    </row>
    <row r="760" spans="1:10">
      <c r="C760" s="32"/>
    </row>
    <row r="761" spans="1:10">
      <c r="C761" s="32"/>
    </row>
    <row r="762" spans="1:10">
      <c r="C762" s="32"/>
    </row>
    <row r="763" spans="1:10">
      <c r="C763" s="32"/>
    </row>
    <row r="764" spans="1:10">
      <c r="C764" s="32"/>
    </row>
    <row r="765" spans="1:10">
      <c r="C765" s="32"/>
    </row>
    <row r="766" spans="1:10">
      <c r="C766" s="32"/>
    </row>
    <row r="767" spans="1:10">
      <c r="C767" s="32"/>
    </row>
    <row r="768" spans="1:10">
      <c r="C768" s="32"/>
    </row>
    <row r="769" spans="3:6">
      <c r="C769" s="32"/>
    </row>
    <row r="770" spans="3:6">
      <c r="C770" s="32"/>
    </row>
    <row r="771" spans="3:6">
      <c r="C771" s="32"/>
      <c r="E771" s="11"/>
      <c r="F771" s="11"/>
    </row>
    <row r="772" spans="3:6">
      <c r="C772" s="32"/>
    </row>
    <row r="773" spans="3:6">
      <c r="C773" s="32"/>
    </row>
    <row r="774" spans="3:6">
      <c r="C774" s="32"/>
    </row>
    <row r="775" spans="3:6">
      <c r="C775" s="32"/>
    </row>
    <row r="776" spans="3:6">
      <c r="C776" s="32"/>
    </row>
    <row r="777" spans="3:6">
      <c r="C777" s="32"/>
    </row>
    <row r="778" spans="3:6">
      <c r="C778" s="32"/>
    </row>
    <row r="779" spans="3:6">
      <c r="C779" s="32"/>
    </row>
    <row r="780" spans="3:6">
      <c r="C780" s="32"/>
    </row>
    <row r="781" spans="3:6">
      <c r="C781" s="32"/>
    </row>
    <row r="782" spans="3:6">
      <c r="C782" s="32"/>
    </row>
    <row r="783" spans="3:6">
      <c r="C783" s="32"/>
    </row>
    <row r="784" spans="3:6">
      <c r="C784" s="32"/>
    </row>
    <row r="785" spans="3:6">
      <c r="C785" s="32"/>
      <c r="E785" s="11"/>
      <c r="F785" s="11"/>
    </row>
    <row r="786" spans="3:6">
      <c r="C786" s="32"/>
    </row>
    <row r="787" spans="3:6">
      <c r="C787" s="32"/>
    </row>
    <row r="788" spans="3:6">
      <c r="C788" s="32"/>
    </row>
    <row r="789" spans="3:6">
      <c r="C789" s="32"/>
    </row>
    <row r="790" spans="3:6">
      <c r="C790" s="32"/>
    </row>
    <row r="791" spans="3:6">
      <c r="C791" s="32"/>
    </row>
    <row r="792" spans="3:6">
      <c r="C792" s="32"/>
    </row>
    <row r="793" spans="3:6">
      <c r="C793" s="32"/>
    </row>
    <row r="794" spans="3:6">
      <c r="C794" s="32"/>
    </row>
    <row r="795" spans="3:6">
      <c r="C795" s="32"/>
    </row>
    <row r="796" spans="3:6">
      <c r="C796" s="32"/>
    </row>
    <row r="797" spans="3:6">
      <c r="C797" s="32"/>
    </row>
    <row r="798" spans="3:6">
      <c r="C798" s="32"/>
    </row>
    <row r="799" spans="3:6">
      <c r="C799" s="32"/>
    </row>
    <row r="800" spans="3:6">
      <c r="C800" s="32"/>
    </row>
    <row r="801" spans="3:6">
      <c r="C801" s="32"/>
    </row>
    <row r="802" spans="3:6">
      <c r="C802" s="32"/>
    </row>
    <row r="803" spans="3:6">
      <c r="C803" s="32"/>
    </row>
    <row r="804" spans="3:6">
      <c r="C804" s="32"/>
    </row>
    <row r="805" spans="3:6">
      <c r="C805" s="32"/>
    </row>
    <row r="806" spans="3:6">
      <c r="C806" s="32"/>
    </row>
    <row r="807" spans="3:6">
      <c r="C807" s="32"/>
      <c r="E807" s="11"/>
      <c r="F807" s="11"/>
    </row>
    <row r="808" spans="3:6">
      <c r="C808" s="32"/>
    </row>
    <row r="809" spans="3:6">
      <c r="C809" s="32"/>
    </row>
    <row r="810" spans="3:6">
      <c r="C810" s="32"/>
    </row>
    <row r="811" spans="3:6">
      <c r="C811" s="32"/>
    </row>
    <row r="812" spans="3:6">
      <c r="C812" s="32"/>
    </row>
    <row r="813" spans="3:6">
      <c r="C813" s="32"/>
    </row>
    <row r="814" spans="3:6">
      <c r="C814" s="32"/>
    </row>
    <row r="815" spans="3:6">
      <c r="C815" s="32"/>
    </row>
    <row r="816" spans="3:6">
      <c r="C816" s="32"/>
    </row>
    <row r="817" spans="3:3">
      <c r="C817" s="32"/>
    </row>
    <row r="818" spans="3:3">
      <c r="C818" s="32"/>
    </row>
    <row r="819" spans="3:3">
      <c r="C819" s="32"/>
    </row>
    <row r="820" spans="3:3">
      <c r="C820" s="32"/>
    </row>
    <row r="821" spans="3:3">
      <c r="C821" s="32"/>
    </row>
    <row r="822" spans="3:3">
      <c r="C822" s="32"/>
    </row>
    <row r="823" spans="3:3">
      <c r="C823" s="32"/>
    </row>
    <row r="824" spans="3:3">
      <c r="C824" s="32"/>
    </row>
    <row r="825" spans="3:3">
      <c r="C825" s="32"/>
    </row>
    <row r="826" spans="3:3">
      <c r="C826" s="32"/>
    </row>
    <row r="827" spans="3:3">
      <c r="C827" s="32"/>
    </row>
    <row r="828" spans="3:3">
      <c r="C828" s="32"/>
    </row>
    <row r="829" spans="3:3">
      <c r="C829" s="32"/>
    </row>
    <row r="830" spans="3:3">
      <c r="C830" s="32"/>
    </row>
    <row r="831" spans="3:3">
      <c r="C831" s="32"/>
    </row>
    <row r="832" spans="3:3">
      <c r="C832" s="32"/>
    </row>
    <row r="833" spans="3:3">
      <c r="C833" s="32"/>
    </row>
    <row r="834" spans="3:3">
      <c r="C834" s="32"/>
    </row>
    <row r="835" spans="3:3">
      <c r="C835" s="32"/>
    </row>
    <row r="836" spans="3:3">
      <c r="C836" s="32"/>
    </row>
    <row r="837" spans="3:3">
      <c r="C837" s="32"/>
    </row>
    <row r="838" spans="3:3">
      <c r="C838" s="32"/>
    </row>
    <row r="839" spans="3:3">
      <c r="C839" s="32"/>
    </row>
    <row r="840" spans="3:3">
      <c r="C840" s="32"/>
    </row>
    <row r="841" spans="3:3">
      <c r="C841" s="32"/>
    </row>
    <row r="842" spans="3:3">
      <c r="C842" s="32"/>
    </row>
    <row r="843" spans="3:3">
      <c r="C843" s="32"/>
    </row>
    <row r="844" spans="3:3">
      <c r="C844" s="32"/>
    </row>
    <row r="845" spans="3:3">
      <c r="C845" s="32"/>
    </row>
    <row r="846" spans="3:3">
      <c r="C846" s="32"/>
    </row>
    <row r="847" spans="3:3">
      <c r="C847" s="32"/>
    </row>
    <row r="848" spans="3:3">
      <c r="C848" s="32"/>
    </row>
    <row r="849" spans="3:3">
      <c r="C849" s="32"/>
    </row>
    <row r="850" spans="3:3">
      <c r="C850" s="32"/>
    </row>
    <row r="851" spans="3:3">
      <c r="C851" s="32"/>
    </row>
    <row r="852" spans="3:3">
      <c r="C852" s="32"/>
    </row>
    <row r="853" spans="3:3">
      <c r="C853" s="32"/>
    </row>
    <row r="854" spans="3:3">
      <c r="C854" s="32"/>
    </row>
    <row r="855" spans="3:3">
      <c r="C855" s="32"/>
    </row>
    <row r="856" spans="3:3">
      <c r="C856" s="32"/>
    </row>
    <row r="857" spans="3:3">
      <c r="C857" s="32"/>
    </row>
    <row r="858" spans="3:3">
      <c r="C858" s="32"/>
    </row>
    <row r="859" spans="3:3">
      <c r="C859" s="32"/>
    </row>
    <row r="860" spans="3:3">
      <c r="C860" s="32"/>
    </row>
    <row r="861" spans="3:3">
      <c r="C861" s="32"/>
    </row>
    <row r="862" spans="3:3">
      <c r="C862" s="32"/>
    </row>
    <row r="863" spans="3:3">
      <c r="C863" s="32"/>
    </row>
    <row r="864" spans="3:3">
      <c r="C864" s="32"/>
    </row>
    <row r="865" spans="3:3">
      <c r="C865" s="32"/>
    </row>
    <row r="866" spans="3:3">
      <c r="C866" s="32"/>
    </row>
    <row r="867" spans="3:3">
      <c r="C867" s="32"/>
    </row>
    <row r="868" spans="3:3">
      <c r="C868" s="32"/>
    </row>
    <row r="869" spans="3:3">
      <c r="C869" s="32"/>
    </row>
    <row r="870" spans="3:3">
      <c r="C870" s="32"/>
    </row>
    <row r="871" spans="3:3">
      <c r="C871" s="32"/>
    </row>
    <row r="872" spans="3:3">
      <c r="C872" s="32"/>
    </row>
    <row r="873" spans="3:3">
      <c r="C873" s="32"/>
    </row>
    <row r="874" spans="3:3">
      <c r="C874" s="32"/>
    </row>
    <row r="875" spans="3:3">
      <c r="C875" s="32"/>
    </row>
    <row r="876" spans="3:3">
      <c r="C876" s="32"/>
    </row>
    <row r="877" spans="3:3">
      <c r="C877" s="32"/>
    </row>
    <row r="878" spans="3:3">
      <c r="C878" s="32"/>
    </row>
    <row r="879" spans="3:3">
      <c r="C879" s="32"/>
    </row>
    <row r="880" spans="3:3">
      <c r="C880" s="32"/>
    </row>
    <row r="881" spans="3:3">
      <c r="C881" s="32"/>
    </row>
    <row r="882" spans="3:3">
      <c r="C882" s="32"/>
    </row>
    <row r="883" spans="3:3">
      <c r="C883" s="32"/>
    </row>
    <row r="884" spans="3:3">
      <c r="C884" s="32"/>
    </row>
    <row r="885" spans="3:3">
      <c r="C885" s="32"/>
    </row>
    <row r="886" spans="3:3">
      <c r="C886" s="32"/>
    </row>
    <row r="887" spans="3:3">
      <c r="C887" s="32"/>
    </row>
    <row r="888" spans="3:3">
      <c r="C888" s="32"/>
    </row>
    <row r="889" spans="3:3">
      <c r="C889" s="32"/>
    </row>
    <row r="890" spans="3:3">
      <c r="C890" s="32"/>
    </row>
    <row r="891" spans="3:3">
      <c r="C891" s="32"/>
    </row>
    <row r="892" spans="3:3">
      <c r="C892" s="32"/>
    </row>
    <row r="893" spans="3:3">
      <c r="C893" s="32"/>
    </row>
    <row r="894" spans="3:3">
      <c r="C894" s="32"/>
    </row>
    <row r="895" spans="3:3">
      <c r="C895" s="32"/>
    </row>
    <row r="896" spans="3:3">
      <c r="C896" s="32"/>
    </row>
    <row r="897" spans="3:3">
      <c r="C897" s="32"/>
    </row>
    <row r="898" spans="3:3">
      <c r="C898" s="32"/>
    </row>
    <row r="899" spans="3:3">
      <c r="C899" s="32"/>
    </row>
    <row r="900" spans="3:3">
      <c r="C900" s="32"/>
    </row>
    <row r="901" spans="3:3">
      <c r="C901" s="32"/>
    </row>
    <row r="902" spans="3:3">
      <c r="C902" s="32"/>
    </row>
    <row r="903" spans="3:3">
      <c r="C903" s="32"/>
    </row>
    <row r="904" spans="3:3">
      <c r="C904" s="32"/>
    </row>
    <row r="905" spans="3:3">
      <c r="C905" s="32"/>
    </row>
    <row r="906" spans="3:3">
      <c r="C906" s="32"/>
    </row>
    <row r="907" spans="3:3">
      <c r="C907" s="32"/>
    </row>
    <row r="908" spans="3:3">
      <c r="C908" s="32"/>
    </row>
    <row r="909" spans="3:3">
      <c r="C909" s="32"/>
    </row>
    <row r="910" spans="3:3">
      <c r="C910" s="32"/>
    </row>
    <row r="911" spans="3:3">
      <c r="C911" s="32"/>
    </row>
    <row r="912" spans="3:3">
      <c r="C912" s="32"/>
    </row>
    <row r="913" spans="3:3">
      <c r="C913" s="32"/>
    </row>
    <row r="914" spans="3:3">
      <c r="C914" s="32"/>
    </row>
    <row r="915" spans="3:3">
      <c r="C915" s="32"/>
    </row>
    <row r="916" spans="3:3">
      <c r="C916" s="32"/>
    </row>
    <row r="917" spans="3:3">
      <c r="C917" s="32"/>
    </row>
    <row r="918" spans="3:3">
      <c r="C918" s="32"/>
    </row>
    <row r="919" spans="3:3">
      <c r="C919" s="32"/>
    </row>
    <row r="920" spans="3:3">
      <c r="C920" s="32"/>
    </row>
    <row r="921" spans="3:3">
      <c r="C921" s="32"/>
    </row>
    <row r="922" spans="3:3">
      <c r="C922" s="32"/>
    </row>
    <row r="923" spans="3:3">
      <c r="C923" s="32"/>
    </row>
    <row r="924" spans="3:3">
      <c r="C924" s="32"/>
    </row>
    <row r="925" spans="3:3">
      <c r="C925" s="32"/>
    </row>
    <row r="926" spans="3:3">
      <c r="C926" s="32"/>
    </row>
    <row r="927" spans="3:3">
      <c r="C927" s="32"/>
    </row>
    <row r="928" spans="3:3">
      <c r="C928" s="32"/>
    </row>
    <row r="929" spans="3:3">
      <c r="C929" s="32"/>
    </row>
    <row r="930" spans="3:3">
      <c r="C930" s="32"/>
    </row>
    <row r="931" spans="3:3">
      <c r="C931" s="32"/>
    </row>
    <row r="932" spans="3:3">
      <c r="C932" s="32"/>
    </row>
    <row r="933" spans="3:3">
      <c r="C933" s="32"/>
    </row>
    <row r="934" spans="3:3">
      <c r="C934" s="32"/>
    </row>
    <row r="935" spans="3:3">
      <c r="C935" s="32"/>
    </row>
    <row r="936" spans="3:3">
      <c r="C936" s="32"/>
    </row>
    <row r="937" spans="3:3">
      <c r="C937" s="32"/>
    </row>
    <row r="938" spans="3:3">
      <c r="C938" s="32"/>
    </row>
    <row r="939" spans="3:3">
      <c r="C939" s="32"/>
    </row>
    <row r="940" spans="3:3">
      <c r="C940" s="32"/>
    </row>
    <row r="941" spans="3:3">
      <c r="C941" s="32"/>
    </row>
    <row r="942" spans="3:3">
      <c r="C942" s="32"/>
    </row>
    <row r="943" spans="3:3">
      <c r="C943" s="32"/>
    </row>
    <row r="944" spans="3:3">
      <c r="C944" s="32"/>
    </row>
    <row r="945" spans="3:3">
      <c r="C945" s="32"/>
    </row>
    <row r="946" spans="3:3">
      <c r="C946" s="32"/>
    </row>
    <row r="947" spans="3:3">
      <c r="C947" s="32"/>
    </row>
    <row r="948" spans="3:3">
      <c r="C948" s="32"/>
    </row>
    <row r="949" spans="3:3">
      <c r="C949" s="32"/>
    </row>
    <row r="950" spans="3:3">
      <c r="C950" s="32"/>
    </row>
    <row r="951" spans="3:3">
      <c r="C951" s="32"/>
    </row>
    <row r="952" spans="3:3">
      <c r="C952" s="32"/>
    </row>
    <row r="953" spans="3:3">
      <c r="C953" s="32"/>
    </row>
    <row r="954" spans="3:3">
      <c r="C954" s="32"/>
    </row>
    <row r="955" spans="3:3">
      <c r="C955" s="32"/>
    </row>
    <row r="956" spans="3:3">
      <c r="C956" s="32"/>
    </row>
    <row r="957" spans="3:3">
      <c r="C957" s="32"/>
    </row>
    <row r="958" spans="3:3">
      <c r="C958" s="32"/>
    </row>
    <row r="959" spans="3:3">
      <c r="C959" s="32"/>
    </row>
    <row r="960" spans="3:3">
      <c r="C960" s="32"/>
    </row>
    <row r="961" spans="3:3">
      <c r="C961" s="32"/>
    </row>
    <row r="962" spans="3:3">
      <c r="C962" s="32"/>
    </row>
    <row r="963" spans="3:3">
      <c r="C963" s="32"/>
    </row>
    <row r="964" spans="3:3">
      <c r="C964" s="32"/>
    </row>
    <row r="965" spans="3:3">
      <c r="C965" s="32"/>
    </row>
    <row r="966" spans="3:3">
      <c r="C966" s="32"/>
    </row>
    <row r="967" spans="3:3">
      <c r="C967" s="32"/>
    </row>
    <row r="968" spans="3:3">
      <c r="C968" s="32"/>
    </row>
    <row r="969" spans="3:3">
      <c r="C969" s="32"/>
    </row>
    <row r="970" spans="3:3">
      <c r="C970" s="32"/>
    </row>
    <row r="971" spans="3:3">
      <c r="C971" s="32"/>
    </row>
    <row r="972" spans="3:3">
      <c r="C972" s="32"/>
    </row>
    <row r="973" spans="3:3">
      <c r="C973" s="32"/>
    </row>
    <row r="974" spans="3:3">
      <c r="C974" s="32"/>
    </row>
    <row r="975" spans="3:3">
      <c r="C975" s="32"/>
    </row>
    <row r="976" spans="3:3">
      <c r="C976" s="32"/>
    </row>
    <row r="977" spans="3:3">
      <c r="C977" s="32"/>
    </row>
    <row r="978" spans="3:3">
      <c r="C978" s="32"/>
    </row>
    <row r="979" spans="3:3">
      <c r="C979" s="32"/>
    </row>
    <row r="980" spans="3:3">
      <c r="C980" s="32"/>
    </row>
    <row r="981" spans="3:3">
      <c r="C981" s="32"/>
    </row>
    <row r="982" spans="3:3">
      <c r="C982" s="32"/>
    </row>
    <row r="983" spans="3:3">
      <c r="C983" s="32"/>
    </row>
    <row r="984" spans="3:3">
      <c r="C984" s="32"/>
    </row>
    <row r="985" spans="3:3">
      <c r="C985" s="32"/>
    </row>
    <row r="986" spans="3:3">
      <c r="C986" s="32"/>
    </row>
    <row r="987" spans="3:3">
      <c r="C987" s="32"/>
    </row>
    <row r="988" spans="3:3">
      <c r="C988" s="32"/>
    </row>
    <row r="989" spans="3:3">
      <c r="C989" s="32"/>
    </row>
    <row r="990" spans="3:3">
      <c r="C990" s="32"/>
    </row>
    <row r="991" spans="3:3">
      <c r="C991" s="32"/>
    </row>
    <row r="992" spans="3:3">
      <c r="C992" s="32"/>
    </row>
    <row r="993" spans="3:3">
      <c r="C993" s="32"/>
    </row>
    <row r="994" spans="3:3">
      <c r="C994" s="32"/>
    </row>
    <row r="995" spans="3:3">
      <c r="C995" s="32"/>
    </row>
    <row r="996" spans="3:3">
      <c r="C996" s="32"/>
    </row>
    <row r="997" spans="3:3">
      <c r="C997" s="32"/>
    </row>
    <row r="998" spans="3:3">
      <c r="C998" s="32"/>
    </row>
    <row r="999" spans="3:3">
      <c r="C999" s="32"/>
    </row>
    <row r="1000" spans="3:3">
      <c r="C1000" s="32"/>
    </row>
    <row r="1001" spans="3:3">
      <c r="C1001" s="32"/>
    </row>
    <row r="1002" spans="3:3">
      <c r="C1002" s="32"/>
    </row>
    <row r="1003" spans="3:3">
      <c r="C1003" s="32"/>
    </row>
    <row r="1004" spans="3:3">
      <c r="C1004" s="32"/>
    </row>
    <row r="1005" spans="3:3">
      <c r="C1005" s="32"/>
    </row>
    <row r="1006" spans="3:3">
      <c r="C1006" s="32"/>
    </row>
    <row r="1007" spans="3:3">
      <c r="C1007" s="32"/>
    </row>
    <row r="1008" spans="3:3">
      <c r="C1008" s="32"/>
    </row>
    <row r="1009" spans="3:3">
      <c r="C1009" s="32"/>
    </row>
    <row r="1010" spans="3:3">
      <c r="C1010" s="32"/>
    </row>
    <row r="1011" spans="3:3">
      <c r="C1011" s="32"/>
    </row>
    <row r="1012" spans="3:3">
      <c r="C1012" s="32"/>
    </row>
    <row r="1013" spans="3:3">
      <c r="C1013" s="32"/>
    </row>
    <row r="1014" spans="3:3">
      <c r="C1014" s="32"/>
    </row>
    <row r="1015" spans="3:3">
      <c r="C1015" s="32"/>
    </row>
    <row r="1016" spans="3:3">
      <c r="C1016" s="32"/>
    </row>
    <row r="1017" spans="3:3">
      <c r="C1017" s="32"/>
    </row>
    <row r="1018" spans="3:3">
      <c r="C1018" s="32"/>
    </row>
    <row r="1019" spans="3:3">
      <c r="C1019" s="32"/>
    </row>
    <row r="1020" spans="3:3">
      <c r="C1020" s="32"/>
    </row>
    <row r="1021" spans="3:3">
      <c r="C1021" s="32"/>
    </row>
    <row r="1022" spans="3:3">
      <c r="C1022" s="32"/>
    </row>
    <row r="1023" spans="3:3">
      <c r="C1023" s="32"/>
    </row>
    <row r="1024" spans="3:3">
      <c r="C1024" s="32"/>
    </row>
    <row r="1025" spans="3:3">
      <c r="C1025" s="32"/>
    </row>
    <row r="1026" spans="3:3">
      <c r="C1026" s="32"/>
    </row>
    <row r="1027" spans="3:3">
      <c r="C1027" s="32"/>
    </row>
    <row r="1028" spans="3:3">
      <c r="C1028" s="32"/>
    </row>
    <row r="1029" spans="3:3">
      <c r="C1029" s="32"/>
    </row>
    <row r="1030" spans="3:3">
      <c r="C1030" s="32"/>
    </row>
    <row r="1031" spans="3:3">
      <c r="C1031" s="32"/>
    </row>
    <row r="1032" spans="3:3">
      <c r="C1032" s="32"/>
    </row>
    <row r="1033" spans="3:3">
      <c r="C1033" s="32"/>
    </row>
    <row r="1034" spans="3:3">
      <c r="C1034" s="32"/>
    </row>
    <row r="1035" spans="3:3">
      <c r="C1035" s="32"/>
    </row>
    <row r="1036" spans="3:3">
      <c r="C1036" s="32"/>
    </row>
    <row r="1037" spans="3:3">
      <c r="C1037" s="32"/>
    </row>
    <row r="1038" spans="3:3">
      <c r="C1038" s="32"/>
    </row>
    <row r="1039" spans="3:3">
      <c r="C1039" s="32"/>
    </row>
    <row r="1040" spans="3:3">
      <c r="C1040" s="32"/>
    </row>
    <row r="1041" spans="3:3">
      <c r="C1041" s="32"/>
    </row>
    <row r="1042" spans="3:3">
      <c r="C1042" s="32"/>
    </row>
    <row r="1043" spans="3:3">
      <c r="C1043" s="32"/>
    </row>
    <row r="1044" spans="3:3">
      <c r="C1044" s="32"/>
    </row>
    <row r="1045" spans="3:3">
      <c r="C1045" s="32"/>
    </row>
    <row r="1046" spans="3:3">
      <c r="C1046" s="32"/>
    </row>
    <row r="1047" spans="3:3">
      <c r="C1047" s="32"/>
    </row>
    <row r="1048" spans="3:3">
      <c r="C1048" s="32"/>
    </row>
    <row r="1049" spans="3:3">
      <c r="C1049" s="32"/>
    </row>
    <row r="1050" spans="3:3">
      <c r="C1050" s="32"/>
    </row>
    <row r="1051" spans="3:3">
      <c r="C1051" s="32"/>
    </row>
    <row r="1052" spans="3:3">
      <c r="C1052" s="32"/>
    </row>
    <row r="1053" spans="3:3">
      <c r="C1053" s="32"/>
    </row>
    <row r="1054" spans="3:3">
      <c r="C1054" s="32"/>
    </row>
    <row r="1055" spans="3:3">
      <c r="C1055" s="32"/>
    </row>
    <row r="1056" spans="3:3">
      <c r="C1056" s="32"/>
    </row>
    <row r="1057" spans="3:3">
      <c r="C1057" s="32"/>
    </row>
    <row r="1058" spans="3:3">
      <c r="C1058" s="32"/>
    </row>
    <row r="1059" spans="3:3">
      <c r="C1059" s="32"/>
    </row>
    <row r="1060" spans="3:3">
      <c r="C1060" s="32"/>
    </row>
    <row r="1061" spans="3:3">
      <c r="C1061" s="32"/>
    </row>
    <row r="1062" spans="3:3">
      <c r="C1062" s="32"/>
    </row>
    <row r="1063" spans="3:3">
      <c r="C1063" s="32"/>
    </row>
    <row r="1064" spans="3:3">
      <c r="C1064" s="32"/>
    </row>
    <row r="1065" spans="3:3">
      <c r="C1065" s="32"/>
    </row>
    <row r="1066" spans="3:3">
      <c r="C1066" s="32"/>
    </row>
    <row r="1067" spans="3:3">
      <c r="C1067" s="32"/>
    </row>
    <row r="1068" spans="3:3">
      <c r="C1068" s="32"/>
    </row>
    <row r="1069" spans="3:3">
      <c r="C1069" s="32"/>
    </row>
    <row r="1070" spans="3:3">
      <c r="C1070" s="32"/>
    </row>
    <row r="1071" spans="3:3">
      <c r="C1071" s="32"/>
    </row>
    <row r="1072" spans="3:3">
      <c r="C1072" s="32"/>
    </row>
    <row r="1073" spans="3:3">
      <c r="C1073" s="32"/>
    </row>
    <row r="1074" spans="3:3">
      <c r="C1074" s="32"/>
    </row>
    <row r="1075" spans="3:3">
      <c r="C1075" s="32"/>
    </row>
    <row r="1076" spans="3:3">
      <c r="C1076" s="32"/>
    </row>
    <row r="1077" spans="3:3">
      <c r="C1077" s="32"/>
    </row>
    <row r="1078" spans="3:3">
      <c r="C1078" s="32"/>
    </row>
    <row r="1079" spans="3:3">
      <c r="C1079" s="32"/>
    </row>
    <row r="1080" spans="3:3">
      <c r="C1080" s="32"/>
    </row>
    <row r="1081" spans="3:3">
      <c r="C1081" s="32"/>
    </row>
    <row r="1082" spans="3:3">
      <c r="C1082" s="32"/>
    </row>
    <row r="1083" spans="3:3">
      <c r="C1083" s="32"/>
    </row>
    <row r="1084" spans="3:3">
      <c r="C1084" s="32"/>
    </row>
    <row r="1085" spans="3:3">
      <c r="C1085" s="32"/>
    </row>
    <row r="1086" spans="3:3">
      <c r="C1086" s="32"/>
    </row>
    <row r="1087" spans="3:3">
      <c r="C1087" s="32"/>
    </row>
    <row r="1088" spans="3:3">
      <c r="C1088" s="32"/>
    </row>
    <row r="1089" spans="3:3">
      <c r="C1089" s="32"/>
    </row>
    <row r="1090" spans="3:3">
      <c r="C1090" s="32"/>
    </row>
    <row r="1091" spans="3:3">
      <c r="C1091" s="32"/>
    </row>
    <row r="1092" spans="3:3">
      <c r="C1092" s="32"/>
    </row>
    <row r="1093" spans="3:3">
      <c r="C1093" s="32"/>
    </row>
    <row r="1094" spans="3:3">
      <c r="C1094" s="32"/>
    </row>
    <row r="1095" spans="3:3">
      <c r="C1095" s="32"/>
    </row>
    <row r="1096" spans="3:3">
      <c r="C1096" s="32"/>
    </row>
    <row r="1097" spans="3:3">
      <c r="C1097" s="32"/>
    </row>
    <row r="1098" spans="3:3">
      <c r="C1098" s="32"/>
    </row>
    <row r="1099" spans="3:3">
      <c r="C1099" s="32"/>
    </row>
    <row r="1100" spans="3:3">
      <c r="C1100" s="32"/>
    </row>
    <row r="1101" spans="3:3">
      <c r="C1101" s="32"/>
    </row>
    <row r="1102" spans="3:3">
      <c r="C1102" s="32"/>
    </row>
    <row r="1103" spans="3:3">
      <c r="C1103" s="32"/>
    </row>
    <row r="1104" spans="3:3">
      <c r="C1104" s="32"/>
    </row>
    <row r="1105" spans="3:3">
      <c r="C1105" s="32"/>
    </row>
    <row r="1106" spans="3:3">
      <c r="C1106" s="32"/>
    </row>
    <row r="1107" spans="3:3">
      <c r="C1107" s="32"/>
    </row>
    <row r="1108" spans="3:3">
      <c r="C1108" s="32"/>
    </row>
    <row r="1109" spans="3:3">
      <c r="C1109" s="32"/>
    </row>
    <row r="1110" spans="3:3">
      <c r="C1110" s="32"/>
    </row>
    <row r="1111" spans="3:3">
      <c r="C1111" s="32"/>
    </row>
    <row r="1112" spans="3:3">
      <c r="C1112" s="32"/>
    </row>
    <row r="1113" spans="3:3">
      <c r="C1113" s="32"/>
    </row>
    <row r="1114" spans="3:3">
      <c r="C1114" s="32"/>
    </row>
    <row r="1115" spans="3:3">
      <c r="C1115" s="32"/>
    </row>
    <row r="1116" spans="3:3">
      <c r="C1116" s="32"/>
    </row>
    <row r="1117" spans="3:3">
      <c r="C1117" s="32"/>
    </row>
    <row r="1118" spans="3:3">
      <c r="C1118" s="32"/>
    </row>
    <row r="1119" spans="3:3">
      <c r="C1119" s="32"/>
    </row>
    <row r="1120" spans="3:3">
      <c r="C1120" s="32"/>
    </row>
    <row r="1121" spans="3:3">
      <c r="C1121" s="32"/>
    </row>
    <row r="1122" spans="3:3">
      <c r="C1122" s="32"/>
    </row>
    <row r="1123" spans="3:3">
      <c r="C1123" s="32"/>
    </row>
    <row r="1124" spans="3:3">
      <c r="C1124" s="32"/>
    </row>
    <row r="1125" spans="3:3">
      <c r="C1125" s="32"/>
    </row>
    <row r="1126" spans="3:3">
      <c r="C1126" s="32"/>
    </row>
    <row r="1127" spans="3:3">
      <c r="C1127" s="32"/>
    </row>
    <row r="1128" spans="3:3">
      <c r="C1128" s="32"/>
    </row>
    <row r="1129" spans="3:3">
      <c r="C1129" s="32"/>
    </row>
    <row r="1130" spans="3:3">
      <c r="C1130" s="32"/>
    </row>
    <row r="1131" spans="3:3">
      <c r="C1131" s="32"/>
    </row>
    <row r="1132" spans="3:3">
      <c r="C1132" s="32"/>
    </row>
    <row r="1133" spans="3:3">
      <c r="C1133" s="32"/>
    </row>
    <row r="1134" spans="3:3">
      <c r="C1134" s="32"/>
    </row>
    <row r="1135" spans="3:3">
      <c r="C1135" s="32"/>
    </row>
    <row r="1136" spans="3:3">
      <c r="C1136" s="32"/>
    </row>
    <row r="1137" spans="3:3">
      <c r="C1137" s="32"/>
    </row>
    <row r="1138" spans="3:3">
      <c r="C1138" s="32"/>
    </row>
    <row r="1139" spans="3:3">
      <c r="C1139" s="32"/>
    </row>
    <row r="1140" spans="3:3">
      <c r="C1140" s="32"/>
    </row>
    <row r="1141" spans="3:3">
      <c r="C1141" s="32"/>
    </row>
    <row r="1142" spans="3:3">
      <c r="C1142" s="32"/>
    </row>
    <row r="1143" spans="3:3">
      <c r="C1143" s="32"/>
    </row>
    <row r="1144" spans="3:3">
      <c r="C1144" s="32"/>
    </row>
    <row r="1145" spans="3:3">
      <c r="C1145" s="32"/>
    </row>
    <row r="1146" spans="3:3">
      <c r="C1146" s="32"/>
    </row>
    <row r="1147" spans="3:3">
      <c r="C1147" s="32"/>
    </row>
    <row r="1148" spans="3:3">
      <c r="C1148" s="32"/>
    </row>
    <row r="1149" spans="3:3">
      <c r="C1149" s="32"/>
    </row>
    <row r="1150" spans="3:3">
      <c r="C1150" s="32"/>
    </row>
    <row r="1151" spans="3:3">
      <c r="C1151" s="32"/>
    </row>
    <row r="1152" spans="3:3">
      <c r="C1152" s="32"/>
    </row>
    <row r="1153" spans="3:3">
      <c r="C1153" s="32"/>
    </row>
    <row r="1154" spans="3:3">
      <c r="C1154" s="32"/>
    </row>
    <row r="1155" spans="3:3">
      <c r="C1155" s="32"/>
    </row>
    <row r="1156" spans="3:3">
      <c r="C1156" s="32"/>
    </row>
    <row r="1157" spans="3:3">
      <c r="C1157" s="32"/>
    </row>
    <row r="1158" spans="3:3">
      <c r="C1158" s="32"/>
    </row>
    <row r="1159" spans="3:3">
      <c r="C1159" s="32"/>
    </row>
    <row r="1160" spans="3:3">
      <c r="C1160" s="32"/>
    </row>
    <row r="1161" spans="3:3">
      <c r="C1161" s="32"/>
    </row>
    <row r="1162" spans="3:3">
      <c r="C1162" s="32"/>
    </row>
    <row r="1163" spans="3:3">
      <c r="C1163" s="32"/>
    </row>
    <row r="1164" spans="3:3">
      <c r="C1164" s="32"/>
    </row>
    <row r="1165" spans="3:3">
      <c r="C1165" s="32"/>
    </row>
    <row r="1166" spans="3:3">
      <c r="C1166" s="32"/>
    </row>
    <row r="1167" spans="3:3">
      <c r="C1167" s="32"/>
    </row>
    <row r="1168" spans="3:3">
      <c r="C1168" s="32"/>
    </row>
    <row r="1169" spans="3:3">
      <c r="C1169" s="32"/>
    </row>
    <row r="1170" spans="3:3">
      <c r="C1170" s="32"/>
    </row>
    <row r="1171" spans="3:3">
      <c r="C1171" s="32"/>
    </row>
    <row r="1172" spans="3:3">
      <c r="C1172" s="32"/>
    </row>
    <row r="1173" spans="3:3">
      <c r="C1173" s="32"/>
    </row>
    <row r="1174" spans="3:3">
      <c r="C1174" s="32"/>
    </row>
    <row r="1175" spans="3:3">
      <c r="C1175" s="32"/>
    </row>
    <row r="1176" spans="3:3">
      <c r="C1176" s="32"/>
    </row>
    <row r="1177" spans="3:3">
      <c r="C1177" s="32"/>
    </row>
    <row r="1178" spans="3:3">
      <c r="C1178" s="32"/>
    </row>
    <row r="1179" spans="3:3">
      <c r="C1179" s="32"/>
    </row>
    <row r="1180" spans="3:3">
      <c r="C1180" s="32"/>
    </row>
    <row r="1181" spans="3:3">
      <c r="C1181" s="32"/>
    </row>
    <row r="1182" spans="3:3">
      <c r="C1182" s="32"/>
    </row>
    <row r="1183" spans="3:3">
      <c r="C1183" s="32"/>
    </row>
    <row r="1184" spans="3:3">
      <c r="C1184" s="32"/>
    </row>
    <row r="1185" spans="3:3">
      <c r="C1185" s="32"/>
    </row>
    <row r="1186" spans="3:3">
      <c r="C1186" s="32"/>
    </row>
    <row r="1187" spans="3:3">
      <c r="C1187" s="32"/>
    </row>
    <row r="1188" spans="3:3">
      <c r="C1188" s="32"/>
    </row>
    <row r="1189" spans="3:3">
      <c r="C1189" s="32"/>
    </row>
    <row r="1190" spans="3:3">
      <c r="C1190" s="32"/>
    </row>
    <row r="1191" spans="3:3">
      <c r="C1191" s="32"/>
    </row>
    <row r="1192" spans="3:3">
      <c r="C1192" s="32"/>
    </row>
    <row r="1193" spans="3:3">
      <c r="C1193" s="32"/>
    </row>
    <row r="1194" spans="3:3">
      <c r="C1194" s="32"/>
    </row>
    <row r="1195" spans="3:3">
      <c r="C1195" s="32"/>
    </row>
    <row r="1196" spans="3:3">
      <c r="C1196" s="32"/>
    </row>
    <row r="1197" spans="3:3">
      <c r="C1197" s="32"/>
    </row>
    <row r="1198" spans="3:3">
      <c r="C1198" s="32"/>
    </row>
    <row r="1199" spans="3:3">
      <c r="C1199" s="32"/>
    </row>
    <row r="1200" spans="3:3">
      <c r="C1200" s="32"/>
    </row>
    <row r="1201" spans="3:3">
      <c r="C1201" s="32"/>
    </row>
    <row r="1202" spans="3:3">
      <c r="C1202" s="32"/>
    </row>
    <row r="1203" spans="3:3">
      <c r="C1203" s="32"/>
    </row>
    <row r="1204" spans="3:3">
      <c r="C1204" s="32"/>
    </row>
    <row r="1205" spans="3:3">
      <c r="C1205" s="32"/>
    </row>
    <row r="1206" spans="3:3">
      <c r="C1206" s="32"/>
    </row>
    <row r="1207" spans="3:3">
      <c r="C1207" s="32"/>
    </row>
    <row r="1208" spans="3:3">
      <c r="C1208" s="32"/>
    </row>
    <row r="1209" spans="3:3">
      <c r="C1209" s="32"/>
    </row>
    <row r="1210" spans="3:3">
      <c r="C1210" s="32"/>
    </row>
    <row r="1211" spans="3:3">
      <c r="C1211" s="32"/>
    </row>
    <row r="1212" spans="3:3">
      <c r="C1212" s="32"/>
    </row>
    <row r="1213" spans="3:3">
      <c r="C1213" s="32"/>
    </row>
    <row r="1214" spans="3:3">
      <c r="C1214" s="32"/>
    </row>
    <row r="1215" spans="3:3">
      <c r="C1215" s="32"/>
    </row>
    <row r="1216" spans="3:3">
      <c r="C1216" s="32"/>
    </row>
    <row r="1217" spans="3:8">
      <c r="C1217" s="32"/>
    </row>
    <row r="1218" spans="3:8">
      <c r="C1218" s="32"/>
    </row>
    <row r="1219" spans="3:8">
      <c r="C1219" s="32"/>
    </row>
    <row r="1220" spans="3:8">
      <c r="C1220" s="32"/>
    </row>
    <row r="1221" spans="3:8">
      <c r="C1221" s="32"/>
    </row>
    <row r="1222" spans="3:8">
      <c r="C1222" s="32"/>
    </row>
    <row r="1223" spans="3:8">
      <c r="C1223" s="32"/>
    </row>
    <row r="1224" spans="3:8">
      <c r="C1224" s="32"/>
    </row>
    <row r="1225" spans="3:8">
      <c r="C1225" s="32"/>
    </row>
    <row r="1226" spans="3:8">
      <c r="C1226" s="32"/>
    </row>
    <row r="1227" spans="3:8">
      <c r="C1227" s="32"/>
      <c r="G1227" s="10"/>
      <c r="H1227" s="10"/>
    </row>
    <row r="1228" spans="3:8">
      <c r="C1228" s="32"/>
    </row>
    <row r="1229" spans="3:8">
      <c r="C1229" s="32"/>
    </row>
    <row r="1230" spans="3:8">
      <c r="C1230" s="32"/>
    </row>
    <row r="1231" spans="3:8">
      <c r="C1231" s="32"/>
    </row>
    <row r="1232" spans="3:8">
      <c r="C1232" s="32"/>
    </row>
    <row r="1233" spans="3:3">
      <c r="C1233" s="32"/>
    </row>
    <row r="1234" spans="3:3">
      <c r="C1234" s="32"/>
    </row>
    <row r="1235" spans="3:3">
      <c r="C1235" s="32"/>
    </row>
    <row r="1236" spans="3:3">
      <c r="C1236" s="32"/>
    </row>
    <row r="1237" spans="3:3">
      <c r="C1237" s="32"/>
    </row>
    <row r="1238" spans="3:3">
      <c r="C1238" s="32"/>
    </row>
    <row r="1239" spans="3:3">
      <c r="C1239" s="32"/>
    </row>
    <row r="1240" spans="3:3">
      <c r="C1240" s="32"/>
    </row>
    <row r="1241" spans="3:3">
      <c r="C1241" s="32"/>
    </row>
    <row r="1242" spans="3:3">
      <c r="C1242" s="32"/>
    </row>
    <row r="1243" spans="3:3">
      <c r="C1243" s="32"/>
    </row>
    <row r="1244" spans="3:3">
      <c r="C1244" s="32"/>
    </row>
    <row r="1245" spans="3:3">
      <c r="C1245" s="32"/>
    </row>
    <row r="1246" spans="3:3">
      <c r="C1246" s="32"/>
    </row>
    <row r="1247" spans="3:3">
      <c r="C1247" s="32"/>
    </row>
    <row r="1248" spans="3:3">
      <c r="C1248" s="32"/>
    </row>
    <row r="1249" spans="3:3">
      <c r="C1249" s="32"/>
    </row>
    <row r="1250" spans="3:3">
      <c r="C1250" s="32"/>
    </row>
    <row r="1251" spans="3:3">
      <c r="C1251" s="32"/>
    </row>
    <row r="1252" spans="3:3">
      <c r="C1252" s="32"/>
    </row>
    <row r="1253" spans="3:3">
      <c r="C1253" s="32"/>
    </row>
    <row r="1254" spans="3:3">
      <c r="C1254" s="32"/>
    </row>
    <row r="1255" spans="3:3">
      <c r="C1255" s="32"/>
    </row>
    <row r="1256" spans="3:3">
      <c r="C1256" s="32"/>
    </row>
    <row r="1257" spans="3:3">
      <c r="C1257" s="32"/>
    </row>
    <row r="1258" spans="3:3">
      <c r="C1258" s="32"/>
    </row>
    <row r="1259" spans="3:3">
      <c r="C1259" s="32"/>
    </row>
    <row r="1260" spans="3:3">
      <c r="C1260" s="32"/>
    </row>
    <row r="1261" spans="3:3">
      <c r="C1261" s="32"/>
    </row>
    <row r="1262" spans="3:3">
      <c r="C1262" s="32"/>
    </row>
    <row r="1263" spans="3:3">
      <c r="C1263" s="32"/>
    </row>
    <row r="1264" spans="3:3">
      <c r="C1264" s="32"/>
    </row>
    <row r="1265" spans="3:6">
      <c r="C1265" s="32"/>
    </row>
    <row r="1266" spans="3:6">
      <c r="C1266" s="32"/>
    </row>
    <row r="1267" spans="3:6">
      <c r="C1267" s="32"/>
    </row>
    <row r="1268" spans="3:6">
      <c r="C1268" s="32"/>
    </row>
    <row r="1269" spans="3:6">
      <c r="C1269" s="32"/>
    </row>
    <row r="1270" spans="3:6">
      <c r="C1270" s="32"/>
    </row>
    <row r="1271" spans="3:6">
      <c r="C1271" s="32"/>
    </row>
    <row r="1272" spans="3:6">
      <c r="C1272" s="32"/>
    </row>
    <row r="1273" spans="3:6">
      <c r="C1273" s="32"/>
    </row>
    <row r="1274" spans="3:6">
      <c r="C1274" s="32"/>
    </row>
    <row r="1275" spans="3:6">
      <c r="C1275" s="32"/>
    </row>
    <row r="1276" spans="3:6">
      <c r="C1276" s="32"/>
    </row>
    <row r="1277" spans="3:6">
      <c r="C1277" s="32"/>
    </row>
    <row r="1278" spans="3:6">
      <c r="C1278" s="32"/>
    </row>
    <row r="1279" spans="3:6">
      <c r="C1279" s="32"/>
      <c r="E1279" s="21"/>
      <c r="F1279" s="21"/>
    </row>
    <row r="1280" spans="3:6">
      <c r="C1280" s="32"/>
    </row>
    <row r="1281" spans="3:3">
      <c r="C1281" s="32"/>
    </row>
    <row r="1282" spans="3:3">
      <c r="C1282" s="32"/>
    </row>
    <row r="1283" spans="3:3">
      <c r="C1283" s="32"/>
    </row>
    <row r="1284" spans="3:3">
      <c r="C1284" s="32"/>
    </row>
    <row r="1285" spans="3:3">
      <c r="C1285" s="32"/>
    </row>
    <row r="1286" spans="3:3">
      <c r="C1286" s="32"/>
    </row>
    <row r="1287" spans="3:3">
      <c r="C1287" s="32"/>
    </row>
    <row r="1288" spans="3:3">
      <c r="C1288" s="32"/>
    </row>
    <row r="1289" spans="3:3">
      <c r="C1289" s="32"/>
    </row>
    <row r="1290" spans="3:3">
      <c r="C1290" s="32"/>
    </row>
    <row r="1291" spans="3:3">
      <c r="C1291" s="32"/>
    </row>
    <row r="1292" spans="3:3">
      <c r="C1292" s="32"/>
    </row>
    <row r="1293" spans="3:3">
      <c r="C1293" s="32"/>
    </row>
    <row r="1294" spans="3:3">
      <c r="C1294" s="32"/>
    </row>
    <row r="1295" spans="3:3">
      <c r="C1295" s="32"/>
    </row>
    <row r="1296" spans="3:3">
      <c r="C1296" s="32"/>
    </row>
    <row r="1297" spans="3:3">
      <c r="C1297" s="32"/>
    </row>
    <row r="1298" spans="3:3">
      <c r="C1298" s="32"/>
    </row>
    <row r="1299" spans="3:3">
      <c r="C1299" s="32"/>
    </row>
    <row r="1300" spans="3:3">
      <c r="C1300" s="32"/>
    </row>
    <row r="1301" spans="3:3">
      <c r="C1301" s="32"/>
    </row>
    <row r="1302" spans="3:3">
      <c r="C1302" s="32"/>
    </row>
    <row r="1303" spans="3:3">
      <c r="C1303" s="32"/>
    </row>
    <row r="1304" spans="3:3">
      <c r="C1304" s="32"/>
    </row>
    <row r="1305" spans="3:3">
      <c r="C1305" s="32"/>
    </row>
    <row r="1306" spans="3:3">
      <c r="C1306" s="32"/>
    </row>
    <row r="1307" spans="3:3">
      <c r="C1307" s="32"/>
    </row>
    <row r="1308" spans="3:3">
      <c r="C1308" s="32"/>
    </row>
    <row r="1309" spans="3:3">
      <c r="C1309" s="32"/>
    </row>
    <row r="1310" spans="3:3">
      <c r="C1310" s="32"/>
    </row>
    <row r="1311" spans="3:3">
      <c r="C1311" s="32"/>
    </row>
    <row r="1312" spans="3:3">
      <c r="C1312" s="32"/>
    </row>
    <row r="1313" spans="3:3">
      <c r="C1313" s="32"/>
    </row>
    <row r="1314" spans="3:3">
      <c r="C1314" s="32"/>
    </row>
    <row r="1315" spans="3:3">
      <c r="C1315" s="32"/>
    </row>
    <row r="1316" spans="3:3">
      <c r="C1316" s="32"/>
    </row>
    <row r="1317" spans="3:3">
      <c r="C1317" s="32"/>
    </row>
    <row r="1318" spans="3:3">
      <c r="C1318" s="32"/>
    </row>
    <row r="1319" spans="3:3">
      <c r="C1319" s="32"/>
    </row>
    <row r="1320" spans="3:3">
      <c r="C1320" s="32"/>
    </row>
    <row r="1321" spans="3:3">
      <c r="C1321" s="32"/>
    </row>
    <row r="1322" spans="3:3">
      <c r="C1322" s="32"/>
    </row>
    <row r="1323" spans="3:3">
      <c r="C1323" s="32"/>
    </row>
    <row r="1324" spans="3:3">
      <c r="C1324" s="32"/>
    </row>
    <row r="1325" spans="3:3">
      <c r="C1325" s="32"/>
    </row>
    <row r="1326" spans="3:3">
      <c r="C1326" s="32"/>
    </row>
    <row r="1327" spans="3:3">
      <c r="C1327" s="32"/>
    </row>
    <row r="1328" spans="3:3">
      <c r="C1328" s="32"/>
    </row>
    <row r="1329" spans="3:3">
      <c r="C1329" s="32"/>
    </row>
    <row r="1330" spans="3:3">
      <c r="C1330" s="32"/>
    </row>
    <row r="1331" spans="3:3">
      <c r="C1331" s="32"/>
    </row>
    <row r="1332" spans="3:3">
      <c r="C1332" s="32"/>
    </row>
    <row r="1333" spans="3:3">
      <c r="C1333" s="32"/>
    </row>
    <row r="1334" spans="3:3">
      <c r="C1334" s="32"/>
    </row>
    <row r="1335" spans="3:3">
      <c r="C1335" s="32"/>
    </row>
    <row r="1336" spans="3:3">
      <c r="C1336" s="32"/>
    </row>
    <row r="1337" spans="3:3">
      <c r="C1337" s="32"/>
    </row>
    <row r="1338" spans="3:3">
      <c r="C1338" s="32"/>
    </row>
    <row r="1339" spans="3:3">
      <c r="C1339" s="32"/>
    </row>
    <row r="1340" spans="3:3">
      <c r="C1340" s="32"/>
    </row>
    <row r="1341" spans="3:3">
      <c r="C1341" s="32"/>
    </row>
    <row r="1342" spans="3:3">
      <c r="C1342" s="32"/>
    </row>
    <row r="1343" spans="3:3">
      <c r="C1343" s="32"/>
    </row>
    <row r="1344" spans="3:3">
      <c r="C1344" s="32"/>
    </row>
    <row r="1345" spans="3:3">
      <c r="C1345" s="32"/>
    </row>
    <row r="1346" spans="3:3">
      <c r="C1346" s="32"/>
    </row>
    <row r="1347" spans="3:3">
      <c r="C1347" s="32"/>
    </row>
    <row r="1348" spans="3:3">
      <c r="C1348" s="32"/>
    </row>
    <row r="1349" spans="3:3">
      <c r="C1349" s="32"/>
    </row>
    <row r="1350" spans="3:3">
      <c r="C1350" s="32"/>
    </row>
    <row r="1351" spans="3:3">
      <c r="C1351" s="32"/>
    </row>
    <row r="1352" spans="3:3">
      <c r="C1352" s="32"/>
    </row>
    <row r="1353" spans="3:3">
      <c r="C1353" s="32"/>
    </row>
    <row r="1354" spans="3:3">
      <c r="C1354" s="32"/>
    </row>
    <row r="1355" spans="3:3">
      <c r="C1355" s="32"/>
    </row>
    <row r="1356" spans="3:3">
      <c r="C1356" s="32"/>
    </row>
    <row r="1357" spans="3:3">
      <c r="C1357" s="32"/>
    </row>
    <row r="1358" spans="3:3">
      <c r="C1358" s="32"/>
    </row>
    <row r="1359" spans="3:3">
      <c r="C1359" s="32"/>
    </row>
    <row r="1360" spans="3:3">
      <c r="C1360" s="32"/>
    </row>
    <row r="1361" spans="3:3">
      <c r="C1361" s="32"/>
    </row>
    <row r="1362" spans="3:3">
      <c r="C1362" s="32"/>
    </row>
    <row r="1363" spans="3:3">
      <c r="C1363" s="32"/>
    </row>
    <row r="1364" spans="3:3">
      <c r="C1364" s="32"/>
    </row>
    <row r="1365" spans="3:3">
      <c r="C1365" s="32"/>
    </row>
    <row r="1366" spans="3:3">
      <c r="C1366" s="32"/>
    </row>
    <row r="1367" spans="3:3">
      <c r="C1367" s="32"/>
    </row>
    <row r="1368" spans="3:3">
      <c r="C1368" s="32"/>
    </row>
    <row r="1369" spans="3:3">
      <c r="C1369" s="32"/>
    </row>
    <row r="1370" spans="3:3">
      <c r="C1370" s="32"/>
    </row>
    <row r="1371" spans="3:3">
      <c r="C1371" s="32"/>
    </row>
    <row r="1372" spans="3:3">
      <c r="C1372" s="32"/>
    </row>
    <row r="1373" spans="3:3">
      <c r="C1373" s="32"/>
    </row>
    <row r="1374" spans="3:3">
      <c r="C1374" s="32"/>
    </row>
    <row r="1375" spans="3:3">
      <c r="C1375" s="32"/>
    </row>
    <row r="1376" spans="3:3">
      <c r="C1376" s="32"/>
    </row>
    <row r="1377" spans="3:3">
      <c r="C1377" s="32"/>
    </row>
    <row r="1378" spans="3:3">
      <c r="C1378" s="32"/>
    </row>
    <row r="1379" spans="3:3">
      <c r="C1379" s="32"/>
    </row>
    <row r="1380" spans="3:3">
      <c r="C1380" s="32"/>
    </row>
    <row r="1381" spans="3:3">
      <c r="C1381" s="32"/>
    </row>
    <row r="1382" spans="3:3">
      <c r="C1382" s="32"/>
    </row>
    <row r="1383" spans="3:3">
      <c r="C1383" s="32"/>
    </row>
    <row r="1384" spans="3:3">
      <c r="C1384" s="32"/>
    </row>
    <row r="1385" spans="3:3">
      <c r="C1385" s="32"/>
    </row>
    <row r="1386" spans="3:3">
      <c r="C1386" s="32"/>
    </row>
    <row r="1387" spans="3:3">
      <c r="C1387" s="32"/>
    </row>
    <row r="1388" spans="3:3">
      <c r="C1388" s="32"/>
    </row>
    <row r="1389" spans="3:3">
      <c r="C1389" s="32"/>
    </row>
    <row r="1390" spans="3:3">
      <c r="C1390" s="32"/>
    </row>
    <row r="1391" spans="3:3">
      <c r="C1391" s="32"/>
    </row>
    <row r="1392" spans="3:3">
      <c r="C1392" s="32"/>
    </row>
    <row r="1393" spans="3:3">
      <c r="C1393" s="32"/>
    </row>
    <row r="1394" spans="3:3">
      <c r="C1394" s="32"/>
    </row>
    <row r="1395" spans="3:3">
      <c r="C1395" s="32"/>
    </row>
    <row r="1396" spans="3:3">
      <c r="C1396" s="32"/>
    </row>
    <row r="1397" spans="3:3">
      <c r="C1397" s="32"/>
    </row>
    <row r="1398" spans="3:3">
      <c r="C1398" s="32"/>
    </row>
    <row r="1399" spans="3:3">
      <c r="C1399" s="32"/>
    </row>
    <row r="1400" spans="3:3">
      <c r="C1400" s="32"/>
    </row>
    <row r="1401" spans="3:3">
      <c r="C1401" s="32"/>
    </row>
    <row r="1402" spans="3:3">
      <c r="C1402" s="32"/>
    </row>
    <row r="1403" spans="3:3">
      <c r="C1403" s="32"/>
    </row>
    <row r="1404" spans="3:3">
      <c r="C1404" s="32"/>
    </row>
    <row r="1405" spans="3:3">
      <c r="C1405" s="32"/>
    </row>
    <row r="1406" spans="3:3">
      <c r="C1406" s="32"/>
    </row>
    <row r="1407" spans="3:3">
      <c r="C1407" s="32"/>
    </row>
    <row r="1408" spans="3:3">
      <c r="C1408" s="32"/>
    </row>
    <row r="1409" spans="3:3">
      <c r="C1409" s="32"/>
    </row>
    <row r="1410" spans="3:3">
      <c r="C1410" s="32"/>
    </row>
    <row r="1411" spans="3:3">
      <c r="C1411" s="32"/>
    </row>
    <row r="1412" spans="3:3">
      <c r="C1412" s="32"/>
    </row>
    <row r="1413" spans="3:3">
      <c r="C1413" s="32"/>
    </row>
    <row r="1414" spans="3:3">
      <c r="C1414" s="32"/>
    </row>
    <row r="1415" spans="3:3">
      <c r="C1415" s="32"/>
    </row>
    <row r="1416" spans="3:3">
      <c r="C1416" s="32"/>
    </row>
    <row r="1417" spans="3:3">
      <c r="C1417" s="32"/>
    </row>
    <row r="1418" spans="3:3">
      <c r="C1418" s="32"/>
    </row>
    <row r="1419" spans="3:3">
      <c r="C1419" s="32"/>
    </row>
    <row r="1420" spans="3:3">
      <c r="C1420" s="32"/>
    </row>
    <row r="1421" spans="3:3">
      <c r="C1421" s="32"/>
    </row>
    <row r="1422" spans="3:3">
      <c r="C1422" s="32"/>
    </row>
    <row r="1423" spans="3:3">
      <c r="C1423" s="32"/>
    </row>
    <row r="1424" spans="3:3">
      <c r="C1424" s="32"/>
    </row>
    <row r="1425" spans="3:3">
      <c r="C1425" s="32"/>
    </row>
    <row r="1426" spans="3:3">
      <c r="C1426" s="32"/>
    </row>
    <row r="1427" spans="3:3">
      <c r="C1427" s="32"/>
    </row>
    <row r="1428" spans="3:3">
      <c r="C1428" s="32"/>
    </row>
    <row r="1429" spans="3:3">
      <c r="C1429" s="32"/>
    </row>
    <row r="1430" spans="3:3">
      <c r="C1430" s="32"/>
    </row>
    <row r="1431" spans="3:3">
      <c r="C1431" s="32"/>
    </row>
    <row r="1432" spans="3:3">
      <c r="C1432" s="32"/>
    </row>
    <row r="1433" spans="3:3">
      <c r="C1433" s="32"/>
    </row>
    <row r="1434" spans="3:3">
      <c r="C1434" s="32"/>
    </row>
    <row r="1435" spans="3:3">
      <c r="C1435" s="32"/>
    </row>
    <row r="1436" spans="3:3">
      <c r="C1436" s="32"/>
    </row>
    <row r="1437" spans="3:3">
      <c r="C1437" s="32"/>
    </row>
    <row r="1438" spans="3:3">
      <c r="C1438" s="32"/>
    </row>
    <row r="1439" spans="3:3">
      <c r="C1439" s="32"/>
    </row>
    <row r="1440" spans="3:3">
      <c r="C1440" s="32"/>
    </row>
    <row r="1441" spans="3:8">
      <c r="C1441" s="32"/>
    </row>
    <row r="1442" spans="3:8">
      <c r="C1442" s="32"/>
    </row>
    <row r="1443" spans="3:8">
      <c r="C1443" s="32"/>
    </row>
    <row r="1444" spans="3:8">
      <c r="C1444" s="32"/>
    </row>
    <row r="1445" spans="3:8">
      <c r="C1445" s="32"/>
    </row>
    <row r="1446" spans="3:8">
      <c r="C1446" s="32"/>
    </row>
    <row r="1447" spans="3:8">
      <c r="C1447" s="32"/>
    </row>
    <row r="1448" spans="3:8">
      <c r="C1448" s="32"/>
    </row>
    <row r="1449" spans="3:8">
      <c r="C1449" s="32"/>
    </row>
    <row r="1450" spans="3:8">
      <c r="C1450" s="32"/>
    </row>
    <row r="1451" spans="3:8">
      <c r="C1451" s="32"/>
    </row>
    <row r="1452" spans="3:8">
      <c r="C1452" s="32"/>
    </row>
    <row r="1453" spans="3:8">
      <c r="C1453" s="32"/>
      <c r="G1453" s="10"/>
      <c r="H1453" s="10"/>
    </row>
    <row r="1454" spans="3:8">
      <c r="C1454" s="32"/>
    </row>
    <row r="1455" spans="3:8">
      <c r="C1455" s="32"/>
    </row>
    <row r="1456" spans="3:8">
      <c r="C1456" s="32"/>
    </row>
    <row r="1457" spans="3:3">
      <c r="C1457" s="32"/>
    </row>
    <row r="1458" spans="3:3">
      <c r="C1458" s="32"/>
    </row>
    <row r="1459" spans="3:3">
      <c r="C1459" s="32"/>
    </row>
    <row r="1460" spans="3:3">
      <c r="C1460" s="32"/>
    </row>
    <row r="1461" spans="3:3">
      <c r="C1461" s="32"/>
    </row>
    <row r="1462" spans="3:3">
      <c r="C1462" s="32"/>
    </row>
    <row r="1463" spans="3:3">
      <c r="C1463" s="32"/>
    </row>
    <row r="1464" spans="3:3">
      <c r="C1464" s="32"/>
    </row>
    <row r="1465" spans="3:3">
      <c r="C1465" s="32"/>
    </row>
    <row r="1466" spans="3:3">
      <c r="C1466" s="32"/>
    </row>
    <row r="1467" spans="3:3">
      <c r="C1467" s="32"/>
    </row>
    <row r="1468" spans="3:3">
      <c r="C1468" s="32"/>
    </row>
    <row r="1469" spans="3:3">
      <c r="C1469" s="32"/>
    </row>
    <row r="1470" spans="3:3">
      <c r="C1470" s="32"/>
    </row>
    <row r="1471" spans="3:3">
      <c r="C1471" s="32"/>
    </row>
    <row r="1472" spans="3:3">
      <c r="C1472" s="32"/>
    </row>
    <row r="1473" spans="3:3">
      <c r="C1473" s="32"/>
    </row>
    <row r="1474" spans="3:3">
      <c r="C1474" s="32"/>
    </row>
    <row r="1475" spans="3:3">
      <c r="C1475" s="32"/>
    </row>
    <row r="1476" spans="3:3">
      <c r="C1476" s="32"/>
    </row>
    <row r="1477" spans="3:3">
      <c r="C1477" s="32"/>
    </row>
    <row r="1478" spans="3:3">
      <c r="C1478" s="32"/>
    </row>
    <row r="1479" spans="3:3">
      <c r="C1479" s="32"/>
    </row>
    <row r="1480" spans="3:3">
      <c r="C1480" s="32"/>
    </row>
    <row r="1481" spans="3:3">
      <c r="C1481" s="32"/>
    </row>
    <row r="1482" spans="3:3">
      <c r="C1482" s="32"/>
    </row>
    <row r="1483" spans="3:3">
      <c r="C1483" s="32"/>
    </row>
    <row r="1484" spans="3:3">
      <c r="C1484" s="32"/>
    </row>
    <row r="1485" spans="3:3">
      <c r="C1485" s="32"/>
    </row>
    <row r="1486" spans="3:3">
      <c r="C1486" s="32"/>
    </row>
    <row r="1487" spans="3:3">
      <c r="C1487" s="32"/>
    </row>
    <row r="1488" spans="3:3">
      <c r="C1488" s="32"/>
    </row>
    <row r="1489" spans="3:3">
      <c r="C1489" s="32"/>
    </row>
    <row r="1490" spans="3:3">
      <c r="C1490" s="32"/>
    </row>
    <row r="1491" spans="3:3">
      <c r="C1491" s="32"/>
    </row>
    <row r="1492" spans="3:3">
      <c r="C1492" s="32"/>
    </row>
    <row r="1493" spans="3:3">
      <c r="C1493" s="32"/>
    </row>
    <row r="1494" spans="3:3">
      <c r="C1494" s="32"/>
    </row>
    <row r="1495" spans="3:3">
      <c r="C1495" s="32"/>
    </row>
    <row r="1496" spans="3:3">
      <c r="C1496" s="32"/>
    </row>
    <row r="1497" spans="3:3">
      <c r="C1497" s="32"/>
    </row>
    <row r="1498" spans="3:3">
      <c r="C1498" s="32"/>
    </row>
    <row r="1499" spans="3:3">
      <c r="C1499" s="32"/>
    </row>
    <row r="1500" spans="3:3">
      <c r="C1500" s="32"/>
    </row>
    <row r="1501" spans="3:3">
      <c r="C1501" s="32"/>
    </row>
    <row r="1502" spans="3:3">
      <c r="C1502" s="32"/>
    </row>
    <row r="1503" spans="3:3">
      <c r="C1503" s="32"/>
    </row>
    <row r="1504" spans="3:3">
      <c r="C1504" s="32"/>
    </row>
    <row r="1505" spans="3:3">
      <c r="C1505" s="32"/>
    </row>
    <row r="1506" spans="3:3">
      <c r="C1506" s="32"/>
    </row>
    <row r="1507" spans="3:3">
      <c r="C1507" s="32"/>
    </row>
    <row r="1508" spans="3:3">
      <c r="C1508" s="32"/>
    </row>
    <row r="1509" spans="3:3">
      <c r="C1509" s="32"/>
    </row>
    <row r="1510" spans="3:3">
      <c r="C1510" s="32"/>
    </row>
    <row r="1511" spans="3:3">
      <c r="C1511" s="32"/>
    </row>
    <row r="1512" spans="3:3">
      <c r="C1512" s="32"/>
    </row>
    <row r="1513" spans="3:3">
      <c r="C1513" s="32"/>
    </row>
    <row r="1514" spans="3:3">
      <c r="C1514" s="32"/>
    </row>
    <row r="1515" spans="3:3">
      <c r="C1515" s="32"/>
    </row>
    <row r="1516" spans="3:3">
      <c r="C1516" s="32"/>
    </row>
    <row r="1517" spans="3:3">
      <c r="C1517" s="32"/>
    </row>
    <row r="1518" spans="3:3">
      <c r="C1518" s="32"/>
    </row>
    <row r="1519" spans="3:3">
      <c r="C1519" s="32"/>
    </row>
    <row r="1520" spans="3:3">
      <c r="C1520" s="32"/>
    </row>
    <row r="1521" spans="3:3">
      <c r="C1521" s="32"/>
    </row>
    <row r="1522" spans="3:3">
      <c r="C1522" s="32"/>
    </row>
    <row r="1523" spans="3:3">
      <c r="C1523" s="32"/>
    </row>
    <row r="1524" spans="3:3">
      <c r="C1524" s="32"/>
    </row>
    <row r="1525" spans="3:3">
      <c r="C1525" s="32"/>
    </row>
    <row r="1526" spans="3:3">
      <c r="C1526" s="32"/>
    </row>
    <row r="1527" spans="3:3">
      <c r="C1527" s="32"/>
    </row>
    <row r="1528" spans="3:3">
      <c r="C1528" s="32"/>
    </row>
    <row r="1529" spans="3:3">
      <c r="C1529" s="32"/>
    </row>
    <row r="1530" spans="3:3">
      <c r="C1530" s="32"/>
    </row>
    <row r="1531" spans="3:3">
      <c r="C1531" s="32"/>
    </row>
    <row r="1532" spans="3:3">
      <c r="C1532" s="32"/>
    </row>
    <row r="1533" spans="3:3">
      <c r="C1533" s="32"/>
    </row>
    <row r="1534" spans="3:3">
      <c r="C1534" s="32"/>
    </row>
    <row r="1535" spans="3:3">
      <c r="C1535" s="32"/>
    </row>
    <row r="1536" spans="3:3">
      <c r="C1536" s="32"/>
    </row>
    <row r="1537" spans="3:3">
      <c r="C1537" s="32"/>
    </row>
    <row r="1538" spans="3:3">
      <c r="C1538" s="32"/>
    </row>
    <row r="1539" spans="3:3">
      <c r="C1539" s="32"/>
    </row>
    <row r="1540" spans="3:3">
      <c r="C1540" s="32"/>
    </row>
    <row r="1541" spans="3:3">
      <c r="C1541" s="32"/>
    </row>
    <row r="1542" spans="3:3">
      <c r="C1542" s="32"/>
    </row>
    <row r="1543" spans="3:3">
      <c r="C1543" s="32"/>
    </row>
    <row r="1544" spans="3:3">
      <c r="C1544" s="32"/>
    </row>
    <row r="1545" spans="3:3">
      <c r="C1545" s="32"/>
    </row>
    <row r="1546" spans="3:3">
      <c r="C1546" s="32"/>
    </row>
    <row r="1547" spans="3:3">
      <c r="C1547" s="32"/>
    </row>
    <row r="1548" spans="3:3">
      <c r="C1548" s="32"/>
    </row>
    <row r="1549" spans="3:3">
      <c r="C1549" s="32"/>
    </row>
    <row r="1550" spans="3:3">
      <c r="C1550" s="32"/>
    </row>
    <row r="1551" spans="3:3">
      <c r="C1551" s="32"/>
    </row>
    <row r="1552" spans="3:3">
      <c r="C1552" s="32"/>
    </row>
    <row r="1553" spans="3:3">
      <c r="C1553" s="32"/>
    </row>
    <row r="1554" spans="3:3">
      <c r="C1554" s="32"/>
    </row>
    <row r="1555" spans="3:3">
      <c r="C1555" s="32"/>
    </row>
    <row r="1556" spans="3:3">
      <c r="C1556" s="32"/>
    </row>
    <row r="1557" spans="3:3">
      <c r="C1557" s="32"/>
    </row>
    <row r="1558" spans="3:3">
      <c r="C1558" s="32"/>
    </row>
    <row r="1559" spans="3:3">
      <c r="C1559" s="32"/>
    </row>
    <row r="1560" spans="3:3">
      <c r="C1560" s="32"/>
    </row>
    <row r="1561" spans="3:3">
      <c r="C1561" s="32"/>
    </row>
    <row r="1562" spans="3:3">
      <c r="C1562" s="32"/>
    </row>
    <row r="1563" spans="3:3">
      <c r="C1563" s="32"/>
    </row>
    <row r="1564" spans="3:3">
      <c r="C1564" s="32"/>
    </row>
    <row r="1565" spans="3:3">
      <c r="C1565" s="32"/>
    </row>
    <row r="1566" spans="3:3">
      <c r="C1566" s="32"/>
    </row>
    <row r="1567" spans="3:3">
      <c r="C1567" s="32"/>
    </row>
    <row r="1568" spans="3:3">
      <c r="C1568" s="32"/>
    </row>
    <row r="1569" spans="3:3">
      <c r="C1569" s="32"/>
    </row>
    <row r="1570" spans="3:3">
      <c r="C1570" s="32"/>
    </row>
    <row r="1571" spans="3:3">
      <c r="C1571" s="32"/>
    </row>
    <row r="1572" spans="3:3">
      <c r="C1572" s="32"/>
    </row>
    <row r="1573" spans="3:3">
      <c r="C1573" s="32"/>
    </row>
    <row r="1574" spans="3:3">
      <c r="C1574" s="32"/>
    </row>
    <row r="1575" spans="3:3">
      <c r="C1575" s="32"/>
    </row>
    <row r="1576" spans="3:3">
      <c r="C1576" s="32"/>
    </row>
    <row r="1577" spans="3:3">
      <c r="C1577" s="32"/>
    </row>
    <row r="1578" spans="3:3">
      <c r="C1578" s="32"/>
    </row>
    <row r="1579" spans="3:3">
      <c r="C1579" s="32"/>
    </row>
    <row r="1580" spans="3:3">
      <c r="C1580" s="32"/>
    </row>
    <row r="1581" spans="3:3">
      <c r="C1581" s="32"/>
    </row>
    <row r="1582" spans="3:3">
      <c r="C1582" s="32"/>
    </row>
    <row r="1583" spans="3:3">
      <c r="C1583" s="32"/>
    </row>
    <row r="1584" spans="3:3">
      <c r="C1584" s="32"/>
    </row>
    <row r="1585" spans="3:3">
      <c r="C1585" s="32"/>
    </row>
    <row r="1586" spans="3:3">
      <c r="C1586" s="32"/>
    </row>
    <row r="1587" spans="3:3">
      <c r="C1587" s="32"/>
    </row>
    <row r="1588" spans="3:3">
      <c r="C1588" s="32"/>
    </row>
    <row r="1589" spans="3:3">
      <c r="C1589" s="32"/>
    </row>
    <row r="1590" spans="3:3">
      <c r="C1590" s="32"/>
    </row>
    <row r="1591" spans="3:3">
      <c r="C1591" s="32"/>
    </row>
    <row r="1592" spans="3:3">
      <c r="C1592" s="32"/>
    </row>
    <row r="1593" spans="3:3">
      <c r="C1593" s="32"/>
    </row>
    <row r="1594" spans="3:3">
      <c r="C1594" s="32"/>
    </row>
    <row r="1595" spans="3:3">
      <c r="C1595" s="32"/>
    </row>
    <row r="1596" spans="3:3">
      <c r="C1596" s="32"/>
    </row>
    <row r="1597" spans="3:3">
      <c r="C1597" s="32"/>
    </row>
    <row r="1598" spans="3:3">
      <c r="C1598" s="32"/>
    </row>
    <row r="1599" spans="3:3">
      <c r="C1599" s="32"/>
    </row>
    <row r="1600" spans="3:3">
      <c r="C1600" s="32"/>
    </row>
    <row r="1601" spans="3:3">
      <c r="C1601" s="32"/>
    </row>
    <row r="1602" spans="3:3">
      <c r="C1602" s="32"/>
    </row>
    <row r="1603" spans="3:3">
      <c r="C1603" s="32"/>
    </row>
    <row r="1604" spans="3:3">
      <c r="C1604" s="32"/>
    </row>
    <row r="1605" spans="3:3">
      <c r="C1605" s="32"/>
    </row>
    <row r="1606" spans="3:3">
      <c r="C1606" s="32"/>
    </row>
    <row r="1607" spans="3:3">
      <c r="C1607" s="32"/>
    </row>
    <row r="1608" spans="3:3">
      <c r="C1608" s="32"/>
    </row>
    <row r="1609" spans="3:3">
      <c r="C1609" s="32"/>
    </row>
    <row r="1610" spans="3:3">
      <c r="C1610" s="32"/>
    </row>
    <row r="1611" spans="3:3">
      <c r="C1611" s="32"/>
    </row>
    <row r="1612" spans="3:3">
      <c r="C1612" s="32"/>
    </row>
    <row r="1613" spans="3:3">
      <c r="C1613" s="32"/>
    </row>
    <row r="1614" spans="3:3">
      <c r="C1614" s="32"/>
    </row>
    <row r="1615" spans="3:3">
      <c r="C1615" s="32"/>
    </row>
    <row r="1616" spans="3:3">
      <c r="C1616" s="32"/>
    </row>
    <row r="1617" spans="3:3">
      <c r="C1617" s="32"/>
    </row>
    <row r="1618" spans="3:3">
      <c r="C1618" s="32"/>
    </row>
    <row r="1619" spans="3:3">
      <c r="C1619" s="32"/>
    </row>
    <row r="1620" spans="3:3">
      <c r="C1620" s="32"/>
    </row>
    <row r="1621" spans="3:3">
      <c r="C1621" s="32"/>
    </row>
    <row r="1622" spans="3:3">
      <c r="C1622" s="32"/>
    </row>
    <row r="1623" spans="3:3">
      <c r="C1623" s="32"/>
    </row>
    <row r="1624" spans="3:3">
      <c r="C1624" s="32"/>
    </row>
    <row r="1625" spans="3:3">
      <c r="C1625" s="32"/>
    </row>
    <row r="1626" spans="3:3">
      <c r="C1626" s="32"/>
    </row>
    <row r="1627" spans="3:3">
      <c r="C1627" s="32"/>
    </row>
    <row r="1628" spans="3:3">
      <c r="C1628" s="32"/>
    </row>
    <row r="1629" spans="3:3">
      <c r="C1629" s="32"/>
    </row>
    <row r="1630" spans="3:3">
      <c r="C1630" s="32"/>
    </row>
    <row r="1631" spans="3:3">
      <c r="C1631" s="32"/>
    </row>
    <row r="1632" spans="3:3">
      <c r="C1632" s="32"/>
    </row>
    <row r="1633" spans="3:3">
      <c r="C1633" s="32"/>
    </row>
    <row r="1634" spans="3:3">
      <c r="C1634" s="32"/>
    </row>
    <row r="1635" spans="3:3">
      <c r="C1635" s="32"/>
    </row>
    <row r="1636" spans="3:3">
      <c r="C1636" s="32"/>
    </row>
    <row r="1637" spans="3:3">
      <c r="C1637" s="32"/>
    </row>
    <row r="1638" spans="3:3">
      <c r="C1638" s="32"/>
    </row>
    <row r="1639" spans="3:3">
      <c r="C1639" s="32"/>
    </row>
    <row r="1640" spans="3:3">
      <c r="C1640" s="32"/>
    </row>
    <row r="1641" spans="3:3">
      <c r="C1641" s="32"/>
    </row>
    <row r="1642" spans="3:3">
      <c r="C1642" s="32"/>
    </row>
    <row r="1643" spans="3:3">
      <c r="C1643" s="32"/>
    </row>
    <row r="1644" spans="3:3">
      <c r="C1644" s="32"/>
    </row>
    <row r="1645" spans="3:3">
      <c r="C1645" s="32"/>
    </row>
    <row r="1646" spans="3:3">
      <c r="C1646" s="32"/>
    </row>
    <row r="1647" spans="3:3">
      <c r="C1647" s="32"/>
    </row>
    <row r="1648" spans="3:3">
      <c r="C1648" s="32"/>
    </row>
    <row r="1649" spans="3:3">
      <c r="C1649" s="32"/>
    </row>
    <row r="1650" spans="3:3">
      <c r="C1650" s="32"/>
    </row>
    <row r="1651" spans="3:3">
      <c r="C1651" s="32"/>
    </row>
    <row r="1652" spans="3:3">
      <c r="C1652" s="32"/>
    </row>
    <row r="1653" spans="3:3">
      <c r="C1653" s="32"/>
    </row>
    <row r="1654" spans="3:3">
      <c r="C1654" s="32"/>
    </row>
    <row r="1655" spans="3:3">
      <c r="C1655" s="32"/>
    </row>
    <row r="1656" spans="3:3">
      <c r="C1656" s="32"/>
    </row>
    <row r="1657" spans="3:3">
      <c r="C1657" s="32"/>
    </row>
    <row r="1658" spans="3:3">
      <c r="C1658" s="32"/>
    </row>
    <row r="1659" spans="3:3">
      <c r="C1659" s="32"/>
    </row>
    <row r="1660" spans="3:3">
      <c r="C1660" s="32"/>
    </row>
    <row r="1661" spans="3:3">
      <c r="C1661" s="32"/>
    </row>
    <row r="1662" spans="3:3">
      <c r="C1662" s="32"/>
    </row>
    <row r="1663" spans="3:3">
      <c r="C1663" s="32"/>
    </row>
    <row r="1664" spans="3:3">
      <c r="C1664" s="32"/>
    </row>
    <row r="1665" spans="3:3">
      <c r="C1665" s="32"/>
    </row>
    <row r="1666" spans="3:3">
      <c r="C1666" s="32"/>
    </row>
    <row r="1667" spans="3:3">
      <c r="C1667" s="32"/>
    </row>
    <row r="1668" spans="3:3">
      <c r="C1668" s="32"/>
    </row>
    <row r="1669" spans="3:3">
      <c r="C1669" s="32"/>
    </row>
    <row r="1670" spans="3:3">
      <c r="C1670" s="32"/>
    </row>
    <row r="1671" spans="3:3">
      <c r="C1671" s="32"/>
    </row>
    <row r="1672" spans="3:3">
      <c r="C1672" s="32"/>
    </row>
    <row r="1673" spans="3:3">
      <c r="C1673" s="32"/>
    </row>
    <row r="1674" spans="3:3">
      <c r="C1674" s="32"/>
    </row>
    <row r="1675" spans="3:3">
      <c r="C1675" s="32"/>
    </row>
    <row r="1676" spans="3:3">
      <c r="C1676" s="32"/>
    </row>
    <row r="1677" spans="3:3">
      <c r="C1677" s="32"/>
    </row>
    <row r="1678" spans="3:3">
      <c r="C1678" s="32"/>
    </row>
    <row r="1679" spans="3:3">
      <c r="C1679" s="32"/>
    </row>
    <row r="1680" spans="3:3">
      <c r="C1680" s="32"/>
    </row>
    <row r="1681" spans="3:3">
      <c r="C1681" s="32"/>
    </row>
    <row r="1682" spans="3:3">
      <c r="C1682" s="32"/>
    </row>
    <row r="1683" spans="3:3">
      <c r="C1683" s="32"/>
    </row>
    <row r="1684" spans="3:3">
      <c r="C1684" s="32"/>
    </row>
    <row r="1685" spans="3:3">
      <c r="C1685" s="32"/>
    </row>
    <row r="1686" spans="3:3">
      <c r="C1686" s="32"/>
    </row>
    <row r="1687" spans="3:3">
      <c r="C1687" s="32"/>
    </row>
    <row r="1688" spans="3:3">
      <c r="C1688" s="32"/>
    </row>
    <row r="1689" spans="3:3">
      <c r="C1689" s="32"/>
    </row>
    <row r="1690" spans="3:3">
      <c r="C1690" s="32"/>
    </row>
    <row r="1691" spans="3:3">
      <c r="C1691" s="32"/>
    </row>
    <row r="1692" spans="3:3">
      <c r="C1692" s="32"/>
    </row>
    <row r="1693" spans="3:3">
      <c r="C1693" s="32"/>
    </row>
    <row r="1694" spans="3:3">
      <c r="C1694" s="32"/>
    </row>
    <row r="1695" spans="3:3">
      <c r="C1695" s="32"/>
    </row>
    <row r="1696" spans="3:3">
      <c r="C1696" s="32"/>
    </row>
    <row r="1697" spans="3:3">
      <c r="C1697" s="32"/>
    </row>
    <row r="1698" spans="3:3">
      <c r="C1698" s="32"/>
    </row>
    <row r="1699" spans="3:3">
      <c r="C1699" s="32"/>
    </row>
    <row r="1700" spans="3:3">
      <c r="C1700" s="32"/>
    </row>
    <row r="1701" spans="3:3">
      <c r="C1701" s="32"/>
    </row>
    <row r="1702" spans="3:3">
      <c r="C1702" s="32"/>
    </row>
    <row r="1703" spans="3:3">
      <c r="C1703" s="32"/>
    </row>
    <row r="1704" spans="3:3">
      <c r="C1704" s="32"/>
    </row>
    <row r="1705" spans="3:3">
      <c r="C1705" s="32"/>
    </row>
    <row r="1706" spans="3:3">
      <c r="C1706" s="32"/>
    </row>
    <row r="1707" spans="3:3">
      <c r="C1707" s="32"/>
    </row>
    <row r="1708" spans="3:3">
      <c r="C1708" s="32"/>
    </row>
    <row r="1709" spans="3:3">
      <c r="C1709" s="32"/>
    </row>
    <row r="1710" spans="3:3">
      <c r="C1710" s="32"/>
    </row>
    <row r="1711" spans="3:3">
      <c r="C1711" s="32"/>
    </row>
    <row r="1712" spans="3:3">
      <c r="C1712" s="32"/>
    </row>
    <row r="1713" spans="3:3">
      <c r="C1713" s="32"/>
    </row>
    <row r="1714" spans="3:3">
      <c r="C1714" s="32"/>
    </row>
    <row r="1715" spans="3:3">
      <c r="C1715" s="32"/>
    </row>
    <row r="1716" spans="3:3">
      <c r="C1716" s="32"/>
    </row>
    <row r="1717" spans="3:3">
      <c r="C1717" s="32"/>
    </row>
    <row r="1718" spans="3:3">
      <c r="C1718" s="32"/>
    </row>
    <row r="1719" spans="3:3">
      <c r="C1719" s="32"/>
    </row>
    <row r="1720" spans="3:3">
      <c r="C1720" s="32"/>
    </row>
    <row r="1721" spans="3:3">
      <c r="C1721" s="32"/>
    </row>
    <row r="1722" spans="3:3">
      <c r="C1722" s="32"/>
    </row>
    <row r="1723" spans="3:3">
      <c r="C1723" s="32"/>
    </row>
    <row r="1724" spans="3:3">
      <c r="C1724" s="32"/>
    </row>
    <row r="1725" spans="3:3">
      <c r="C1725" s="32"/>
    </row>
    <row r="1726" spans="3:3">
      <c r="C1726" s="32"/>
    </row>
    <row r="1727" spans="3:3">
      <c r="C1727" s="32"/>
    </row>
    <row r="1728" spans="3:3">
      <c r="C1728" s="32"/>
    </row>
    <row r="1729" spans="3:3">
      <c r="C1729" s="32"/>
    </row>
    <row r="1730" spans="3:3">
      <c r="C1730" s="32"/>
    </row>
    <row r="1731" spans="3:3">
      <c r="C1731" s="32"/>
    </row>
    <row r="1732" spans="3:3">
      <c r="C1732" s="32"/>
    </row>
    <row r="1733" spans="3:3">
      <c r="C1733" s="32"/>
    </row>
    <row r="1734" spans="3:3">
      <c r="C1734" s="32"/>
    </row>
    <row r="1735" spans="3:3">
      <c r="C1735" s="32"/>
    </row>
    <row r="1736" spans="3:3">
      <c r="C1736" s="32"/>
    </row>
    <row r="1737" spans="3:3">
      <c r="C1737" s="32"/>
    </row>
    <row r="1738" spans="3:3">
      <c r="C1738" s="32"/>
    </row>
    <row r="1739" spans="3:3">
      <c r="C1739" s="32"/>
    </row>
    <row r="1740" spans="3:3">
      <c r="C1740" s="32"/>
    </row>
    <row r="1741" spans="3:3">
      <c r="C1741" s="32"/>
    </row>
    <row r="1742" spans="3:3">
      <c r="C1742" s="32"/>
    </row>
    <row r="1743" spans="3:3">
      <c r="C1743" s="32"/>
    </row>
    <row r="1744" spans="3:3">
      <c r="C1744" s="32"/>
    </row>
    <row r="1745" spans="3:3">
      <c r="C1745" s="32"/>
    </row>
    <row r="1746" spans="3:3">
      <c r="C1746" s="32"/>
    </row>
    <row r="1747" spans="3:3">
      <c r="C1747" s="32"/>
    </row>
    <row r="1748" spans="3:3">
      <c r="C1748" s="32"/>
    </row>
    <row r="1749" spans="3:3">
      <c r="C1749" s="32"/>
    </row>
    <row r="1750" spans="3:3">
      <c r="C1750" s="32"/>
    </row>
    <row r="1751" spans="3:3">
      <c r="C1751" s="32"/>
    </row>
    <row r="1752" spans="3:3">
      <c r="C1752" s="32"/>
    </row>
    <row r="1753" spans="3:3">
      <c r="C1753" s="32"/>
    </row>
    <row r="1754" spans="3:3">
      <c r="C1754" s="32"/>
    </row>
    <row r="1755" spans="3:3">
      <c r="C1755" s="32"/>
    </row>
    <row r="1756" spans="3:3">
      <c r="C1756" s="32"/>
    </row>
    <row r="1757" spans="3:3">
      <c r="C1757" s="32"/>
    </row>
    <row r="1758" spans="3:3">
      <c r="C1758" s="32"/>
    </row>
    <row r="1759" spans="3:3">
      <c r="C1759" s="32"/>
    </row>
    <row r="1760" spans="3:3">
      <c r="C1760" s="32"/>
    </row>
    <row r="1761" spans="3:3">
      <c r="C1761" s="32"/>
    </row>
    <row r="1762" spans="3:3">
      <c r="C1762" s="32"/>
    </row>
    <row r="1763" spans="3:3">
      <c r="C1763" s="32"/>
    </row>
    <row r="1764" spans="3:3">
      <c r="C1764" s="32"/>
    </row>
    <row r="1765" spans="3:3">
      <c r="C1765" s="32"/>
    </row>
    <row r="1766" spans="3:3">
      <c r="C1766" s="32"/>
    </row>
    <row r="1767" spans="3:3">
      <c r="C1767" s="32"/>
    </row>
    <row r="1768" spans="3:3">
      <c r="C1768" s="32"/>
    </row>
    <row r="1769" spans="3:3">
      <c r="C1769" s="32"/>
    </row>
    <row r="1770" spans="3:3">
      <c r="C1770" s="32"/>
    </row>
    <row r="1771" spans="3:3">
      <c r="C1771" s="32"/>
    </row>
    <row r="1772" spans="3:3">
      <c r="C1772" s="32"/>
    </row>
    <row r="1773" spans="3:3">
      <c r="C1773" s="32"/>
    </row>
    <row r="1774" spans="3:3">
      <c r="C1774" s="32"/>
    </row>
    <row r="1775" spans="3:3">
      <c r="C1775" s="32"/>
    </row>
    <row r="1776" spans="3:3">
      <c r="C1776" s="32"/>
    </row>
    <row r="1777" spans="3:3">
      <c r="C1777" s="32"/>
    </row>
    <row r="1778" spans="3:3">
      <c r="C1778" s="32"/>
    </row>
    <row r="1779" spans="3:3">
      <c r="C1779" s="32"/>
    </row>
    <row r="1780" spans="3:3">
      <c r="C1780" s="32"/>
    </row>
    <row r="1781" spans="3:3">
      <c r="C1781" s="32"/>
    </row>
    <row r="1782" spans="3:3">
      <c r="C1782" s="32"/>
    </row>
    <row r="1783" spans="3:3">
      <c r="C1783" s="32"/>
    </row>
    <row r="1784" spans="3:3">
      <c r="C1784" s="32"/>
    </row>
    <row r="1785" spans="3:3">
      <c r="C1785" s="32"/>
    </row>
    <row r="1786" spans="3:3">
      <c r="C1786" s="32"/>
    </row>
    <row r="1787" spans="3:3">
      <c r="C1787" s="32"/>
    </row>
    <row r="1788" spans="3:3">
      <c r="C1788" s="32"/>
    </row>
    <row r="1789" spans="3:3">
      <c r="C1789" s="32"/>
    </row>
    <row r="1790" spans="3:3">
      <c r="C1790" s="32"/>
    </row>
    <row r="1791" spans="3:3">
      <c r="C1791" s="32"/>
    </row>
    <row r="1792" spans="3:3">
      <c r="C1792" s="32"/>
    </row>
    <row r="1793" spans="3:3">
      <c r="C1793" s="32"/>
    </row>
    <row r="1794" spans="3:3">
      <c r="C1794" s="32"/>
    </row>
    <row r="1795" spans="3:3">
      <c r="C1795" s="32"/>
    </row>
    <row r="1796" spans="3:3">
      <c r="C1796" s="32"/>
    </row>
    <row r="1797" spans="3:3">
      <c r="C1797" s="32"/>
    </row>
    <row r="1798" spans="3:3">
      <c r="C1798" s="32"/>
    </row>
    <row r="1799" spans="3:3">
      <c r="C1799" s="32"/>
    </row>
    <row r="1800" spans="3:3">
      <c r="C1800" s="32"/>
    </row>
    <row r="1801" spans="3:3">
      <c r="C1801" s="32"/>
    </row>
    <row r="1802" spans="3:3">
      <c r="C1802" s="32"/>
    </row>
    <row r="1803" spans="3:3">
      <c r="C1803" s="32"/>
    </row>
    <row r="1804" spans="3:3">
      <c r="C1804" s="32"/>
    </row>
    <row r="1805" spans="3:3">
      <c r="C1805" s="32"/>
    </row>
    <row r="1806" spans="3:3">
      <c r="C1806" s="32"/>
    </row>
    <row r="1807" spans="3:3">
      <c r="C1807" s="32"/>
    </row>
    <row r="1808" spans="3:3">
      <c r="C1808" s="32"/>
    </row>
    <row r="1809" spans="3:3">
      <c r="C1809" s="32"/>
    </row>
    <row r="1810" spans="3:3">
      <c r="C1810" s="32"/>
    </row>
    <row r="1811" spans="3:3">
      <c r="C1811" s="32"/>
    </row>
    <row r="1812" spans="3:3">
      <c r="C1812" s="32"/>
    </row>
    <row r="1813" spans="3:3">
      <c r="C1813" s="32"/>
    </row>
    <row r="1814" spans="3:3">
      <c r="C1814" s="32"/>
    </row>
    <row r="1815" spans="3:3">
      <c r="C1815" s="32"/>
    </row>
    <row r="1816" spans="3:3">
      <c r="C1816" s="32"/>
    </row>
    <row r="1817" spans="3:3">
      <c r="C1817" s="32"/>
    </row>
    <row r="1818" spans="3:3">
      <c r="C1818" s="32"/>
    </row>
    <row r="1819" spans="3:3">
      <c r="C1819" s="32"/>
    </row>
    <row r="1820" spans="3:3">
      <c r="C1820" s="32"/>
    </row>
    <row r="1821" spans="3:3">
      <c r="C1821" s="32"/>
    </row>
    <row r="1822" spans="3:3">
      <c r="C1822" s="32"/>
    </row>
    <row r="1823" spans="3:3">
      <c r="C1823" s="32"/>
    </row>
    <row r="1824" spans="3:3">
      <c r="C1824" s="32"/>
    </row>
    <row r="1825" spans="3:3">
      <c r="C1825" s="32"/>
    </row>
    <row r="1826" spans="3:3">
      <c r="C1826" s="32"/>
    </row>
    <row r="1827" spans="3:3">
      <c r="C1827" s="32"/>
    </row>
    <row r="1828" spans="3:3">
      <c r="C1828" s="32"/>
    </row>
    <row r="1829" spans="3:3">
      <c r="C1829" s="32"/>
    </row>
    <row r="1830" spans="3:3">
      <c r="C1830" s="32"/>
    </row>
    <row r="1831" spans="3:3">
      <c r="C1831" s="32"/>
    </row>
    <row r="1832" spans="3:3">
      <c r="C1832" s="32"/>
    </row>
    <row r="1833" spans="3:3">
      <c r="C1833" s="32"/>
    </row>
    <row r="1834" spans="3:3">
      <c r="C1834" s="32"/>
    </row>
    <row r="1835" spans="3:3">
      <c r="C1835" s="32"/>
    </row>
    <row r="1836" spans="3:3">
      <c r="C1836" s="32"/>
    </row>
    <row r="1837" spans="3:3">
      <c r="C1837" s="32"/>
    </row>
    <row r="1838" spans="3:3">
      <c r="C1838" s="32"/>
    </row>
    <row r="1839" spans="3:3">
      <c r="C1839" s="32"/>
    </row>
    <row r="1840" spans="3:3">
      <c r="C1840" s="32"/>
    </row>
    <row r="1841" spans="3:3">
      <c r="C1841" s="32"/>
    </row>
    <row r="1842" spans="3:3">
      <c r="C1842" s="32"/>
    </row>
    <row r="1843" spans="3:3">
      <c r="C1843" s="32"/>
    </row>
    <row r="1844" spans="3:3">
      <c r="C1844" s="32"/>
    </row>
    <row r="1845" spans="3:3">
      <c r="C1845" s="32"/>
    </row>
    <row r="1846" spans="3:3">
      <c r="C1846" s="32"/>
    </row>
    <row r="1847" spans="3:3">
      <c r="C1847" s="32"/>
    </row>
    <row r="1848" spans="3:3">
      <c r="C1848" s="32"/>
    </row>
    <row r="1849" spans="3:3">
      <c r="C1849" s="32"/>
    </row>
    <row r="1850" spans="3:3">
      <c r="C1850" s="32"/>
    </row>
    <row r="1851" spans="3:3">
      <c r="C1851" s="32"/>
    </row>
    <row r="1852" spans="3:3">
      <c r="C1852" s="32"/>
    </row>
    <row r="1853" spans="3:3">
      <c r="C1853" s="32"/>
    </row>
    <row r="1854" spans="3:3">
      <c r="C1854" s="32"/>
    </row>
    <row r="1855" spans="3:3">
      <c r="C1855" s="32"/>
    </row>
    <row r="1856" spans="3:3">
      <c r="C1856" s="32"/>
    </row>
    <row r="1857" spans="3:3">
      <c r="C1857" s="32"/>
    </row>
    <row r="1858" spans="3:3">
      <c r="C1858" s="32"/>
    </row>
    <row r="1859" spans="3:3">
      <c r="C1859" s="32"/>
    </row>
    <row r="1860" spans="3:3">
      <c r="C1860" s="32"/>
    </row>
    <row r="1861" spans="3:3">
      <c r="C1861" s="32"/>
    </row>
    <row r="1862" spans="3:3">
      <c r="C1862" s="32"/>
    </row>
    <row r="1863" spans="3:3">
      <c r="C1863" s="32"/>
    </row>
    <row r="1864" spans="3:3">
      <c r="C1864" s="32"/>
    </row>
    <row r="1865" spans="3:3">
      <c r="C1865" s="32"/>
    </row>
    <row r="1866" spans="3:3">
      <c r="C1866" s="32"/>
    </row>
    <row r="1867" spans="3:3">
      <c r="C1867" s="32"/>
    </row>
    <row r="1868" spans="3:3">
      <c r="C1868" s="32"/>
    </row>
    <row r="1869" spans="3:3">
      <c r="C1869" s="32"/>
    </row>
    <row r="1870" spans="3:3">
      <c r="C1870" s="32"/>
    </row>
    <row r="1871" spans="3:3">
      <c r="C1871" s="32"/>
    </row>
    <row r="1872" spans="3:3">
      <c r="C1872" s="32"/>
    </row>
    <row r="1873" spans="3:3">
      <c r="C1873" s="32"/>
    </row>
    <row r="1874" spans="3:3">
      <c r="C1874" s="32"/>
    </row>
    <row r="1875" spans="3:3">
      <c r="C1875" s="32"/>
    </row>
    <row r="1876" spans="3:3">
      <c r="C1876" s="32"/>
    </row>
    <row r="1877" spans="3:3">
      <c r="C1877" s="32"/>
    </row>
    <row r="1878" spans="3:3">
      <c r="C1878" s="32"/>
    </row>
    <row r="1879" spans="3:3">
      <c r="C1879" s="32"/>
    </row>
    <row r="1880" spans="3:3">
      <c r="C1880" s="32"/>
    </row>
    <row r="1881" spans="3:3">
      <c r="C1881" s="32"/>
    </row>
    <row r="1882" spans="3:3">
      <c r="C1882" s="32"/>
    </row>
    <row r="1883" spans="3:3">
      <c r="C1883" s="32"/>
    </row>
    <row r="1884" spans="3:3">
      <c r="C1884" s="32"/>
    </row>
    <row r="1885" spans="3:3">
      <c r="C1885" s="32"/>
    </row>
    <row r="1886" spans="3:3">
      <c r="C1886" s="32"/>
    </row>
    <row r="1887" spans="3:3">
      <c r="C1887" s="32"/>
    </row>
    <row r="1888" spans="3:3">
      <c r="C1888" s="32"/>
    </row>
    <row r="1889" spans="3:3">
      <c r="C1889" s="32"/>
    </row>
    <row r="1890" spans="3:3">
      <c r="C1890" s="32"/>
    </row>
    <row r="1891" spans="3:3">
      <c r="C1891" s="32"/>
    </row>
    <row r="1892" spans="3:3">
      <c r="C1892" s="32"/>
    </row>
    <row r="1893" spans="3:3">
      <c r="C1893" s="32"/>
    </row>
    <row r="1894" spans="3:3">
      <c r="C1894" s="32"/>
    </row>
    <row r="1895" spans="3:3">
      <c r="C1895" s="32"/>
    </row>
    <row r="1896" spans="3:3">
      <c r="C1896" s="32"/>
    </row>
    <row r="1897" spans="3:3">
      <c r="C1897" s="32"/>
    </row>
    <row r="1898" spans="3:3">
      <c r="C1898" s="32"/>
    </row>
    <row r="1899" spans="3:3">
      <c r="C1899" s="32"/>
    </row>
    <row r="1900" spans="3:3">
      <c r="C1900" s="32"/>
    </row>
    <row r="1901" spans="3:3">
      <c r="C1901" s="32"/>
    </row>
    <row r="1902" spans="3:3">
      <c r="C1902" s="32"/>
    </row>
    <row r="1903" spans="3:3">
      <c r="C1903" s="32"/>
    </row>
    <row r="1904" spans="3:3">
      <c r="C1904" s="32"/>
    </row>
    <row r="1905" spans="3:3">
      <c r="C1905" s="32"/>
    </row>
    <row r="1906" spans="3:3">
      <c r="C1906" s="32"/>
    </row>
    <row r="1907" spans="3:3">
      <c r="C1907" s="32"/>
    </row>
    <row r="1908" spans="3:3">
      <c r="C1908" s="32"/>
    </row>
    <row r="1909" spans="3:3">
      <c r="C1909" s="32"/>
    </row>
    <row r="1910" spans="3:3">
      <c r="C1910" s="32"/>
    </row>
    <row r="1911" spans="3:3">
      <c r="C1911" s="32"/>
    </row>
    <row r="1912" spans="3:3">
      <c r="C1912" s="32"/>
    </row>
    <row r="1913" spans="3:3">
      <c r="C1913" s="32"/>
    </row>
    <row r="1914" spans="3:3">
      <c r="C1914" s="32"/>
    </row>
    <row r="1915" spans="3:3">
      <c r="C1915" s="32"/>
    </row>
    <row r="1916" spans="3:3">
      <c r="C1916" s="32"/>
    </row>
    <row r="1917" spans="3:3">
      <c r="C1917" s="32"/>
    </row>
    <row r="1918" spans="3:3">
      <c r="C1918" s="32"/>
    </row>
    <row r="1919" spans="3:3">
      <c r="C1919" s="32"/>
    </row>
    <row r="1920" spans="3:3">
      <c r="C1920" s="32"/>
    </row>
    <row r="1921" spans="3:3">
      <c r="C1921" s="32"/>
    </row>
    <row r="1922" spans="3:3">
      <c r="C1922" s="32"/>
    </row>
    <row r="1923" spans="3:3">
      <c r="C1923" s="32"/>
    </row>
    <row r="1924" spans="3:3">
      <c r="C1924" s="32"/>
    </row>
    <row r="1925" spans="3:3">
      <c r="C1925" s="32"/>
    </row>
    <row r="1926" spans="3:3">
      <c r="C1926" s="32"/>
    </row>
    <row r="1927" spans="3:3">
      <c r="C1927" s="32"/>
    </row>
    <row r="1928" spans="3:3">
      <c r="C1928" s="32"/>
    </row>
    <row r="1929" spans="3:3">
      <c r="C1929" s="32"/>
    </row>
    <row r="1930" spans="3:3">
      <c r="C1930" s="32"/>
    </row>
    <row r="1931" spans="3:3">
      <c r="C1931" s="32"/>
    </row>
    <row r="1932" spans="3:3">
      <c r="C1932" s="32"/>
    </row>
    <row r="1933" spans="3:3">
      <c r="C1933" s="32"/>
    </row>
    <row r="1934" spans="3:3">
      <c r="C1934" s="32"/>
    </row>
    <row r="1935" spans="3:3">
      <c r="C1935" s="32"/>
    </row>
    <row r="1936" spans="3:3">
      <c r="C1936" s="32"/>
    </row>
    <row r="1937" spans="3:3">
      <c r="C1937" s="32"/>
    </row>
    <row r="1938" spans="3:3">
      <c r="C1938" s="32"/>
    </row>
    <row r="1939" spans="3:3">
      <c r="C1939" s="32"/>
    </row>
    <row r="1940" spans="3:3">
      <c r="C1940" s="32"/>
    </row>
    <row r="1941" spans="3:3">
      <c r="C1941" s="32"/>
    </row>
    <row r="1942" spans="3:3">
      <c r="C1942" s="32"/>
    </row>
    <row r="1943" spans="3:3">
      <c r="C1943" s="32"/>
    </row>
    <row r="1944" spans="3:3">
      <c r="C1944" s="32"/>
    </row>
    <row r="1945" spans="3:3">
      <c r="C1945" s="32"/>
    </row>
    <row r="1946" spans="3:3">
      <c r="C1946" s="32"/>
    </row>
    <row r="1947" spans="3:3">
      <c r="C1947" s="32"/>
    </row>
    <row r="1948" spans="3:3">
      <c r="C1948" s="32"/>
    </row>
    <row r="1949" spans="3:3">
      <c r="C1949" s="32"/>
    </row>
    <row r="1950" spans="3:3">
      <c r="C1950" s="32"/>
    </row>
    <row r="1951" spans="3:3">
      <c r="C1951" s="32"/>
    </row>
    <row r="1952" spans="3:3">
      <c r="C1952" s="32"/>
    </row>
    <row r="1953" spans="3:3">
      <c r="C1953" s="32"/>
    </row>
    <row r="1954" spans="3:3">
      <c r="C1954" s="32"/>
    </row>
    <row r="1955" spans="3:3">
      <c r="C1955" s="32"/>
    </row>
    <row r="1956" spans="3:3">
      <c r="C1956" s="32"/>
    </row>
    <row r="1957" spans="3:3">
      <c r="C1957" s="32"/>
    </row>
    <row r="1958" spans="3:3">
      <c r="C1958" s="32"/>
    </row>
    <row r="1959" spans="3:3">
      <c r="C1959" s="32"/>
    </row>
    <row r="1960" spans="3:3">
      <c r="C1960" s="32"/>
    </row>
    <row r="1961" spans="3:3">
      <c r="C1961" s="32"/>
    </row>
    <row r="1962" spans="3:3">
      <c r="C1962" s="32"/>
    </row>
    <row r="1963" spans="3:3">
      <c r="C1963" s="32"/>
    </row>
    <row r="1964" spans="3:3">
      <c r="C1964" s="32"/>
    </row>
    <row r="1965" spans="3:3">
      <c r="C1965" s="32"/>
    </row>
    <row r="1966" spans="3:3">
      <c r="C1966" s="32"/>
    </row>
    <row r="1967" spans="3:3">
      <c r="C1967" s="32"/>
    </row>
    <row r="1968" spans="3:3">
      <c r="C1968" s="32"/>
    </row>
    <row r="1969" spans="3:8">
      <c r="C1969" s="32"/>
    </row>
    <row r="1970" spans="3:8">
      <c r="C1970" s="32"/>
    </row>
    <row r="1971" spans="3:8">
      <c r="C1971" s="32"/>
    </row>
    <row r="1972" spans="3:8">
      <c r="C1972" s="32"/>
    </row>
    <row r="1973" spans="3:8">
      <c r="C1973" s="32"/>
    </row>
    <row r="1974" spans="3:8">
      <c r="C1974" s="32"/>
    </row>
    <row r="1975" spans="3:8">
      <c r="C1975" s="32"/>
    </row>
    <row r="1976" spans="3:8">
      <c r="C1976" s="32"/>
    </row>
    <row r="1977" spans="3:8">
      <c r="C1977" s="32"/>
    </row>
    <row r="1978" spans="3:8">
      <c r="C1978" s="32"/>
      <c r="G1978" s="11"/>
      <c r="H1978" s="11"/>
    </row>
    <row r="1979" spans="3:8">
      <c r="C1979" s="32"/>
    </row>
    <row r="1980" spans="3:8">
      <c r="C1980" s="32"/>
    </row>
    <row r="1981" spans="3:8">
      <c r="C1981" s="32"/>
    </row>
    <row r="1982" spans="3:8">
      <c r="C1982" s="32"/>
    </row>
    <row r="1983" spans="3:8">
      <c r="C1983" s="32"/>
    </row>
    <row r="1984" spans="3:8">
      <c r="C1984" s="32"/>
    </row>
    <row r="1985" spans="3:3">
      <c r="C1985" s="32"/>
    </row>
    <row r="1986" spans="3:3">
      <c r="C1986" s="32"/>
    </row>
    <row r="1987" spans="3:3">
      <c r="C1987" s="32"/>
    </row>
    <row r="1988" spans="3:3">
      <c r="C1988" s="32"/>
    </row>
    <row r="1989" spans="3:3">
      <c r="C1989" s="32"/>
    </row>
    <row r="1990" spans="3:3">
      <c r="C1990" s="32"/>
    </row>
    <row r="1991" spans="3:3">
      <c r="C1991" s="32"/>
    </row>
    <row r="1992" spans="3:3">
      <c r="C1992" s="32"/>
    </row>
    <row r="1993" spans="3:3">
      <c r="C1993" s="32"/>
    </row>
    <row r="1994" spans="3:3">
      <c r="C1994" s="32"/>
    </row>
    <row r="1995" spans="3:3">
      <c r="C1995" s="32"/>
    </row>
    <row r="1996" spans="3:3">
      <c r="C1996" s="32"/>
    </row>
    <row r="1997" spans="3:3">
      <c r="C1997" s="32"/>
    </row>
    <row r="1998" spans="3:3">
      <c r="C1998" s="32"/>
    </row>
    <row r="1999" spans="3:3">
      <c r="C1999" s="32"/>
    </row>
    <row r="2000" spans="3:3">
      <c r="C2000" s="32"/>
    </row>
    <row r="2001" spans="3:3">
      <c r="C2001" s="32"/>
    </row>
    <row r="2002" spans="3:3">
      <c r="C2002" s="32"/>
    </row>
    <row r="2003" spans="3:3">
      <c r="C2003" s="32"/>
    </row>
    <row r="2004" spans="3:3">
      <c r="C2004" s="32"/>
    </row>
    <row r="2005" spans="3:3">
      <c r="C2005" s="32"/>
    </row>
    <row r="2006" spans="3:3">
      <c r="C2006" s="32"/>
    </row>
    <row r="2007" spans="3:3">
      <c r="C2007" s="32"/>
    </row>
    <row r="2008" spans="3:3">
      <c r="C2008" s="32"/>
    </row>
    <row r="2009" spans="3:3">
      <c r="C2009" s="32"/>
    </row>
    <row r="2010" spans="3:3">
      <c r="C2010" s="32"/>
    </row>
    <row r="2011" spans="3:3">
      <c r="C2011" s="32"/>
    </row>
    <row r="2012" spans="3:3">
      <c r="C2012" s="32"/>
    </row>
    <row r="2013" spans="3:3">
      <c r="C2013" s="32"/>
    </row>
    <row r="2014" spans="3:3">
      <c r="C2014" s="32"/>
    </row>
    <row r="2015" spans="3:3">
      <c r="C2015" s="32"/>
    </row>
    <row r="2016" spans="3:3">
      <c r="C2016" s="32"/>
    </row>
    <row r="2017" spans="3:3">
      <c r="C2017" s="32"/>
    </row>
    <row r="2018" spans="3:3">
      <c r="C2018" s="32"/>
    </row>
    <row r="2019" spans="3:3">
      <c r="C2019" s="32"/>
    </row>
    <row r="2020" spans="3:3">
      <c r="C2020" s="32"/>
    </row>
    <row r="2021" spans="3:3">
      <c r="C2021" s="32"/>
    </row>
    <row r="2022" spans="3:3">
      <c r="C2022" s="32"/>
    </row>
    <row r="2023" spans="3:3">
      <c r="C2023" s="32"/>
    </row>
    <row r="2024" spans="3:3">
      <c r="C2024" s="32"/>
    </row>
    <row r="2025" spans="3:3">
      <c r="C2025" s="32"/>
    </row>
    <row r="2026" spans="3:3">
      <c r="C2026" s="32"/>
    </row>
    <row r="2027" spans="3:3">
      <c r="C2027" s="32"/>
    </row>
    <row r="2028" spans="3:3">
      <c r="C2028" s="32"/>
    </row>
    <row r="2029" spans="3:3">
      <c r="C2029" s="32"/>
    </row>
    <row r="2030" spans="3:3">
      <c r="C2030" s="32"/>
    </row>
    <row r="2031" spans="3:3">
      <c r="C2031" s="32"/>
    </row>
    <row r="2032" spans="3:3">
      <c r="C2032" s="32"/>
    </row>
    <row r="2033" spans="3:3">
      <c r="C2033" s="32"/>
    </row>
    <row r="2034" spans="3:3">
      <c r="C2034" s="32"/>
    </row>
    <row r="2035" spans="3:3">
      <c r="C2035" s="32"/>
    </row>
    <row r="2036" spans="3:3">
      <c r="C2036" s="32"/>
    </row>
    <row r="2037" spans="3:3">
      <c r="C2037" s="32"/>
    </row>
    <row r="2038" spans="3:3">
      <c r="C2038" s="32"/>
    </row>
    <row r="2039" spans="3:3">
      <c r="C2039" s="32"/>
    </row>
    <row r="2040" spans="3:3">
      <c r="C2040" s="32"/>
    </row>
    <row r="2041" spans="3:3">
      <c r="C2041" s="32"/>
    </row>
    <row r="2042" spans="3:3">
      <c r="C2042" s="32"/>
    </row>
    <row r="2043" spans="3:3">
      <c r="C2043" s="32"/>
    </row>
    <row r="2044" spans="3:3">
      <c r="C2044" s="32"/>
    </row>
    <row r="2045" spans="3:3">
      <c r="C2045" s="32"/>
    </row>
    <row r="2046" spans="3:3">
      <c r="C2046" s="32"/>
    </row>
    <row r="2047" spans="3:3">
      <c r="C2047" s="32"/>
    </row>
    <row r="2048" spans="3:3">
      <c r="C2048" s="32"/>
    </row>
    <row r="2049" spans="3:3">
      <c r="C2049" s="32"/>
    </row>
    <row r="2050" spans="3:3">
      <c r="C2050" s="32"/>
    </row>
    <row r="2051" spans="3:3">
      <c r="C2051" s="32"/>
    </row>
    <row r="2052" spans="3:3">
      <c r="C2052" s="32"/>
    </row>
    <row r="2053" spans="3:3">
      <c r="C2053" s="32"/>
    </row>
    <row r="2054" spans="3:3">
      <c r="C2054" s="32"/>
    </row>
    <row r="2055" spans="3:3">
      <c r="C2055" s="32"/>
    </row>
    <row r="2056" spans="3:3">
      <c r="C2056" s="32"/>
    </row>
    <row r="2057" spans="3:3">
      <c r="C2057" s="32"/>
    </row>
    <row r="2058" spans="3:3">
      <c r="C2058" s="32"/>
    </row>
    <row r="2059" spans="3:3">
      <c r="C2059" s="32"/>
    </row>
    <row r="2060" spans="3:3">
      <c r="C2060" s="32"/>
    </row>
    <row r="2061" spans="3:3">
      <c r="C2061" s="32"/>
    </row>
    <row r="2062" spans="3:3">
      <c r="C2062" s="32"/>
    </row>
    <row r="2063" spans="3:3">
      <c r="C2063" s="32"/>
    </row>
    <row r="2064" spans="3:3">
      <c r="C2064" s="32"/>
    </row>
    <row r="2065" spans="3:3">
      <c r="C2065" s="32"/>
    </row>
    <row r="2066" spans="3:3">
      <c r="C2066" s="32"/>
    </row>
    <row r="2067" spans="3:3">
      <c r="C2067" s="32"/>
    </row>
    <row r="2068" spans="3:3">
      <c r="C2068" s="32"/>
    </row>
    <row r="2069" spans="3:3">
      <c r="C2069" s="32"/>
    </row>
    <row r="2070" spans="3:3">
      <c r="C2070" s="32"/>
    </row>
    <row r="2071" spans="3:3">
      <c r="C2071" s="32"/>
    </row>
    <row r="2072" spans="3:3">
      <c r="C2072" s="32"/>
    </row>
    <row r="2073" spans="3:3">
      <c r="C2073" s="32"/>
    </row>
    <row r="2074" spans="3:3">
      <c r="C2074" s="32"/>
    </row>
    <row r="2075" spans="3:3">
      <c r="C2075" s="32"/>
    </row>
    <row r="2076" spans="3:3">
      <c r="C2076" s="32"/>
    </row>
    <row r="2077" spans="3:3">
      <c r="C2077" s="32"/>
    </row>
    <row r="2078" spans="3:3">
      <c r="C2078" s="32"/>
    </row>
    <row r="2079" spans="3:3">
      <c r="C2079" s="32"/>
    </row>
    <row r="2080" spans="3:3">
      <c r="C2080" s="32"/>
    </row>
    <row r="2081" spans="3:3">
      <c r="C2081" s="32"/>
    </row>
    <row r="2082" spans="3:3">
      <c r="C2082" s="32"/>
    </row>
    <row r="2083" spans="3:3">
      <c r="C2083" s="32"/>
    </row>
    <row r="2084" spans="3:3">
      <c r="C2084" s="32"/>
    </row>
    <row r="2085" spans="3:3">
      <c r="C2085" s="32"/>
    </row>
    <row r="2086" spans="3:3">
      <c r="C2086" s="32"/>
    </row>
    <row r="2087" spans="3:3">
      <c r="C2087" s="32"/>
    </row>
    <row r="2088" spans="3:3">
      <c r="C2088" s="32"/>
    </row>
    <row r="2089" spans="3:3">
      <c r="C2089" s="32"/>
    </row>
    <row r="2090" spans="3:3">
      <c r="C2090" s="32"/>
    </row>
    <row r="2091" spans="3:3">
      <c r="C2091" s="32"/>
    </row>
    <row r="2092" spans="3:3">
      <c r="C2092" s="32"/>
    </row>
    <row r="2093" spans="3:3">
      <c r="C2093" s="32"/>
    </row>
    <row r="2094" spans="3:3">
      <c r="C2094" s="32"/>
    </row>
    <row r="2095" spans="3:3">
      <c r="C2095" s="32"/>
    </row>
    <row r="2096" spans="3:3">
      <c r="C2096" s="32"/>
    </row>
    <row r="2097" spans="3:3">
      <c r="C2097" s="32"/>
    </row>
    <row r="2098" spans="3:3">
      <c r="C2098" s="32"/>
    </row>
    <row r="2099" spans="3:3">
      <c r="C2099" s="32"/>
    </row>
    <row r="2100" spans="3:3">
      <c r="C2100" s="32"/>
    </row>
    <row r="2101" spans="3:3">
      <c r="C2101" s="32"/>
    </row>
    <row r="2102" spans="3:3">
      <c r="C2102" s="32"/>
    </row>
    <row r="2103" spans="3:3">
      <c r="C2103" s="32"/>
    </row>
    <row r="2104" spans="3:3">
      <c r="C2104" s="32"/>
    </row>
    <row r="2105" spans="3:3">
      <c r="C2105" s="32"/>
    </row>
    <row r="2106" spans="3:3">
      <c r="C2106" s="32"/>
    </row>
    <row r="2107" spans="3:3">
      <c r="C2107" s="32"/>
    </row>
    <row r="2108" spans="3:3">
      <c r="C2108" s="32"/>
    </row>
    <row r="2109" spans="3:3">
      <c r="C2109" s="32"/>
    </row>
    <row r="2110" spans="3:3">
      <c r="C2110" s="32"/>
    </row>
    <row r="2111" spans="3:3">
      <c r="C2111" s="32"/>
    </row>
    <row r="2112" spans="3:3">
      <c r="C2112" s="32"/>
    </row>
    <row r="2113" spans="3:3">
      <c r="C2113" s="32"/>
    </row>
    <row r="2114" spans="3:3">
      <c r="C2114" s="32"/>
    </row>
    <row r="2115" spans="3:3">
      <c r="C2115" s="32"/>
    </row>
    <row r="2116" spans="3:3">
      <c r="C2116" s="32"/>
    </row>
    <row r="2117" spans="3:3">
      <c r="C2117" s="32"/>
    </row>
    <row r="2118" spans="3:3">
      <c r="C2118" s="32"/>
    </row>
    <row r="2119" spans="3:3">
      <c r="C2119" s="32"/>
    </row>
    <row r="2120" spans="3:3">
      <c r="C2120" s="32"/>
    </row>
    <row r="2121" spans="3:3">
      <c r="C2121" s="32"/>
    </row>
    <row r="2122" spans="3:3">
      <c r="C2122" s="32"/>
    </row>
    <row r="2123" spans="3:3">
      <c r="C2123" s="32"/>
    </row>
    <row r="2124" spans="3:3">
      <c r="C2124" s="32"/>
    </row>
    <row r="2125" spans="3:3">
      <c r="C2125" s="32"/>
    </row>
    <row r="2126" spans="3:3">
      <c r="C2126" s="32"/>
    </row>
    <row r="2127" spans="3:3">
      <c r="C2127" s="32"/>
    </row>
    <row r="2128" spans="3:3">
      <c r="C2128" s="32"/>
    </row>
    <row r="2129" spans="3:3">
      <c r="C2129" s="32"/>
    </row>
    <row r="2130" spans="3:3">
      <c r="C2130" s="32"/>
    </row>
    <row r="2131" spans="3:3">
      <c r="C2131" s="32"/>
    </row>
    <row r="2132" spans="3:3">
      <c r="C2132" s="32"/>
    </row>
    <row r="2133" spans="3:3">
      <c r="C2133" s="32"/>
    </row>
    <row r="2134" spans="3:3">
      <c r="C2134" s="32"/>
    </row>
    <row r="2135" spans="3:3">
      <c r="C2135" s="32"/>
    </row>
    <row r="2136" spans="3:3">
      <c r="C2136" s="32"/>
    </row>
    <row r="2137" spans="3:3">
      <c r="C2137" s="32"/>
    </row>
    <row r="2138" spans="3:3">
      <c r="C2138" s="32"/>
    </row>
    <row r="2139" spans="3:3">
      <c r="C2139" s="32"/>
    </row>
    <row r="2140" spans="3:3">
      <c r="C2140" s="32"/>
    </row>
    <row r="2141" spans="3:3">
      <c r="C2141" s="32"/>
    </row>
    <row r="2142" spans="3:3">
      <c r="C2142" s="32"/>
    </row>
    <row r="2143" spans="3:3">
      <c r="C2143" s="32"/>
    </row>
    <row r="2144" spans="3:3">
      <c r="C2144" s="32"/>
    </row>
    <row r="2145" spans="3:3">
      <c r="C2145" s="32"/>
    </row>
    <row r="2146" spans="3:3">
      <c r="C2146" s="32"/>
    </row>
    <row r="2147" spans="3:3">
      <c r="C2147" s="32"/>
    </row>
    <row r="2148" spans="3:3">
      <c r="C2148" s="32"/>
    </row>
    <row r="2149" spans="3:3">
      <c r="C2149" s="32"/>
    </row>
    <row r="2150" spans="3:3">
      <c r="C2150" s="32"/>
    </row>
    <row r="2151" spans="3:3">
      <c r="C2151" s="32"/>
    </row>
    <row r="2152" spans="3:3">
      <c r="C2152" s="32"/>
    </row>
    <row r="2153" spans="3:3">
      <c r="C2153" s="32"/>
    </row>
    <row r="2154" spans="3:3">
      <c r="C2154" s="32"/>
    </row>
    <row r="2155" spans="3:3">
      <c r="C2155" s="32"/>
    </row>
    <row r="2156" spans="3:3">
      <c r="C2156" s="32"/>
    </row>
    <row r="2157" spans="3:3">
      <c r="C2157" s="32"/>
    </row>
    <row r="2158" spans="3:3">
      <c r="C2158" s="32"/>
    </row>
    <row r="2159" spans="3:3">
      <c r="C2159" s="32"/>
    </row>
    <row r="2160" spans="3:3">
      <c r="C2160" s="32"/>
    </row>
    <row r="2161" spans="3:3">
      <c r="C2161" s="32"/>
    </row>
    <row r="2162" spans="3:3">
      <c r="C2162" s="32"/>
    </row>
    <row r="2163" spans="3:3">
      <c r="C2163" s="32"/>
    </row>
    <row r="2164" spans="3:3">
      <c r="C2164" s="32"/>
    </row>
    <row r="2165" spans="3:3">
      <c r="C2165" s="32"/>
    </row>
    <row r="2166" spans="3:3">
      <c r="C2166" s="32"/>
    </row>
    <row r="2167" spans="3:3">
      <c r="C2167" s="32"/>
    </row>
    <row r="2168" spans="3:3">
      <c r="C2168" s="32"/>
    </row>
    <row r="2169" spans="3:3">
      <c r="C2169" s="32"/>
    </row>
    <row r="2170" spans="3:3">
      <c r="C2170" s="32"/>
    </row>
    <row r="2171" spans="3:3">
      <c r="C2171" s="32"/>
    </row>
    <row r="2172" spans="3:3">
      <c r="C2172" s="32"/>
    </row>
    <row r="2173" spans="3:3">
      <c r="C2173" s="32"/>
    </row>
    <row r="2174" spans="3:3">
      <c r="C2174" s="32"/>
    </row>
    <row r="2175" spans="3:3">
      <c r="C2175" s="32"/>
    </row>
    <row r="2176" spans="3:3">
      <c r="C2176" s="32"/>
    </row>
    <row r="2177" spans="3:3">
      <c r="C2177" s="32"/>
    </row>
    <row r="2178" spans="3:3">
      <c r="C2178" s="32"/>
    </row>
    <row r="2179" spans="3:3">
      <c r="C2179" s="32"/>
    </row>
    <row r="2180" spans="3:3">
      <c r="C2180" s="32"/>
    </row>
    <row r="2181" spans="3:3">
      <c r="C2181" s="32"/>
    </row>
    <row r="2182" spans="3:3">
      <c r="C2182" s="32"/>
    </row>
    <row r="2183" spans="3:3">
      <c r="C2183" s="32"/>
    </row>
    <row r="2184" spans="3:3">
      <c r="C2184" s="32"/>
    </row>
    <row r="2185" spans="3:3">
      <c r="C2185" s="32"/>
    </row>
    <row r="2186" spans="3:3">
      <c r="C2186" s="32"/>
    </row>
    <row r="2187" spans="3:3">
      <c r="C2187" s="32"/>
    </row>
    <row r="2188" spans="3:3">
      <c r="C2188" s="32"/>
    </row>
    <row r="2189" spans="3:3">
      <c r="C2189" s="32"/>
    </row>
    <row r="2190" spans="3:3">
      <c r="C2190" s="32"/>
    </row>
    <row r="2191" spans="3:3">
      <c r="C2191" s="32"/>
    </row>
    <row r="2192" spans="3:3">
      <c r="C2192" s="32"/>
    </row>
    <row r="2193" spans="3:3">
      <c r="C2193" s="32"/>
    </row>
    <row r="2194" spans="3:3">
      <c r="C2194" s="32"/>
    </row>
    <row r="2195" spans="3:3">
      <c r="C2195" s="32"/>
    </row>
    <row r="2196" spans="3:3">
      <c r="C2196" s="32"/>
    </row>
    <row r="2197" spans="3:3">
      <c r="C2197" s="32"/>
    </row>
    <row r="2198" spans="3:3">
      <c r="C2198" s="32"/>
    </row>
    <row r="2199" spans="3:3">
      <c r="C2199" s="32"/>
    </row>
    <row r="2200" spans="3:3">
      <c r="C2200" s="32"/>
    </row>
    <row r="2201" spans="3:3">
      <c r="C2201" s="32"/>
    </row>
    <row r="2202" spans="3:3">
      <c r="C2202" s="32"/>
    </row>
    <row r="2203" spans="3:3">
      <c r="C2203" s="32"/>
    </row>
    <row r="2204" spans="3:3">
      <c r="C2204" s="32"/>
    </row>
    <row r="2205" spans="3:3">
      <c r="C2205" s="32"/>
    </row>
    <row r="2206" spans="3:3">
      <c r="C2206" s="32"/>
    </row>
    <row r="2207" spans="3:3">
      <c r="C2207" s="32"/>
    </row>
    <row r="2208" spans="3:3">
      <c r="C2208" s="32"/>
    </row>
    <row r="2209" spans="3:3">
      <c r="C2209" s="32"/>
    </row>
    <row r="2210" spans="3:3">
      <c r="C2210" s="32"/>
    </row>
    <row r="2211" spans="3:3">
      <c r="C2211" s="32"/>
    </row>
    <row r="2212" spans="3:3">
      <c r="C2212" s="32"/>
    </row>
    <row r="2213" spans="3:3">
      <c r="C2213" s="32"/>
    </row>
    <row r="2214" spans="3:3">
      <c r="C2214" s="32"/>
    </row>
    <row r="2215" spans="3:3">
      <c r="C2215" s="32"/>
    </row>
    <row r="2216" spans="3:3">
      <c r="C2216" s="32"/>
    </row>
    <row r="2217" spans="3:3">
      <c r="C2217" s="32"/>
    </row>
    <row r="2218" spans="3:3">
      <c r="C2218" s="32"/>
    </row>
    <row r="2219" spans="3:3">
      <c r="C2219" s="32"/>
    </row>
    <row r="2220" spans="3:3">
      <c r="C2220" s="32"/>
    </row>
    <row r="2221" spans="3:3">
      <c r="C2221" s="32"/>
    </row>
    <row r="2222" spans="3:3">
      <c r="C2222" s="32"/>
    </row>
    <row r="2223" spans="3:3">
      <c r="C2223" s="32"/>
    </row>
    <row r="2224" spans="3:3">
      <c r="C2224" s="32"/>
    </row>
    <row r="2225" spans="3:3">
      <c r="C2225" s="32"/>
    </row>
    <row r="2226" spans="3:3">
      <c r="C2226" s="32"/>
    </row>
    <row r="2227" spans="3:3">
      <c r="C2227" s="32"/>
    </row>
    <row r="2228" spans="3:3">
      <c r="C2228" s="32"/>
    </row>
    <row r="2229" spans="3:3">
      <c r="C2229" s="32"/>
    </row>
    <row r="2230" spans="3:3">
      <c r="C2230" s="32"/>
    </row>
    <row r="2231" spans="3:3">
      <c r="C2231" s="32"/>
    </row>
    <row r="2232" spans="3:3">
      <c r="C2232" s="32"/>
    </row>
    <row r="2233" spans="3:3">
      <c r="C2233" s="32"/>
    </row>
    <row r="2234" spans="3:3">
      <c r="C2234" s="32"/>
    </row>
    <row r="2235" spans="3:3">
      <c r="C2235" s="32"/>
    </row>
    <row r="2236" spans="3:3">
      <c r="C2236" s="32"/>
    </row>
    <row r="2237" spans="3:3">
      <c r="C2237" s="32"/>
    </row>
    <row r="2238" spans="3:3">
      <c r="C2238" s="32"/>
    </row>
    <row r="2239" spans="3:3">
      <c r="C2239" s="32"/>
    </row>
    <row r="2240" spans="3:3">
      <c r="C2240" s="32"/>
    </row>
    <row r="2241" spans="3:3">
      <c r="C2241" s="32"/>
    </row>
    <row r="2242" spans="3:3">
      <c r="C2242" s="32"/>
    </row>
    <row r="2243" spans="3:3">
      <c r="C2243" s="32"/>
    </row>
    <row r="2244" spans="3:3">
      <c r="C2244" s="32"/>
    </row>
    <row r="2245" spans="3:3">
      <c r="C2245" s="32"/>
    </row>
    <row r="2246" spans="3:3">
      <c r="C2246" s="32"/>
    </row>
    <row r="2247" spans="3:3">
      <c r="C2247" s="32"/>
    </row>
    <row r="2248" spans="3:3">
      <c r="C2248" s="32"/>
    </row>
    <row r="2249" spans="3:3">
      <c r="C2249" s="32"/>
    </row>
    <row r="2250" spans="3:3">
      <c r="C2250" s="32"/>
    </row>
    <row r="2251" spans="3:3">
      <c r="C2251" s="32"/>
    </row>
    <row r="2252" spans="3:3">
      <c r="C2252" s="32"/>
    </row>
    <row r="2253" spans="3:3">
      <c r="C2253" s="32"/>
    </row>
    <row r="2254" spans="3:3">
      <c r="C2254" s="32"/>
    </row>
    <row r="2255" spans="3:3">
      <c r="C2255" s="32"/>
    </row>
    <row r="2256" spans="3:3">
      <c r="C2256" s="32"/>
    </row>
    <row r="2257" spans="3:3">
      <c r="C2257" s="32"/>
    </row>
    <row r="2258" spans="3:3">
      <c r="C2258" s="32"/>
    </row>
    <row r="2259" spans="3:3">
      <c r="C2259" s="32"/>
    </row>
    <row r="2260" spans="3:3">
      <c r="C2260" s="32"/>
    </row>
    <row r="2261" spans="3:3">
      <c r="C2261" s="32"/>
    </row>
    <row r="2262" spans="3:3">
      <c r="C2262" s="32"/>
    </row>
    <row r="2263" spans="3:3">
      <c r="C2263" s="32"/>
    </row>
    <row r="2264" spans="3:3">
      <c r="C2264" s="32"/>
    </row>
    <row r="2265" spans="3:3">
      <c r="C2265" s="32"/>
    </row>
    <row r="2266" spans="3:3">
      <c r="C2266" s="32"/>
    </row>
    <row r="2267" spans="3:3">
      <c r="C2267" s="32"/>
    </row>
    <row r="2268" spans="3:3">
      <c r="C2268" s="32"/>
    </row>
    <row r="2269" spans="3:3">
      <c r="C2269" s="32"/>
    </row>
    <row r="2270" spans="3:3">
      <c r="C2270" s="32"/>
    </row>
    <row r="2271" spans="3:3">
      <c r="C2271" s="32"/>
    </row>
    <row r="2272" spans="3:3">
      <c r="C2272" s="32"/>
    </row>
    <row r="2273" spans="3:3">
      <c r="C2273" s="32"/>
    </row>
    <row r="2274" spans="3:3">
      <c r="C2274" s="32"/>
    </row>
    <row r="2275" spans="3:3">
      <c r="C2275" s="32"/>
    </row>
    <row r="2276" spans="3:3">
      <c r="C2276" s="32"/>
    </row>
    <row r="2277" spans="3:3">
      <c r="C2277" s="32"/>
    </row>
    <row r="2278" spans="3:3">
      <c r="C2278" s="32"/>
    </row>
    <row r="2279" spans="3:3">
      <c r="C2279" s="32"/>
    </row>
    <row r="2280" spans="3:3">
      <c r="C2280" s="32"/>
    </row>
    <row r="2281" spans="3:3">
      <c r="C2281" s="32"/>
    </row>
    <row r="2282" spans="3:3">
      <c r="C2282" s="32"/>
    </row>
    <row r="2283" spans="3:3">
      <c r="C2283" s="32"/>
    </row>
    <row r="2284" spans="3:3">
      <c r="C2284" s="32"/>
    </row>
    <row r="2285" spans="3:3">
      <c r="C2285" s="32"/>
    </row>
    <row r="2286" spans="3:3">
      <c r="C2286" s="32"/>
    </row>
    <row r="2287" spans="3:3">
      <c r="C2287" s="32"/>
    </row>
    <row r="2288" spans="3:3">
      <c r="C2288" s="32"/>
    </row>
    <row r="2289" spans="3:3">
      <c r="C2289" s="32"/>
    </row>
    <row r="2290" spans="3:3">
      <c r="C2290" s="32"/>
    </row>
    <row r="2291" spans="3:3">
      <c r="C2291" s="32"/>
    </row>
    <row r="2292" spans="3:3">
      <c r="C2292" s="32"/>
    </row>
    <row r="2293" spans="3:3">
      <c r="C2293" s="32"/>
    </row>
    <row r="2294" spans="3:3">
      <c r="C2294" s="32"/>
    </row>
    <row r="2295" spans="3:3">
      <c r="C2295" s="32"/>
    </row>
    <row r="2296" spans="3:3">
      <c r="C2296" s="32"/>
    </row>
    <row r="2297" spans="3:3">
      <c r="C2297" s="32"/>
    </row>
    <row r="2298" spans="3:3">
      <c r="C2298" s="32"/>
    </row>
    <row r="2299" spans="3:3">
      <c r="C2299" s="32"/>
    </row>
    <row r="2300" spans="3:3">
      <c r="C2300" s="32"/>
    </row>
    <row r="2301" spans="3:3">
      <c r="C2301" s="32"/>
    </row>
    <row r="2302" spans="3:3">
      <c r="C2302" s="32"/>
    </row>
    <row r="2303" spans="3:3">
      <c r="C2303" s="32"/>
    </row>
    <row r="2304" spans="3:3">
      <c r="C2304" s="32"/>
    </row>
    <row r="2305" spans="3:3">
      <c r="C2305" s="32"/>
    </row>
    <row r="2306" spans="3:3">
      <c r="C2306" s="32"/>
    </row>
    <row r="2307" spans="3:3">
      <c r="C2307" s="32"/>
    </row>
    <row r="2308" spans="3:3">
      <c r="C2308" s="32"/>
    </row>
    <row r="2309" spans="3:3">
      <c r="C2309" s="32"/>
    </row>
    <row r="2310" spans="3:3">
      <c r="C2310" s="32"/>
    </row>
    <row r="2311" spans="3:3">
      <c r="C2311" s="32"/>
    </row>
    <row r="2312" spans="3:3">
      <c r="C2312" s="32"/>
    </row>
    <row r="2313" spans="3:3">
      <c r="C2313" s="32"/>
    </row>
    <row r="2314" spans="3:3">
      <c r="C2314" s="32"/>
    </row>
    <row r="2315" spans="3:3">
      <c r="C2315" s="32"/>
    </row>
    <row r="2316" spans="3:3">
      <c r="C2316" s="32"/>
    </row>
    <row r="2317" spans="3:3">
      <c r="C2317" s="32"/>
    </row>
    <row r="2318" spans="3:3">
      <c r="C2318" s="32"/>
    </row>
    <row r="2319" spans="3:3">
      <c r="C2319" s="32"/>
    </row>
    <row r="2320" spans="3:3">
      <c r="C2320" s="32"/>
    </row>
    <row r="2321" spans="3:3">
      <c r="C2321" s="32"/>
    </row>
    <row r="2322" spans="3:3">
      <c r="C2322" s="32"/>
    </row>
    <row r="2323" spans="3:3">
      <c r="C2323" s="32"/>
    </row>
    <row r="2324" spans="3:3">
      <c r="C2324" s="32"/>
    </row>
    <row r="2325" spans="3:3">
      <c r="C2325" s="32"/>
    </row>
    <row r="2326" spans="3:3">
      <c r="C2326" s="32"/>
    </row>
    <row r="2327" spans="3:3">
      <c r="C2327" s="32"/>
    </row>
    <row r="2328" spans="3:3">
      <c r="C2328" s="32"/>
    </row>
    <row r="2329" spans="3:3">
      <c r="C2329" s="32"/>
    </row>
    <row r="2330" spans="3:3">
      <c r="C2330" s="32"/>
    </row>
    <row r="2331" spans="3:3">
      <c r="C2331" s="32"/>
    </row>
    <row r="2332" spans="3:3">
      <c r="C2332" s="32"/>
    </row>
    <row r="2333" spans="3:3">
      <c r="C2333" s="32"/>
    </row>
    <row r="2334" spans="3:3">
      <c r="C2334" s="32"/>
    </row>
    <row r="2335" spans="3:3">
      <c r="C2335" s="32"/>
    </row>
    <row r="2336" spans="3:3">
      <c r="C2336" s="32"/>
    </row>
    <row r="2337" spans="3:3">
      <c r="C2337" s="32"/>
    </row>
    <row r="2338" spans="3:3">
      <c r="C2338" s="32"/>
    </row>
    <row r="2339" spans="3:3">
      <c r="C2339" s="32"/>
    </row>
    <row r="2340" spans="3:3">
      <c r="C2340" s="32"/>
    </row>
    <row r="2341" spans="3:3">
      <c r="C2341" s="32"/>
    </row>
    <row r="2342" spans="3:3">
      <c r="C2342" s="32"/>
    </row>
    <row r="2343" spans="3:3">
      <c r="C2343" s="32"/>
    </row>
    <row r="2344" spans="3:3">
      <c r="C2344" s="32"/>
    </row>
    <row r="2345" spans="3:3">
      <c r="C2345" s="32"/>
    </row>
    <row r="2346" spans="3:3">
      <c r="C2346" s="32"/>
    </row>
    <row r="2347" spans="3:3">
      <c r="C2347" s="32"/>
    </row>
    <row r="2348" spans="3:3">
      <c r="C2348" s="32"/>
    </row>
    <row r="2349" spans="3:3">
      <c r="C2349" s="32"/>
    </row>
    <row r="2350" spans="3:3">
      <c r="C2350" s="32"/>
    </row>
    <row r="2351" spans="3:3">
      <c r="C2351" s="32"/>
    </row>
    <row r="2352" spans="3:3">
      <c r="C2352" s="32"/>
    </row>
    <row r="2353" spans="3:3">
      <c r="C2353" s="32"/>
    </row>
    <row r="2354" spans="3:3">
      <c r="C2354" s="32"/>
    </row>
    <row r="2355" spans="3:3">
      <c r="C2355" s="32"/>
    </row>
    <row r="2356" spans="3:3">
      <c r="C2356" s="32"/>
    </row>
    <row r="2357" spans="3:3">
      <c r="C2357" s="32"/>
    </row>
    <row r="2358" spans="3:3">
      <c r="C2358" s="32"/>
    </row>
    <row r="2359" spans="3:3">
      <c r="C2359" s="32"/>
    </row>
    <row r="2360" spans="3:3">
      <c r="C2360" s="32"/>
    </row>
    <row r="2361" spans="3:3">
      <c r="C2361" s="32"/>
    </row>
    <row r="2362" spans="3:3">
      <c r="C2362" s="32"/>
    </row>
    <row r="2363" spans="3:3">
      <c r="C2363" s="32"/>
    </row>
    <row r="2364" spans="3:3">
      <c r="C2364" s="32"/>
    </row>
    <row r="2365" spans="3:3">
      <c r="C2365" s="32"/>
    </row>
    <row r="2366" spans="3:3">
      <c r="C2366" s="32"/>
    </row>
    <row r="2367" spans="3:3">
      <c r="C2367" s="32"/>
    </row>
    <row r="2368" spans="3:3">
      <c r="C2368" s="32"/>
    </row>
    <row r="2369" spans="3:3">
      <c r="C2369" s="32"/>
    </row>
    <row r="2370" spans="3:3">
      <c r="C2370" s="32"/>
    </row>
    <row r="2371" spans="3:3">
      <c r="C2371" s="32"/>
    </row>
    <row r="2372" spans="3:3">
      <c r="C2372" s="32"/>
    </row>
    <row r="2373" spans="3:3">
      <c r="C2373" s="32"/>
    </row>
    <row r="2374" spans="3:3">
      <c r="C2374" s="32"/>
    </row>
    <row r="2375" spans="3:3">
      <c r="C2375" s="32"/>
    </row>
    <row r="2376" spans="3:3">
      <c r="C2376" s="32"/>
    </row>
    <row r="2377" spans="3:3">
      <c r="C2377" s="32"/>
    </row>
    <row r="2378" spans="3:3">
      <c r="C2378" s="32"/>
    </row>
    <row r="2379" spans="3:3">
      <c r="C2379" s="32"/>
    </row>
    <row r="2380" spans="3:3">
      <c r="C2380" s="32"/>
    </row>
    <row r="2381" spans="3:3">
      <c r="C2381" s="32"/>
    </row>
    <row r="2382" spans="3:3">
      <c r="C2382" s="32"/>
    </row>
    <row r="2383" spans="3:3">
      <c r="C2383" s="32"/>
    </row>
    <row r="2384" spans="3:3">
      <c r="C2384" s="32"/>
    </row>
    <row r="2385" spans="3:3">
      <c r="C2385" s="32"/>
    </row>
    <row r="2386" spans="3:3">
      <c r="C2386" s="32"/>
    </row>
    <row r="2387" spans="3:3">
      <c r="C2387" s="32"/>
    </row>
    <row r="2388" spans="3:3">
      <c r="C2388" s="32"/>
    </row>
    <row r="2389" spans="3:3">
      <c r="C2389" s="32"/>
    </row>
    <row r="2390" spans="3:3">
      <c r="C2390" s="32"/>
    </row>
    <row r="2391" spans="3:3">
      <c r="C2391" s="32"/>
    </row>
    <row r="2392" spans="3:3">
      <c r="C2392" s="32"/>
    </row>
    <row r="2393" spans="3:3">
      <c r="C2393" s="32"/>
    </row>
    <row r="2394" spans="3:3">
      <c r="C2394" s="32"/>
    </row>
    <row r="2395" spans="3:3">
      <c r="C2395" s="32"/>
    </row>
    <row r="2396" spans="3:3">
      <c r="C2396" s="32"/>
    </row>
    <row r="2397" spans="3:3">
      <c r="C2397" s="32"/>
    </row>
    <row r="2398" spans="3:3">
      <c r="C2398" s="32"/>
    </row>
    <row r="2399" spans="3:3">
      <c r="C2399" s="32"/>
    </row>
    <row r="2400" spans="3:3">
      <c r="C2400" s="32"/>
    </row>
    <row r="2401" spans="3:3">
      <c r="C2401" s="32"/>
    </row>
    <row r="2402" spans="3:3">
      <c r="C2402" s="32"/>
    </row>
    <row r="2403" spans="3:3">
      <c r="C2403" s="32"/>
    </row>
    <row r="2404" spans="3:3">
      <c r="C2404" s="32"/>
    </row>
    <row r="2405" spans="3:3">
      <c r="C2405" s="32"/>
    </row>
    <row r="2406" spans="3:3">
      <c r="C2406" s="32"/>
    </row>
    <row r="2407" spans="3:3">
      <c r="C2407" s="32"/>
    </row>
    <row r="2408" spans="3:3">
      <c r="C2408" s="32"/>
    </row>
    <row r="2409" spans="3:3">
      <c r="C2409" s="32"/>
    </row>
    <row r="2410" spans="3:3">
      <c r="C2410" s="32"/>
    </row>
    <row r="2411" spans="3:3">
      <c r="C2411" s="32"/>
    </row>
    <row r="2412" spans="3:3">
      <c r="C2412" s="32"/>
    </row>
    <row r="2413" spans="3:3">
      <c r="C2413" s="32"/>
    </row>
    <row r="2414" spans="3:3">
      <c r="C2414" s="32"/>
    </row>
    <row r="2415" spans="3:3">
      <c r="C2415" s="32"/>
    </row>
    <row r="2416" spans="3:3">
      <c r="C2416" s="32"/>
    </row>
    <row r="2417" spans="3:3">
      <c r="C2417" s="32"/>
    </row>
    <row r="2418" spans="3:3">
      <c r="C2418" s="32"/>
    </row>
    <row r="2419" spans="3:3">
      <c r="C2419" s="32"/>
    </row>
    <row r="2420" spans="3:3">
      <c r="C2420" s="32"/>
    </row>
    <row r="2421" spans="3:3">
      <c r="C2421" s="32"/>
    </row>
    <row r="2422" spans="3:3">
      <c r="C2422" s="32"/>
    </row>
    <row r="2423" spans="3:3">
      <c r="C2423" s="32"/>
    </row>
    <row r="2424" spans="3:3">
      <c r="C2424" s="32"/>
    </row>
    <row r="2425" spans="3:3">
      <c r="C2425" s="32"/>
    </row>
    <row r="2426" spans="3:3">
      <c r="C2426" s="32"/>
    </row>
    <row r="2427" spans="3:3">
      <c r="C2427" s="32"/>
    </row>
    <row r="2428" spans="3:3">
      <c r="C2428" s="32"/>
    </row>
    <row r="2429" spans="3:3">
      <c r="C2429" s="32"/>
    </row>
    <row r="2430" spans="3:3">
      <c r="C2430" s="32"/>
    </row>
    <row r="2431" spans="3:3">
      <c r="C2431" s="32"/>
    </row>
    <row r="2432" spans="3:3">
      <c r="C2432" s="32"/>
    </row>
    <row r="2433" spans="3:3">
      <c r="C2433" s="32"/>
    </row>
    <row r="2434" spans="3:3">
      <c r="C2434" s="32"/>
    </row>
    <row r="2435" spans="3:3">
      <c r="C2435" s="32"/>
    </row>
    <row r="2436" spans="3:3">
      <c r="C2436" s="32"/>
    </row>
    <row r="2437" spans="3:3">
      <c r="C2437" s="32"/>
    </row>
    <row r="2438" spans="3:3">
      <c r="C2438" s="32"/>
    </row>
    <row r="2439" spans="3:3">
      <c r="C2439" s="32"/>
    </row>
    <row r="2440" spans="3:3">
      <c r="C2440" s="32"/>
    </row>
    <row r="2441" spans="3:3">
      <c r="C2441" s="32"/>
    </row>
    <row r="2442" spans="3:3">
      <c r="C2442" s="32"/>
    </row>
    <row r="2443" spans="3:3">
      <c r="C2443" s="32"/>
    </row>
    <row r="2444" spans="3:3">
      <c r="C2444" s="32"/>
    </row>
    <row r="2445" spans="3:3">
      <c r="C2445" s="32"/>
    </row>
    <row r="2446" spans="3:3">
      <c r="C2446" s="32"/>
    </row>
    <row r="2447" spans="3:3">
      <c r="C2447" s="32"/>
    </row>
    <row r="2448" spans="3:3">
      <c r="C2448" s="32"/>
    </row>
    <row r="2449" spans="3:3">
      <c r="C2449" s="32"/>
    </row>
    <row r="2450" spans="3:3">
      <c r="C2450" s="32"/>
    </row>
    <row r="2451" spans="3:3">
      <c r="C2451" s="32"/>
    </row>
    <row r="2452" spans="3:3">
      <c r="C2452" s="32"/>
    </row>
    <row r="2453" spans="3:3">
      <c r="C2453" s="32"/>
    </row>
    <row r="2454" spans="3:3">
      <c r="C2454" s="32"/>
    </row>
    <row r="2455" spans="3:3">
      <c r="C2455" s="32"/>
    </row>
    <row r="2456" spans="3:3">
      <c r="C2456" s="32"/>
    </row>
    <row r="2457" spans="3:3">
      <c r="C2457" s="32"/>
    </row>
    <row r="2458" spans="3:3">
      <c r="C2458" s="32"/>
    </row>
    <row r="2459" spans="3:3">
      <c r="C2459" s="32"/>
    </row>
    <row r="2460" spans="3:3">
      <c r="C2460" s="32"/>
    </row>
    <row r="2461" spans="3:3">
      <c r="C2461" s="32"/>
    </row>
    <row r="2462" spans="3:3">
      <c r="C2462" s="32"/>
    </row>
    <row r="2463" spans="3:3">
      <c r="C2463" s="32"/>
    </row>
    <row r="2464" spans="3:3">
      <c r="C2464" s="32"/>
    </row>
    <row r="2465" spans="3:3">
      <c r="C2465" s="32"/>
    </row>
    <row r="2466" spans="3:3">
      <c r="C2466" s="32"/>
    </row>
    <row r="2467" spans="3:3">
      <c r="C2467" s="32"/>
    </row>
    <row r="2468" spans="3:3">
      <c r="C2468" s="32"/>
    </row>
    <row r="2469" spans="3:3">
      <c r="C2469" s="32"/>
    </row>
    <row r="2470" spans="3:3">
      <c r="C2470" s="32"/>
    </row>
    <row r="2471" spans="3:3">
      <c r="C2471" s="32"/>
    </row>
    <row r="2472" spans="3:3">
      <c r="C2472" s="32"/>
    </row>
    <row r="2473" spans="3:3">
      <c r="C2473" s="32"/>
    </row>
    <row r="2474" spans="3:3">
      <c r="C2474" s="32"/>
    </row>
    <row r="2475" spans="3:3">
      <c r="C2475" s="32"/>
    </row>
    <row r="2476" spans="3:3">
      <c r="C2476" s="32"/>
    </row>
    <row r="2477" spans="3:3">
      <c r="C2477" s="32"/>
    </row>
    <row r="2478" spans="3:3">
      <c r="C2478" s="32"/>
    </row>
    <row r="2479" spans="3:3">
      <c r="C2479" s="32"/>
    </row>
    <row r="2480" spans="3:3">
      <c r="C2480" s="32"/>
    </row>
    <row r="2481" spans="3:3">
      <c r="C2481" s="32"/>
    </row>
    <row r="2482" spans="3:3">
      <c r="C2482" s="32"/>
    </row>
    <row r="2483" spans="3:3">
      <c r="C2483" s="32"/>
    </row>
    <row r="2484" spans="3:3">
      <c r="C2484" s="32"/>
    </row>
    <row r="2485" spans="3:3">
      <c r="C2485" s="32"/>
    </row>
    <row r="2486" spans="3:3">
      <c r="C2486" s="32"/>
    </row>
    <row r="2487" spans="3:3">
      <c r="C2487" s="32"/>
    </row>
    <row r="2488" spans="3:3">
      <c r="C2488" s="32"/>
    </row>
    <row r="2489" spans="3:3">
      <c r="C2489" s="32"/>
    </row>
    <row r="2490" spans="3:3">
      <c r="C2490" s="32"/>
    </row>
    <row r="2491" spans="3:3">
      <c r="C2491" s="32"/>
    </row>
    <row r="2492" spans="3:3">
      <c r="C2492" s="32"/>
    </row>
    <row r="2493" spans="3:3">
      <c r="C2493" s="32"/>
    </row>
    <row r="2494" spans="3:3">
      <c r="C2494" s="32"/>
    </row>
    <row r="2495" spans="3:3">
      <c r="C2495" s="32"/>
    </row>
    <row r="2496" spans="3:3">
      <c r="C2496" s="32"/>
    </row>
    <row r="2497" spans="3:3">
      <c r="C2497" s="32"/>
    </row>
    <row r="2498" spans="3:3">
      <c r="C2498" s="32"/>
    </row>
    <row r="2499" spans="3:3">
      <c r="C2499" s="32"/>
    </row>
    <row r="2500" spans="3:3">
      <c r="C2500" s="32"/>
    </row>
    <row r="2501" spans="3:3">
      <c r="C2501" s="32"/>
    </row>
    <row r="2502" spans="3:3">
      <c r="C2502" s="32"/>
    </row>
    <row r="2503" spans="3:3">
      <c r="C2503" s="32"/>
    </row>
    <row r="2504" spans="3:3">
      <c r="C2504" s="32"/>
    </row>
    <row r="2505" spans="3:3">
      <c r="C2505" s="32"/>
    </row>
    <row r="2506" spans="3:3">
      <c r="C2506" s="32"/>
    </row>
    <row r="2507" spans="3:3">
      <c r="C2507" s="32"/>
    </row>
    <row r="2508" spans="3:3">
      <c r="C2508" s="32"/>
    </row>
    <row r="2509" spans="3:3">
      <c r="C2509" s="32"/>
    </row>
    <row r="2510" spans="3:3">
      <c r="C2510" s="32"/>
    </row>
    <row r="2511" spans="3:3">
      <c r="C2511" s="32"/>
    </row>
    <row r="2512" spans="3:3">
      <c r="C2512" s="32"/>
    </row>
    <row r="2513" spans="3:3">
      <c r="C2513" s="32"/>
    </row>
    <row r="2514" spans="3:3">
      <c r="C2514" s="32"/>
    </row>
    <row r="2515" spans="3:3">
      <c r="C2515" s="32"/>
    </row>
    <row r="2516" spans="3:3">
      <c r="C2516" s="32"/>
    </row>
    <row r="2517" spans="3:3">
      <c r="C2517" s="32"/>
    </row>
    <row r="2518" spans="3:3">
      <c r="C2518" s="32"/>
    </row>
    <row r="2519" spans="3:3">
      <c r="C2519" s="32"/>
    </row>
    <row r="2520" spans="3:3">
      <c r="C2520" s="32"/>
    </row>
    <row r="2521" spans="3:3">
      <c r="C2521" s="32"/>
    </row>
    <row r="2522" spans="3:3">
      <c r="C2522" s="32"/>
    </row>
    <row r="2523" spans="3:3">
      <c r="C2523" s="32"/>
    </row>
    <row r="2524" spans="3:3">
      <c r="C2524" s="32"/>
    </row>
    <row r="2525" spans="3:3">
      <c r="C2525" s="32"/>
    </row>
    <row r="2526" spans="3:3">
      <c r="C2526" s="32"/>
    </row>
    <row r="2527" spans="3:3">
      <c r="C2527" s="32"/>
    </row>
    <row r="2528" spans="3:3">
      <c r="C2528" s="32"/>
    </row>
    <row r="2529" spans="3:3">
      <c r="C2529" s="32"/>
    </row>
    <row r="2530" spans="3:3">
      <c r="C2530" s="32"/>
    </row>
    <row r="2531" spans="3:3">
      <c r="C2531" s="32"/>
    </row>
    <row r="2532" spans="3:3">
      <c r="C2532" s="32"/>
    </row>
    <row r="2533" spans="3:3">
      <c r="C2533" s="32"/>
    </row>
    <row r="2534" spans="3:3">
      <c r="C2534" s="32"/>
    </row>
    <row r="2535" spans="3:3">
      <c r="C2535" s="32"/>
    </row>
    <row r="2536" spans="3:3">
      <c r="C2536" s="32"/>
    </row>
    <row r="2537" spans="3:3">
      <c r="C2537" s="32"/>
    </row>
    <row r="2538" spans="3:3">
      <c r="C2538" s="32"/>
    </row>
    <row r="2539" spans="3:3">
      <c r="C2539" s="32"/>
    </row>
    <row r="2540" spans="3:3">
      <c r="C2540" s="32"/>
    </row>
    <row r="2541" spans="3:3">
      <c r="C2541" s="32"/>
    </row>
    <row r="2542" spans="3:3">
      <c r="C2542" s="32"/>
    </row>
    <row r="2543" spans="3:3">
      <c r="C2543" s="32"/>
    </row>
    <row r="2544" spans="3:3">
      <c r="C2544" s="32"/>
    </row>
    <row r="2545" spans="3:3">
      <c r="C2545" s="32"/>
    </row>
    <row r="2546" spans="3:3">
      <c r="C2546" s="32"/>
    </row>
    <row r="2547" spans="3:3">
      <c r="C2547" s="32"/>
    </row>
    <row r="2548" spans="3:3">
      <c r="C2548" s="32"/>
    </row>
    <row r="2549" spans="3:3">
      <c r="C2549" s="32"/>
    </row>
    <row r="2550" spans="3:3">
      <c r="C2550" s="32"/>
    </row>
    <row r="2551" spans="3:3">
      <c r="C2551" s="32"/>
    </row>
    <row r="2552" spans="3:3">
      <c r="C2552" s="32"/>
    </row>
    <row r="2553" spans="3:3">
      <c r="C2553" s="32"/>
    </row>
    <row r="2554" spans="3:3">
      <c r="C2554" s="32"/>
    </row>
    <row r="2555" spans="3:3">
      <c r="C2555" s="32"/>
    </row>
    <row r="2556" spans="3:3">
      <c r="C2556" s="32"/>
    </row>
    <row r="2557" spans="3:3">
      <c r="C2557" s="32"/>
    </row>
    <row r="2558" spans="3:3">
      <c r="C2558" s="32"/>
    </row>
    <row r="2559" spans="3:3">
      <c r="C2559" s="32"/>
    </row>
    <row r="2560" spans="3:3">
      <c r="C2560" s="32"/>
    </row>
    <row r="2561" spans="3:3">
      <c r="C2561" s="32"/>
    </row>
    <row r="2562" spans="3:3">
      <c r="C2562" s="32"/>
    </row>
    <row r="2563" spans="3:3">
      <c r="C2563" s="32"/>
    </row>
    <row r="2564" spans="3:3">
      <c r="C2564" s="32"/>
    </row>
    <row r="2565" spans="3:3">
      <c r="C2565" s="32"/>
    </row>
    <row r="2566" spans="3:3">
      <c r="C2566" s="32"/>
    </row>
    <row r="2567" spans="3:3">
      <c r="C2567" s="32"/>
    </row>
    <row r="2568" spans="3:3">
      <c r="C2568" s="32"/>
    </row>
    <row r="2569" spans="3:3">
      <c r="C2569" s="32"/>
    </row>
    <row r="2570" spans="3:3">
      <c r="C2570" s="32"/>
    </row>
    <row r="2571" spans="3:3">
      <c r="C2571" s="32"/>
    </row>
    <row r="2572" spans="3:3">
      <c r="C2572" s="32"/>
    </row>
    <row r="2573" spans="3:3">
      <c r="C2573" s="32"/>
    </row>
    <row r="2574" spans="3:3">
      <c r="C2574" s="32"/>
    </row>
    <row r="2575" spans="3:3">
      <c r="C2575" s="32"/>
    </row>
    <row r="2576" spans="3:3">
      <c r="C2576" s="32"/>
    </row>
    <row r="2577" spans="3:3">
      <c r="C2577" s="32"/>
    </row>
    <row r="2578" spans="3:3">
      <c r="C2578" s="32"/>
    </row>
    <row r="2579" spans="3:3">
      <c r="C2579" s="32"/>
    </row>
    <row r="2580" spans="3:3">
      <c r="C2580" s="32"/>
    </row>
    <row r="2581" spans="3:3">
      <c r="C2581" s="32"/>
    </row>
    <row r="2582" spans="3:3">
      <c r="C2582" s="32"/>
    </row>
    <row r="2583" spans="3:3">
      <c r="C2583" s="32"/>
    </row>
    <row r="2584" spans="3:3">
      <c r="C2584" s="32"/>
    </row>
    <row r="2585" spans="3:3">
      <c r="C2585" s="32"/>
    </row>
    <row r="2586" spans="3:3">
      <c r="C2586" s="32"/>
    </row>
    <row r="2587" spans="3:3">
      <c r="C2587" s="32"/>
    </row>
    <row r="2588" spans="3:3">
      <c r="C2588" s="32"/>
    </row>
    <row r="2589" spans="3:3">
      <c r="C2589" s="32"/>
    </row>
    <row r="2590" spans="3:3">
      <c r="C2590" s="32"/>
    </row>
    <row r="2591" spans="3:3">
      <c r="C2591" s="32"/>
    </row>
    <row r="2592" spans="3:3">
      <c r="C2592" s="32"/>
    </row>
    <row r="2593" spans="3:3">
      <c r="C2593" s="32"/>
    </row>
    <row r="2594" spans="3:3">
      <c r="C2594" s="32"/>
    </row>
    <row r="2595" spans="3:3">
      <c r="C2595" s="32"/>
    </row>
    <row r="2596" spans="3:3">
      <c r="C2596" s="32"/>
    </row>
    <row r="2597" spans="3:3">
      <c r="C2597" s="32"/>
    </row>
    <row r="2598" spans="3:3">
      <c r="C2598" s="32"/>
    </row>
    <row r="2599" spans="3:3">
      <c r="C2599" s="32"/>
    </row>
    <row r="2600" spans="3:3">
      <c r="C2600" s="32"/>
    </row>
    <row r="2601" spans="3:3">
      <c r="C2601" s="32"/>
    </row>
    <row r="2602" spans="3:3">
      <c r="C2602" s="32"/>
    </row>
    <row r="2603" spans="3:3">
      <c r="C2603" s="32"/>
    </row>
    <row r="2604" spans="3:3">
      <c r="C2604" s="32"/>
    </row>
    <row r="2605" spans="3:3">
      <c r="C2605" s="32"/>
    </row>
    <row r="2606" spans="3:3">
      <c r="C2606" s="32"/>
    </row>
    <row r="2607" spans="3:3">
      <c r="C2607" s="32"/>
    </row>
    <row r="2608" spans="3:3">
      <c r="C2608" s="32"/>
    </row>
    <row r="2609" spans="3:3">
      <c r="C2609" s="32"/>
    </row>
    <row r="2610" spans="3:3">
      <c r="C2610" s="32"/>
    </row>
    <row r="2611" spans="3:3">
      <c r="C2611" s="32"/>
    </row>
    <row r="2612" spans="3:3">
      <c r="C2612" s="32"/>
    </row>
    <row r="2613" spans="3:3">
      <c r="C2613" s="32"/>
    </row>
    <row r="2614" spans="3:3">
      <c r="C2614" s="32"/>
    </row>
    <row r="2615" spans="3:3">
      <c r="C2615" s="32"/>
    </row>
    <row r="2616" spans="3:3">
      <c r="C2616" s="32"/>
    </row>
    <row r="2617" spans="3:3">
      <c r="C2617" s="32"/>
    </row>
    <row r="2618" spans="3:3">
      <c r="C2618" s="32"/>
    </row>
    <row r="2619" spans="3:3">
      <c r="C2619" s="32"/>
    </row>
    <row r="2620" spans="3:3">
      <c r="C2620" s="32"/>
    </row>
    <row r="2621" spans="3:3">
      <c r="C2621" s="32"/>
    </row>
    <row r="2622" spans="3:3">
      <c r="C2622" s="32"/>
    </row>
    <row r="2623" spans="3:3">
      <c r="C2623" s="32"/>
    </row>
    <row r="2624" spans="3:3">
      <c r="C2624" s="32"/>
    </row>
    <row r="2625" spans="3:3">
      <c r="C2625" s="32"/>
    </row>
    <row r="2626" spans="3:3">
      <c r="C2626" s="32"/>
    </row>
    <row r="2627" spans="3:3">
      <c r="C2627" s="32"/>
    </row>
    <row r="2628" spans="3:3">
      <c r="C2628" s="32"/>
    </row>
    <row r="2629" spans="3:3">
      <c r="C2629" s="32"/>
    </row>
    <row r="2630" spans="3:3">
      <c r="C2630" s="32"/>
    </row>
    <row r="2631" spans="3:3">
      <c r="C2631" s="32"/>
    </row>
    <row r="2632" spans="3:3">
      <c r="C2632" s="32"/>
    </row>
    <row r="2633" spans="3:3">
      <c r="C2633" s="32"/>
    </row>
    <row r="2634" spans="3:3">
      <c r="C2634" s="32"/>
    </row>
    <row r="2635" spans="3:3">
      <c r="C2635" s="32"/>
    </row>
    <row r="2636" spans="3:3">
      <c r="C2636" s="32"/>
    </row>
    <row r="2637" spans="3:3">
      <c r="C2637" s="32"/>
    </row>
    <row r="2638" spans="3:3">
      <c r="C2638" s="32"/>
    </row>
    <row r="2639" spans="3:3">
      <c r="C2639" s="32"/>
    </row>
    <row r="2640" spans="3:3">
      <c r="C2640" s="32"/>
    </row>
    <row r="2641" spans="3:3">
      <c r="C2641" s="32"/>
    </row>
    <row r="2642" spans="3:3">
      <c r="C2642" s="32"/>
    </row>
    <row r="2643" spans="3:3">
      <c r="C2643" s="32"/>
    </row>
    <row r="2644" spans="3:3">
      <c r="C2644" s="32"/>
    </row>
    <row r="2645" spans="3:3">
      <c r="C2645" s="32"/>
    </row>
    <row r="2646" spans="3:3">
      <c r="C2646" s="32"/>
    </row>
    <row r="2647" spans="3:3">
      <c r="C2647" s="32"/>
    </row>
    <row r="2648" spans="3:3">
      <c r="C2648" s="32"/>
    </row>
    <row r="2649" spans="3:3">
      <c r="C2649" s="32"/>
    </row>
    <row r="2650" spans="3:3">
      <c r="C2650" s="32"/>
    </row>
    <row r="2651" spans="3:3">
      <c r="C2651" s="32"/>
    </row>
    <row r="2652" spans="3:3">
      <c r="C2652" s="32"/>
    </row>
    <row r="2653" spans="3:3">
      <c r="C2653" s="32"/>
    </row>
    <row r="2654" spans="3:3">
      <c r="C2654" s="32"/>
    </row>
    <row r="2655" spans="3:3">
      <c r="C2655" s="32"/>
    </row>
    <row r="2656" spans="3:3">
      <c r="C2656" s="32"/>
    </row>
    <row r="2657" spans="3:3">
      <c r="C2657" s="32"/>
    </row>
    <row r="2658" spans="3:3">
      <c r="C2658" s="32"/>
    </row>
    <row r="2659" spans="3:3">
      <c r="C2659" s="32"/>
    </row>
    <row r="2660" spans="3:3">
      <c r="C2660" s="32"/>
    </row>
    <row r="2661" spans="3:3">
      <c r="C2661" s="32"/>
    </row>
    <row r="2662" spans="3:3">
      <c r="C2662" s="32"/>
    </row>
    <row r="2663" spans="3:3">
      <c r="C2663" s="32"/>
    </row>
    <row r="2664" spans="3:3">
      <c r="C2664" s="32"/>
    </row>
    <row r="2665" spans="3:3">
      <c r="C2665" s="32"/>
    </row>
    <row r="2666" spans="3:3">
      <c r="C2666" s="32"/>
    </row>
    <row r="2667" spans="3:3">
      <c r="C2667" s="32"/>
    </row>
    <row r="2668" spans="3:3">
      <c r="C2668" s="32"/>
    </row>
    <row r="2669" spans="3:3">
      <c r="C2669" s="32"/>
    </row>
    <row r="2670" spans="3:3">
      <c r="C2670" s="32"/>
    </row>
    <row r="2671" spans="3:3">
      <c r="C2671" s="32"/>
    </row>
    <row r="2672" spans="3:3">
      <c r="C2672" s="32"/>
    </row>
    <row r="2673" spans="3:3">
      <c r="C2673" s="32"/>
    </row>
    <row r="2674" spans="3:3">
      <c r="C2674" s="32"/>
    </row>
    <row r="2675" spans="3:3">
      <c r="C2675" s="32"/>
    </row>
    <row r="2676" spans="3:3">
      <c r="C2676" s="32"/>
    </row>
    <row r="2677" spans="3:3">
      <c r="C2677" s="32"/>
    </row>
    <row r="2678" spans="3:3">
      <c r="C2678" s="32"/>
    </row>
    <row r="2679" spans="3:3">
      <c r="C2679" s="32"/>
    </row>
    <row r="2680" spans="3:3">
      <c r="C2680" s="32"/>
    </row>
    <row r="2681" spans="3:3">
      <c r="C2681" s="32"/>
    </row>
    <row r="2682" spans="3:3">
      <c r="C2682" s="32"/>
    </row>
    <row r="2683" spans="3:3">
      <c r="C2683" s="32"/>
    </row>
    <row r="2684" spans="3:3">
      <c r="C2684" s="32"/>
    </row>
    <row r="2685" spans="3:3">
      <c r="C2685" s="32"/>
    </row>
    <row r="2686" spans="3:3">
      <c r="C2686" s="32"/>
    </row>
    <row r="2687" spans="3:3">
      <c r="C2687" s="32"/>
    </row>
    <row r="2688" spans="3:3">
      <c r="C2688" s="32"/>
    </row>
    <row r="2689" spans="3:3">
      <c r="C2689" s="32"/>
    </row>
    <row r="2690" spans="3:3">
      <c r="C2690" s="32"/>
    </row>
    <row r="2691" spans="3:3">
      <c r="C2691" s="32"/>
    </row>
    <row r="2692" spans="3:3">
      <c r="C2692" s="32"/>
    </row>
    <row r="2693" spans="3:3">
      <c r="C2693" s="32"/>
    </row>
    <row r="2694" spans="3:3">
      <c r="C2694" s="32"/>
    </row>
    <row r="2695" spans="3:3">
      <c r="C2695" s="32"/>
    </row>
    <row r="2696" spans="3:3">
      <c r="C2696" s="32"/>
    </row>
    <row r="2697" spans="3:3">
      <c r="C2697" s="32"/>
    </row>
    <row r="2698" spans="3:3">
      <c r="C2698" s="32"/>
    </row>
    <row r="2699" spans="3:3">
      <c r="C2699" s="32"/>
    </row>
    <row r="2700" spans="3:3">
      <c r="C2700" s="32"/>
    </row>
    <row r="2701" spans="3:3">
      <c r="C2701" s="32"/>
    </row>
    <row r="2702" spans="3:3">
      <c r="C2702" s="32"/>
    </row>
    <row r="2703" spans="3:3">
      <c r="C2703" s="32"/>
    </row>
    <row r="2704" spans="3:3">
      <c r="C2704" s="32"/>
    </row>
    <row r="2705" spans="3:3">
      <c r="C2705" s="32"/>
    </row>
    <row r="2706" spans="3:3">
      <c r="C2706" s="32"/>
    </row>
    <row r="2707" spans="3:3">
      <c r="C2707" s="32"/>
    </row>
    <row r="2708" spans="3:3">
      <c r="C2708" s="32"/>
    </row>
    <row r="2709" spans="3:3">
      <c r="C2709" s="32"/>
    </row>
    <row r="2710" spans="3:3">
      <c r="C2710" s="32"/>
    </row>
    <row r="2711" spans="3:3">
      <c r="C2711" s="32"/>
    </row>
    <row r="2712" spans="3:3">
      <c r="C2712" s="32"/>
    </row>
    <row r="2713" spans="3:3">
      <c r="C2713" s="32"/>
    </row>
    <row r="2714" spans="3:3">
      <c r="C2714" s="32"/>
    </row>
    <row r="2715" spans="3:3">
      <c r="C2715" s="32"/>
    </row>
    <row r="2716" spans="3:3">
      <c r="C2716" s="32"/>
    </row>
    <row r="2717" spans="3:3">
      <c r="C2717" s="32"/>
    </row>
    <row r="2718" spans="3:3">
      <c r="C2718" s="32"/>
    </row>
    <row r="2719" spans="3:3">
      <c r="C2719" s="32"/>
    </row>
    <row r="2720" spans="3:3">
      <c r="C2720" s="32"/>
    </row>
    <row r="2721" spans="3:3">
      <c r="C2721" s="32"/>
    </row>
    <row r="2722" spans="3:3">
      <c r="C2722" s="32"/>
    </row>
    <row r="2723" spans="3:3">
      <c r="C2723" s="32"/>
    </row>
    <row r="2724" spans="3:3">
      <c r="C2724" s="32"/>
    </row>
    <row r="2725" spans="3:3">
      <c r="C2725" s="32"/>
    </row>
    <row r="2726" spans="3:3">
      <c r="C2726" s="32"/>
    </row>
    <row r="2727" spans="3:3">
      <c r="C2727" s="32"/>
    </row>
    <row r="2728" spans="3:3">
      <c r="C2728" s="32"/>
    </row>
    <row r="2729" spans="3:3">
      <c r="C2729" s="32"/>
    </row>
    <row r="2730" spans="3:3">
      <c r="C2730" s="32"/>
    </row>
    <row r="2731" spans="3:3">
      <c r="C2731" s="32"/>
    </row>
    <row r="2732" spans="3:3">
      <c r="C2732" s="32"/>
    </row>
    <row r="2733" spans="3:3">
      <c r="C2733" s="32"/>
    </row>
    <row r="2734" spans="3:3">
      <c r="C2734" s="32"/>
    </row>
    <row r="2735" spans="3:3">
      <c r="C2735" s="32"/>
    </row>
    <row r="2736" spans="3:3">
      <c r="C2736" s="32"/>
    </row>
    <row r="2737" spans="3:3">
      <c r="C2737" s="32"/>
    </row>
    <row r="2738" spans="3:3">
      <c r="C2738" s="32"/>
    </row>
    <row r="2739" spans="3:3">
      <c r="C2739" s="32"/>
    </row>
    <row r="2740" spans="3:3">
      <c r="C2740" s="32"/>
    </row>
    <row r="2741" spans="3:3">
      <c r="C2741" s="32"/>
    </row>
    <row r="2742" spans="3:3">
      <c r="C2742" s="32"/>
    </row>
    <row r="2743" spans="3:3">
      <c r="C2743" s="32"/>
    </row>
    <row r="2744" spans="3:3">
      <c r="C2744" s="32"/>
    </row>
    <row r="2745" spans="3:3">
      <c r="C2745" s="32"/>
    </row>
    <row r="2746" spans="3:3">
      <c r="C2746" s="32"/>
    </row>
    <row r="2747" spans="3:3">
      <c r="C2747" s="32"/>
    </row>
    <row r="2748" spans="3:3">
      <c r="C2748" s="32"/>
    </row>
    <row r="2749" spans="3:3">
      <c r="C2749" s="32"/>
    </row>
    <row r="2750" spans="3:3">
      <c r="C2750" s="32"/>
    </row>
    <row r="2751" spans="3:3">
      <c r="C2751" s="32"/>
    </row>
    <row r="2752" spans="3:3">
      <c r="C2752" s="32"/>
    </row>
    <row r="2753" spans="3:3">
      <c r="C2753" s="32"/>
    </row>
    <row r="2754" spans="3:3">
      <c r="C2754" s="32"/>
    </row>
    <row r="2755" spans="3:3">
      <c r="C2755" s="32"/>
    </row>
    <row r="2756" spans="3:3">
      <c r="C2756" s="32"/>
    </row>
    <row r="2757" spans="3:3">
      <c r="C2757" s="32"/>
    </row>
    <row r="2758" spans="3:3">
      <c r="C2758" s="32"/>
    </row>
    <row r="2759" spans="3:3">
      <c r="C2759" s="32"/>
    </row>
    <row r="2760" spans="3:3">
      <c r="C2760" s="32"/>
    </row>
    <row r="2761" spans="3:3">
      <c r="C2761" s="32"/>
    </row>
    <row r="2762" spans="3:3">
      <c r="C2762" s="32"/>
    </row>
    <row r="2763" spans="3:3">
      <c r="C2763" s="32"/>
    </row>
    <row r="2764" spans="3:3">
      <c r="C2764" s="32"/>
    </row>
    <row r="2765" spans="3:3">
      <c r="C2765" s="32"/>
    </row>
    <row r="2766" spans="3:3">
      <c r="C2766" s="32"/>
    </row>
    <row r="2767" spans="3:3">
      <c r="C2767" s="32"/>
    </row>
    <row r="2768" spans="3:3">
      <c r="C2768" s="32"/>
    </row>
    <row r="2769" spans="3:3">
      <c r="C2769" s="32"/>
    </row>
    <row r="2770" spans="3:3">
      <c r="C2770" s="32"/>
    </row>
    <row r="2771" spans="3:3">
      <c r="C2771" s="32"/>
    </row>
    <row r="2772" spans="3:3">
      <c r="C2772" s="32"/>
    </row>
    <row r="2773" spans="3:3">
      <c r="C2773" s="32"/>
    </row>
    <row r="2774" spans="3:3">
      <c r="C2774" s="32"/>
    </row>
    <row r="2775" spans="3:3">
      <c r="C2775" s="32"/>
    </row>
    <row r="2776" spans="3:3">
      <c r="C2776" s="32"/>
    </row>
    <row r="2777" spans="3:3">
      <c r="C2777" s="32"/>
    </row>
    <row r="2778" spans="3:3">
      <c r="C2778" s="32"/>
    </row>
    <row r="2779" spans="3:3">
      <c r="C2779" s="32"/>
    </row>
    <row r="2780" spans="3:3">
      <c r="C2780" s="32"/>
    </row>
    <row r="2781" spans="3:3">
      <c r="C2781" s="32"/>
    </row>
    <row r="2782" spans="3:3">
      <c r="C2782" s="32"/>
    </row>
    <row r="2783" spans="3:3">
      <c r="C2783" s="32"/>
    </row>
    <row r="2784" spans="3:3">
      <c r="C2784" s="32"/>
    </row>
    <row r="2785" spans="3:3">
      <c r="C2785" s="32"/>
    </row>
    <row r="2786" spans="3:3">
      <c r="C2786" s="32"/>
    </row>
    <row r="2787" spans="3:3">
      <c r="C2787" s="32"/>
    </row>
    <row r="2788" spans="3:3">
      <c r="C2788" s="32"/>
    </row>
    <row r="2789" spans="3:3">
      <c r="C2789" s="32"/>
    </row>
    <row r="2790" spans="3:3">
      <c r="C2790" s="32"/>
    </row>
    <row r="2791" spans="3:3">
      <c r="C2791" s="32"/>
    </row>
    <row r="2792" spans="3:3">
      <c r="C2792" s="32"/>
    </row>
    <row r="2793" spans="3:3">
      <c r="C2793" s="32"/>
    </row>
    <row r="2794" spans="3:3">
      <c r="C2794" s="32"/>
    </row>
    <row r="2795" spans="3:3">
      <c r="C2795" s="32"/>
    </row>
    <row r="2796" spans="3:3">
      <c r="C2796" s="32"/>
    </row>
    <row r="2797" spans="3:3">
      <c r="C2797" s="32"/>
    </row>
    <row r="2798" spans="3:3">
      <c r="C2798" s="32"/>
    </row>
    <row r="2799" spans="3:3">
      <c r="C2799" s="32"/>
    </row>
    <row r="2800" spans="3:3">
      <c r="C2800" s="32"/>
    </row>
    <row r="2801" spans="3:3">
      <c r="C2801" s="32"/>
    </row>
    <row r="2802" spans="3:3">
      <c r="C2802" s="32"/>
    </row>
    <row r="2803" spans="3:3">
      <c r="C2803" s="32"/>
    </row>
    <row r="2804" spans="3:3">
      <c r="C2804" s="32"/>
    </row>
    <row r="2805" spans="3:3">
      <c r="C2805" s="32"/>
    </row>
    <row r="2806" spans="3:3">
      <c r="C2806" s="32"/>
    </row>
    <row r="2807" spans="3:3">
      <c r="C2807" s="32"/>
    </row>
    <row r="2808" spans="3:3">
      <c r="C2808" s="32"/>
    </row>
    <row r="2809" spans="3:3">
      <c r="C2809" s="32"/>
    </row>
    <row r="2810" spans="3:3">
      <c r="C2810" s="32"/>
    </row>
    <row r="2811" spans="3:3">
      <c r="C2811" s="32"/>
    </row>
    <row r="2812" spans="3:3">
      <c r="C2812" s="32"/>
    </row>
    <row r="2813" spans="3:3">
      <c r="C2813" s="32"/>
    </row>
    <row r="2814" spans="3:3">
      <c r="C2814" s="32"/>
    </row>
    <row r="2815" spans="3:3">
      <c r="C2815" s="32"/>
    </row>
    <row r="2816" spans="3:3">
      <c r="C2816" s="32"/>
    </row>
    <row r="2817" spans="3:3">
      <c r="C2817" s="32"/>
    </row>
    <row r="2818" spans="3:3">
      <c r="C2818" s="32"/>
    </row>
    <row r="2819" spans="3:3">
      <c r="C2819" s="32"/>
    </row>
    <row r="2820" spans="3:3">
      <c r="C2820" s="32"/>
    </row>
    <row r="2821" spans="3:3">
      <c r="C2821" s="32"/>
    </row>
    <row r="2822" spans="3:3">
      <c r="C2822" s="32"/>
    </row>
    <row r="2823" spans="3:3">
      <c r="C2823" s="32"/>
    </row>
    <row r="2824" spans="3:3">
      <c r="C2824" s="32"/>
    </row>
    <row r="2825" spans="3:3">
      <c r="C2825" s="32"/>
    </row>
    <row r="2826" spans="3:3">
      <c r="C2826" s="32"/>
    </row>
    <row r="2827" spans="3:3">
      <c r="C2827" s="32"/>
    </row>
    <row r="2828" spans="3:3">
      <c r="C2828" s="32"/>
    </row>
    <row r="2829" spans="3:3">
      <c r="C2829" s="32"/>
    </row>
    <row r="2830" spans="3:3">
      <c r="C2830" s="32"/>
    </row>
    <row r="2831" spans="3:3">
      <c r="C2831" s="32"/>
    </row>
    <row r="2832" spans="3:3">
      <c r="C2832" s="32"/>
    </row>
    <row r="2833" spans="3:3">
      <c r="C2833" s="32"/>
    </row>
    <row r="2834" spans="3:3">
      <c r="C2834" s="32"/>
    </row>
    <row r="2835" spans="3:3">
      <c r="C2835" s="32"/>
    </row>
    <row r="2836" spans="3:3">
      <c r="C2836" s="32"/>
    </row>
    <row r="2837" spans="3:3">
      <c r="C2837" s="32"/>
    </row>
    <row r="2838" spans="3:3">
      <c r="C2838" s="32"/>
    </row>
    <row r="2839" spans="3:3">
      <c r="C2839" s="32"/>
    </row>
    <row r="2840" spans="3:3">
      <c r="C2840" s="32"/>
    </row>
    <row r="2841" spans="3:3">
      <c r="C2841" s="32"/>
    </row>
    <row r="2842" spans="3:3">
      <c r="C2842" s="32"/>
    </row>
    <row r="2843" spans="3:3">
      <c r="C2843" s="32"/>
    </row>
    <row r="2844" spans="3:3">
      <c r="C2844" s="32"/>
    </row>
    <row r="2845" spans="3:3">
      <c r="C2845" s="32"/>
    </row>
    <row r="2846" spans="3:3">
      <c r="C2846" s="32"/>
    </row>
    <row r="2847" spans="3:3">
      <c r="C2847" s="32"/>
    </row>
    <row r="2848" spans="3:3">
      <c r="C2848" s="32"/>
    </row>
    <row r="2849" spans="3:3">
      <c r="C2849" s="32"/>
    </row>
    <row r="2850" spans="3:3">
      <c r="C2850" s="32"/>
    </row>
    <row r="2851" spans="3:3">
      <c r="C2851" s="32"/>
    </row>
    <row r="2852" spans="3:3">
      <c r="C2852" s="32"/>
    </row>
    <row r="2853" spans="3:3">
      <c r="C2853" s="32"/>
    </row>
    <row r="2854" spans="3:3">
      <c r="C2854" s="32"/>
    </row>
    <row r="2855" spans="3:3">
      <c r="C2855" s="32"/>
    </row>
    <row r="2856" spans="3:3">
      <c r="C2856" s="32"/>
    </row>
    <row r="2857" spans="3:3">
      <c r="C2857" s="32"/>
    </row>
    <row r="2858" spans="3:3">
      <c r="C2858" s="32"/>
    </row>
    <row r="2859" spans="3:3">
      <c r="C2859" s="32"/>
    </row>
    <row r="2860" spans="3:3">
      <c r="C2860" s="32"/>
    </row>
    <row r="2861" spans="3:3">
      <c r="C2861" s="32"/>
    </row>
    <row r="2862" spans="3:3">
      <c r="C2862" s="32"/>
    </row>
    <row r="2863" spans="3:3">
      <c r="C2863" s="32"/>
    </row>
    <row r="2864" spans="3:3">
      <c r="C2864" s="32"/>
    </row>
    <row r="2865" spans="3:3">
      <c r="C2865" s="32"/>
    </row>
    <row r="2866" spans="3:3">
      <c r="C2866" s="32"/>
    </row>
    <row r="2867" spans="3:3">
      <c r="C2867" s="32"/>
    </row>
    <row r="2868" spans="3:3">
      <c r="C2868" s="32"/>
    </row>
    <row r="2869" spans="3:3">
      <c r="C2869" s="32"/>
    </row>
    <row r="2870" spans="3:3">
      <c r="C2870" s="32"/>
    </row>
    <row r="2871" spans="3:3">
      <c r="C2871" s="32"/>
    </row>
    <row r="2872" spans="3:3">
      <c r="C2872" s="32"/>
    </row>
    <row r="2873" spans="3:3">
      <c r="C2873" s="32"/>
    </row>
    <row r="2874" spans="3:3">
      <c r="C2874" s="32"/>
    </row>
    <row r="2875" spans="3:3">
      <c r="C2875" s="32"/>
    </row>
    <row r="2876" spans="3:3">
      <c r="C2876" s="32"/>
    </row>
    <row r="2877" spans="3:3">
      <c r="C2877" s="32"/>
    </row>
    <row r="2878" spans="3:3">
      <c r="C2878" s="32"/>
    </row>
    <row r="2879" spans="3:3">
      <c r="C2879" s="32"/>
    </row>
    <row r="2880" spans="3:3">
      <c r="C2880" s="32"/>
    </row>
    <row r="2881" spans="3:3">
      <c r="C2881" s="32"/>
    </row>
    <row r="2882" spans="3:3">
      <c r="C2882" s="32"/>
    </row>
    <row r="2883" spans="3:3">
      <c r="C2883" s="32"/>
    </row>
    <row r="2884" spans="3:3">
      <c r="C2884" s="32"/>
    </row>
    <row r="2885" spans="3:3">
      <c r="C2885" s="32"/>
    </row>
    <row r="2886" spans="3:3">
      <c r="C2886" s="32"/>
    </row>
    <row r="2887" spans="3:3">
      <c r="C2887" s="32"/>
    </row>
    <row r="2888" spans="3:3">
      <c r="C2888" s="32"/>
    </row>
    <row r="2889" spans="3:3">
      <c r="C2889" s="32"/>
    </row>
    <row r="2890" spans="3:3">
      <c r="C2890" s="32"/>
    </row>
    <row r="2891" spans="3:3">
      <c r="C2891" s="32"/>
    </row>
    <row r="2892" spans="3:3">
      <c r="C2892" s="32"/>
    </row>
    <row r="2893" spans="3:3">
      <c r="C2893" s="32"/>
    </row>
    <row r="2894" spans="3:3">
      <c r="C2894" s="32"/>
    </row>
    <row r="2895" spans="3:3">
      <c r="C2895" s="32"/>
    </row>
    <row r="2896" spans="3:3">
      <c r="C2896" s="32"/>
    </row>
    <row r="2897" spans="3:3">
      <c r="C2897" s="32"/>
    </row>
    <row r="2898" spans="3:3">
      <c r="C2898" s="32"/>
    </row>
    <row r="2899" spans="3:3">
      <c r="C2899" s="32"/>
    </row>
    <row r="2900" spans="3:3">
      <c r="C2900" s="32"/>
    </row>
    <row r="2901" spans="3:3">
      <c r="C2901" s="32"/>
    </row>
    <row r="2902" spans="3:3">
      <c r="C2902" s="32"/>
    </row>
    <row r="2903" spans="3:3">
      <c r="C2903" s="32"/>
    </row>
    <row r="2904" spans="3:3">
      <c r="C2904" s="32"/>
    </row>
    <row r="2905" spans="3:3">
      <c r="C2905" s="32"/>
    </row>
    <row r="2906" spans="3:3">
      <c r="C2906" s="32"/>
    </row>
    <row r="2907" spans="3:3">
      <c r="C2907" s="32"/>
    </row>
    <row r="2908" spans="3:3">
      <c r="C2908" s="32"/>
    </row>
    <row r="2909" spans="3:3">
      <c r="C2909" s="32"/>
    </row>
    <row r="2910" spans="3:3">
      <c r="C2910" s="32"/>
    </row>
    <row r="2911" spans="3:3">
      <c r="C2911" s="32"/>
    </row>
    <row r="2912" spans="3:3">
      <c r="C2912" s="32"/>
    </row>
    <row r="2913" spans="3:3">
      <c r="C2913" s="32"/>
    </row>
    <row r="2914" spans="3:3">
      <c r="C2914" s="32"/>
    </row>
    <row r="2915" spans="3:3">
      <c r="C2915" s="32"/>
    </row>
    <row r="2916" spans="3:3">
      <c r="C2916" s="32"/>
    </row>
    <row r="2917" spans="3:3">
      <c r="C2917" s="32"/>
    </row>
    <row r="2918" spans="3:3">
      <c r="C2918" s="32"/>
    </row>
    <row r="2919" spans="3:3">
      <c r="C2919" s="32"/>
    </row>
    <row r="2920" spans="3:3">
      <c r="C2920" s="32"/>
    </row>
    <row r="2921" spans="3:3">
      <c r="C2921" s="32"/>
    </row>
    <row r="2922" spans="3:3">
      <c r="C2922" s="32"/>
    </row>
    <row r="2923" spans="3:3">
      <c r="C2923" s="32"/>
    </row>
    <row r="2924" spans="3:3">
      <c r="C2924" s="32"/>
    </row>
    <row r="2925" spans="3:3">
      <c r="C2925" s="32"/>
    </row>
    <row r="2926" spans="3:3">
      <c r="C2926" s="32"/>
    </row>
    <row r="2927" spans="3:3">
      <c r="C2927" s="32"/>
    </row>
    <row r="2928" spans="3:3">
      <c r="C2928" s="32"/>
    </row>
    <row r="2929" spans="2:3">
      <c r="C2929" s="32"/>
    </row>
    <row r="2930" spans="2:3">
      <c r="C2930" s="32"/>
    </row>
    <row r="2931" spans="2:3">
      <c r="C2931" s="32"/>
    </row>
    <row r="2932" spans="2:3">
      <c r="C2932" s="32"/>
    </row>
    <row r="2933" spans="2:3">
      <c r="C2933" s="32"/>
    </row>
    <row r="2934" spans="2:3">
      <c r="C2934" s="32"/>
    </row>
    <row r="2935" spans="2:3">
      <c r="C2935" s="32"/>
    </row>
    <row r="2936" spans="2:3">
      <c r="C2936" s="32"/>
    </row>
    <row r="2937" spans="2:3">
      <c r="C2937" s="32"/>
    </row>
    <row r="2938" spans="2:3">
      <c r="C2938" s="32"/>
    </row>
    <row r="2939" spans="2:3">
      <c r="C2939" s="32"/>
    </row>
    <row r="2940" spans="2:3">
      <c r="C2940" s="32"/>
    </row>
    <row r="2941" spans="2:3">
      <c r="C2941" s="32"/>
    </row>
    <row r="2942" spans="2:3">
      <c r="B2942" s="1"/>
      <c r="C2942" s="32"/>
    </row>
    <row r="2943" spans="2:3">
      <c r="C2943" s="32"/>
    </row>
    <row r="2944" spans="2:3">
      <c r="C2944" s="32"/>
    </row>
    <row r="2945" spans="3:3">
      <c r="C2945" s="32"/>
    </row>
    <row r="2946" spans="3:3">
      <c r="C2946" s="32"/>
    </row>
    <row r="2947" spans="3:3">
      <c r="C2947" s="32"/>
    </row>
    <row r="2948" spans="3:3">
      <c r="C2948" s="32"/>
    </row>
    <row r="2949" spans="3:3">
      <c r="C2949" s="32"/>
    </row>
    <row r="2950" spans="3:3">
      <c r="C2950" s="32"/>
    </row>
    <row r="2951" spans="3:3">
      <c r="C2951" s="32"/>
    </row>
    <row r="2952" spans="3:3">
      <c r="C2952" s="32"/>
    </row>
    <row r="2953" spans="3:3">
      <c r="C2953" s="32"/>
    </row>
    <row r="2954" spans="3:3">
      <c r="C2954" s="32"/>
    </row>
    <row r="2955" spans="3:3">
      <c r="C2955" s="32"/>
    </row>
    <row r="2956" spans="3:3">
      <c r="C2956" s="32"/>
    </row>
    <row r="2957" spans="3:3">
      <c r="C2957" s="32"/>
    </row>
    <row r="2958" spans="3:3">
      <c r="C2958" s="32"/>
    </row>
    <row r="2959" spans="3:3">
      <c r="C2959" s="32"/>
    </row>
    <row r="2960" spans="3:3">
      <c r="C2960" s="32"/>
    </row>
    <row r="2961" spans="3:3">
      <c r="C2961" s="32"/>
    </row>
    <row r="2962" spans="3:3">
      <c r="C2962" s="32"/>
    </row>
    <row r="2963" spans="3:3">
      <c r="C2963" s="32"/>
    </row>
    <row r="2964" spans="3:3">
      <c r="C2964" s="32"/>
    </row>
    <row r="2965" spans="3:3">
      <c r="C2965" s="32"/>
    </row>
    <row r="2966" spans="3:3">
      <c r="C2966" s="32"/>
    </row>
    <row r="2967" spans="3:3">
      <c r="C2967" s="32"/>
    </row>
    <row r="2968" spans="3:3">
      <c r="C2968" s="32"/>
    </row>
    <row r="2969" spans="3:3">
      <c r="C2969" s="32"/>
    </row>
    <row r="2970" spans="3:3">
      <c r="C2970" s="32"/>
    </row>
    <row r="2971" spans="3:3">
      <c r="C2971" s="32"/>
    </row>
    <row r="2972" spans="3:3">
      <c r="C2972" s="32"/>
    </row>
    <row r="2973" spans="3:3">
      <c r="C2973" s="32"/>
    </row>
    <row r="2974" spans="3:3">
      <c r="C2974" s="32"/>
    </row>
    <row r="2975" spans="3:3">
      <c r="C2975" s="32"/>
    </row>
    <row r="2976" spans="3:3">
      <c r="C2976" s="32"/>
    </row>
    <row r="2977" spans="3:3">
      <c r="C2977" s="32"/>
    </row>
    <row r="2978" spans="3:3">
      <c r="C2978" s="32"/>
    </row>
    <row r="2979" spans="3:3">
      <c r="C2979" s="32"/>
    </row>
    <row r="2980" spans="3:3">
      <c r="C2980" s="32"/>
    </row>
    <row r="2981" spans="3:3">
      <c r="C2981" s="32"/>
    </row>
    <row r="2982" spans="3:3">
      <c r="C2982" s="32"/>
    </row>
    <row r="2983" spans="3:3">
      <c r="C2983" s="32"/>
    </row>
    <row r="2984" spans="3:3">
      <c r="C2984" s="32"/>
    </row>
    <row r="2985" spans="3:3">
      <c r="C2985" s="32"/>
    </row>
    <row r="2986" spans="3:3">
      <c r="C2986" s="32"/>
    </row>
    <row r="2987" spans="3:3">
      <c r="C2987" s="32"/>
    </row>
    <row r="2988" spans="3:3">
      <c r="C2988" s="32"/>
    </row>
    <row r="2989" spans="3:3">
      <c r="C2989" s="32"/>
    </row>
    <row r="2990" spans="3:3">
      <c r="C2990" s="32"/>
    </row>
    <row r="2991" spans="3:3">
      <c r="C2991" s="32"/>
    </row>
    <row r="2992" spans="3:3">
      <c r="C2992" s="32"/>
    </row>
    <row r="2993" spans="2:3">
      <c r="C2993" s="32"/>
    </row>
    <row r="2994" spans="2:3">
      <c r="C2994" s="32"/>
    </row>
    <row r="2995" spans="2:3">
      <c r="C2995" s="32"/>
    </row>
    <row r="2996" spans="2:3">
      <c r="C2996" s="32"/>
    </row>
    <row r="2997" spans="2:3">
      <c r="C2997" s="32"/>
    </row>
    <row r="2998" spans="2:3">
      <c r="B2998" s="1"/>
      <c r="C2998" s="32"/>
    </row>
    <row r="2999" spans="2:3">
      <c r="C2999" s="32"/>
    </row>
    <row r="3000" spans="2:3">
      <c r="C3000" s="32"/>
    </row>
    <row r="3001" spans="2:3">
      <c r="C3001" s="32"/>
    </row>
    <row r="3002" spans="2:3">
      <c r="C3002" s="32"/>
    </row>
    <row r="3003" spans="2:3">
      <c r="C3003" s="32"/>
    </row>
    <row r="3004" spans="2:3">
      <c r="C3004" s="32"/>
    </row>
    <row r="3005" spans="2:3">
      <c r="C3005" s="32"/>
    </row>
    <row r="3006" spans="2:3">
      <c r="C3006" s="32"/>
    </row>
    <row r="3007" spans="2:3">
      <c r="C3007" s="32"/>
    </row>
    <row r="3008" spans="2:3">
      <c r="C3008" s="32"/>
    </row>
    <row r="3009" spans="2:3">
      <c r="B3009" s="1"/>
      <c r="C3009" s="32"/>
    </row>
    <row r="3010" spans="2:3">
      <c r="C3010" s="32"/>
    </row>
    <row r="3011" spans="2:3">
      <c r="C3011" s="32"/>
    </row>
    <row r="3012" spans="2:3">
      <c r="C3012" s="32"/>
    </row>
    <row r="3013" spans="2:3">
      <c r="C3013" s="32"/>
    </row>
    <row r="3014" spans="2:3">
      <c r="C3014" s="32"/>
    </row>
    <row r="3015" spans="2:3">
      <c r="C3015" s="32"/>
    </row>
    <row r="3016" spans="2:3">
      <c r="C3016" s="32"/>
    </row>
    <row r="3017" spans="2:3">
      <c r="C3017" s="32"/>
    </row>
    <row r="3018" spans="2:3">
      <c r="C3018" s="32"/>
    </row>
    <row r="3019" spans="2:3">
      <c r="C3019" s="32"/>
    </row>
    <row r="3020" spans="2:3">
      <c r="C3020" s="32"/>
    </row>
    <row r="3021" spans="2:3">
      <c r="C3021" s="32"/>
    </row>
    <row r="3022" spans="2:3">
      <c r="C3022" s="32"/>
    </row>
    <row r="3023" spans="2:3">
      <c r="C3023" s="32"/>
    </row>
    <row r="3024" spans="2:3">
      <c r="C3024" s="32"/>
    </row>
    <row r="3025" spans="2:3">
      <c r="C3025" s="32"/>
    </row>
    <row r="3026" spans="2:3">
      <c r="C3026" s="32"/>
    </row>
    <row r="3027" spans="2:3">
      <c r="B3027" s="1"/>
      <c r="C3027" s="32"/>
    </row>
    <row r="3028" spans="2:3">
      <c r="C3028" s="32"/>
    </row>
    <row r="3029" spans="2:3">
      <c r="C3029" s="32"/>
    </row>
    <row r="3030" spans="2:3">
      <c r="C3030" s="32"/>
    </row>
    <row r="3031" spans="2:3">
      <c r="C3031" s="32"/>
    </row>
    <row r="3032" spans="2:3">
      <c r="C3032" s="32"/>
    </row>
    <row r="3033" spans="2:3">
      <c r="C3033" s="32"/>
    </row>
    <row r="3034" spans="2:3">
      <c r="C3034" s="32"/>
    </row>
    <row r="3035" spans="2:3">
      <c r="C3035" s="32"/>
    </row>
    <row r="3036" spans="2:3">
      <c r="C3036" s="32"/>
    </row>
    <row r="3037" spans="2:3">
      <c r="C3037" s="32"/>
    </row>
    <row r="3038" spans="2:3">
      <c r="C3038" s="32"/>
    </row>
    <row r="3039" spans="2:3">
      <c r="C3039" s="32"/>
    </row>
    <row r="3040" spans="2:3">
      <c r="C3040" s="32"/>
    </row>
    <row r="3041" spans="3:3">
      <c r="C3041" s="32"/>
    </row>
    <row r="3042" spans="3:3">
      <c r="C3042" s="32"/>
    </row>
    <row r="3043" spans="3:3">
      <c r="C3043" s="32"/>
    </row>
    <row r="3044" spans="3:3">
      <c r="C3044" s="32"/>
    </row>
    <row r="3045" spans="3:3">
      <c r="C3045" s="32"/>
    </row>
    <row r="3046" spans="3:3">
      <c r="C3046" s="32"/>
    </row>
    <row r="3047" spans="3:3">
      <c r="C3047" s="32"/>
    </row>
    <row r="3048" spans="3:3">
      <c r="C3048" s="32"/>
    </row>
    <row r="3049" spans="3:3">
      <c r="C3049" s="32"/>
    </row>
    <row r="3050" spans="3:3">
      <c r="C3050" s="32"/>
    </row>
    <row r="3051" spans="3:3">
      <c r="C3051" s="32"/>
    </row>
    <row r="3052" spans="3:3">
      <c r="C3052" s="32"/>
    </row>
    <row r="3053" spans="3:3">
      <c r="C3053" s="32"/>
    </row>
    <row r="3054" spans="3:3">
      <c r="C3054" s="32"/>
    </row>
    <row r="3055" spans="3:3">
      <c r="C3055" s="32"/>
    </row>
    <row r="3056" spans="3:3">
      <c r="C3056" s="32"/>
    </row>
    <row r="3057" spans="2:3">
      <c r="C3057" s="32"/>
    </row>
    <row r="3058" spans="2:3">
      <c r="C3058" s="32"/>
    </row>
    <row r="3059" spans="2:3">
      <c r="C3059" s="32"/>
    </row>
    <row r="3060" spans="2:3">
      <c r="C3060" s="32"/>
    </row>
    <row r="3061" spans="2:3">
      <c r="C3061" s="32"/>
    </row>
    <row r="3062" spans="2:3">
      <c r="C3062" s="32"/>
    </row>
    <row r="3063" spans="2:3">
      <c r="C3063" s="32"/>
    </row>
    <row r="3064" spans="2:3">
      <c r="C3064" s="32"/>
    </row>
    <row r="3065" spans="2:3">
      <c r="B3065" s="1"/>
      <c r="C3065" s="32"/>
    </row>
    <row r="3066" spans="2:3">
      <c r="B3066" s="1"/>
      <c r="C3066" s="32"/>
    </row>
    <row r="3067" spans="2:3">
      <c r="C3067" s="32"/>
    </row>
    <row r="3068" spans="2:3">
      <c r="C3068" s="32"/>
    </row>
    <row r="3069" spans="2:3">
      <c r="C3069" s="32"/>
    </row>
    <row r="3070" spans="2:3">
      <c r="C3070" s="32"/>
    </row>
    <row r="3071" spans="2:3">
      <c r="C3071" s="32"/>
    </row>
    <row r="3072" spans="2:3">
      <c r="C3072" s="32"/>
    </row>
    <row r="3073" spans="2:3">
      <c r="C3073" s="32"/>
    </row>
    <row r="3074" spans="2:3">
      <c r="C3074" s="32"/>
    </row>
    <row r="3075" spans="2:3">
      <c r="C3075" s="32"/>
    </row>
    <row r="3076" spans="2:3">
      <c r="C3076" s="32"/>
    </row>
    <row r="3077" spans="2:3">
      <c r="C3077" s="32"/>
    </row>
    <row r="3078" spans="2:3">
      <c r="C3078" s="32"/>
    </row>
    <row r="3079" spans="2:3">
      <c r="B3079" s="1"/>
      <c r="C3079" s="32"/>
    </row>
    <row r="3080" spans="2:3">
      <c r="C3080" s="32"/>
    </row>
    <row r="3081" spans="2:3">
      <c r="C3081" s="32"/>
    </row>
    <row r="3082" spans="2:3">
      <c r="C3082" s="32"/>
    </row>
    <row r="3083" spans="2:3">
      <c r="C3083" s="32"/>
    </row>
    <row r="3084" spans="2:3">
      <c r="C3084" s="32"/>
    </row>
    <row r="3085" spans="2:3">
      <c r="C3085" s="32"/>
    </row>
    <row r="3086" spans="2:3">
      <c r="C3086" s="32"/>
    </row>
    <row r="3087" spans="2:3">
      <c r="C3087" s="32"/>
    </row>
    <row r="3088" spans="2:3">
      <c r="C3088" s="32"/>
    </row>
    <row r="3089" spans="3:3">
      <c r="C3089" s="32"/>
    </row>
    <row r="3090" spans="3:3">
      <c r="C3090" s="32"/>
    </row>
    <row r="3091" spans="3:3">
      <c r="C3091" s="32"/>
    </row>
    <row r="3092" spans="3:3">
      <c r="C3092" s="32"/>
    </row>
    <row r="3093" spans="3:3">
      <c r="C3093" s="32"/>
    </row>
    <row r="3094" spans="3:3">
      <c r="C3094" s="32"/>
    </row>
    <row r="3095" spans="3:3">
      <c r="C3095" s="32"/>
    </row>
    <row r="3096" spans="3:3">
      <c r="C3096" s="32"/>
    </row>
    <row r="3097" spans="3:3">
      <c r="C3097" s="32"/>
    </row>
    <row r="3098" spans="3:3">
      <c r="C3098" s="32"/>
    </row>
    <row r="3099" spans="3:3">
      <c r="C3099" s="32"/>
    </row>
    <row r="3100" spans="3:3">
      <c r="C3100" s="32"/>
    </row>
    <row r="3101" spans="3:3">
      <c r="C3101" s="32"/>
    </row>
    <row r="3102" spans="3:3">
      <c r="C3102" s="32"/>
    </row>
    <row r="3103" spans="3:3">
      <c r="C3103" s="32"/>
    </row>
    <row r="3104" spans="3:3">
      <c r="C3104" s="32"/>
    </row>
    <row r="3105" spans="3:3">
      <c r="C3105" s="32"/>
    </row>
    <row r="3106" spans="3:3">
      <c r="C3106" s="32"/>
    </row>
    <row r="3107" spans="3:3">
      <c r="C3107" s="32"/>
    </row>
    <row r="3108" spans="3:3">
      <c r="C3108" s="32"/>
    </row>
    <row r="3109" spans="3:3">
      <c r="C3109" s="32"/>
    </row>
    <row r="3110" spans="3:3">
      <c r="C3110" s="32"/>
    </row>
    <row r="3111" spans="3:3">
      <c r="C3111" s="32"/>
    </row>
    <row r="3112" spans="3:3">
      <c r="C3112" s="32"/>
    </row>
    <row r="3113" spans="3:3">
      <c r="C3113" s="32"/>
    </row>
    <row r="3114" spans="3:3">
      <c r="C3114" s="32"/>
    </row>
    <row r="3115" spans="3:3">
      <c r="C3115" s="32"/>
    </row>
    <row r="3116" spans="3:3">
      <c r="C3116" s="32"/>
    </row>
    <row r="3117" spans="3:3">
      <c r="C3117" s="32"/>
    </row>
    <row r="3118" spans="3:3">
      <c r="C3118" s="32"/>
    </row>
    <row r="3119" spans="3:3">
      <c r="C3119" s="32"/>
    </row>
    <row r="3120" spans="3:3">
      <c r="C3120" s="32"/>
    </row>
    <row r="3121" spans="3:3">
      <c r="C3121" s="32"/>
    </row>
    <row r="3122" spans="3:3">
      <c r="C3122" s="32"/>
    </row>
    <row r="3123" spans="3:3">
      <c r="C3123" s="32"/>
    </row>
    <row r="3124" spans="3:3">
      <c r="C3124" s="32"/>
    </row>
    <row r="3125" spans="3:3">
      <c r="C3125" s="32"/>
    </row>
    <row r="3126" spans="3:3">
      <c r="C3126" s="32"/>
    </row>
    <row r="3127" spans="3:3">
      <c r="C3127" s="32"/>
    </row>
    <row r="3128" spans="3:3">
      <c r="C3128" s="32"/>
    </row>
    <row r="3129" spans="3:3">
      <c r="C3129" s="32"/>
    </row>
    <row r="3130" spans="3:3">
      <c r="C3130" s="32"/>
    </row>
    <row r="3131" spans="3:3">
      <c r="C3131" s="32"/>
    </row>
    <row r="3132" spans="3:3">
      <c r="C3132" s="32"/>
    </row>
    <row r="3133" spans="3:3">
      <c r="C3133" s="32"/>
    </row>
    <row r="3134" spans="3:3">
      <c r="C3134" s="32"/>
    </row>
    <row r="3135" spans="3:3">
      <c r="C3135" s="32"/>
    </row>
    <row r="3136" spans="3:3">
      <c r="C3136" s="32"/>
    </row>
    <row r="3137" spans="3:3">
      <c r="C3137" s="32"/>
    </row>
    <row r="3138" spans="3:3">
      <c r="C3138" s="32"/>
    </row>
    <row r="3139" spans="3:3">
      <c r="C3139" s="32"/>
    </row>
    <row r="3140" spans="3:3">
      <c r="C3140" s="32"/>
    </row>
    <row r="3141" spans="3:3">
      <c r="C3141" s="32"/>
    </row>
    <row r="3142" spans="3:3">
      <c r="C3142" s="32"/>
    </row>
    <row r="3143" spans="3:3">
      <c r="C3143" s="32"/>
    </row>
    <row r="3144" spans="3:3">
      <c r="C3144" s="32"/>
    </row>
    <row r="3145" spans="3:3">
      <c r="C3145" s="32"/>
    </row>
    <row r="3146" spans="3:3">
      <c r="C3146" s="32"/>
    </row>
    <row r="3147" spans="3:3">
      <c r="C3147" s="32"/>
    </row>
    <row r="3148" spans="3:3">
      <c r="C3148" s="32"/>
    </row>
    <row r="3149" spans="3:3">
      <c r="C3149" s="32"/>
    </row>
    <row r="3150" spans="3:3">
      <c r="C3150" s="32"/>
    </row>
    <row r="3151" spans="3:3">
      <c r="C3151" s="32"/>
    </row>
    <row r="3152" spans="3:3">
      <c r="C3152" s="32"/>
    </row>
    <row r="3153" spans="3:3">
      <c r="C3153" s="32"/>
    </row>
    <row r="3154" spans="3:3">
      <c r="C3154" s="32"/>
    </row>
    <row r="3155" spans="3:3">
      <c r="C3155" s="32"/>
    </row>
    <row r="3156" spans="3:3">
      <c r="C3156" s="32"/>
    </row>
    <row r="3157" spans="3:3">
      <c r="C3157" s="32"/>
    </row>
    <row r="3158" spans="3:3">
      <c r="C3158" s="32"/>
    </row>
    <row r="3159" spans="3:3">
      <c r="C3159" s="32"/>
    </row>
    <row r="3160" spans="3:3">
      <c r="C3160" s="32"/>
    </row>
    <row r="3161" spans="3:3">
      <c r="C3161" s="32"/>
    </row>
    <row r="3162" spans="3:3">
      <c r="C3162" s="32"/>
    </row>
    <row r="3163" spans="3:3">
      <c r="C3163" s="32"/>
    </row>
    <row r="3164" spans="3:3">
      <c r="C3164" s="32"/>
    </row>
    <row r="3165" spans="3:3">
      <c r="C3165" s="32"/>
    </row>
    <row r="3166" spans="3:3">
      <c r="C3166" s="32"/>
    </row>
    <row r="3167" spans="3:3">
      <c r="C3167" s="32"/>
    </row>
    <row r="3168" spans="3:3">
      <c r="C3168" s="32"/>
    </row>
    <row r="3169" spans="3:3">
      <c r="C3169" s="32"/>
    </row>
    <row r="3170" spans="3:3">
      <c r="C3170" s="32"/>
    </row>
    <row r="3171" spans="3:3">
      <c r="C3171" s="32"/>
    </row>
    <row r="3172" spans="3:3">
      <c r="C3172" s="32"/>
    </row>
    <row r="3173" spans="3:3">
      <c r="C3173" s="32"/>
    </row>
    <row r="3174" spans="3:3">
      <c r="C3174" s="32"/>
    </row>
    <row r="3175" spans="3:3">
      <c r="C3175" s="32"/>
    </row>
    <row r="3176" spans="3:3">
      <c r="C3176" s="32"/>
    </row>
    <row r="3177" spans="3:3">
      <c r="C3177" s="32"/>
    </row>
    <row r="3178" spans="3:3">
      <c r="C3178" s="32"/>
    </row>
    <row r="3179" spans="3:3">
      <c r="C3179" s="32"/>
    </row>
    <row r="3180" spans="3:3">
      <c r="C3180" s="32"/>
    </row>
    <row r="3181" spans="3:3">
      <c r="C3181" s="32"/>
    </row>
    <row r="3182" spans="3:3">
      <c r="C3182" s="32"/>
    </row>
    <row r="3183" spans="3:3">
      <c r="C3183" s="32"/>
    </row>
    <row r="3184" spans="3:3">
      <c r="C3184" s="32"/>
    </row>
    <row r="3185" spans="3:3">
      <c r="C3185" s="32"/>
    </row>
    <row r="3186" spans="3:3">
      <c r="C3186" s="32"/>
    </row>
    <row r="3187" spans="3:3">
      <c r="C3187" s="32"/>
    </row>
    <row r="3188" spans="3:3">
      <c r="C3188" s="32"/>
    </row>
    <row r="3189" spans="3:3">
      <c r="C3189" s="32"/>
    </row>
    <row r="3190" spans="3:3">
      <c r="C3190" s="32"/>
    </row>
    <row r="3191" spans="3:3">
      <c r="C3191" s="32"/>
    </row>
    <row r="3192" spans="3:3">
      <c r="C3192" s="32"/>
    </row>
    <row r="3193" spans="3:3">
      <c r="C3193" s="32"/>
    </row>
    <row r="3194" spans="3:3">
      <c r="C3194" s="32"/>
    </row>
    <row r="3195" spans="3:3">
      <c r="C3195" s="32"/>
    </row>
    <row r="3196" spans="3:3">
      <c r="C3196" s="32"/>
    </row>
    <row r="3197" spans="3:3">
      <c r="C3197" s="32"/>
    </row>
    <row r="3198" spans="3:3">
      <c r="C3198" s="32"/>
    </row>
    <row r="3199" spans="3:3">
      <c r="C3199" s="32"/>
    </row>
    <row r="3200" spans="3:3">
      <c r="C3200" s="32"/>
    </row>
    <row r="3201" spans="3:3">
      <c r="C3201" s="32"/>
    </row>
    <row r="3202" spans="3:3">
      <c r="C3202" s="32"/>
    </row>
    <row r="3203" spans="3:3">
      <c r="C3203" s="32"/>
    </row>
    <row r="3204" spans="3:3">
      <c r="C3204" s="32"/>
    </row>
    <row r="3205" spans="3:3">
      <c r="C3205" s="32"/>
    </row>
    <row r="3206" spans="3:3">
      <c r="C3206" s="32"/>
    </row>
    <row r="3207" spans="3:3">
      <c r="C3207" s="32"/>
    </row>
    <row r="3208" spans="3:3">
      <c r="C3208" s="32"/>
    </row>
    <row r="3209" spans="3:3">
      <c r="C3209" s="32"/>
    </row>
    <row r="3210" spans="3:3">
      <c r="C3210" s="32"/>
    </row>
    <row r="3211" spans="3:3">
      <c r="C3211" s="32"/>
    </row>
    <row r="3212" spans="3:3">
      <c r="C3212" s="32"/>
    </row>
    <row r="3213" spans="3:3">
      <c r="C3213" s="32"/>
    </row>
    <row r="3214" spans="3:3">
      <c r="C3214" s="32"/>
    </row>
    <row r="3215" spans="3:3">
      <c r="C3215" s="32"/>
    </row>
    <row r="3216" spans="3:3">
      <c r="C3216" s="32"/>
    </row>
    <row r="3217" spans="3:3">
      <c r="C3217" s="32"/>
    </row>
    <row r="3218" spans="3:3">
      <c r="C3218" s="32"/>
    </row>
    <row r="3219" spans="3:3">
      <c r="C3219" s="32"/>
    </row>
    <row r="3220" spans="3:3">
      <c r="C3220" s="32"/>
    </row>
    <row r="3221" spans="3:3">
      <c r="C3221" s="32"/>
    </row>
    <row r="3222" spans="3:3">
      <c r="C3222" s="32"/>
    </row>
    <row r="3223" spans="3:3">
      <c r="C3223" s="32"/>
    </row>
    <row r="3224" spans="3:3">
      <c r="C3224" s="32"/>
    </row>
    <row r="3225" spans="3:3">
      <c r="C3225" s="32"/>
    </row>
    <row r="3226" spans="3:3">
      <c r="C3226" s="32"/>
    </row>
    <row r="3227" spans="3:3">
      <c r="C3227" s="32"/>
    </row>
    <row r="3228" spans="3:3">
      <c r="C3228" s="32"/>
    </row>
    <row r="3229" spans="3:3">
      <c r="C3229" s="32"/>
    </row>
    <row r="3230" spans="3:3">
      <c r="C3230" s="32"/>
    </row>
    <row r="3231" spans="3:3">
      <c r="C3231" s="32"/>
    </row>
    <row r="3232" spans="3:3">
      <c r="C3232" s="32"/>
    </row>
    <row r="3233" spans="3:3">
      <c r="C3233" s="32"/>
    </row>
    <row r="3234" spans="3:3">
      <c r="C3234" s="32"/>
    </row>
    <row r="3235" spans="3:3">
      <c r="C3235" s="32"/>
    </row>
    <row r="3236" spans="3:3">
      <c r="C3236" s="32"/>
    </row>
    <row r="3237" spans="3:3">
      <c r="C3237" s="32"/>
    </row>
    <row r="3238" spans="3:3">
      <c r="C3238" s="32"/>
    </row>
    <row r="3239" spans="3:3">
      <c r="C3239" s="32"/>
    </row>
    <row r="3240" spans="3:3">
      <c r="C3240" s="32"/>
    </row>
    <row r="3241" spans="3:3">
      <c r="C3241" s="32"/>
    </row>
    <row r="3242" spans="3:3">
      <c r="C3242" s="32"/>
    </row>
    <row r="3243" spans="3:3">
      <c r="C3243" s="32"/>
    </row>
    <row r="3244" spans="3:3">
      <c r="C3244" s="32"/>
    </row>
    <row r="3245" spans="3:3">
      <c r="C3245" s="32"/>
    </row>
    <row r="3246" spans="3:3">
      <c r="C3246" s="32"/>
    </row>
    <row r="3247" spans="3:3">
      <c r="C3247" s="32"/>
    </row>
    <row r="3248" spans="3:3">
      <c r="C3248" s="32"/>
    </row>
    <row r="3249" spans="3:3">
      <c r="C3249" s="32"/>
    </row>
    <row r="3250" spans="3:3">
      <c r="C3250" s="32"/>
    </row>
    <row r="3251" spans="3:3">
      <c r="C3251" s="32"/>
    </row>
    <row r="3252" spans="3:3">
      <c r="C3252" s="32"/>
    </row>
    <row r="3253" spans="3:3">
      <c r="C3253" s="32"/>
    </row>
    <row r="3254" spans="3:3">
      <c r="C3254" s="32"/>
    </row>
    <row r="3255" spans="3:3">
      <c r="C3255" s="32"/>
    </row>
    <row r="3256" spans="3:3">
      <c r="C3256" s="32"/>
    </row>
    <row r="3257" spans="3:3">
      <c r="C3257" s="32"/>
    </row>
    <row r="3258" spans="3:3">
      <c r="C3258" s="32"/>
    </row>
    <row r="3259" spans="3:3">
      <c r="C3259" s="32"/>
    </row>
    <row r="3260" spans="3:3">
      <c r="C3260" s="32"/>
    </row>
    <row r="3261" spans="3:3">
      <c r="C3261" s="32"/>
    </row>
    <row r="3262" spans="3:3">
      <c r="C3262" s="32"/>
    </row>
    <row r="3263" spans="3:3">
      <c r="C3263" s="32"/>
    </row>
    <row r="3264" spans="3:3">
      <c r="C3264" s="32"/>
    </row>
    <row r="3265" spans="3:3">
      <c r="C3265" s="32"/>
    </row>
    <row r="3266" spans="3:3">
      <c r="C3266" s="32"/>
    </row>
    <row r="3267" spans="3:3">
      <c r="C3267" s="32"/>
    </row>
    <row r="3268" spans="3:3">
      <c r="C3268" s="32"/>
    </row>
    <row r="3269" spans="3:3">
      <c r="C3269" s="32"/>
    </row>
    <row r="3270" spans="3:3">
      <c r="C3270" s="32"/>
    </row>
    <row r="3271" spans="3:3">
      <c r="C3271" s="32"/>
    </row>
    <row r="3272" spans="3:3">
      <c r="C3272" s="32"/>
    </row>
    <row r="3273" spans="3:3">
      <c r="C3273" s="32"/>
    </row>
    <row r="3274" spans="3:3">
      <c r="C3274" s="32"/>
    </row>
    <row r="3275" spans="3:3">
      <c r="C3275" s="32"/>
    </row>
    <row r="3276" spans="3:3">
      <c r="C3276" s="32"/>
    </row>
    <row r="3277" spans="3:3">
      <c r="C3277" s="32"/>
    </row>
    <row r="3278" spans="3:3">
      <c r="C3278" s="32"/>
    </row>
    <row r="3279" spans="3:3">
      <c r="C3279" s="32"/>
    </row>
    <row r="3280" spans="3:3">
      <c r="C3280" s="32"/>
    </row>
    <row r="3281" spans="3:3">
      <c r="C3281" s="32"/>
    </row>
    <row r="3282" spans="3:3">
      <c r="C3282" s="32"/>
    </row>
    <row r="3283" spans="3:3">
      <c r="C3283" s="32"/>
    </row>
    <row r="3284" spans="3:3">
      <c r="C3284" s="32"/>
    </row>
    <row r="3285" spans="3:3">
      <c r="C3285" s="32"/>
    </row>
    <row r="3286" spans="3:3">
      <c r="C3286" s="32"/>
    </row>
    <row r="3287" spans="3:3">
      <c r="C3287" s="32"/>
    </row>
    <row r="3288" spans="3:3">
      <c r="C3288" s="32"/>
    </row>
    <row r="3289" spans="3:3">
      <c r="C3289" s="32"/>
    </row>
    <row r="3290" spans="3:3">
      <c r="C3290" s="32"/>
    </row>
    <row r="3291" spans="3:3">
      <c r="C3291" s="32"/>
    </row>
    <row r="3292" spans="3:3">
      <c r="C3292" s="32"/>
    </row>
    <row r="3293" spans="3:3">
      <c r="C3293" s="32"/>
    </row>
    <row r="3294" spans="3:3">
      <c r="C3294" s="32"/>
    </row>
    <row r="3295" spans="3:3">
      <c r="C3295" s="32"/>
    </row>
    <row r="3296" spans="3:3">
      <c r="C3296" s="32"/>
    </row>
    <row r="3297" spans="3:3">
      <c r="C3297" s="32"/>
    </row>
    <row r="3298" spans="3:3">
      <c r="C3298" s="32"/>
    </row>
    <row r="3299" spans="3:3">
      <c r="C3299" s="32"/>
    </row>
    <row r="3300" spans="3:3">
      <c r="C3300" s="32"/>
    </row>
    <row r="3301" spans="3:3">
      <c r="C3301" s="32"/>
    </row>
    <row r="3302" spans="3:3">
      <c r="C3302" s="32"/>
    </row>
    <row r="3303" spans="3:3">
      <c r="C3303" s="32"/>
    </row>
    <row r="3304" spans="3:3">
      <c r="C3304" s="32"/>
    </row>
    <row r="3305" spans="3:3">
      <c r="C3305" s="32"/>
    </row>
    <row r="3306" spans="3:3">
      <c r="C3306" s="32"/>
    </row>
    <row r="3307" spans="3:3">
      <c r="C3307" s="32"/>
    </row>
    <row r="3308" spans="3:3">
      <c r="C3308" s="32"/>
    </row>
    <row r="3309" spans="3:3">
      <c r="C3309" s="32"/>
    </row>
    <row r="3310" spans="3:3">
      <c r="C3310" s="32"/>
    </row>
    <row r="3311" spans="3:3">
      <c r="C3311" s="32"/>
    </row>
    <row r="3312" spans="3:3">
      <c r="C3312" s="32"/>
    </row>
    <row r="3313" spans="3:3">
      <c r="C3313" s="32"/>
    </row>
    <row r="3314" spans="3:3">
      <c r="C3314" s="32"/>
    </row>
    <row r="3315" spans="3:3">
      <c r="C3315" s="32"/>
    </row>
    <row r="3316" spans="3:3">
      <c r="C3316" s="32"/>
    </row>
    <row r="3317" spans="3:3">
      <c r="C3317" s="32"/>
    </row>
    <row r="3318" spans="3:3">
      <c r="C3318" s="32"/>
    </row>
    <row r="3319" spans="3:3">
      <c r="C3319" s="32"/>
    </row>
    <row r="3320" spans="3:3">
      <c r="C3320" s="32"/>
    </row>
    <row r="3321" spans="3:3">
      <c r="C3321" s="32"/>
    </row>
    <row r="3322" spans="3:3">
      <c r="C3322" s="32"/>
    </row>
    <row r="3323" spans="3:3">
      <c r="C3323" s="32"/>
    </row>
    <row r="3324" spans="3:3">
      <c r="C3324" s="32"/>
    </row>
    <row r="3325" spans="3:3">
      <c r="C3325" s="32"/>
    </row>
    <row r="3326" spans="3:3">
      <c r="C3326" s="32"/>
    </row>
    <row r="3327" spans="3:3">
      <c r="C3327" s="32"/>
    </row>
    <row r="3328" spans="3:3">
      <c r="C3328" s="32"/>
    </row>
    <row r="3329" spans="3:3">
      <c r="C3329" s="32"/>
    </row>
    <row r="3330" spans="3:3">
      <c r="C3330" s="32"/>
    </row>
    <row r="3331" spans="3:3">
      <c r="C3331" s="32"/>
    </row>
    <row r="3332" spans="3:3">
      <c r="C3332" s="32"/>
    </row>
    <row r="3333" spans="3:3">
      <c r="C3333" s="32"/>
    </row>
    <row r="3334" spans="3:3">
      <c r="C3334" s="32"/>
    </row>
    <row r="3335" spans="3:3">
      <c r="C3335" s="32"/>
    </row>
    <row r="3336" spans="3:3">
      <c r="C3336" s="32"/>
    </row>
    <row r="3337" spans="3:3">
      <c r="C3337" s="32"/>
    </row>
    <row r="3338" spans="3:3">
      <c r="C3338" s="32"/>
    </row>
    <row r="3339" spans="3:3">
      <c r="C3339" s="32"/>
    </row>
    <row r="3340" spans="3:3">
      <c r="C3340" s="32"/>
    </row>
    <row r="3341" spans="3:3">
      <c r="C3341" s="32"/>
    </row>
    <row r="3342" spans="3:3">
      <c r="C3342" s="32"/>
    </row>
    <row r="3343" spans="3:3">
      <c r="C3343" s="32"/>
    </row>
    <row r="3344" spans="3:3">
      <c r="C3344" s="32"/>
    </row>
    <row r="3345" spans="3:3">
      <c r="C3345" s="32"/>
    </row>
    <row r="3346" spans="3:3">
      <c r="C3346" s="32"/>
    </row>
    <row r="3347" spans="3:3">
      <c r="C3347" s="32"/>
    </row>
    <row r="3348" spans="3:3">
      <c r="C3348" s="32"/>
    </row>
    <row r="3349" spans="3:3">
      <c r="C3349" s="32"/>
    </row>
    <row r="3350" spans="3:3">
      <c r="C3350" s="32"/>
    </row>
    <row r="3351" spans="3:3">
      <c r="C3351" s="32"/>
    </row>
    <row r="3352" spans="3:3">
      <c r="C3352" s="32"/>
    </row>
    <row r="3353" spans="3:3">
      <c r="C3353" s="32"/>
    </row>
    <row r="3354" spans="3:3">
      <c r="C3354" s="32"/>
    </row>
    <row r="3355" spans="3:3">
      <c r="C3355" s="32"/>
    </row>
    <row r="3356" spans="3:3">
      <c r="C3356" s="32"/>
    </row>
    <row r="3357" spans="3:3">
      <c r="C3357" s="32"/>
    </row>
    <row r="3358" spans="3:3">
      <c r="C3358" s="32"/>
    </row>
    <row r="3359" spans="3:3">
      <c r="C3359" s="32"/>
    </row>
    <row r="3360" spans="3:3">
      <c r="C3360" s="32"/>
    </row>
    <row r="3361" spans="3:3">
      <c r="C3361" s="32"/>
    </row>
    <row r="3362" spans="3:3">
      <c r="C3362" s="32"/>
    </row>
    <row r="3363" spans="3:3">
      <c r="C3363" s="32"/>
    </row>
    <row r="3364" spans="3:3">
      <c r="C3364" s="32"/>
    </row>
    <row r="3365" spans="3:3">
      <c r="C3365" s="32"/>
    </row>
    <row r="3366" spans="3:3">
      <c r="C3366" s="32"/>
    </row>
    <row r="3367" spans="3:3">
      <c r="C3367" s="32"/>
    </row>
    <row r="3368" spans="3:3">
      <c r="C3368" s="32"/>
    </row>
    <row r="3369" spans="3:3">
      <c r="C3369" s="32"/>
    </row>
    <row r="3370" spans="3:3">
      <c r="C3370" s="32"/>
    </row>
    <row r="3371" spans="3:3">
      <c r="C3371" s="32"/>
    </row>
    <row r="3372" spans="3:3">
      <c r="C3372" s="32"/>
    </row>
    <row r="3373" spans="3:3">
      <c r="C3373" s="32"/>
    </row>
    <row r="3374" spans="3:3">
      <c r="C3374" s="32"/>
    </row>
    <row r="3375" spans="3:3">
      <c r="C3375" s="32"/>
    </row>
    <row r="3376" spans="3:3">
      <c r="C3376" s="32"/>
    </row>
    <row r="3377" spans="3:3">
      <c r="C3377" s="32"/>
    </row>
    <row r="3378" spans="3:3">
      <c r="C3378" s="32"/>
    </row>
    <row r="3379" spans="3:3">
      <c r="C3379" s="32"/>
    </row>
    <row r="3380" spans="3:3">
      <c r="C3380" s="32"/>
    </row>
    <row r="3381" spans="3:3">
      <c r="C3381" s="32"/>
    </row>
    <row r="3382" spans="3:3">
      <c r="C3382" s="32"/>
    </row>
    <row r="3383" spans="3:3">
      <c r="C3383" s="32"/>
    </row>
    <row r="3384" spans="3:3">
      <c r="C3384" s="32"/>
    </row>
    <row r="3385" spans="3:3">
      <c r="C3385" s="32"/>
    </row>
    <row r="3386" spans="3:3">
      <c r="C3386" s="32"/>
    </row>
    <row r="3387" spans="3:3">
      <c r="C3387" s="32"/>
    </row>
    <row r="3388" spans="3:3">
      <c r="C3388" s="32"/>
    </row>
    <row r="3389" spans="3:3">
      <c r="C3389" s="32"/>
    </row>
    <row r="3390" spans="3:3">
      <c r="C3390" s="32"/>
    </row>
    <row r="3391" spans="3:3">
      <c r="C3391" s="32"/>
    </row>
    <row r="3392" spans="3:3">
      <c r="C3392" s="32"/>
    </row>
    <row r="3393" spans="3:3">
      <c r="C3393" s="32"/>
    </row>
    <row r="3394" spans="3:3">
      <c r="C3394" s="32"/>
    </row>
    <row r="3395" spans="3:3">
      <c r="C3395" s="32"/>
    </row>
    <row r="3396" spans="3:3">
      <c r="C3396" s="32"/>
    </row>
    <row r="3397" spans="3:3">
      <c r="C3397" s="32"/>
    </row>
    <row r="3398" spans="3:3">
      <c r="C3398" s="32"/>
    </row>
    <row r="3399" spans="3:3">
      <c r="C3399" s="32"/>
    </row>
    <row r="3400" spans="3:3">
      <c r="C3400" s="32"/>
    </row>
    <row r="3401" spans="3:3">
      <c r="C3401" s="32"/>
    </row>
    <row r="3402" spans="3:3">
      <c r="C3402" s="32"/>
    </row>
    <row r="3403" spans="3:3">
      <c r="C3403" s="32"/>
    </row>
    <row r="3404" spans="3:3">
      <c r="C3404" s="32"/>
    </row>
    <row r="3405" spans="3:3">
      <c r="C3405" s="32"/>
    </row>
    <row r="3406" spans="3:3">
      <c r="C3406" s="32"/>
    </row>
    <row r="3407" spans="3:3">
      <c r="C3407" s="32"/>
    </row>
    <row r="3408" spans="3:3">
      <c r="C3408" s="32"/>
    </row>
    <row r="3409" spans="3:3">
      <c r="C3409" s="32"/>
    </row>
    <row r="3410" spans="3:3">
      <c r="C3410" s="32"/>
    </row>
    <row r="3411" spans="3:3">
      <c r="C3411" s="32"/>
    </row>
    <row r="3412" spans="3:3">
      <c r="C3412" s="32"/>
    </row>
    <row r="3413" spans="3:3">
      <c r="C3413" s="32"/>
    </row>
    <row r="3414" spans="3:3">
      <c r="C3414" s="32"/>
    </row>
    <row r="3415" spans="3:3">
      <c r="C3415" s="32"/>
    </row>
    <row r="3416" spans="3:3">
      <c r="C3416" s="32"/>
    </row>
    <row r="3417" spans="3:3">
      <c r="C3417" s="32"/>
    </row>
    <row r="3418" spans="3:3">
      <c r="C3418" s="32"/>
    </row>
    <row r="3419" spans="3:3">
      <c r="C3419" s="32"/>
    </row>
    <row r="3420" spans="3:3">
      <c r="C3420" s="32"/>
    </row>
    <row r="3421" spans="3:3">
      <c r="C3421" s="32"/>
    </row>
    <row r="3422" spans="3:3">
      <c r="C3422" s="32"/>
    </row>
    <row r="3423" spans="3:3">
      <c r="C3423" s="32"/>
    </row>
    <row r="3424" spans="3:3">
      <c r="C3424" s="32"/>
    </row>
    <row r="3425" spans="3:3">
      <c r="C3425" s="32"/>
    </row>
    <row r="3426" spans="3:3">
      <c r="C3426" s="32"/>
    </row>
    <row r="3427" spans="3:3">
      <c r="C3427" s="32"/>
    </row>
    <row r="3428" spans="3:3">
      <c r="C3428" s="32"/>
    </row>
    <row r="3429" spans="3:3">
      <c r="C3429" s="32"/>
    </row>
    <row r="3430" spans="3:3">
      <c r="C3430" s="32"/>
    </row>
    <row r="3431" spans="3:3">
      <c r="C3431" s="32"/>
    </row>
    <row r="3432" spans="3:3">
      <c r="C3432" s="32"/>
    </row>
    <row r="3433" spans="3:3">
      <c r="C3433" s="32"/>
    </row>
    <row r="3434" spans="3:3">
      <c r="C3434" s="32"/>
    </row>
    <row r="3435" spans="3:3">
      <c r="C3435" s="32"/>
    </row>
    <row r="3436" spans="3:3">
      <c r="C3436" s="32"/>
    </row>
    <row r="3437" spans="3:3">
      <c r="C3437" s="32"/>
    </row>
    <row r="3438" spans="3:3">
      <c r="C3438" s="32"/>
    </row>
    <row r="3439" spans="3:3">
      <c r="C3439" s="32"/>
    </row>
    <row r="3440" spans="3:3">
      <c r="C3440" s="32"/>
    </row>
    <row r="3441" spans="3:3">
      <c r="C3441" s="32"/>
    </row>
    <row r="3442" spans="3:3">
      <c r="C3442" s="32"/>
    </row>
    <row r="3443" spans="3:3">
      <c r="C3443" s="32"/>
    </row>
    <row r="3444" spans="3:3">
      <c r="C3444" s="32"/>
    </row>
    <row r="3445" spans="3:3">
      <c r="C3445" s="32"/>
    </row>
    <row r="3446" spans="3:3">
      <c r="C3446" s="32"/>
    </row>
    <row r="3447" spans="3:3">
      <c r="C3447" s="32"/>
    </row>
    <row r="3448" spans="3:3">
      <c r="C3448" s="32"/>
    </row>
    <row r="3449" spans="3:3">
      <c r="C3449" s="32"/>
    </row>
    <row r="3450" spans="3:3">
      <c r="C3450" s="32"/>
    </row>
    <row r="3451" spans="3:3">
      <c r="C3451" s="32"/>
    </row>
    <row r="3452" spans="3:3">
      <c r="C3452" s="32"/>
    </row>
    <row r="3453" spans="3:3">
      <c r="C3453" s="32"/>
    </row>
    <row r="3454" spans="3:3">
      <c r="C3454" s="32"/>
    </row>
    <row r="3455" spans="3:3">
      <c r="C3455" s="32"/>
    </row>
    <row r="3456" spans="3:3">
      <c r="C3456" s="32"/>
    </row>
    <row r="3457" spans="3:3">
      <c r="C3457" s="32"/>
    </row>
    <row r="3458" spans="3:3">
      <c r="C3458" s="32"/>
    </row>
    <row r="3459" spans="3:3">
      <c r="C3459" s="32"/>
    </row>
    <row r="3460" spans="3:3">
      <c r="C3460" s="32"/>
    </row>
    <row r="3461" spans="3:3">
      <c r="C3461" s="32"/>
    </row>
    <row r="3462" spans="3:3">
      <c r="C3462" s="32"/>
    </row>
    <row r="3463" spans="3:3">
      <c r="C3463" s="32"/>
    </row>
    <row r="3464" spans="3:3">
      <c r="C3464" s="32"/>
    </row>
    <row r="3465" spans="3:3">
      <c r="C3465" s="32"/>
    </row>
    <row r="3466" spans="3:3">
      <c r="C3466" s="32"/>
    </row>
    <row r="3467" spans="3:3">
      <c r="C3467" s="32"/>
    </row>
    <row r="3468" spans="3:3">
      <c r="C3468" s="32"/>
    </row>
    <row r="3469" spans="3:3">
      <c r="C3469" s="32"/>
    </row>
    <row r="3470" spans="3:3">
      <c r="C3470" s="32"/>
    </row>
    <row r="3471" spans="3:3">
      <c r="C3471" s="32"/>
    </row>
    <row r="3472" spans="3:3">
      <c r="C3472" s="32"/>
    </row>
    <row r="3473" spans="3:3">
      <c r="C3473" s="32"/>
    </row>
    <row r="3474" spans="3:3">
      <c r="C3474" s="32"/>
    </row>
    <row r="3475" spans="3:3">
      <c r="C3475" s="32"/>
    </row>
    <row r="3476" spans="3:3">
      <c r="C3476" s="32"/>
    </row>
    <row r="3477" spans="3:3">
      <c r="C3477" s="32"/>
    </row>
    <row r="3478" spans="3:3">
      <c r="C3478" s="32"/>
    </row>
    <row r="3479" spans="3:3">
      <c r="C3479" s="32"/>
    </row>
    <row r="3480" spans="3:3">
      <c r="C3480" s="32"/>
    </row>
    <row r="3481" spans="3:3">
      <c r="C3481" s="32"/>
    </row>
    <row r="3482" spans="3:3">
      <c r="C3482" s="32"/>
    </row>
    <row r="3483" spans="3:3">
      <c r="C3483" s="32"/>
    </row>
    <row r="3484" spans="3:3">
      <c r="C3484" s="32"/>
    </row>
    <row r="3485" spans="3:3">
      <c r="C3485" s="32"/>
    </row>
    <row r="3486" spans="3:3">
      <c r="C3486" s="32"/>
    </row>
    <row r="3487" spans="3:3">
      <c r="C3487" s="32"/>
    </row>
    <row r="3488" spans="3:3">
      <c r="C3488" s="32"/>
    </row>
    <row r="3489" spans="3:3">
      <c r="C3489" s="32"/>
    </row>
    <row r="3490" spans="3:3">
      <c r="C3490" s="32"/>
    </row>
    <row r="3491" spans="3:3">
      <c r="C3491" s="32"/>
    </row>
    <row r="3492" spans="3:3">
      <c r="C3492" s="32"/>
    </row>
    <row r="3493" spans="3:3">
      <c r="C3493" s="32"/>
    </row>
    <row r="3494" spans="3:3">
      <c r="C3494" s="32"/>
    </row>
    <row r="3495" spans="3:3">
      <c r="C3495" s="32"/>
    </row>
    <row r="3496" spans="3:3">
      <c r="C3496" s="32"/>
    </row>
    <row r="3497" spans="3:3">
      <c r="C3497" s="32"/>
    </row>
    <row r="3498" spans="3:3">
      <c r="C3498" s="32"/>
    </row>
    <row r="3499" spans="3:3">
      <c r="C3499" s="32"/>
    </row>
    <row r="3500" spans="3:3">
      <c r="C3500" s="32"/>
    </row>
    <row r="3501" spans="3:3">
      <c r="C3501" s="32"/>
    </row>
    <row r="3502" spans="3:3">
      <c r="C3502" s="32"/>
    </row>
    <row r="3503" spans="3:3">
      <c r="C3503" s="32"/>
    </row>
    <row r="3504" spans="3:3">
      <c r="C3504" s="32"/>
    </row>
    <row r="3505" spans="3:3">
      <c r="C3505" s="32"/>
    </row>
    <row r="3506" spans="3:3">
      <c r="C3506" s="32"/>
    </row>
    <row r="3507" spans="3:3">
      <c r="C3507" s="32"/>
    </row>
    <row r="3508" spans="3:3">
      <c r="C3508" s="32"/>
    </row>
    <row r="3509" spans="3:3">
      <c r="C3509" s="32"/>
    </row>
    <row r="3510" spans="3:3">
      <c r="C3510" s="32"/>
    </row>
    <row r="3511" spans="3:3">
      <c r="C3511" s="32"/>
    </row>
    <row r="3512" spans="3:3">
      <c r="C3512" s="32"/>
    </row>
    <row r="3513" spans="3:3">
      <c r="C3513" s="32"/>
    </row>
    <row r="3514" spans="3:3">
      <c r="C3514" s="32"/>
    </row>
    <row r="3515" spans="3:3">
      <c r="C3515" s="32"/>
    </row>
    <row r="3516" spans="3:3">
      <c r="C3516" s="32"/>
    </row>
    <row r="3517" spans="3:3">
      <c r="C3517" s="32"/>
    </row>
    <row r="3518" spans="3:3">
      <c r="C3518" s="32"/>
    </row>
    <row r="3519" spans="3:3">
      <c r="C3519" s="32"/>
    </row>
    <row r="3520" spans="3:3">
      <c r="C3520" s="32"/>
    </row>
    <row r="3521" spans="3:6">
      <c r="C3521" s="32"/>
    </row>
    <row r="3522" spans="3:6">
      <c r="C3522" s="32"/>
    </row>
    <row r="3523" spans="3:6">
      <c r="C3523" s="32"/>
    </row>
    <row r="3524" spans="3:6">
      <c r="C3524" s="32"/>
    </row>
    <row r="3525" spans="3:6">
      <c r="C3525" s="32"/>
    </row>
    <row r="3526" spans="3:6">
      <c r="C3526" s="32"/>
    </row>
    <row r="3527" spans="3:6">
      <c r="C3527" s="32"/>
    </row>
    <row r="3528" spans="3:6">
      <c r="C3528" s="32"/>
      <c r="E3528" s="11"/>
      <c r="F3528" s="11"/>
    </row>
    <row r="3529" spans="3:6">
      <c r="C3529" s="32"/>
    </row>
    <row r="3530" spans="3:6">
      <c r="C3530" s="32"/>
    </row>
    <row r="3531" spans="3:6">
      <c r="C3531" s="32"/>
    </row>
    <row r="3532" spans="3:6">
      <c r="C3532" s="32"/>
    </row>
    <row r="3533" spans="3:6">
      <c r="C3533" s="32"/>
    </row>
    <row r="3534" spans="3:6">
      <c r="C3534" s="32"/>
    </row>
    <row r="3535" spans="3:6">
      <c r="C3535" s="32"/>
    </row>
    <row r="3536" spans="3:6">
      <c r="C3536" s="32"/>
    </row>
    <row r="3537" spans="3:3">
      <c r="C3537" s="32"/>
    </row>
    <row r="3538" spans="3:3">
      <c r="C3538" s="32"/>
    </row>
    <row r="3539" spans="3:3">
      <c r="C3539" s="32"/>
    </row>
    <row r="3540" spans="3:3">
      <c r="C3540" s="32"/>
    </row>
    <row r="3541" spans="3:3">
      <c r="C3541" s="32"/>
    </row>
    <row r="3542" spans="3:3">
      <c r="C3542" s="32"/>
    </row>
    <row r="3543" spans="3:3">
      <c r="C3543" s="32"/>
    </row>
    <row r="3544" spans="3:3">
      <c r="C3544" s="32"/>
    </row>
    <row r="3545" spans="3:3">
      <c r="C3545" s="32"/>
    </row>
    <row r="3546" spans="3:3">
      <c r="C3546" s="32"/>
    </row>
    <row r="3547" spans="3:3">
      <c r="C3547" s="32"/>
    </row>
    <row r="3548" spans="3:3">
      <c r="C3548" s="32"/>
    </row>
    <row r="3549" spans="3:3">
      <c r="C3549" s="32"/>
    </row>
    <row r="3550" spans="3:3">
      <c r="C3550" s="32"/>
    </row>
    <row r="3551" spans="3:3">
      <c r="C3551" s="32"/>
    </row>
    <row r="3552" spans="3:3">
      <c r="C3552" s="32"/>
    </row>
    <row r="3553" spans="3:3">
      <c r="C3553" s="32"/>
    </row>
    <row r="3554" spans="3:3">
      <c r="C3554" s="32"/>
    </row>
    <row r="3555" spans="3:3">
      <c r="C3555" s="32"/>
    </row>
    <row r="3556" spans="3:3">
      <c r="C3556" s="32"/>
    </row>
    <row r="3557" spans="3:3">
      <c r="C3557" s="32"/>
    </row>
    <row r="3558" spans="3:3">
      <c r="C3558" s="32"/>
    </row>
    <row r="3559" spans="3:3">
      <c r="C3559" s="32"/>
    </row>
    <row r="3560" spans="3:3">
      <c r="C3560" s="32"/>
    </row>
    <row r="3561" spans="3:3">
      <c r="C3561" s="32"/>
    </row>
    <row r="3562" spans="3:3">
      <c r="C3562" s="32"/>
    </row>
    <row r="3563" spans="3:3">
      <c r="C3563" s="32"/>
    </row>
    <row r="3564" spans="3:3">
      <c r="C3564" s="32"/>
    </row>
    <row r="3565" spans="3:3">
      <c r="C3565" s="32"/>
    </row>
    <row r="3566" spans="3:3">
      <c r="C3566" s="32"/>
    </row>
    <row r="3567" spans="3:3">
      <c r="C3567" s="32"/>
    </row>
    <row r="3568" spans="3:3">
      <c r="C3568" s="32"/>
    </row>
    <row r="3569" spans="3:3">
      <c r="C3569" s="32"/>
    </row>
    <row r="3570" spans="3:3">
      <c r="C3570" s="32"/>
    </row>
    <row r="3571" spans="3:3">
      <c r="C3571" s="32"/>
    </row>
    <row r="3572" spans="3:3">
      <c r="C3572" s="32"/>
    </row>
    <row r="3573" spans="3:3">
      <c r="C3573" s="32"/>
    </row>
    <row r="3574" spans="3:3">
      <c r="C3574" s="32"/>
    </row>
    <row r="3575" spans="3:3">
      <c r="C3575" s="32"/>
    </row>
    <row r="3576" spans="3:3">
      <c r="C3576" s="32"/>
    </row>
    <row r="3577" spans="3:3">
      <c r="C3577" s="32"/>
    </row>
    <row r="3578" spans="3:3">
      <c r="C3578" s="32"/>
    </row>
    <row r="3579" spans="3:3">
      <c r="C3579" s="32"/>
    </row>
    <row r="3580" spans="3:3">
      <c r="C3580" s="32"/>
    </row>
    <row r="3581" spans="3:3">
      <c r="C3581" s="32"/>
    </row>
    <row r="3582" spans="3:3">
      <c r="C3582" s="32"/>
    </row>
    <row r="3583" spans="3:3">
      <c r="C3583" s="32"/>
    </row>
    <row r="3584" spans="3:3">
      <c r="C3584" s="32"/>
    </row>
    <row r="3585" spans="3:3">
      <c r="C3585" s="32"/>
    </row>
    <row r="3586" spans="3:3">
      <c r="C3586" s="32"/>
    </row>
    <row r="3587" spans="3:3">
      <c r="C3587" s="32"/>
    </row>
    <row r="3588" spans="3:3">
      <c r="C3588" s="32"/>
    </row>
    <row r="3589" spans="3:3">
      <c r="C3589" s="32"/>
    </row>
    <row r="3590" spans="3:3">
      <c r="C3590" s="32"/>
    </row>
    <row r="3591" spans="3:3">
      <c r="C3591" s="32"/>
    </row>
    <row r="3592" spans="3:3">
      <c r="C3592" s="32"/>
    </row>
    <row r="3593" spans="3:3">
      <c r="C3593" s="32"/>
    </row>
    <row r="3594" spans="3:3">
      <c r="C3594" s="32"/>
    </row>
    <row r="3595" spans="3:3">
      <c r="C3595" s="32"/>
    </row>
    <row r="3596" spans="3:3">
      <c r="C3596" s="32"/>
    </row>
    <row r="3597" spans="3:3">
      <c r="C3597" s="32"/>
    </row>
    <row r="3598" spans="3:3">
      <c r="C3598" s="32"/>
    </row>
    <row r="3599" spans="3:3">
      <c r="C3599" s="32"/>
    </row>
    <row r="3600" spans="3:3">
      <c r="C3600" s="32"/>
    </row>
    <row r="3601" spans="3:3">
      <c r="C3601" s="32"/>
    </row>
    <row r="3602" spans="3:3">
      <c r="C3602" s="32"/>
    </row>
    <row r="3603" spans="3:3">
      <c r="C3603" s="32"/>
    </row>
    <row r="3604" spans="3:3">
      <c r="C3604" s="32"/>
    </row>
    <row r="3605" spans="3:3">
      <c r="C3605" s="32"/>
    </row>
    <row r="3606" spans="3:3">
      <c r="C3606" s="32"/>
    </row>
    <row r="3607" spans="3:3">
      <c r="C3607" s="32"/>
    </row>
    <row r="3608" spans="3:3">
      <c r="C3608" s="32"/>
    </row>
    <row r="3609" spans="3:3">
      <c r="C3609" s="32"/>
    </row>
    <row r="3610" spans="3:3">
      <c r="C3610" s="32"/>
    </row>
    <row r="3611" spans="3:3">
      <c r="C3611" s="32"/>
    </row>
    <row r="3612" spans="3:3">
      <c r="C3612" s="32"/>
    </row>
    <row r="3613" spans="3:3">
      <c r="C3613" s="32"/>
    </row>
    <row r="3614" spans="3:3">
      <c r="C3614" s="32"/>
    </row>
    <row r="3615" spans="3:3">
      <c r="C3615" s="32"/>
    </row>
    <row r="3616" spans="3:3">
      <c r="C3616" s="32"/>
    </row>
    <row r="3617" spans="3:3">
      <c r="C3617" s="32"/>
    </row>
    <row r="3618" spans="3:3">
      <c r="C3618" s="32"/>
    </row>
    <row r="3619" spans="3:3">
      <c r="C3619" s="32"/>
    </row>
    <row r="3620" spans="3:3">
      <c r="C3620" s="32"/>
    </row>
    <row r="3621" spans="3:3">
      <c r="C3621" s="32"/>
    </row>
    <row r="3622" spans="3:3">
      <c r="C3622" s="32"/>
    </row>
    <row r="3623" spans="3:3">
      <c r="C3623" s="32"/>
    </row>
    <row r="3624" spans="3:3">
      <c r="C3624" s="32"/>
    </row>
    <row r="3625" spans="3:3">
      <c r="C3625" s="32"/>
    </row>
    <row r="3626" spans="3:3">
      <c r="C3626" s="32"/>
    </row>
    <row r="3627" spans="3:3">
      <c r="C3627" s="32"/>
    </row>
    <row r="3628" spans="3:3">
      <c r="C3628" s="32"/>
    </row>
    <row r="3629" spans="3:3">
      <c r="C3629" s="32"/>
    </row>
    <row r="3630" spans="3:3">
      <c r="C3630" s="32"/>
    </row>
    <row r="3631" spans="3:3">
      <c r="C3631" s="32"/>
    </row>
    <row r="3632" spans="3:3">
      <c r="C3632" s="32"/>
    </row>
    <row r="3633" spans="3:3">
      <c r="C3633" s="32"/>
    </row>
    <row r="3634" spans="3:3">
      <c r="C3634" s="32"/>
    </row>
    <row r="3635" spans="3:3">
      <c r="C3635" s="32"/>
    </row>
    <row r="3636" spans="3:3">
      <c r="C3636" s="32"/>
    </row>
    <row r="3637" spans="3:3">
      <c r="C3637" s="32"/>
    </row>
    <row r="3638" spans="3:3">
      <c r="C3638" s="32"/>
    </row>
    <row r="3639" spans="3:3">
      <c r="C3639" s="32"/>
    </row>
    <row r="3640" spans="3:3">
      <c r="C3640" s="32"/>
    </row>
    <row r="3641" spans="3:3">
      <c r="C3641" s="32"/>
    </row>
    <row r="3642" spans="3:3">
      <c r="C3642" s="32"/>
    </row>
    <row r="3643" spans="3:3">
      <c r="C3643" s="32"/>
    </row>
    <row r="3644" spans="3:3">
      <c r="C3644" s="32"/>
    </row>
    <row r="3645" spans="3:3">
      <c r="C3645" s="32"/>
    </row>
    <row r="3646" spans="3:3">
      <c r="C3646" s="32"/>
    </row>
    <row r="3647" spans="3:3">
      <c r="C3647" s="32"/>
    </row>
    <row r="3648" spans="3:3">
      <c r="C3648" s="32"/>
    </row>
    <row r="3649" spans="3:3">
      <c r="C3649" s="32"/>
    </row>
    <row r="3650" spans="3:3">
      <c r="C3650" s="32"/>
    </row>
    <row r="3651" spans="3:3">
      <c r="C3651" s="32"/>
    </row>
    <row r="3652" spans="3:3">
      <c r="C3652" s="32"/>
    </row>
    <row r="3653" spans="3:3">
      <c r="C3653" s="32"/>
    </row>
    <row r="3654" spans="3:3">
      <c r="C3654" s="32"/>
    </row>
    <row r="3655" spans="3:3">
      <c r="C3655" s="32"/>
    </row>
    <row r="3656" spans="3:3">
      <c r="C3656" s="32"/>
    </row>
    <row r="3657" spans="3:3">
      <c r="C3657" s="32"/>
    </row>
    <row r="3658" spans="3:3">
      <c r="C3658" s="32"/>
    </row>
    <row r="3659" spans="3:3">
      <c r="C3659" s="32"/>
    </row>
    <row r="3660" spans="3:3">
      <c r="C3660" s="32"/>
    </row>
    <row r="3661" spans="3:3">
      <c r="C3661" s="32"/>
    </row>
    <row r="3662" spans="3:3">
      <c r="C3662" s="32"/>
    </row>
    <row r="3663" spans="3:3">
      <c r="C3663" s="32"/>
    </row>
    <row r="3664" spans="3:3">
      <c r="C3664" s="32"/>
    </row>
    <row r="3665" spans="3:3">
      <c r="C3665" s="32"/>
    </row>
    <row r="3666" spans="3:3">
      <c r="C3666" s="32"/>
    </row>
    <row r="3667" spans="3:3">
      <c r="C3667" s="32"/>
    </row>
    <row r="3668" spans="3:3">
      <c r="C3668" s="32"/>
    </row>
    <row r="3669" spans="3:3">
      <c r="C3669" s="32"/>
    </row>
    <row r="3670" spans="3:3">
      <c r="C3670" s="32"/>
    </row>
    <row r="3671" spans="3:3">
      <c r="C3671" s="32"/>
    </row>
    <row r="3672" spans="3:3">
      <c r="C3672" s="32"/>
    </row>
    <row r="3673" spans="3:3">
      <c r="C3673" s="32"/>
    </row>
    <row r="3674" spans="3:3">
      <c r="C3674" s="32"/>
    </row>
    <row r="3675" spans="3:3">
      <c r="C3675" s="32"/>
    </row>
    <row r="3676" spans="3:3">
      <c r="C3676" s="32"/>
    </row>
    <row r="3677" spans="3:3">
      <c r="C3677" s="32"/>
    </row>
    <row r="3678" spans="3:3">
      <c r="C3678" s="32"/>
    </row>
    <row r="3679" spans="3:3">
      <c r="C3679" s="32"/>
    </row>
    <row r="3680" spans="3:3">
      <c r="C3680" s="32"/>
    </row>
    <row r="3681" spans="3:3">
      <c r="C3681" s="32"/>
    </row>
    <row r="3682" spans="3:3">
      <c r="C3682" s="32"/>
    </row>
    <row r="3683" spans="3:3">
      <c r="C3683" s="32"/>
    </row>
    <row r="3684" spans="3:3">
      <c r="C3684" s="32"/>
    </row>
    <row r="3685" spans="3:3">
      <c r="C3685" s="32"/>
    </row>
    <row r="3686" spans="3:3">
      <c r="C3686" s="32"/>
    </row>
    <row r="3687" spans="3:3">
      <c r="C3687" s="32"/>
    </row>
    <row r="3688" spans="3:3">
      <c r="C3688" s="32"/>
    </row>
    <row r="3689" spans="3:3">
      <c r="C3689" s="32"/>
    </row>
    <row r="3690" spans="3:3">
      <c r="C3690" s="32"/>
    </row>
    <row r="3691" spans="3:3">
      <c r="C3691" s="32"/>
    </row>
    <row r="3692" spans="3:3">
      <c r="C3692" s="32"/>
    </row>
    <row r="3693" spans="3:3">
      <c r="C3693" s="32"/>
    </row>
    <row r="3694" spans="3:3">
      <c r="C3694" s="32"/>
    </row>
    <row r="3695" spans="3:3">
      <c r="C3695" s="32"/>
    </row>
    <row r="3696" spans="3:3">
      <c r="C3696" s="32"/>
    </row>
    <row r="3697" spans="3:3">
      <c r="C3697" s="32"/>
    </row>
    <row r="3698" spans="3:3">
      <c r="C3698" s="32"/>
    </row>
    <row r="3699" spans="3:3">
      <c r="C3699" s="32"/>
    </row>
    <row r="3700" spans="3:3">
      <c r="C3700" s="32"/>
    </row>
    <row r="3701" spans="3:3">
      <c r="C3701" s="32"/>
    </row>
    <row r="3702" spans="3:3">
      <c r="C3702" s="32"/>
    </row>
    <row r="3703" spans="3:3">
      <c r="C3703" s="32"/>
    </row>
    <row r="3704" spans="3:3">
      <c r="C3704" s="32"/>
    </row>
    <row r="3705" spans="3:3">
      <c r="C3705" s="32"/>
    </row>
    <row r="3706" spans="3:3">
      <c r="C3706" s="32"/>
    </row>
    <row r="3707" spans="3:3">
      <c r="C3707" s="32"/>
    </row>
    <row r="3708" spans="3:3">
      <c r="C3708" s="32"/>
    </row>
    <row r="3709" spans="3:3">
      <c r="C3709" s="32"/>
    </row>
    <row r="3710" spans="3:3">
      <c r="C3710" s="32"/>
    </row>
    <row r="3711" spans="3:3">
      <c r="C3711" s="32"/>
    </row>
    <row r="3712" spans="3:3">
      <c r="C3712" s="32"/>
    </row>
    <row r="3713" spans="3:3">
      <c r="C3713" s="32"/>
    </row>
    <row r="3714" spans="3:3">
      <c r="C3714" s="32"/>
    </row>
    <row r="3715" spans="3:3">
      <c r="C3715" s="32"/>
    </row>
    <row r="3716" spans="3:3">
      <c r="C3716" s="32"/>
    </row>
    <row r="3717" spans="3:3">
      <c r="C3717" s="32"/>
    </row>
    <row r="3718" spans="3:3">
      <c r="C3718" s="32"/>
    </row>
    <row r="3719" spans="3:3">
      <c r="C3719" s="32"/>
    </row>
    <row r="3720" spans="3:3">
      <c r="C3720" s="32"/>
    </row>
    <row r="3721" spans="3:3">
      <c r="C3721" s="32"/>
    </row>
    <row r="3722" spans="3:3">
      <c r="C3722" s="32"/>
    </row>
    <row r="3723" spans="3:3">
      <c r="C3723" s="32"/>
    </row>
    <row r="3724" spans="3:3">
      <c r="C3724" s="32"/>
    </row>
    <row r="3725" spans="3:3">
      <c r="C3725" s="32"/>
    </row>
    <row r="3726" spans="3:3">
      <c r="C3726" s="32"/>
    </row>
    <row r="3727" spans="3:3">
      <c r="C3727" s="32"/>
    </row>
    <row r="3728" spans="3:3">
      <c r="C3728" s="32"/>
    </row>
    <row r="3729" spans="3:3">
      <c r="C3729" s="32"/>
    </row>
    <row r="3730" spans="3:3">
      <c r="C3730" s="32"/>
    </row>
    <row r="3731" spans="3:3">
      <c r="C3731" s="32"/>
    </row>
    <row r="3732" spans="3:3">
      <c r="C3732" s="32"/>
    </row>
    <row r="3733" spans="3:3">
      <c r="C3733" s="32"/>
    </row>
    <row r="3734" spans="3:3">
      <c r="C3734" s="32"/>
    </row>
    <row r="3735" spans="3:3">
      <c r="C3735" s="32"/>
    </row>
    <row r="3736" spans="3:3">
      <c r="C3736" s="32"/>
    </row>
    <row r="3737" spans="3:3">
      <c r="C3737" s="32"/>
    </row>
    <row r="3738" spans="3:3">
      <c r="C3738" s="32"/>
    </row>
    <row r="3739" spans="3:3">
      <c r="C3739" s="32"/>
    </row>
    <row r="3740" spans="3:3">
      <c r="C3740" s="32"/>
    </row>
    <row r="3741" spans="3:3">
      <c r="C3741" s="32"/>
    </row>
    <row r="3742" spans="3:3">
      <c r="C3742" s="32"/>
    </row>
    <row r="3743" spans="3:3">
      <c r="C3743" s="32"/>
    </row>
    <row r="3744" spans="3:3">
      <c r="C3744" s="32"/>
    </row>
    <row r="3745" spans="3:3">
      <c r="C3745" s="32"/>
    </row>
    <row r="3746" spans="3:3">
      <c r="C3746" s="32"/>
    </row>
    <row r="3747" spans="3:3">
      <c r="C3747" s="32"/>
    </row>
    <row r="3748" spans="3:3">
      <c r="C3748" s="32"/>
    </row>
    <row r="3749" spans="3:3">
      <c r="C3749" s="32"/>
    </row>
    <row r="3750" spans="3:3">
      <c r="C3750" s="32"/>
    </row>
    <row r="3751" spans="3:3">
      <c r="C3751" s="32"/>
    </row>
    <row r="3752" spans="3:3">
      <c r="C3752" s="32"/>
    </row>
    <row r="3753" spans="3:3">
      <c r="C3753" s="32"/>
    </row>
    <row r="3754" spans="3:3">
      <c r="C3754" s="32"/>
    </row>
    <row r="3755" spans="3:3">
      <c r="C3755" s="32"/>
    </row>
    <row r="3756" spans="3:3">
      <c r="C3756" s="32"/>
    </row>
    <row r="3757" spans="3:3">
      <c r="C3757" s="32"/>
    </row>
    <row r="3758" spans="3:3">
      <c r="C3758" s="32"/>
    </row>
    <row r="3759" spans="3:3">
      <c r="C3759" s="32"/>
    </row>
    <row r="3760" spans="3:3">
      <c r="C3760" s="32"/>
    </row>
    <row r="3761" spans="3:3">
      <c r="C3761" s="32"/>
    </row>
    <row r="3762" spans="3:3">
      <c r="C3762" s="32"/>
    </row>
    <row r="3763" spans="3:3">
      <c r="C3763" s="32"/>
    </row>
    <row r="3764" spans="3:3">
      <c r="C3764" s="32"/>
    </row>
    <row r="3765" spans="3:3">
      <c r="C3765" s="32"/>
    </row>
    <row r="3766" spans="3:3">
      <c r="C3766" s="32"/>
    </row>
    <row r="3767" spans="3:3">
      <c r="C3767" s="32"/>
    </row>
    <row r="3768" spans="3:3">
      <c r="C3768" s="32"/>
    </row>
    <row r="3769" spans="3:3">
      <c r="C3769" s="32"/>
    </row>
    <row r="3770" spans="3:3">
      <c r="C3770" s="32"/>
    </row>
    <row r="3771" spans="3:3">
      <c r="C3771" s="32"/>
    </row>
    <row r="3772" spans="3:3">
      <c r="C3772" s="32"/>
    </row>
    <row r="3773" spans="3:3">
      <c r="C3773" s="32"/>
    </row>
    <row r="3774" spans="3:3">
      <c r="C3774" s="32"/>
    </row>
    <row r="3775" spans="3:3">
      <c r="C3775" s="32"/>
    </row>
    <row r="3776" spans="3:3">
      <c r="C3776" s="32"/>
    </row>
    <row r="3777" spans="3:3">
      <c r="C3777" s="32"/>
    </row>
    <row r="3778" spans="3:3">
      <c r="C3778" s="32"/>
    </row>
    <row r="3779" spans="3:3">
      <c r="C3779" s="32"/>
    </row>
    <row r="3780" spans="3:3">
      <c r="C3780" s="32"/>
    </row>
    <row r="3781" spans="3:3">
      <c r="C3781" s="32"/>
    </row>
    <row r="3782" spans="3:3">
      <c r="C3782" s="32"/>
    </row>
    <row r="3783" spans="3:3">
      <c r="C3783" s="32"/>
    </row>
    <row r="3784" spans="3:3">
      <c r="C3784" s="32"/>
    </row>
    <row r="3785" spans="3:3">
      <c r="C3785" s="32"/>
    </row>
    <row r="3786" spans="3:3">
      <c r="C3786" s="32"/>
    </row>
    <row r="3787" spans="3:3">
      <c r="C3787" s="32"/>
    </row>
    <row r="3788" spans="3:3">
      <c r="C3788" s="32"/>
    </row>
    <row r="3789" spans="3:3">
      <c r="C3789" s="32"/>
    </row>
    <row r="3790" spans="3:3">
      <c r="C3790" s="32"/>
    </row>
    <row r="3791" spans="3:3">
      <c r="C3791" s="32"/>
    </row>
    <row r="3792" spans="3:3">
      <c r="C3792" s="32"/>
    </row>
    <row r="3793" spans="3:3">
      <c r="C3793" s="32"/>
    </row>
    <row r="3794" spans="3:3">
      <c r="C3794" s="32"/>
    </row>
    <row r="3795" spans="3:3">
      <c r="C3795" s="32"/>
    </row>
    <row r="3796" spans="3:3">
      <c r="C3796" s="32"/>
    </row>
    <row r="3797" spans="3:3">
      <c r="C3797" s="32"/>
    </row>
    <row r="3798" spans="3:3">
      <c r="C3798" s="32"/>
    </row>
    <row r="3799" spans="3:3">
      <c r="C3799" s="32"/>
    </row>
    <row r="3800" spans="3:3">
      <c r="C3800" s="32"/>
    </row>
    <row r="3801" spans="3:3">
      <c r="C3801" s="32"/>
    </row>
    <row r="3802" spans="3:3">
      <c r="C3802" s="32"/>
    </row>
    <row r="3803" spans="3:3">
      <c r="C3803" s="32"/>
    </row>
    <row r="3804" spans="3:3">
      <c r="C3804" s="32"/>
    </row>
    <row r="3805" spans="3:3">
      <c r="C3805" s="32"/>
    </row>
    <row r="3806" spans="3:3">
      <c r="C3806" s="32"/>
    </row>
    <row r="3807" spans="3:3">
      <c r="C3807" s="32"/>
    </row>
    <row r="3808" spans="3:3">
      <c r="C3808" s="32"/>
    </row>
    <row r="3809" spans="3:8">
      <c r="C3809" s="32"/>
    </row>
    <row r="3810" spans="3:8">
      <c r="C3810" s="32"/>
    </row>
    <row r="3811" spans="3:8">
      <c r="C3811" s="32"/>
      <c r="E3811" s="22"/>
      <c r="F3811" s="22"/>
      <c r="G3811" s="20"/>
      <c r="H3811" s="20"/>
    </row>
    <row r="3812" spans="3:8">
      <c r="C3812" s="32"/>
    </row>
    <row r="3813" spans="3:8">
      <c r="C3813" s="32"/>
    </row>
    <row r="3814" spans="3:8">
      <c r="C3814" s="32"/>
    </row>
    <row r="3815" spans="3:8">
      <c r="C3815" s="32"/>
    </row>
    <row r="3816" spans="3:8">
      <c r="C3816" s="32"/>
    </row>
    <row r="3817" spans="3:8">
      <c r="C3817" s="32"/>
    </row>
    <row r="3818" spans="3:8">
      <c r="C3818" s="32"/>
    </row>
    <row r="3819" spans="3:8">
      <c r="C3819" s="32"/>
    </row>
    <row r="3820" spans="3:8">
      <c r="C3820" s="32"/>
    </row>
    <row r="3821" spans="3:8">
      <c r="C3821" s="32"/>
    </row>
    <row r="3822" spans="3:8">
      <c r="C3822" s="32"/>
    </row>
    <row r="3823" spans="3:8">
      <c r="C3823" s="32"/>
    </row>
    <row r="3824" spans="3:8">
      <c r="C3824" s="32"/>
    </row>
    <row r="3825" spans="3:3">
      <c r="C3825" s="32"/>
    </row>
    <row r="3826" spans="3:3">
      <c r="C3826" s="32"/>
    </row>
    <row r="3827" spans="3:3">
      <c r="C3827" s="32"/>
    </row>
    <row r="3828" spans="3:3">
      <c r="C3828" s="32"/>
    </row>
    <row r="3829" spans="3:3">
      <c r="C3829" s="32"/>
    </row>
    <row r="3830" spans="3:3">
      <c r="C3830" s="32"/>
    </row>
    <row r="3831" spans="3:3">
      <c r="C3831" s="32"/>
    </row>
    <row r="3832" spans="3:3">
      <c r="C3832" s="32"/>
    </row>
    <row r="3833" spans="3:3">
      <c r="C3833" s="32"/>
    </row>
    <row r="3834" spans="3:3">
      <c r="C3834" s="32"/>
    </row>
    <row r="3835" spans="3:3">
      <c r="C3835" s="32"/>
    </row>
    <row r="3836" spans="3:3">
      <c r="C3836" s="32"/>
    </row>
    <row r="3837" spans="3:3">
      <c r="C3837" s="32"/>
    </row>
    <row r="3838" spans="3:3">
      <c r="C3838" s="32"/>
    </row>
    <row r="3839" spans="3:3">
      <c r="C3839" s="32"/>
    </row>
    <row r="3840" spans="3:3">
      <c r="C3840" s="32"/>
    </row>
    <row r="3841" spans="3:3">
      <c r="C3841" s="32"/>
    </row>
    <row r="3842" spans="3:3">
      <c r="C3842" s="32"/>
    </row>
    <row r="3843" spans="3:3">
      <c r="C3843" s="32"/>
    </row>
    <row r="3844" spans="3:3">
      <c r="C3844" s="32"/>
    </row>
    <row r="3845" spans="3:3">
      <c r="C3845" s="32"/>
    </row>
    <row r="3846" spans="3:3">
      <c r="C3846" s="32"/>
    </row>
    <row r="3847" spans="3:3">
      <c r="C3847" s="32"/>
    </row>
    <row r="3848" spans="3:3">
      <c r="C3848" s="32"/>
    </row>
    <row r="3849" spans="3:3">
      <c r="C3849" s="32"/>
    </row>
    <row r="3850" spans="3:3">
      <c r="C3850" s="32"/>
    </row>
    <row r="3851" spans="3:3">
      <c r="C3851" s="32"/>
    </row>
    <row r="3852" spans="3:3">
      <c r="C3852" s="32"/>
    </row>
    <row r="3853" spans="3:3">
      <c r="C3853" s="32"/>
    </row>
    <row r="3854" spans="3:3">
      <c r="C3854" s="32"/>
    </row>
    <row r="3855" spans="3:3">
      <c r="C3855" s="32"/>
    </row>
    <row r="3856" spans="3:3">
      <c r="C3856" s="32"/>
    </row>
    <row r="3857" spans="3:3">
      <c r="C3857" s="32"/>
    </row>
    <row r="3858" spans="3:3">
      <c r="C3858" s="32"/>
    </row>
    <row r="3859" spans="3:3">
      <c r="C3859" s="32"/>
    </row>
    <row r="3860" spans="3:3">
      <c r="C3860" s="32"/>
    </row>
    <row r="3861" spans="3:3">
      <c r="C3861" s="32"/>
    </row>
    <row r="3862" spans="3:3">
      <c r="C3862" s="32"/>
    </row>
    <row r="3863" spans="3:3">
      <c r="C3863" s="32"/>
    </row>
    <row r="3864" spans="3:3">
      <c r="C3864" s="32"/>
    </row>
    <row r="3865" spans="3:3">
      <c r="C3865" s="32"/>
    </row>
    <row r="3866" spans="3:3">
      <c r="C3866" s="32"/>
    </row>
    <row r="3867" spans="3:3">
      <c r="C3867" s="32"/>
    </row>
    <row r="3868" spans="3:3">
      <c r="C3868" s="32"/>
    </row>
    <row r="3869" spans="3:3">
      <c r="C3869" s="32"/>
    </row>
    <row r="3870" spans="3:3">
      <c r="C3870" s="32"/>
    </row>
    <row r="3871" spans="3:3">
      <c r="C3871" s="32"/>
    </row>
    <row r="3872" spans="3:3">
      <c r="C3872" s="32"/>
    </row>
    <row r="3873" spans="3:3">
      <c r="C3873" s="32"/>
    </row>
    <row r="3874" spans="3:3">
      <c r="C3874" s="32"/>
    </row>
    <row r="3875" spans="3:3">
      <c r="C3875" s="32"/>
    </row>
    <row r="3876" spans="3:3">
      <c r="C3876" s="32"/>
    </row>
    <row r="3877" spans="3:3">
      <c r="C3877" s="32"/>
    </row>
    <row r="3878" spans="3:3">
      <c r="C3878" s="32"/>
    </row>
    <row r="3879" spans="3:3">
      <c r="C3879" s="32"/>
    </row>
    <row r="3880" spans="3:3">
      <c r="C3880" s="32"/>
    </row>
    <row r="3881" spans="3:3">
      <c r="C3881" s="32"/>
    </row>
    <row r="3882" spans="3:3">
      <c r="C3882" s="32"/>
    </row>
    <row r="3883" spans="3:3">
      <c r="C3883" s="32"/>
    </row>
    <row r="3884" spans="3:3">
      <c r="C3884" s="32"/>
    </row>
    <row r="3885" spans="3:3">
      <c r="C3885" s="32"/>
    </row>
    <row r="3886" spans="3:3">
      <c r="C3886" s="32"/>
    </row>
    <row r="3887" spans="3:3">
      <c r="C3887" s="32"/>
    </row>
    <row r="3888" spans="3:3">
      <c r="C3888" s="32"/>
    </row>
    <row r="3889" spans="3:3">
      <c r="C3889" s="32"/>
    </row>
    <row r="3890" spans="3:3">
      <c r="C3890" s="32"/>
    </row>
    <row r="3891" spans="3:3">
      <c r="C3891" s="32"/>
    </row>
    <row r="3892" spans="3:3">
      <c r="C3892" s="32"/>
    </row>
    <row r="3893" spans="3:3">
      <c r="C3893" s="32"/>
    </row>
    <row r="3894" spans="3:3">
      <c r="C3894" s="32"/>
    </row>
    <row r="3895" spans="3:3">
      <c r="C3895" s="32"/>
    </row>
    <row r="3896" spans="3:3">
      <c r="C3896" s="32"/>
    </row>
    <row r="3897" spans="3:3">
      <c r="C3897" s="32"/>
    </row>
    <row r="3898" spans="3:3">
      <c r="C3898" s="32"/>
    </row>
    <row r="3899" spans="3:3">
      <c r="C3899" s="32"/>
    </row>
    <row r="3900" spans="3:3">
      <c r="C3900" s="32"/>
    </row>
    <row r="3901" spans="3:3">
      <c r="C3901" s="32"/>
    </row>
    <row r="3902" spans="3:3">
      <c r="C3902" s="32"/>
    </row>
    <row r="3903" spans="3:3">
      <c r="C3903" s="32"/>
    </row>
    <row r="3904" spans="3:3">
      <c r="C3904" s="32"/>
    </row>
    <row r="3905" spans="3:3">
      <c r="C3905" s="32"/>
    </row>
    <row r="3906" spans="3:3">
      <c r="C3906" s="32"/>
    </row>
    <row r="3907" spans="3:3">
      <c r="C3907" s="32"/>
    </row>
    <row r="3908" spans="3:3">
      <c r="C3908" s="32"/>
    </row>
    <row r="3909" spans="3:3">
      <c r="C3909" s="32"/>
    </row>
    <row r="3910" spans="3:3">
      <c r="C3910" s="32"/>
    </row>
    <row r="3911" spans="3:3">
      <c r="C3911" s="32"/>
    </row>
    <row r="3912" spans="3:3">
      <c r="C3912" s="32"/>
    </row>
    <row r="3913" spans="3:3">
      <c r="C3913" s="32"/>
    </row>
    <row r="3914" spans="3:3">
      <c r="C3914" s="32"/>
    </row>
    <row r="3915" spans="3:3">
      <c r="C3915" s="32"/>
    </row>
    <row r="3916" spans="3:3">
      <c r="C3916" s="32"/>
    </row>
    <row r="3917" spans="3:3">
      <c r="C3917" s="32"/>
    </row>
    <row r="3918" spans="3:3">
      <c r="C3918" s="32"/>
    </row>
    <row r="3919" spans="3:3">
      <c r="C3919" s="32"/>
    </row>
    <row r="3920" spans="3:3">
      <c r="C3920" s="32"/>
    </row>
    <row r="3921" spans="3:3">
      <c r="C3921" s="32"/>
    </row>
    <row r="3922" spans="3:3">
      <c r="C3922" s="32"/>
    </row>
    <row r="3923" spans="3:3">
      <c r="C3923" s="32"/>
    </row>
    <row r="3924" spans="3:3">
      <c r="C3924" s="32"/>
    </row>
    <row r="3925" spans="3:3">
      <c r="C3925" s="32"/>
    </row>
    <row r="3926" spans="3:3">
      <c r="C3926" s="32"/>
    </row>
    <row r="3927" spans="3:3">
      <c r="C3927" s="32"/>
    </row>
    <row r="3928" spans="3:3">
      <c r="C3928" s="32"/>
    </row>
    <row r="3929" spans="3:3">
      <c r="C3929" s="32"/>
    </row>
    <row r="3930" spans="3:3">
      <c r="C3930" s="32"/>
    </row>
    <row r="3931" spans="3:3">
      <c r="C3931" s="32"/>
    </row>
    <row r="3932" spans="3:3">
      <c r="C3932" s="32"/>
    </row>
    <row r="3933" spans="3:3">
      <c r="C3933" s="32"/>
    </row>
    <row r="3934" spans="3:3">
      <c r="C3934" s="32"/>
    </row>
    <row r="3935" spans="3:3">
      <c r="C3935" s="32"/>
    </row>
    <row r="3936" spans="3:3">
      <c r="C3936" s="32"/>
    </row>
    <row r="3937" spans="3:3">
      <c r="C3937" s="32"/>
    </row>
    <row r="3938" spans="3:3">
      <c r="C3938" s="32"/>
    </row>
    <row r="3939" spans="3:3">
      <c r="C3939" s="32"/>
    </row>
    <row r="3940" spans="3:3">
      <c r="C3940" s="32"/>
    </row>
    <row r="3941" spans="3:3">
      <c r="C3941" s="32"/>
    </row>
    <row r="3942" spans="3:3">
      <c r="C3942" s="32"/>
    </row>
    <row r="3943" spans="3:3">
      <c r="C3943" s="32"/>
    </row>
    <row r="3944" spans="3:3">
      <c r="C3944" s="32"/>
    </row>
    <row r="3945" spans="3:3">
      <c r="C3945" s="32"/>
    </row>
    <row r="3946" spans="3:3">
      <c r="C3946" s="32"/>
    </row>
    <row r="3947" spans="3:3">
      <c r="C3947" s="32"/>
    </row>
    <row r="3948" spans="3:3">
      <c r="C3948" s="32"/>
    </row>
    <row r="3949" spans="3:3">
      <c r="C3949" s="32"/>
    </row>
    <row r="3950" spans="3:3">
      <c r="C3950" s="32"/>
    </row>
    <row r="3951" spans="3:3">
      <c r="C3951" s="32"/>
    </row>
    <row r="3952" spans="3:3">
      <c r="C3952" s="32"/>
    </row>
    <row r="3953" spans="3:3">
      <c r="C3953" s="32"/>
    </row>
    <row r="3954" spans="3:3">
      <c r="C3954" s="32"/>
    </row>
    <row r="3955" spans="3:3">
      <c r="C3955" s="32"/>
    </row>
    <row r="3956" spans="3:3">
      <c r="C3956" s="32"/>
    </row>
    <row r="3957" spans="3:3">
      <c r="C3957" s="32"/>
    </row>
    <row r="3958" spans="3:3">
      <c r="C3958" s="32"/>
    </row>
    <row r="3959" spans="3:3">
      <c r="C3959" s="32"/>
    </row>
    <row r="3960" spans="3:3">
      <c r="C3960" s="32"/>
    </row>
    <row r="3961" spans="3:3">
      <c r="C3961" s="32"/>
    </row>
    <row r="3962" spans="3:3">
      <c r="C3962" s="32"/>
    </row>
    <row r="3963" spans="3:3">
      <c r="C3963" s="32"/>
    </row>
    <row r="3964" spans="3:3">
      <c r="C3964" s="32"/>
    </row>
    <row r="3965" spans="3:3">
      <c r="C3965" s="32"/>
    </row>
    <row r="3966" spans="3:3">
      <c r="C3966" s="32"/>
    </row>
    <row r="3967" spans="3:3">
      <c r="C3967" s="32"/>
    </row>
    <row r="3968" spans="3:3">
      <c r="C3968" s="32"/>
    </row>
    <row r="3969" spans="3:3">
      <c r="C3969" s="32"/>
    </row>
    <row r="3970" spans="3:3">
      <c r="C3970" s="32"/>
    </row>
    <row r="3971" spans="3:3">
      <c r="C3971" s="32"/>
    </row>
    <row r="3972" spans="3:3">
      <c r="C3972" s="32"/>
    </row>
    <row r="3973" spans="3:3">
      <c r="C3973" s="32"/>
    </row>
    <row r="3974" spans="3:3">
      <c r="C3974" s="32"/>
    </row>
    <row r="3975" spans="3:3">
      <c r="C3975" s="32"/>
    </row>
    <row r="3976" spans="3:3">
      <c r="C3976" s="32"/>
    </row>
    <row r="3977" spans="3:3">
      <c r="C3977" s="32"/>
    </row>
    <row r="3978" spans="3:3">
      <c r="C3978" s="32"/>
    </row>
    <row r="3979" spans="3:3">
      <c r="C3979" s="32"/>
    </row>
    <row r="3980" spans="3:3">
      <c r="C3980" s="32"/>
    </row>
    <row r="3981" spans="3:3">
      <c r="C3981" s="32"/>
    </row>
    <row r="3982" spans="3:3">
      <c r="C3982" s="32"/>
    </row>
    <row r="3983" spans="3:3">
      <c r="C3983" s="32"/>
    </row>
    <row r="3984" spans="3:3">
      <c r="C3984" s="32"/>
    </row>
    <row r="3985" spans="3:3">
      <c r="C3985" s="32"/>
    </row>
    <row r="3986" spans="3:3">
      <c r="C3986" s="32"/>
    </row>
    <row r="3987" spans="3:3">
      <c r="C3987" s="32"/>
    </row>
    <row r="3988" spans="3:3">
      <c r="C3988" s="32"/>
    </row>
    <row r="3989" spans="3:3">
      <c r="C3989" s="32"/>
    </row>
    <row r="3990" spans="3:3">
      <c r="C3990" s="32"/>
    </row>
    <row r="3991" spans="3:3">
      <c r="C3991" s="32"/>
    </row>
    <row r="3992" spans="3:3">
      <c r="C3992" s="32"/>
    </row>
    <row r="3993" spans="3:3">
      <c r="C3993" s="32"/>
    </row>
    <row r="3994" spans="3:3">
      <c r="C3994" s="32"/>
    </row>
    <row r="3995" spans="3:3">
      <c r="C3995" s="32"/>
    </row>
    <row r="3996" spans="3:3">
      <c r="C3996" s="32"/>
    </row>
    <row r="3997" spans="3:3">
      <c r="C3997" s="32"/>
    </row>
    <row r="3998" spans="3:3">
      <c r="C3998" s="32"/>
    </row>
    <row r="3999" spans="3:3">
      <c r="C3999" s="32"/>
    </row>
    <row r="4000" spans="3:3">
      <c r="C4000" s="32"/>
    </row>
    <row r="4001" spans="3:3">
      <c r="C4001" s="32"/>
    </row>
    <row r="4002" spans="3:3">
      <c r="C4002" s="32"/>
    </row>
    <row r="4003" spans="3:3">
      <c r="C4003" s="32"/>
    </row>
    <row r="4004" spans="3:3">
      <c r="C4004" s="32"/>
    </row>
    <row r="4005" spans="3:3">
      <c r="C4005" s="32"/>
    </row>
    <row r="4006" spans="3:3">
      <c r="C4006" s="32"/>
    </row>
    <row r="4007" spans="3:3">
      <c r="C4007" s="32"/>
    </row>
    <row r="4008" spans="3:3">
      <c r="C4008" s="32"/>
    </row>
    <row r="4009" spans="3:3">
      <c r="C4009" s="32"/>
    </row>
    <row r="4010" spans="3:3">
      <c r="C4010" s="32"/>
    </row>
    <row r="4011" spans="3:3">
      <c r="C4011" s="32"/>
    </row>
    <row r="4012" spans="3:3">
      <c r="C4012" s="32"/>
    </row>
    <row r="4013" spans="3:3">
      <c r="C4013" s="32"/>
    </row>
    <row r="4014" spans="3:3">
      <c r="C4014" s="32"/>
    </row>
    <row r="4015" spans="3:3">
      <c r="C4015" s="32"/>
    </row>
    <row r="4016" spans="3:3">
      <c r="C4016" s="32"/>
    </row>
    <row r="4017" spans="3:3">
      <c r="C4017" s="32"/>
    </row>
    <row r="4018" spans="3:3">
      <c r="C4018" s="32"/>
    </row>
    <row r="4019" spans="3:3">
      <c r="C4019" s="32"/>
    </row>
    <row r="4020" spans="3:3">
      <c r="C4020" s="32"/>
    </row>
    <row r="4021" spans="3:3">
      <c r="C4021" s="32"/>
    </row>
    <row r="4022" spans="3:3">
      <c r="C4022" s="32"/>
    </row>
    <row r="4023" spans="3:3">
      <c r="C4023" s="32"/>
    </row>
    <row r="4024" spans="3:3">
      <c r="C4024" s="32"/>
    </row>
    <row r="4025" spans="3:3">
      <c r="C4025" s="32"/>
    </row>
    <row r="4026" spans="3:3">
      <c r="C4026" s="32"/>
    </row>
    <row r="4027" spans="3:3">
      <c r="C4027" s="32"/>
    </row>
    <row r="4028" spans="3:3">
      <c r="C4028" s="32"/>
    </row>
    <row r="4029" spans="3:3">
      <c r="C4029" s="32"/>
    </row>
    <row r="4030" spans="3:3">
      <c r="C4030" s="32"/>
    </row>
    <row r="4031" spans="3:3">
      <c r="C4031" s="32"/>
    </row>
    <row r="4032" spans="3:3">
      <c r="C4032" s="32"/>
    </row>
    <row r="4033" spans="3:3">
      <c r="C4033" s="32"/>
    </row>
    <row r="4034" spans="3:3">
      <c r="C4034" s="32"/>
    </row>
    <row r="4035" spans="3:3">
      <c r="C4035" s="32"/>
    </row>
    <row r="4036" spans="3:3">
      <c r="C4036" s="32"/>
    </row>
    <row r="4037" spans="3:3">
      <c r="C4037" s="32"/>
    </row>
    <row r="4038" spans="3:3">
      <c r="C4038" s="32"/>
    </row>
    <row r="4039" spans="3:3">
      <c r="C4039" s="32"/>
    </row>
    <row r="4040" spans="3:3">
      <c r="C4040" s="32"/>
    </row>
    <row r="4041" spans="3:3">
      <c r="C4041" s="32"/>
    </row>
    <row r="4042" spans="3:3">
      <c r="C4042" s="32"/>
    </row>
    <row r="4043" spans="3:3">
      <c r="C4043" s="32"/>
    </row>
    <row r="4044" spans="3:3">
      <c r="C4044" s="32"/>
    </row>
    <row r="4045" spans="3:3">
      <c r="C4045" s="32"/>
    </row>
    <row r="4046" spans="3:3">
      <c r="C4046" s="32"/>
    </row>
    <row r="4047" spans="3:3">
      <c r="C4047" s="32"/>
    </row>
    <row r="4048" spans="3:3">
      <c r="C4048" s="32"/>
    </row>
    <row r="4049" spans="3:3">
      <c r="C4049" s="32"/>
    </row>
    <row r="4050" spans="3:3">
      <c r="C4050" s="32"/>
    </row>
    <row r="4051" spans="3:3">
      <c r="C4051" s="32"/>
    </row>
    <row r="4052" spans="3:3">
      <c r="C4052" s="32"/>
    </row>
    <row r="4053" spans="3:3">
      <c r="C4053" s="32"/>
    </row>
    <row r="4054" spans="3:3">
      <c r="C4054" s="32"/>
    </row>
    <row r="4055" spans="3:3">
      <c r="C4055" s="32"/>
    </row>
    <row r="4056" spans="3:3">
      <c r="C4056" s="32"/>
    </row>
    <row r="4057" spans="3:3">
      <c r="C4057" s="32"/>
    </row>
    <row r="4058" spans="3:3">
      <c r="C4058" s="32"/>
    </row>
    <row r="4059" spans="3:3">
      <c r="C4059" s="32"/>
    </row>
    <row r="4060" spans="3:3">
      <c r="C4060" s="32"/>
    </row>
    <row r="4061" spans="3:3">
      <c r="C4061" s="32"/>
    </row>
    <row r="4062" spans="3:3">
      <c r="C4062" s="32"/>
    </row>
    <row r="4063" spans="3:3">
      <c r="C4063" s="32"/>
    </row>
    <row r="4064" spans="3:3">
      <c r="C4064" s="32"/>
    </row>
    <row r="4065" spans="3:3">
      <c r="C4065" s="32"/>
    </row>
    <row r="4066" spans="3:3">
      <c r="C4066" s="32"/>
    </row>
    <row r="4067" spans="3:3">
      <c r="C4067" s="32"/>
    </row>
    <row r="4068" spans="3:3">
      <c r="C4068" s="32"/>
    </row>
    <row r="4069" spans="3:3">
      <c r="C4069" s="32"/>
    </row>
    <row r="4070" spans="3:3">
      <c r="C4070" s="32"/>
    </row>
    <row r="4071" spans="3:3">
      <c r="C4071" s="32"/>
    </row>
    <row r="4072" spans="3:3">
      <c r="C4072" s="32"/>
    </row>
    <row r="4073" spans="3:3">
      <c r="C4073" s="32"/>
    </row>
    <row r="4074" spans="3:3">
      <c r="C4074" s="32"/>
    </row>
    <row r="4075" spans="3:3">
      <c r="C4075" s="32"/>
    </row>
    <row r="4076" spans="3:3">
      <c r="C4076" s="32"/>
    </row>
    <row r="4077" spans="3:3">
      <c r="C4077" s="32"/>
    </row>
    <row r="4078" spans="3:3">
      <c r="C4078" s="32"/>
    </row>
    <row r="4079" spans="3:3">
      <c r="C4079" s="32"/>
    </row>
    <row r="4080" spans="3:3">
      <c r="C4080" s="32"/>
    </row>
    <row r="4081" spans="3:3">
      <c r="C4081" s="32"/>
    </row>
    <row r="4082" spans="3:3">
      <c r="C4082" s="32"/>
    </row>
    <row r="4083" spans="3:3">
      <c r="C4083" s="32"/>
    </row>
    <row r="4084" spans="3:3">
      <c r="C4084" s="32"/>
    </row>
    <row r="4085" spans="3:3">
      <c r="C4085" s="32"/>
    </row>
    <row r="4086" spans="3:3">
      <c r="C4086" s="32"/>
    </row>
    <row r="4087" spans="3:3">
      <c r="C4087" s="32"/>
    </row>
    <row r="4088" spans="3:3">
      <c r="C4088" s="32"/>
    </row>
    <row r="4089" spans="3:3">
      <c r="C4089" s="32"/>
    </row>
    <row r="4090" spans="3:3">
      <c r="C4090" s="32"/>
    </row>
    <row r="4091" spans="3:3">
      <c r="C4091" s="32"/>
    </row>
    <row r="4092" spans="3:3">
      <c r="C4092" s="32"/>
    </row>
    <row r="4093" spans="3:3">
      <c r="C4093" s="32"/>
    </row>
    <row r="4094" spans="3:3">
      <c r="C4094" s="32"/>
    </row>
    <row r="4095" spans="3:3">
      <c r="C4095" s="32"/>
    </row>
    <row r="4096" spans="3:3">
      <c r="C4096" s="32"/>
    </row>
    <row r="4097" spans="3:3">
      <c r="C4097" s="32"/>
    </row>
    <row r="4098" spans="3:3">
      <c r="C4098" s="32"/>
    </row>
    <row r="4099" spans="3:3">
      <c r="C4099" s="32"/>
    </row>
    <row r="4100" spans="3:3">
      <c r="C4100" s="32"/>
    </row>
    <row r="4101" spans="3:3">
      <c r="C4101" s="32"/>
    </row>
    <row r="4102" spans="3:3">
      <c r="C4102" s="32"/>
    </row>
    <row r="4103" spans="3:3">
      <c r="C4103" s="32"/>
    </row>
    <row r="4104" spans="3:3">
      <c r="C4104" s="32"/>
    </row>
    <row r="4105" spans="3:3">
      <c r="C4105" s="32"/>
    </row>
    <row r="4106" spans="3:3">
      <c r="C4106" s="32"/>
    </row>
    <row r="4107" spans="3:3">
      <c r="C4107" s="32"/>
    </row>
    <row r="4108" spans="3:3">
      <c r="C4108" s="32"/>
    </row>
    <row r="4109" spans="3:3">
      <c r="C4109" s="32"/>
    </row>
    <row r="4110" spans="3:3">
      <c r="C4110" s="32"/>
    </row>
    <row r="4111" spans="3:3">
      <c r="C4111" s="32"/>
    </row>
    <row r="4112" spans="3:3">
      <c r="C4112" s="32"/>
    </row>
    <row r="4113" spans="3:3">
      <c r="C4113" s="32"/>
    </row>
    <row r="4114" spans="3:3">
      <c r="C4114" s="32"/>
    </row>
    <row r="4115" spans="3:3">
      <c r="C4115" s="32"/>
    </row>
    <row r="4116" spans="3:3">
      <c r="C4116" s="32"/>
    </row>
    <row r="4117" spans="3:3">
      <c r="C4117" s="32"/>
    </row>
    <row r="4118" spans="3:3">
      <c r="C4118" s="32"/>
    </row>
    <row r="4119" spans="3:3">
      <c r="C4119" s="32"/>
    </row>
    <row r="4120" spans="3:3">
      <c r="C4120" s="32"/>
    </row>
    <row r="4121" spans="3:3">
      <c r="C4121" s="32"/>
    </row>
    <row r="4122" spans="3:3">
      <c r="C4122" s="32"/>
    </row>
    <row r="4123" spans="3:3">
      <c r="C4123" s="32"/>
    </row>
    <row r="4124" spans="3:3">
      <c r="C4124" s="32"/>
    </row>
    <row r="4125" spans="3:3">
      <c r="C4125" s="32"/>
    </row>
    <row r="4126" spans="3:3">
      <c r="C4126" s="32"/>
    </row>
    <row r="4127" spans="3:3">
      <c r="C4127" s="32"/>
    </row>
    <row r="4128" spans="3:3">
      <c r="C4128" s="32"/>
    </row>
    <row r="4129" spans="3:3">
      <c r="C4129" s="32"/>
    </row>
    <row r="4130" spans="3:3">
      <c r="C4130" s="32"/>
    </row>
    <row r="4131" spans="3:3">
      <c r="C4131" s="32"/>
    </row>
    <row r="4132" spans="3:3">
      <c r="C4132" s="32"/>
    </row>
    <row r="4133" spans="3:3">
      <c r="C4133" s="32"/>
    </row>
    <row r="4134" spans="3:3">
      <c r="C4134" s="32"/>
    </row>
    <row r="4135" spans="3:3">
      <c r="C4135" s="32"/>
    </row>
    <row r="4136" spans="3:3">
      <c r="C4136" s="32"/>
    </row>
    <row r="4137" spans="3:3">
      <c r="C4137" s="32"/>
    </row>
    <row r="4138" spans="3:3">
      <c r="C4138" s="32"/>
    </row>
    <row r="4139" spans="3:3">
      <c r="C4139" s="32"/>
    </row>
    <row r="4140" spans="3:3">
      <c r="C4140" s="32"/>
    </row>
    <row r="4141" spans="3:3">
      <c r="C4141" s="32"/>
    </row>
    <row r="4142" spans="3:3">
      <c r="C4142" s="32"/>
    </row>
    <row r="4143" spans="3:3">
      <c r="C4143" s="32"/>
    </row>
    <row r="4144" spans="3:3">
      <c r="C4144" s="32"/>
    </row>
    <row r="4145" spans="3:3">
      <c r="C4145" s="32"/>
    </row>
    <row r="4146" spans="3:3">
      <c r="C4146" s="32"/>
    </row>
    <row r="4147" spans="3:3">
      <c r="C4147" s="32"/>
    </row>
    <row r="4148" spans="3:3">
      <c r="C4148" s="32"/>
    </row>
    <row r="4149" spans="3:3">
      <c r="C4149" s="32"/>
    </row>
    <row r="4150" spans="3:3">
      <c r="C4150" s="32"/>
    </row>
    <row r="4151" spans="3:3">
      <c r="C4151" s="32"/>
    </row>
    <row r="4152" spans="3:3">
      <c r="C4152" s="32"/>
    </row>
    <row r="4153" spans="3:3">
      <c r="C4153" s="32"/>
    </row>
    <row r="4154" spans="3:3">
      <c r="C4154" s="32"/>
    </row>
    <row r="4155" spans="3:3">
      <c r="C4155" s="32"/>
    </row>
    <row r="4156" spans="3:3">
      <c r="C4156" s="32"/>
    </row>
    <row r="4157" spans="3:3">
      <c r="C4157" s="32"/>
    </row>
    <row r="4158" spans="3:3">
      <c r="C4158" s="32"/>
    </row>
    <row r="4159" spans="3:3">
      <c r="C4159" s="32"/>
    </row>
    <row r="4160" spans="3:3">
      <c r="C4160" s="32"/>
    </row>
    <row r="4161" spans="3:3">
      <c r="C4161" s="32"/>
    </row>
    <row r="4162" spans="3:3">
      <c r="C4162" s="32"/>
    </row>
    <row r="4163" spans="3:3">
      <c r="C4163" s="32"/>
    </row>
    <row r="4164" spans="3:3">
      <c r="C4164" s="32"/>
    </row>
    <row r="4165" spans="3:3">
      <c r="C4165" s="32"/>
    </row>
    <row r="4166" spans="3:3">
      <c r="C4166" s="32"/>
    </row>
    <row r="4167" spans="3:3">
      <c r="C4167" s="32"/>
    </row>
    <row r="4168" spans="3:3">
      <c r="C4168" s="32"/>
    </row>
    <row r="4169" spans="3:3">
      <c r="C4169" s="32"/>
    </row>
    <row r="4170" spans="3:3">
      <c r="C4170" s="32"/>
    </row>
    <row r="4171" spans="3:3">
      <c r="C4171" s="32"/>
    </row>
    <row r="4172" spans="3:3">
      <c r="C4172" s="32"/>
    </row>
    <row r="4173" spans="3:3">
      <c r="C4173" s="32"/>
    </row>
    <row r="4174" spans="3:3">
      <c r="C4174" s="32"/>
    </row>
    <row r="4175" spans="3:3">
      <c r="C4175" s="32"/>
    </row>
    <row r="4176" spans="3:3">
      <c r="C4176" s="32"/>
    </row>
    <row r="4177" spans="3:3">
      <c r="C4177" s="32"/>
    </row>
    <row r="4178" spans="3:3">
      <c r="C4178" s="32"/>
    </row>
    <row r="4179" spans="3:3">
      <c r="C4179" s="32"/>
    </row>
    <row r="4180" spans="3:3">
      <c r="C4180" s="32"/>
    </row>
    <row r="4181" spans="3:3">
      <c r="C4181" s="32"/>
    </row>
    <row r="4182" spans="3:3">
      <c r="C4182" s="32"/>
    </row>
    <row r="4183" spans="3:3">
      <c r="C4183" s="32"/>
    </row>
    <row r="4184" spans="3:3">
      <c r="C4184" s="32"/>
    </row>
    <row r="4185" spans="3:3">
      <c r="C4185" s="32"/>
    </row>
    <row r="4186" spans="3:3">
      <c r="C4186" s="32"/>
    </row>
    <row r="4187" spans="3:3">
      <c r="C4187" s="32"/>
    </row>
    <row r="4188" spans="3:3">
      <c r="C4188" s="32"/>
    </row>
    <row r="4189" spans="3:3">
      <c r="C4189" s="32"/>
    </row>
    <row r="4190" spans="3:3">
      <c r="C4190" s="32"/>
    </row>
    <row r="4191" spans="3:3">
      <c r="C4191" s="32"/>
    </row>
    <row r="4192" spans="3:3">
      <c r="C4192" s="32"/>
    </row>
    <row r="4193" spans="3:3">
      <c r="C4193" s="32"/>
    </row>
    <row r="4194" spans="3:3">
      <c r="C4194" s="32"/>
    </row>
    <row r="4195" spans="3:3">
      <c r="C4195" s="32"/>
    </row>
    <row r="4196" spans="3:3">
      <c r="C4196" s="32"/>
    </row>
    <row r="4197" spans="3:3">
      <c r="C4197" s="32"/>
    </row>
    <row r="4198" spans="3:3">
      <c r="C4198" s="32"/>
    </row>
    <row r="4199" spans="3:3">
      <c r="C4199" s="32"/>
    </row>
    <row r="4200" spans="3:3">
      <c r="C4200" s="32"/>
    </row>
    <row r="4201" spans="3:3">
      <c r="C4201" s="32"/>
    </row>
    <row r="4202" spans="3:3">
      <c r="C4202" s="32"/>
    </row>
    <row r="4203" spans="3:3">
      <c r="C4203" s="32"/>
    </row>
    <row r="4204" spans="3:3">
      <c r="C4204" s="32"/>
    </row>
    <row r="4205" spans="3:3">
      <c r="C4205" s="32"/>
    </row>
    <row r="4206" spans="3:3">
      <c r="C4206" s="32"/>
    </row>
    <row r="4207" spans="3:3">
      <c r="C4207" s="32"/>
    </row>
    <row r="4208" spans="3:3">
      <c r="C4208" s="32"/>
    </row>
    <row r="4209" spans="3:3">
      <c r="C4209" s="32"/>
    </row>
    <row r="4210" spans="3:3">
      <c r="C4210" s="32"/>
    </row>
    <row r="4211" spans="3:3">
      <c r="C4211" s="32"/>
    </row>
    <row r="4212" spans="3:3">
      <c r="C4212" s="32"/>
    </row>
    <row r="4213" spans="3:3">
      <c r="C4213" s="32"/>
    </row>
    <row r="4214" spans="3:3">
      <c r="C4214" s="32"/>
    </row>
    <row r="4215" spans="3:3">
      <c r="C4215" s="32"/>
    </row>
    <row r="4216" spans="3:3">
      <c r="C4216" s="32"/>
    </row>
    <row r="4217" spans="3:3">
      <c r="C4217" s="32"/>
    </row>
    <row r="4218" spans="3:3">
      <c r="C4218" s="32"/>
    </row>
    <row r="4219" spans="3:3">
      <c r="C4219" s="32"/>
    </row>
    <row r="4220" spans="3:3">
      <c r="C4220" s="32"/>
    </row>
    <row r="4221" spans="3:3">
      <c r="C4221" s="32"/>
    </row>
    <row r="4222" spans="3:3">
      <c r="C4222" s="32"/>
    </row>
    <row r="4223" spans="3:3">
      <c r="C4223" s="32"/>
    </row>
    <row r="4224" spans="3:3">
      <c r="C4224" s="32"/>
    </row>
    <row r="4225" spans="3:3">
      <c r="C4225" s="32"/>
    </row>
    <row r="4226" spans="3:3">
      <c r="C4226" s="32"/>
    </row>
    <row r="4227" spans="3:3">
      <c r="C4227" s="32"/>
    </row>
    <row r="4228" spans="3:3">
      <c r="C4228" s="32"/>
    </row>
    <row r="4229" spans="3:3">
      <c r="C4229" s="32"/>
    </row>
    <row r="4230" spans="3:3">
      <c r="C4230" s="32"/>
    </row>
    <row r="4231" spans="3:3">
      <c r="C4231" s="32"/>
    </row>
    <row r="4232" spans="3:3">
      <c r="C4232" s="32"/>
    </row>
    <row r="4233" spans="3:3">
      <c r="C4233" s="32"/>
    </row>
    <row r="4234" spans="3:3">
      <c r="C4234" s="32"/>
    </row>
    <row r="4235" spans="3:3">
      <c r="C4235" s="32"/>
    </row>
    <row r="4236" spans="3:3">
      <c r="C4236" s="32"/>
    </row>
    <row r="4237" spans="3:3">
      <c r="C4237" s="32"/>
    </row>
    <row r="4238" spans="3:3">
      <c r="C4238" s="32"/>
    </row>
    <row r="4239" spans="3:3">
      <c r="C4239" s="32"/>
    </row>
    <row r="4240" spans="3:3">
      <c r="C4240" s="32"/>
    </row>
    <row r="4241" spans="3:3">
      <c r="C4241" s="32"/>
    </row>
    <row r="4242" spans="3:3">
      <c r="C4242" s="32"/>
    </row>
    <row r="4243" spans="3:3">
      <c r="C4243" s="32"/>
    </row>
    <row r="4244" spans="3:3">
      <c r="C4244" s="32"/>
    </row>
    <row r="4245" spans="3:3">
      <c r="C4245" s="32"/>
    </row>
    <row r="4246" spans="3:3">
      <c r="C4246" s="32"/>
    </row>
    <row r="4247" spans="3:3">
      <c r="C4247" s="32"/>
    </row>
    <row r="4248" spans="3:3">
      <c r="C4248" s="32"/>
    </row>
    <row r="4249" spans="3:3">
      <c r="C4249" s="32"/>
    </row>
    <row r="4250" spans="3:3">
      <c r="C4250" s="32"/>
    </row>
    <row r="4251" spans="3:3">
      <c r="C4251" s="32"/>
    </row>
    <row r="4252" spans="3:3">
      <c r="C4252" s="32"/>
    </row>
    <row r="4253" spans="3:3">
      <c r="C4253" s="32"/>
    </row>
    <row r="4254" spans="3:3">
      <c r="C4254" s="32"/>
    </row>
    <row r="4255" spans="3:3">
      <c r="C4255" s="32"/>
    </row>
    <row r="4256" spans="3:3">
      <c r="C4256" s="32"/>
    </row>
    <row r="4257" spans="3:3">
      <c r="C4257" s="32"/>
    </row>
    <row r="4258" spans="3:3">
      <c r="C4258" s="32"/>
    </row>
    <row r="4259" spans="3:3">
      <c r="C4259" s="32"/>
    </row>
    <row r="4260" spans="3:3">
      <c r="C4260" s="32"/>
    </row>
    <row r="4261" spans="3:3">
      <c r="C4261" s="32"/>
    </row>
    <row r="4262" spans="3:3">
      <c r="C4262" s="32"/>
    </row>
    <row r="4263" spans="3:3">
      <c r="C4263" s="32"/>
    </row>
    <row r="4264" spans="3:3">
      <c r="C4264" s="32"/>
    </row>
    <row r="4265" spans="3:3">
      <c r="C4265" s="32"/>
    </row>
    <row r="4266" spans="3:3">
      <c r="C4266" s="32"/>
    </row>
    <row r="4267" spans="3:3">
      <c r="C4267" s="32"/>
    </row>
    <row r="4268" spans="3:3">
      <c r="C4268" s="32"/>
    </row>
    <row r="4269" spans="3:3">
      <c r="C4269" s="32"/>
    </row>
    <row r="4270" spans="3:3">
      <c r="C4270" s="32"/>
    </row>
    <row r="4271" spans="3:3">
      <c r="C4271" s="32"/>
    </row>
    <row r="4272" spans="3:3">
      <c r="C4272" s="32"/>
    </row>
    <row r="4273" spans="3:3">
      <c r="C4273" s="32"/>
    </row>
    <row r="4274" spans="3:3">
      <c r="C4274" s="32"/>
    </row>
    <row r="4275" spans="3:3">
      <c r="C4275" s="32"/>
    </row>
    <row r="4276" spans="3:3">
      <c r="C4276" s="32"/>
    </row>
    <row r="4277" spans="3:3">
      <c r="C4277" s="32"/>
    </row>
    <row r="4278" spans="3:3">
      <c r="C4278" s="32"/>
    </row>
    <row r="4279" spans="3:3">
      <c r="C4279" s="32"/>
    </row>
    <row r="4280" spans="3:3">
      <c r="C4280" s="32"/>
    </row>
    <row r="4281" spans="3:3">
      <c r="C4281" s="32"/>
    </row>
    <row r="4282" spans="3:3">
      <c r="C4282" s="32"/>
    </row>
    <row r="4283" spans="3:3">
      <c r="C4283" s="32"/>
    </row>
    <row r="4284" spans="3:3">
      <c r="C4284" s="32"/>
    </row>
    <row r="4285" spans="3:3">
      <c r="C4285" s="32"/>
    </row>
    <row r="4286" spans="3:3">
      <c r="C4286" s="32"/>
    </row>
    <row r="4287" spans="3:3">
      <c r="C4287" s="32"/>
    </row>
    <row r="4288" spans="3:3">
      <c r="C4288" s="32"/>
    </row>
    <row r="4289" spans="3:3">
      <c r="C4289" s="32"/>
    </row>
    <row r="4290" spans="3:3">
      <c r="C4290" s="32"/>
    </row>
    <row r="4291" spans="3:3">
      <c r="C4291" s="32"/>
    </row>
    <row r="4292" spans="3:3">
      <c r="C4292" s="32"/>
    </row>
    <row r="4293" spans="3:3">
      <c r="C4293" s="32"/>
    </row>
    <row r="4294" spans="3:3">
      <c r="C4294" s="32"/>
    </row>
    <row r="4295" spans="3:3">
      <c r="C4295" s="32"/>
    </row>
    <row r="4296" spans="3:3">
      <c r="C4296" s="32"/>
    </row>
    <row r="4297" spans="3:3">
      <c r="C4297" s="32"/>
    </row>
    <row r="4298" spans="3:3">
      <c r="C4298" s="32"/>
    </row>
    <row r="4299" spans="3:3">
      <c r="C4299" s="32"/>
    </row>
    <row r="4300" spans="3:3">
      <c r="C4300" s="32"/>
    </row>
    <row r="4301" spans="3:3">
      <c r="C4301" s="32"/>
    </row>
    <row r="4302" spans="3:3">
      <c r="C4302" s="32"/>
    </row>
    <row r="4303" spans="3:3">
      <c r="C4303" s="32"/>
    </row>
    <row r="4304" spans="3:3">
      <c r="C4304" s="32"/>
    </row>
    <row r="4305" spans="3:3">
      <c r="C4305" s="32"/>
    </row>
    <row r="4306" spans="3:3">
      <c r="C4306" s="32"/>
    </row>
    <row r="4307" spans="3:3">
      <c r="C4307" s="32"/>
    </row>
    <row r="4308" spans="3:3">
      <c r="C4308" s="32"/>
    </row>
    <row r="4309" spans="3:3">
      <c r="C4309" s="32"/>
    </row>
    <row r="4310" spans="3:3">
      <c r="C4310" s="32"/>
    </row>
    <row r="4311" spans="3:3">
      <c r="C4311" s="32"/>
    </row>
    <row r="4312" spans="3:3">
      <c r="C4312" s="32"/>
    </row>
    <row r="4313" spans="3:3">
      <c r="C4313" s="32"/>
    </row>
    <row r="4314" spans="3:3">
      <c r="C4314" s="32"/>
    </row>
    <row r="4315" spans="3:3">
      <c r="C4315" s="32"/>
    </row>
    <row r="4316" spans="3:3">
      <c r="C4316" s="32"/>
    </row>
    <row r="4317" spans="3:3">
      <c r="C4317" s="32"/>
    </row>
    <row r="4318" spans="3:3">
      <c r="C4318" s="32"/>
    </row>
    <row r="4319" spans="3:3">
      <c r="C4319" s="32"/>
    </row>
    <row r="4320" spans="3:3">
      <c r="C4320" s="32"/>
    </row>
    <row r="4321" spans="3:3">
      <c r="C4321" s="32"/>
    </row>
    <row r="4322" spans="3:3">
      <c r="C4322" s="32"/>
    </row>
    <row r="4323" spans="3:3">
      <c r="C4323" s="32"/>
    </row>
    <row r="4324" spans="3:3">
      <c r="C4324" s="32"/>
    </row>
    <row r="4325" spans="3:3">
      <c r="C4325" s="32"/>
    </row>
    <row r="4326" spans="3:3">
      <c r="C4326" s="32"/>
    </row>
    <row r="4327" spans="3:3">
      <c r="C4327" s="32"/>
    </row>
    <row r="4328" spans="3:3">
      <c r="C4328" s="32"/>
    </row>
    <row r="4329" spans="3:3">
      <c r="C4329" s="32"/>
    </row>
    <row r="4330" spans="3:3">
      <c r="C4330" s="32"/>
    </row>
    <row r="4331" spans="3:3">
      <c r="C4331" s="32"/>
    </row>
    <row r="4332" spans="3:3">
      <c r="C4332" s="32"/>
    </row>
    <row r="4333" spans="3:3">
      <c r="C4333" s="32"/>
    </row>
    <row r="4334" spans="3:3">
      <c r="C4334" s="32"/>
    </row>
    <row r="4335" spans="3:3">
      <c r="C4335" s="32"/>
    </row>
    <row r="4336" spans="3:3">
      <c r="C4336" s="32"/>
    </row>
    <row r="4337" spans="3:3">
      <c r="C4337" s="32"/>
    </row>
    <row r="4338" spans="3:3">
      <c r="C4338" s="32"/>
    </row>
    <row r="4339" spans="3:3">
      <c r="C4339" s="32"/>
    </row>
    <row r="4340" spans="3:3">
      <c r="C4340" s="32"/>
    </row>
    <row r="4341" spans="3:3">
      <c r="C4341" s="32"/>
    </row>
    <row r="4342" spans="3:3">
      <c r="C4342" s="32"/>
    </row>
    <row r="4343" spans="3:3">
      <c r="C4343" s="32"/>
    </row>
    <row r="4344" spans="3:3">
      <c r="C4344" s="32"/>
    </row>
    <row r="4345" spans="3:3">
      <c r="C4345" s="32"/>
    </row>
    <row r="4346" spans="3:3">
      <c r="C4346" s="32"/>
    </row>
    <row r="4347" spans="3:3">
      <c r="C4347" s="32"/>
    </row>
    <row r="4348" spans="3:3">
      <c r="C4348" s="32"/>
    </row>
    <row r="4349" spans="3:3">
      <c r="C4349" s="32"/>
    </row>
    <row r="4350" spans="3:3">
      <c r="C4350" s="32"/>
    </row>
    <row r="4351" spans="3:3">
      <c r="C4351" s="32"/>
    </row>
    <row r="4352" spans="3:3">
      <c r="C4352" s="32"/>
    </row>
    <row r="4353" spans="3:3">
      <c r="C4353" s="32"/>
    </row>
    <row r="4354" spans="3:3">
      <c r="C4354" s="32"/>
    </row>
    <row r="4355" spans="3:3">
      <c r="C4355" s="32"/>
    </row>
    <row r="4356" spans="3:3">
      <c r="C4356" s="32"/>
    </row>
    <row r="4357" spans="3:3">
      <c r="C4357" s="32"/>
    </row>
    <row r="4358" spans="3:3">
      <c r="C4358" s="32"/>
    </row>
    <row r="4359" spans="3:3">
      <c r="C4359" s="32"/>
    </row>
    <row r="4360" spans="3:3">
      <c r="C4360" s="32"/>
    </row>
    <row r="4361" spans="3:3">
      <c r="C4361" s="32"/>
    </row>
    <row r="4362" spans="3:3">
      <c r="C4362" s="32"/>
    </row>
    <row r="4363" spans="3:3">
      <c r="C4363" s="32"/>
    </row>
    <row r="4364" spans="3:3">
      <c r="C4364" s="32"/>
    </row>
    <row r="4365" spans="3:3">
      <c r="C4365" s="32"/>
    </row>
    <row r="4366" spans="3:3">
      <c r="C4366" s="32"/>
    </row>
    <row r="4367" spans="3:3">
      <c r="C4367" s="32"/>
    </row>
    <row r="4368" spans="3:3">
      <c r="C4368" s="32"/>
    </row>
    <row r="4369" spans="3:3">
      <c r="C4369" s="32"/>
    </row>
    <row r="4370" spans="3:3">
      <c r="C4370" s="32"/>
    </row>
    <row r="4371" spans="3:3">
      <c r="C4371" s="32"/>
    </row>
    <row r="4372" spans="3:3">
      <c r="C4372" s="32"/>
    </row>
    <row r="4373" spans="3:3">
      <c r="C4373" s="32"/>
    </row>
    <row r="4374" spans="3:3">
      <c r="C4374" s="32"/>
    </row>
    <row r="4375" spans="3:3">
      <c r="C4375" s="32"/>
    </row>
    <row r="4376" spans="3:3">
      <c r="C4376" s="32"/>
    </row>
    <row r="4377" spans="3:3">
      <c r="C4377" s="32"/>
    </row>
    <row r="4378" spans="3:3">
      <c r="C4378" s="32"/>
    </row>
    <row r="4379" spans="3:3">
      <c r="C4379" s="32"/>
    </row>
    <row r="4380" spans="3:3">
      <c r="C4380" s="32"/>
    </row>
    <row r="4381" spans="3:3">
      <c r="C4381" s="32"/>
    </row>
    <row r="4382" spans="3:3">
      <c r="C4382" s="32"/>
    </row>
    <row r="4383" spans="3:3">
      <c r="C4383" s="32"/>
    </row>
    <row r="4384" spans="3:3">
      <c r="C4384" s="32"/>
    </row>
    <row r="4385" spans="3:3">
      <c r="C4385" s="32"/>
    </row>
    <row r="4386" spans="3:3">
      <c r="C4386" s="32"/>
    </row>
    <row r="4387" spans="3:3">
      <c r="C4387" s="32"/>
    </row>
    <row r="4388" spans="3:3">
      <c r="C4388" s="32"/>
    </row>
    <row r="4389" spans="3:3">
      <c r="C4389" s="32"/>
    </row>
    <row r="4390" spans="3:3">
      <c r="C4390" s="32"/>
    </row>
    <row r="4391" spans="3:3">
      <c r="C4391" s="32"/>
    </row>
    <row r="4392" spans="3:3">
      <c r="C4392" s="32"/>
    </row>
    <row r="4393" spans="3:3">
      <c r="C4393" s="32"/>
    </row>
    <row r="4394" spans="3:3">
      <c r="C4394" s="32"/>
    </row>
    <row r="4395" spans="3:3">
      <c r="C4395" s="32"/>
    </row>
    <row r="4396" spans="3:3">
      <c r="C4396" s="32"/>
    </row>
    <row r="4397" spans="3:3">
      <c r="C4397" s="32"/>
    </row>
    <row r="4398" spans="3:3">
      <c r="C4398" s="32"/>
    </row>
    <row r="4399" spans="3:3">
      <c r="C4399" s="32"/>
    </row>
    <row r="4400" spans="3:3">
      <c r="C4400" s="32"/>
    </row>
    <row r="4401" spans="3:3">
      <c r="C4401" s="32"/>
    </row>
    <row r="4402" spans="3:3">
      <c r="C4402" s="32"/>
    </row>
    <row r="4403" spans="3:3">
      <c r="C4403" s="32"/>
    </row>
    <row r="4404" spans="3:3">
      <c r="C4404" s="32"/>
    </row>
    <row r="4405" spans="3:3">
      <c r="C4405" s="32"/>
    </row>
    <row r="4406" spans="3:3">
      <c r="C4406" s="32"/>
    </row>
    <row r="4407" spans="3:3">
      <c r="C4407" s="32"/>
    </row>
    <row r="4408" spans="3:3">
      <c r="C4408" s="32"/>
    </row>
    <row r="4409" spans="3:3">
      <c r="C4409" s="32"/>
    </row>
    <row r="4410" spans="3:3">
      <c r="C4410" s="32"/>
    </row>
    <row r="4411" spans="3:3">
      <c r="C4411" s="32"/>
    </row>
    <row r="4412" spans="3:3">
      <c r="C4412" s="32"/>
    </row>
    <row r="4413" spans="3:3">
      <c r="C4413" s="32"/>
    </row>
    <row r="4414" spans="3:3">
      <c r="C4414" s="32"/>
    </row>
    <row r="4415" spans="3:3">
      <c r="C4415" s="32"/>
    </row>
    <row r="4416" spans="3:3">
      <c r="C4416" s="32"/>
    </row>
    <row r="4417" spans="3:3">
      <c r="C4417" s="32"/>
    </row>
    <row r="4418" spans="3:3">
      <c r="C4418" s="32"/>
    </row>
    <row r="4419" spans="3:3">
      <c r="C4419" s="32"/>
    </row>
    <row r="4420" spans="3:3">
      <c r="C4420" s="32"/>
    </row>
    <row r="4421" spans="3:3">
      <c r="C4421" s="32"/>
    </row>
    <row r="4422" spans="3:3">
      <c r="C4422" s="32"/>
    </row>
    <row r="4423" spans="3:3">
      <c r="C4423" s="32"/>
    </row>
    <row r="4424" spans="3:3">
      <c r="C4424" s="32"/>
    </row>
    <row r="4425" spans="3:3">
      <c r="C4425" s="32"/>
    </row>
    <row r="4426" spans="3:3">
      <c r="C4426" s="32"/>
    </row>
    <row r="4427" spans="3:3">
      <c r="C4427" s="32"/>
    </row>
    <row r="4428" spans="3:3">
      <c r="C4428" s="32"/>
    </row>
    <row r="4429" spans="3:3">
      <c r="C4429" s="32"/>
    </row>
    <row r="4430" spans="3:3">
      <c r="C4430" s="32"/>
    </row>
    <row r="4431" spans="3:3">
      <c r="C4431" s="32"/>
    </row>
    <row r="4432" spans="3:3">
      <c r="C4432" s="32"/>
    </row>
    <row r="4433" spans="3:3">
      <c r="C4433" s="32"/>
    </row>
    <row r="4434" spans="3:3">
      <c r="C4434" s="32"/>
    </row>
    <row r="4435" spans="3:3">
      <c r="C4435" s="32"/>
    </row>
    <row r="4436" spans="3:3">
      <c r="C4436" s="32"/>
    </row>
    <row r="4437" spans="3:3">
      <c r="C4437" s="32"/>
    </row>
    <row r="4438" spans="3:3">
      <c r="C4438" s="32"/>
    </row>
    <row r="4439" spans="3:3">
      <c r="C4439" s="32"/>
    </row>
    <row r="4440" spans="3:3">
      <c r="C4440" s="32"/>
    </row>
    <row r="4441" spans="3:3">
      <c r="C4441" s="32"/>
    </row>
    <row r="4442" spans="3:3">
      <c r="C4442" s="32"/>
    </row>
    <row r="4443" spans="3:3">
      <c r="C4443" s="32"/>
    </row>
    <row r="4444" spans="3:3">
      <c r="C4444" s="32"/>
    </row>
    <row r="4445" spans="3:3">
      <c r="C4445" s="32"/>
    </row>
    <row r="4446" spans="3:3">
      <c r="C4446" s="32"/>
    </row>
    <row r="4447" spans="3:3">
      <c r="C4447" s="32"/>
    </row>
    <row r="4448" spans="3:3">
      <c r="C4448" s="32"/>
    </row>
    <row r="4449" spans="3:3">
      <c r="C4449" s="32"/>
    </row>
    <row r="4450" spans="3:3">
      <c r="C4450" s="32"/>
    </row>
    <row r="4451" spans="3:3">
      <c r="C4451" s="32"/>
    </row>
    <row r="4452" spans="3:3">
      <c r="C4452" s="32"/>
    </row>
    <row r="4453" spans="3:3">
      <c r="C4453" s="32"/>
    </row>
    <row r="4454" spans="3:3">
      <c r="C4454" s="32"/>
    </row>
    <row r="4455" spans="3:3">
      <c r="C4455" s="32"/>
    </row>
    <row r="4456" spans="3:3">
      <c r="C4456" s="32"/>
    </row>
    <row r="4457" spans="3:3">
      <c r="C4457" s="32"/>
    </row>
    <row r="4458" spans="3:3">
      <c r="C4458" s="32"/>
    </row>
    <row r="4459" spans="3:3">
      <c r="C4459" s="32"/>
    </row>
    <row r="4460" spans="3:3">
      <c r="C4460" s="32"/>
    </row>
    <row r="4461" spans="3:3">
      <c r="C4461" s="32"/>
    </row>
    <row r="4462" spans="3:3">
      <c r="C4462" s="32"/>
    </row>
    <row r="4463" spans="3:3">
      <c r="C4463" s="32"/>
    </row>
    <row r="4464" spans="3:3">
      <c r="C4464" s="32"/>
    </row>
    <row r="4465" spans="3:3">
      <c r="C4465" s="32"/>
    </row>
    <row r="4466" spans="3:3">
      <c r="C4466" s="32"/>
    </row>
    <row r="4467" spans="3:3">
      <c r="C4467" s="32"/>
    </row>
    <row r="4468" spans="3:3">
      <c r="C4468" s="32"/>
    </row>
    <row r="4469" spans="3:3">
      <c r="C4469" s="32"/>
    </row>
    <row r="4470" spans="3:3">
      <c r="C4470" s="32"/>
    </row>
    <row r="4471" spans="3:3">
      <c r="C4471" s="32"/>
    </row>
    <row r="4472" spans="3:3">
      <c r="C4472" s="32"/>
    </row>
    <row r="4473" spans="3:3">
      <c r="C4473" s="32"/>
    </row>
    <row r="4474" spans="3:3">
      <c r="C4474" s="32"/>
    </row>
    <row r="4475" spans="3:3">
      <c r="C4475" s="32"/>
    </row>
    <row r="4476" spans="3:3">
      <c r="C4476" s="32"/>
    </row>
    <row r="4477" spans="3:3">
      <c r="C4477" s="32"/>
    </row>
    <row r="4478" spans="3:3">
      <c r="C4478" s="32"/>
    </row>
    <row r="4479" spans="3:3">
      <c r="C4479" s="32"/>
    </row>
    <row r="4480" spans="3:3">
      <c r="C4480" s="32"/>
    </row>
    <row r="4481" spans="3:3">
      <c r="C4481" s="32"/>
    </row>
    <row r="4482" spans="3:3">
      <c r="C4482" s="32"/>
    </row>
    <row r="4483" spans="3:3">
      <c r="C4483" s="32"/>
    </row>
    <row r="4484" spans="3:3">
      <c r="C4484" s="32"/>
    </row>
    <row r="4485" spans="3:3">
      <c r="C4485" s="32"/>
    </row>
    <row r="4486" spans="3:3">
      <c r="C4486" s="32"/>
    </row>
    <row r="4487" spans="3:3">
      <c r="C4487" s="32"/>
    </row>
    <row r="4488" spans="3:3">
      <c r="C4488" s="32"/>
    </row>
    <row r="4489" spans="3:3">
      <c r="C4489" s="32"/>
    </row>
    <row r="4490" spans="3:3">
      <c r="C4490" s="32"/>
    </row>
    <row r="4491" spans="3:3">
      <c r="C4491" s="32"/>
    </row>
    <row r="4492" spans="3:3">
      <c r="C4492" s="32"/>
    </row>
    <row r="4493" spans="3:3">
      <c r="C4493" s="32"/>
    </row>
    <row r="4494" spans="3:3">
      <c r="C4494" s="32"/>
    </row>
    <row r="4495" spans="3:3">
      <c r="C4495" s="32"/>
    </row>
    <row r="4496" spans="3:3">
      <c r="C4496" s="32"/>
    </row>
    <row r="4497" spans="3:3">
      <c r="C4497" s="32"/>
    </row>
    <row r="4498" spans="3:3">
      <c r="C4498" s="32"/>
    </row>
    <row r="4499" spans="3:3">
      <c r="C4499" s="32"/>
    </row>
    <row r="4500" spans="3:3">
      <c r="C4500" s="32"/>
    </row>
    <row r="4501" spans="3:3">
      <c r="C4501" s="32"/>
    </row>
    <row r="4502" spans="3:3">
      <c r="C4502" s="32"/>
    </row>
    <row r="4503" spans="3:3">
      <c r="C4503" s="32"/>
    </row>
    <row r="4504" spans="3:3">
      <c r="C4504" s="32"/>
    </row>
    <row r="4505" spans="3:3">
      <c r="C4505" s="32"/>
    </row>
    <row r="4506" spans="3:3">
      <c r="C4506" s="32"/>
    </row>
    <row r="4507" spans="3:3">
      <c r="C4507" s="32"/>
    </row>
    <row r="4508" spans="3:3">
      <c r="C4508" s="32"/>
    </row>
    <row r="4509" spans="3:3">
      <c r="C4509" s="32"/>
    </row>
    <row r="4510" spans="3:3">
      <c r="C4510" s="32"/>
    </row>
    <row r="4511" spans="3:3">
      <c r="C4511" s="32"/>
    </row>
    <row r="4512" spans="3:3">
      <c r="C4512" s="32"/>
    </row>
    <row r="4513" spans="3:3">
      <c r="C4513" s="32"/>
    </row>
    <row r="4514" spans="3:3">
      <c r="C4514" s="32"/>
    </row>
    <row r="4515" spans="3:3">
      <c r="C4515" s="32"/>
    </row>
    <row r="4516" spans="3:3">
      <c r="C4516" s="32"/>
    </row>
    <row r="4517" spans="3:3">
      <c r="C4517" s="32"/>
    </row>
    <row r="4518" spans="3:3">
      <c r="C4518" s="32"/>
    </row>
    <row r="4519" spans="3:3">
      <c r="C4519" s="32"/>
    </row>
    <row r="4520" spans="3:3">
      <c r="C4520" s="32"/>
    </row>
    <row r="4521" spans="3:3">
      <c r="C4521" s="32"/>
    </row>
    <row r="4522" spans="3:3">
      <c r="C4522" s="32"/>
    </row>
    <row r="4523" spans="3:3">
      <c r="C4523" s="32"/>
    </row>
    <row r="4524" spans="3:3">
      <c r="C4524" s="32"/>
    </row>
    <row r="4525" spans="3:3">
      <c r="C4525" s="32"/>
    </row>
    <row r="4526" spans="3:3">
      <c r="C4526" s="32"/>
    </row>
    <row r="4527" spans="3:3">
      <c r="C4527" s="32"/>
    </row>
    <row r="4528" spans="3:3">
      <c r="C4528" s="32"/>
    </row>
    <row r="4529" spans="3:3">
      <c r="C4529" s="32"/>
    </row>
    <row r="4530" spans="3:3">
      <c r="C4530" s="32"/>
    </row>
    <row r="4531" spans="3:3">
      <c r="C4531" s="32"/>
    </row>
    <row r="4532" spans="3:3">
      <c r="C4532" s="32"/>
    </row>
    <row r="4533" spans="3:3">
      <c r="C4533" s="32"/>
    </row>
    <row r="4534" spans="3:3">
      <c r="C4534" s="32"/>
    </row>
    <row r="4535" spans="3:3">
      <c r="C4535" s="32"/>
    </row>
    <row r="4536" spans="3:3">
      <c r="C4536" s="32"/>
    </row>
    <row r="4537" spans="3:3">
      <c r="C4537" s="32"/>
    </row>
    <row r="4538" spans="3:3">
      <c r="C4538" s="32"/>
    </row>
    <row r="4539" spans="3:3">
      <c r="C4539" s="32"/>
    </row>
    <row r="4540" spans="3:3">
      <c r="C4540" s="32"/>
    </row>
    <row r="4541" spans="3:3">
      <c r="C4541" s="32"/>
    </row>
    <row r="4542" spans="3:3">
      <c r="C4542" s="32"/>
    </row>
    <row r="4543" spans="3:3">
      <c r="C4543" s="32"/>
    </row>
    <row r="4544" spans="3:3">
      <c r="C4544" s="32"/>
    </row>
    <row r="4545" spans="3:3">
      <c r="C4545" s="32"/>
    </row>
    <row r="4546" spans="3:3">
      <c r="C4546" s="32"/>
    </row>
    <row r="4547" spans="3:3">
      <c r="C4547" s="32"/>
    </row>
    <row r="4548" spans="3:3">
      <c r="C4548" s="32"/>
    </row>
    <row r="4549" spans="3:3">
      <c r="C4549" s="32"/>
    </row>
    <row r="4550" spans="3:3">
      <c r="C4550" s="32"/>
    </row>
    <row r="4551" spans="3:3">
      <c r="C4551" s="32"/>
    </row>
    <row r="4552" spans="3:3">
      <c r="C4552" s="32"/>
    </row>
    <row r="4553" spans="3:3">
      <c r="C4553" s="32"/>
    </row>
    <row r="4554" spans="3:3">
      <c r="C4554" s="32"/>
    </row>
    <row r="4555" spans="3:3">
      <c r="C4555" s="32"/>
    </row>
    <row r="4556" spans="3:3">
      <c r="C4556" s="32"/>
    </row>
    <row r="4557" spans="3:3">
      <c r="C4557" s="32"/>
    </row>
    <row r="4558" spans="3:3">
      <c r="C4558" s="32"/>
    </row>
    <row r="4559" spans="3:3">
      <c r="C4559" s="32"/>
    </row>
    <row r="4560" spans="3:3">
      <c r="C4560" s="32"/>
    </row>
    <row r="4561" spans="3:3">
      <c r="C4561" s="32"/>
    </row>
    <row r="4562" spans="3:3">
      <c r="C4562" s="32"/>
    </row>
    <row r="4563" spans="3:3">
      <c r="C4563" s="32"/>
    </row>
    <row r="4564" spans="3:3">
      <c r="C4564" s="32"/>
    </row>
    <row r="4565" spans="3:3">
      <c r="C4565" s="32"/>
    </row>
    <row r="4566" spans="3:3">
      <c r="C4566" s="32"/>
    </row>
    <row r="4567" spans="3:3">
      <c r="C4567" s="32"/>
    </row>
    <row r="4568" spans="3:3">
      <c r="C4568" s="32"/>
    </row>
    <row r="4569" spans="3:3">
      <c r="C4569" s="32"/>
    </row>
    <row r="4570" spans="3:3">
      <c r="C4570" s="32"/>
    </row>
    <row r="4571" spans="3:3">
      <c r="C4571" s="32"/>
    </row>
    <row r="4572" spans="3:3">
      <c r="C4572" s="32"/>
    </row>
    <row r="4573" spans="3:3">
      <c r="C4573" s="32"/>
    </row>
    <row r="4574" spans="3:3">
      <c r="C4574" s="32"/>
    </row>
    <row r="4575" spans="3:3">
      <c r="C4575" s="32"/>
    </row>
    <row r="4576" spans="3:3">
      <c r="C4576" s="32"/>
    </row>
    <row r="4577" spans="3:3">
      <c r="C4577" s="32"/>
    </row>
    <row r="4578" spans="3:3">
      <c r="C4578" s="32"/>
    </row>
    <row r="4579" spans="3:3">
      <c r="C4579" s="32"/>
    </row>
    <row r="4580" spans="3:3">
      <c r="C4580" s="32"/>
    </row>
    <row r="4581" spans="3:3">
      <c r="C4581" s="32"/>
    </row>
    <row r="4582" spans="3:3">
      <c r="C4582" s="32"/>
    </row>
    <row r="4583" spans="3:3">
      <c r="C4583" s="32"/>
    </row>
    <row r="4584" spans="3:3">
      <c r="C4584" s="32"/>
    </row>
    <row r="4585" spans="3:3">
      <c r="C4585" s="32"/>
    </row>
    <row r="4586" spans="3:3">
      <c r="C4586" s="32"/>
    </row>
    <row r="4587" spans="3:3">
      <c r="C4587" s="32"/>
    </row>
    <row r="4588" spans="3:3">
      <c r="C4588" s="32"/>
    </row>
    <row r="4589" spans="3:3">
      <c r="C4589" s="32"/>
    </row>
    <row r="4590" spans="3:3">
      <c r="C4590" s="32"/>
    </row>
    <row r="4591" spans="3:3">
      <c r="C4591" s="32"/>
    </row>
    <row r="4592" spans="3:3">
      <c r="C4592" s="32"/>
    </row>
    <row r="4593" spans="3:3">
      <c r="C4593" s="32"/>
    </row>
    <row r="4594" spans="3:3">
      <c r="C4594" s="32"/>
    </row>
    <row r="4595" spans="3:3">
      <c r="C4595" s="32"/>
    </row>
    <row r="4596" spans="3:3">
      <c r="C4596" s="32"/>
    </row>
    <row r="4597" spans="3:3">
      <c r="C4597" s="32"/>
    </row>
    <row r="4598" spans="3:3">
      <c r="C4598" s="32"/>
    </row>
    <row r="4599" spans="3:3">
      <c r="C4599" s="32"/>
    </row>
    <row r="4600" spans="3:3">
      <c r="C4600" s="32"/>
    </row>
    <row r="4601" spans="3:3">
      <c r="C4601" s="32"/>
    </row>
    <row r="4602" spans="3:3">
      <c r="C4602" s="32"/>
    </row>
    <row r="4603" spans="3:3">
      <c r="C4603" s="32"/>
    </row>
    <row r="4604" spans="3:3">
      <c r="C4604" s="32"/>
    </row>
    <row r="4605" spans="3:3">
      <c r="C4605" s="32"/>
    </row>
    <row r="4606" spans="3:3">
      <c r="C4606" s="32"/>
    </row>
    <row r="4607" spans="3:3">
      <c r="C4607" s="32"/>
    </row>
    <row r="4608" spans="3:3">
      <c r="C4608" s="32"/>
    </row>
    <row r="4609" spans="3:3">
      <c r="C4609" s="32"/>
    </row>
    <row r="4610" spans="3:3">
      <c r="C4610" s="32"/>
    </row>
    <row r="4611" spans="3:3">
      <c r="C4611" s="32"/>
    </row>
    <row r="4612" spans="3:3">
      <c r="C4612" s="32"/>
    </row>
    <row r="4613" spans="3:3">
      <c r="C4613" s="32"/>
    </row>
    <row r="4614" spans="3:3">
      <c r="C4614" s="32"/>
    </row>
    <row r="4615" spans="3:3">
      <c r="C4615" s="32"/>
    </row>
    <row r="4616" spans="3:3">
      <c r="C4616" s="32"/>
    </row>
    <row r="4617" spans="3:3">
      <c r="C4617" s="32"/>
    </row>
    <row r="4618" spans="3:3">
      <c r="C4618" s="32"/>
    </row>
    <row r="4619" spans="3:3">
      <c r="C4619" s="32"/>
    </row>
    <row r="4620" spans="3:3">
      <c r="C4620" s="32"/>
    </row>
    <row r="4621" spans="3:3">
      <c r="C4621" s="32"/>
    </row>
    <row r="4622" spans="3:3">
      <c r="C4622" s="32"/>
    </row>
    <row r="4623" spans="3:3">
      <c r="C4623" s="32"/>
    </row>
    <row r="4624" spans="3:3">
      <c r="C4624" s="32"/>
    </row>
    <row r="4625" spans="3:3">
      <c r="C4625" s="32"/>
    </row>
    <row r="4626" spans="3:3">
      <c r="C4626" s="32"/>
    </row>
    <row r="4627" spans="3:3">
      <c r="C4627" s="32"/>
    </row>
    <row r="4628" spans="3:3">
      <c r="C4628" s="32"/>
    </row>
    <row r="4629" spans="3:3">
      <c r="C4629" s="32"/>
    </row>
    <row r="4630" spans="3:3">
      <c r="C4630" s="32"/>
    </row>
    <row r="4631" spans="3:3">
      <c r="C4631" s="32"/>
    </row>
    <row r="4632" spans="3:3">
      <c r="C4632" s="32"/>
    </row>
    <row r="4633" spans="3:3">
      <c r="C4633" s="32"/>
    </row>
    <row r="4634" spans="3:3">
      <c r="C4634" s="32"/>
    </row>
    <row r="4635" spans="3:3">
      <c r="C4635" s="32"/>
    </row>
    <row r="4636" spans="3:3">
      <c r="C4636" s="32"/>
    </row>
    <row r="4637" spans="3:3">
      <c r="C4637" s="32"/>
    </row>
    <row r="4638" spans="3:3">
      <c r="C4638" s="32"/>
    </row>
    <row r="4639" spans="3:3">
      <c r="C4639" s="32"/>
    </row>
    <row r="4640" spans="3:3">
      <c r="C4640" s="32"/>
    </row>
    <row r="4641" spans="3:3">
      <c r="C4641" s="32"/>
    </row>
    <row r="4642" spans="3:3">
      <c r="C4642" s="32"/>
    </row>
    <row r="4643" spans="3:3">
      <c r="C4643" s="32"/>
    </row>
    <row r="4644" spans="3:3">
      <c r="C4644" s="32"/>
    </row>
    <row r="4645" spans="3:3">
      <c r="C4645" s="32"/>
    </row>
    <row r="4646" spans="3:3">
      <c r="C4646" s="32"/>
    </row>
    <row r="4647" spans="3:3">
      <c r="C4647" s="32"/>
    </row>
    <row r="4648" spans="3:3">
      <c r="C4648" s="32"/>
    </row>
    <row r="4649" spans="3:3">
      <c r="C4649" s="32"/>
    </row>
    <row r="4650" spans="3:3">
      <c r="C4650" s="32"/>
    </row>
    <row r="4651" spans="3:3">
      <c r="C4651" s="32"/>
    </row>
    <row r="4652" spans="3:3">
      <c r="C4652" s="32"/>
    </row>
    <row r="4653" spans="3:3">
      <c r="C4653" s="32"/>
    </row>
    <row r="4654" spans="3:3">
      <c r="C4654" s="32"/>
    </row>
    <row r="4655" spans="3:3">
      <c r="C4655" s="32"/>
    </row>
    <row r="4656" spans="3:3">
      <c r="C4656" s="32"/>
    </row>
    <row r="4657" spans="3:3">
      <c r="C4657" s="32"/>
    </row>
    <row r="4658" spans="3:3">
      <c r="C4658" s="32"/>
    </row>
    <row r="4659" spans="3:3">
      <c r="C4659" s="32"/>
    </row>
    <row r="4660" spans="3:3">
      <c r="C4660" s="32"/>
    </row>
    <row r="4661" spans="3:3">
      <c r="C4661" s="32"/>
    </row>
    <row r="4662" spans="3:3">
      <c r="C4662" s="32"/>
    </row>
    <row r="4663" spans="3:3">
      <c r="C4663" s="32"/>
    </row>
    <row r="4664" spans="3:3">
      <c r="C4664" s="32"/>
    </row>
    <row r="4665" spans="3:3">
      <c r="C4665" s="32"/>
    </row>
    <row r="4666" spans="3:3">
      <c r="C4666" s="32"/>
    </row>
    <row r="4667" spans="3:3">
      <c r="C4667" s="32"/>
    </row>
    <row r="4668" spans="3:3">
      <c r="C4668" s="32"/>
    </row>
    <row r="4669" spans="3:3">
      <c r="C4669" s="32"/>
    </row>
    <row r="4670" spans="3:3">
      <c r="C4670" s="32"/>
    </row>
    <row r="4671" spans="3:3">
      <c r="C4671" s="32"/>
    </row>
    <row r="4672" spans="3:3">
      <c r="C4672" s="32"/>
    </row>
    <row r="4673" spans="2:3">
      <c r="C4673" s="32"/>
    </row>
    <row r="4674" spans="2:3">
      <c r="C4674" s="32"/>
    </row>
    <row r="4675" spans="2:3">
      <c r="B4675" s="1"/>
      <c r="C4675" s="32"/>
    </row>
    <row r="4676" spans="2:3">
      <c r="C4676" s="32"/>
    </row>
    <row r="4677" spans="2:3">
      <c r="C4677" s="32"/>
    </row>
    <row r="4678" spans="2:3">
      <c r="C4678" s="32"/>
    </row>
    <row r="4679" spans="2:3">
      <c r="C4679" s="32"/>
    </row>
    <row r="4680" spans="2:3">
      <c r="C4680" s="32"/>
    </row>
    <row r="4681" spans="2:3">
      <c r="C4681" s="32"/>
    </row>
    <row r="4682" spans="2:3">
      <c r="C4682" s="32"/>
    </row>
    <row r="4683" spans="2:3">
      <c r="C4683" s="32"/>
    </row>
    <row r="4684" spans="2:3">
      <c r="C4684" s="32"/>
    </row>
    <row r="4685" spans="2:3">
      <c r="C4685" s="32"/>
    </row>
    <row r="4686" spans="2:3">
      <c r="C4686" s="32"/>
    </row>
    <row r="4687" spans="2:3">
      <c r="C4687" s="32"/>
    </row>
    <row r="4688" spans="2:3">
      <c r="C4688" s="32"/>
    </row>
    <row r="4689" spans="3:3">
      <c r="C4689" s="32"/>
    </row>
    <row r="4690" spans="3:3">
      <c r="C4690" s="32"/>
    </row>
    <row r="4691" spans="3:3">
      <c r="C4691" s="32"/>
    </row>
    <row r="4692" spans="3:3">
      <c r="C4692" s="32"/>
    </row>
    <row r="4693" spans="3:3">
      <c r="C4693" s="32"/>
    </row>
    <row r="4694" spans="3:3">
      <c r="C4694" s="32"/>
    </row>
    <row r="4695" spans="3:3">
      <c r="C4695" s="32"/>
    </row>
    <row r="4696" spans="3:3">
      <c r="C4696" s="32"/>
    </row>
    <row r="4697" spans="3:3">
      <c r="C4697" s="32"/>
    </row>
    <row r="4698" spans="3:3">
      <c r="C4698" s="32"/>
    </row>
    <row r="4699" spans="3:3">
      <c r="C4699" s="32"/>
    </row>
    <row r="4700" spans="3:3">
      <c r="C4700" s="32"/>
    </row>
    <row r="4701" spans="3:3">
      <c r="C4701" s="32"/>
    </row>
    <row r="4702" spans="3:3">
      <c r="C4702" s="32"/>
    </row>
    <row r="4703" spans="3:3">
      <c r="C4703" s="32"/>
    </row>
    <row r="4704" spans="3:3">
      <c r="C4704" s="32"/>
    </row>
    <row r="4705" spans="3:3">
      <c r="C4705" s="32"/>
    </row>
    <row r="4706" spans="3:3">
      <c r="C4706" s="32"/>
    </row>
    <row r="4707" spans="3:3">
      <c r="C4707" s="32"/>
    </row>
    <row r="4708" spans="3:3">
      <c r="C4708" s="32"/>
    </row>
    <row r="4709" spans="3:3">
      <c r="C4709" s="32"/>
    </row>
    <row r="4710" spans="3:3">
      <c r="C4710" s="32"/>
    </row>
    <row r="4711" spans="3:3">
      <c r="C4711" s="32"/>
    </row>
    <row r="4712" spans="3:3">
      <c r="C4712" s="32"/>
    </row>
    <row r="4713" spans="3:3">
      <c r="C4713" s="32"/>
    </row>
    <row r="4714" spans="3:3">
      <c r="C4714" s="32"/>
    </row>
    <row r="4715" spans="3:3">
      <c r="C4715" s="32"/>
    </row>
    <row r="4716" spans="3:3">
      <c r="C4716" s="32"/>
    </row>
    <row r="4717" spans="3:3">
      <c r="C4717" s="32"/>
    </row>
    <row r="4718" spans="3:3">
      <c r="C4718" s="32"/>
    </row>
    <row r="4719" spans="3:3">
      <c r="C4719" s="32"/>
    </row>
    <row r="4720" spans="3:3">
      <c r="C4720" s="32"/>
    </row>
    <row r="4721" spans="3:3">
      <c r="C4721" s="32"/>
    </row>
    <row r="4722" spans="3:3">
      <c r="C4722" s="32"/>
    </row>
    <row r="4723" spans="3:3">
      <c r="C4723" s="32"/>
    </row>
    <row r="4724" spans="3:3">
      <c r="C4724" s="32"/>
    </row>
    <row r="4725" spans="3:3">
      <c r="C4725" s="32"/>
    </row>
    <row r="4726" spans="3:3">
      <c r="C4726" s="32"/>
    </row>
    <row r="4727" spans="3:3">
      <c r="C4727" s="32"/>
    </row>
    <row r="4728" spans="3:3">
      <c r="C4728" s="32"/>
    </row>
    <row r="4729" spans="3:3">
      <c r="C4729" s="32"/>
    </row>
    <row r="4730" spans="3:3">
      <c r="C4730" s="32"/>
    </row>
    <row r="4731" spans="3:3">
      <c r="C4731" s="32"/>
    </row>
    <row r="4732" spans="3:3">
      <c r="C4732" s="32"/>
    </row>
    <row r="4733" spans="3:3">
      <c r="C4733" s="32"/>
    </row>
    <row r="4734" spans="3:3">
      <c r="C4734" s="32"/>
    </row>
    <row r="4735" spans="3:3">
      <c r="C4735" s="32"/>
    </row>
    <row r="4736" spans="3:3">
      <c r="C4736" s="32"/>
    </row>
    <row r="4737" spans="3:3">
      <c r="C4737" s="32"/>
    </row>
    <row r="4738" spans="3:3">
      <c r="C4738" s="32"/>
    </row>
    <row r="4739" spans="3:3">
      <c r="C4739" s="32"/>
    </row>
    <row r="4740" spans="3:3">
      <c r="C4740" s="32"/>
    </row>
    <row r="4741" spans="3:3">
      <c r="C4741" s="32"/>
    </row>
    <row r="4742" spans="3:3">
      <c r="C4742" s="32"/>
    </row>
    <row r="4743" spans="3:3">
      <c r="C4743" s="32"/>
    </row>
    <row r="4744" spans="3:3">
      <c r="C4744" s="32"/>
    </row>
    <row r="4745" spans="3:3">
      <c r="C4745" s="32"/>
    </row>
    <row r="4746" spans="3:3">
      <c r="C4746" s="32"/>
    </row>
    <row r="4747" spans="3:3">
      <c r="C4747" s="32"/>
    </row>
    <row r="4748" spans="3:3">
      <c r="C4748" s="32"/>
    </row>
    <row r="4749" spans="3:3">
      <c r="C4749" s="32"/>
    </row>
    <row r="4750" spans="3:3">
      <c r="C4750" s="32"/>
    </row>
    <row r="4751" spans="3:3">
      <c r="C4751" s="32"/>
    </row>
    <row r="4752" spans="3:3">
      <c r="C4752" s="32"/>
    </row>
    <row r="4753" spans="3:3">
      <c r="C4753" s="32"/>
    </row>
    <row r="4754" spans="3:3">
      <c r="C4754" s="32"/>
    </row>
    <row r="4755" spans="3:3">
      <c r="C4755" s="32"/>
    </row>
    <row r="4756" spans="3:3">
      <c r="C4756" s="32"/>
    </row>
    <row r="4757" spans="3:3">
      <c r="C4757" s="32"/>
    </row>
    <row r="4758" spans="3:3">
      <c r="C4758" s="32"/>
    </row>
    <row r="4759" spans="3:3">
      <c r="C4759" s="32"/>
    </row>
    <row r="4760" spans="3:3">
      <c r="C4760" s="32"/>
    </row>
    <row r="4761" spans="3:3">
      <c r="C4761" s="32"/>
    </row>
    <row r="4762" spans="3:3">
      <c r="C4762" s="32"/>
    </row>
    <row r="4763" spans="3:3">
      <c r="C4763" s="32"/>
    </row>
    <row r="4764" spans="3:3">
      <c r="C4764" s="32"/>
    </row>
    <row r="4765" spans="3:3">
      <c r="C4765" s="32"/>
    </row>
    <row r="4766" spans="3:3">
      <c r="C4766" s="32"/>
    </row>
    <row r="4767" spans="3:3">
      <c r="C4767" s="32"/>
    </row>
    <row r="4768" spans="3:3">
      <c r="C4768" s="32"/>
    </row>
    <row r="4769" spans="3:3">
      <c r="C4769" s="32"/>
    </row>
    <row r="4770" spans="3:3">
      <c r="C4770" s="32"/>
    </row>
    <row r="4771" spans="3:3">
      <c r="C4771" s="32"/>
    </row>
    <row r="4772" spans="3:3">
      <c r="C4772" s="32"/>
    </row>
    <row r="4773" spans="3:3">
      <c r="C4773" s="32"/>
    </row>
    <row r="4774" spans="3:3">
      <c r="C4774" s="32"/>
    </row>
    <row r="4775" spans="3:3">
      <c r="C4775" s="32"/>
    </row>
    <row r="4776" spans="3:3">
      <c r="C4776" s="32"/>
    </row>
    <row r="4777" spans="3:3">
      <c r="C4777" s="32"/>
    </row>
    <row r="4778" spans="3:3">
      <c r="C4778" s="32"/>
    </row>
    <row r="4779" spans="3:3">
      <c r="C4779" s="32"/>
    </row>
    <row r="4780" spans="3:3">
      <c r="C4780" s="32"/>
    </row>
    <row r="4781" spans="3:3">
      <c r="C4781" s="32"/>
    </row>
    <row r="4782" spans="3:3">
      <c r="C4782" s="32"/>
    </row>
    <row r="4783" spans="3:3">
      <c r="C4783" s="32"/>
    </row>
    <row r="4784" spans="3:3">
      <c r="C4784" s="32"/>
    </row>
    <row r="4785" spans="3:3">
      <c r="C4785" s="32"/>
    </row>
    <row r="4786" spans="3:3">
      <c r="C4786" s="32"/>
    </row>
    <row r="4787" spans="3:3">
      <c r="C4787" s="32"/>
    </row>
    <row r="4788" spans="3:3">
      <c r="C4788" s="32"/>
    </row>
    <row r="4789" spans="3:3">
      <c r="C4789" s="32"/>
    </row>
    <row r="4790" spans="3:3">
      <c r="C4790" s="32"/>
    </row>
    <row r="4791" spans="3:3">
      <c r="C4791" s="32"/>
    </row>
    <row r="4792" spans="3:3">
      <c r="C4792" s="32"/>
    </row>
    <row r="4793" spans="3:3">
      <c r="C4793" s="32"/>
    </row>
    <row r="4794" spans="3:3">
      <c r="C4794" s="32"/>
    </row>
    <row r="4795" spans="3:3">
      <c r="C4795" s="32"/>
    </row>
    <row r="4796" spans="3:3">
      <c r="C4796" s="32"/>
    </row>
    <row r="4797" spans="3:3">
      <c r="C4797" s="32"/>
    </row>
    <row r="4798" spans="3:3">
      <c r="C4798" s="32"/>
    </row>
    <row r="4799" spans="3:3">
      <c r="C4799" s="32"/>
    </row>
    <row r="4800" spans="3:3">
      <c r="C4800" s="32"/>
    </row>
    <row r="4801" spans="3:3">
      <c r="C4801" s="32"/>
    </row>
    <row r="4802" spans="3:3">
      <c r="C4802" s="32"/>
    </row>
    <row r="4803" spans="3:3">
      <c r="C4803" s="32"/>
    </row>
    <row r="4804" spans="3:3">
      <c r="C4804" s="32"/>
    </row>
    <row r="4805" spans="3:3">
      <c r="C4805" s="32"/>
    </row>
    <row r="4806" spans="3:3">
      <c r="C4806" s="32"/>
    </row>
    <row r="4807" spans="3:3">
      <c r="C4807" s="32"/>
    </row>
    <row r="4808" spans="3:3">
      <c r="C4808" s="32"/>
    </row>
    <row r="4809" spans="3:3">
      <c r="C4809" s="32"/>
    </row>
    <row r="4810" spans="3:3">
      <c r="C4810" s="32"/>
    </row>
    <row r="4811" spans="3:3">
      <c r="C4811" s="32"/>
    </row>
    <row r="4812" spans="3:3">
      <c r="C4812" s="32"/>
    </row>
    <row r="4813" spans="3:3">
      <c r="C4813" s="32"/>
    </row>
    <row r="4814" spans="3:3">
      <c r="C4814" s="32"/>
    </row>
    <row r="4815" spans="3:3">
      <c r="C4815" s="32"/>
    </row>
    <row r="4816" spans="3:3">
      <c r="C4816" s="32"/>
    </row>
    <row r="4817" spans="3:3">
      <c r="C4817" s="32"/>
    </row>
    <row r="4818" spans="3:3">
      <c r="C4818" s="32"/>
    </row>
    <row r="4819" spans="3:3">
      <c r="C4819" s="32"/>
    </row>
    <row r="4820" spans="3:3">
      <c r="C4820" s="32"/>
    </row>
    <row r="4821" spans="3:3">
      <c r="C4821" s="32"/>
    </row>
    <row r="4822" spans="3:3">
      <c r="C4822" s="32"/>
    </row>
    <row r="4823" spans="3:3">
      <c r="C4823" s="32"/>
    </row>
    <row r="4824" spans="3:3">
      <c r="C4824" s="32"/>
    </row>
    <row r="4825" spans="3:3">
      <c r="C4825" s="32"/>
    </row>
    <row r="4826" spans="3:3">
      <c r="C4826" s="32"/>
    </row>
    <row r="4827" spans="3:3">
      <c r="C4827" s="32"/>
    </row>
    <row r="4828" spans="3:3">
      <c r="C4828" s="32"/>
    </row>
    <row r="4829" spans="3:3">
      <c r="C4829" s="32"/>
    </row>
    <row r="4830" spans="3:3">
      <c r="C4830" s="32"/>
    </row>
    <row r="4831" spans="3:3">
      <c r="C4831" s="32"/>
    </row>
    <row r="4832" spans="3:3">
      <c r="C4832" s="32"/>
    </row>
    <row r="4833" spans="3:3">
      <c r="C4833" s="32"/>
    </row>
    <row r="4834" spans="3:3">
      <c r="C4834" s="32"/>
    </row>
    <row r="4835" spans="3:3">
      <c r="C4835" s="32"/>
    </row>
    <row r="4836" spans="3:3">
      <c r="C4836" s="32"/>
    </row>
    <row r="4837" spans="3:3">
      <c r="C4837" s="32"/>
    </row>
    <row r="4838" spans="3:3">
      <c r="C4838" s="32"/>
    </row>
    <row r="4839" spans="3:3">
      <c r="C4839" s="32"/>
    </row>
    <row r="4840" spans="3:3">
      <c r="C4840" s="32"/>
    </row>
    <row r="4841" spans="3:3">
      <c r="C4841" s="32"/>
    </row>
    <row r="4842" spans="3:3">
      <c r="C4842" s="32"/>
    </row>
    <row r="4843" spans="3:3">
      <c r="C4843" s="32"/>
    </row>
    <row r="4844" spans="3:3">
      <c r="C4844" s="32"/>
    </row>
    <row r="4845" spans="3:3">
      <c r="C4845" s="32"/>
    </row>
    <row r="4846" spans="3:3">
      <c r="C4846" s="32"/>
    </row>
    <row r="4847" spans="3:3">
      <c r="C4847" s="32"/>
    </row>
    <row r="4848" spans="3:3">
      <c r="C4848" s="32"/>
    </row>
    <row r="4849" spans="3:3">
      <c r="C4849" s="32"/>
    </row>
    <row r="4850" spans="3:3">
      <c r="C4850" s="32"/>
    </row>
    <row r="4851" spans="3:3">
      <c r="C4851" s="32"/>
    </row>
    <row r="4852" spans="3:3">
      <c r="C4852" s="32"/>
    </row>
    <row r="4853" spans="3:3">
      <c r="C4853" s="32"/>
    </row>
    <row r="4854" spans="3:3">
      <c r="C4854" s="32"/>
    </row>
    <row r="4855" spans="3:3">
      <c r="C4855" s="32"/>
    </row>
    <row r="4856" spans="3:3">
      <c r="C4856" s="32"/>
    </row>
    <row r="4857" spans="3:3">
      <c r="C4857" s="32"/>
    </row>
    <row r="4858" spans="3:3">
      <c r="C4858" s="32"/>
    </row>
    <row r="4859" spans="3:3">
      <c r="C4859" s="32"/>
    </row>
    <row r="4860" spans="3:3">
      <c r="C4860" s="32"/>
    </row>
    <row r="4861" spans="3:3">
      <c r="C4861" s="32"/>
    </row>
    <row r="4862" spans="3:3">
      <c r="C4862" s="32"/>
    </row>
    <row r="4863" spans="3:3">
      <c r="C4863" s="32"/>
    </row>
    <row r="4864" spans="3:3">
      <c r="C4864" s="32"/>
    </row>
    <row r="4865" spans="3:3">
      <c r="C4865" s="32"/>
    </row>
    <row r="4866" spans="3:3">
      <c r="C4866" s="32"/>
    </row>
    <row r="4867" spans="3:3">
      <c r="C4867" s="32"/>
    </row>
    <row r="4868" spans="3:3">
      <c r="C4868" s="32"/>
    </row>
    <row r="4869" spans="3:3">
      <c r="C4869" s="32"/>
    </row>
    <row r="4870" spans="3:3">
      <c r="C4870" s="32"/>
    </row>
    <row r="4871" spans="3:3">
      <c r="C4871" s="32"/>
    </row>
    <row r="4872" spans="3:3">
      <c r="C4872" s="32"/>
    </row>
    <row r="4873" spans="3:3">
      <c r="C4873" s="32"/>
    </row>
    <row r="4874" spans="3:3">
      <c r="C4874" s="32"/>
    </row>
    <row r="4875" spans="3:3">
      <c r="C4875" s="32"/>
    </row>
    <row r="4876" spans="3:3">
      <c r="C4876" s="32"/>
    </row>
    <row r="4877" spans="3:3">
      <c r="C4877" s="32"/>
    </row>
    <row r="4878" spans="3:3">
      <c r="C4878" s="32"/>
    </row>
    <row r="4879" spans="3:3">
      <c r="C4879" s="32"/>
    </row>
    <row r="4880" spans="3:3">
      <c r="C4880" s="32"/>
    </row>
    <row r="4881" spans="3:3">
      <c r="C4881" s="32"/>
    </row>
    <row r="4882" spans="3:3">
      <c r="C4882" s="32"/>
    </row>
    <row r="4883" spans="3:3">
      <c r="C4883" s="32"/>
    </row>
    <row r="4884" spans="3:3">
      <c r="C4884" s="32"/>
    </row>
    <row r="4885" spans="3:3">
      <c r="C4885" s="32"/>
    </row>
    <row r="4886" spans="3:3">
      <c r="C4886" s="32"/>
    </row>
    <row r="4887" spans="3:3">
      <c r="C4887" s="32"/>
    </row>
    <row r="4888" spans="3:3">
      <c r="C4888" s="32"/>
    </row>
    <row r="4889" spans="3:3">
      <c r="C4889" s="32"/>
    </row>
    <row r="4890" spans="3:3">
      <c r="C4890" s="32"/>
    </row>
    <row r="4891" spans="3:3">
      <c r="C4891" s="32"/>
    </row>
    <row r="4892" spans="3:3">
      <c r="C4892" s="32"/>
    </row>
    <row r="4893" spans="3:3">
      <c r="C4893" s="32"/>
    </row>
    <row r="4894" spans="3:3">
      <c r="C4894" s="32"/>
    </row>
    <row r="4895" spans="3:3">
      <c r="C4895" s="32"/>
    </row>
    <row r="4896" spans="3:3">
      <c r="C4896" s="32"/>
    </row>
    <row r="4897" spans="3:3">
      <c r="C4897" s="32"/>
    </row>
    <row r="4898" spans="3:3">
      <c r="C4898" s="32"/>
    </row>
    <row r="4899" spans="3:3">
      <c r="C4899" s="32"/>
    </row>
    <row r="4900" spans="3:3">
      <c r="C4900" s="32"/>
    </row>
    <row r="4901" spans="3:3">
      <c r="C4901" s="32"/>
    </row>
    <row r="4902" spans="3:3">
      <c r="C4902" s="32"/>
    </row>
    <row r="4903" spans="3:3">
      <c r="C4903" s="32"/>
    </row>
    <row r="4904" spans="3:3">
      <c r="C4904" s="32"/>
    </row>
    <row r="4905" spans="3:3">
      <c r="C4905" s="32"/>
    </row>
    <row r="4906" spans="3:3">
      <c r="C4906" s="32"/>
    </row>
    <row r="4907" spans="3:3">
      <c r="C4907" s="32"/>
    </row>
    <row r="4908" spans="3:3">
      <c r="C4908" s="32"/>
    </row>
    <row r="4909" spans="3:3">
      <c r="C4909" s="32"/>
    </row>
    <row r="4910" spans="3:3">
      <c r="C4910" s="32"/>
    </row>
    <row r="4911" spans="3:3">
      <c r="C4911" s="32"/>
    </row>
    <row r="4912" spans="3:3">
      <c r="C4912" s="32"/>
    </row>
    <row r="4913" spans="3:3">
      <c r="C4913" s="32"/>
    </row>
    <row r="4914" spans="3:3">
      <c r="C4914" s="32"/>
    </row>
    <row r="4915" spans="3:3">
      <c r="C4915" s="32"/>
    </row>
    <row r="4916" spans="3:3">
      <c r="C4916" s="32"/>
    </row>
    <row r="4917" spans="3:3">
      <c r="C4917" s="32"/>
    </row>
    <row r="4918" spans="3:3">
      <c r="C4918" s="32"/>
    </row>
    <row r="4919" spans="3:3">
      <c r="C4919" s="32"/>
    </row>
    <row r="4920" spans="3:3">
      <c r="C4920" s="32"/>
    </row>
    <row r="4921" spans="3:3">
      <c r="C4921" s="32"/>
    </row>
    <row r="4922" spans="3:3">
      <c r="C4922" s="32"/>
    </row>
    <row r="4923" spans="3:3">
      <c r="C4923" s="32"/>
    </row>
    <row r="4924" spans="3:3">
      <c r="C4924" s="32"/>
    </row>
    <row r="4925" spans="3:3">
      <c r="C4925" s="32"/>
    </row>
    <row r="4926" spans="3:3">
      <c r="C4926" s="32"/>
    </row>
    <row r="4927" spans="3:3">
      <c r="C4927" s="32"/>
    </row>
    <row r="4928" spans="3:3">
      <c r="C4928" s="32"/>
    </row>
    <row r="4929" spans="3:3">
      <c r="C4929" s="32"/>
    </row>
    <row r="4930" spans="3:3">
      <c r="C4930" s="32"/>
    </row>
    <row r="4931" spans="3:3">
      <c r="C4931" s="32"/>
    </row>
    <row r="4932" spans="3:3">
      <c r="C4932" s="32"/>
    </row>
    <row r="4933" spans="3:3">
      <c r="C4933" s="32"/>
    </row>
    <row r="4934" spans="3:3">
      <c r="C4934" s="32"/>
    </row>
    <row r="4935" spans="3:3">
      <c r="C4935" s="32"/>
    </row>
    <row r="4936" spans="3:3">
      <c r="C4936" s="32"/>
    </row>
    <row r="4937" spans="3:3">
      <c r="C4937" s="32"/>
    </row>
    <row r="4938" spans="3:3">
      <c r="C4938" s="32"/>
    </row>
    <row r="4939" spans="3:3">
      <c r="C4939" s="32"/>
    </row>
    <row r="4940" spans="3:3">
      <c r="C4940" s="32"/>
    </row>
    <row r="4941" spans="3:3">
      <c r="C4941" s="32"/>
    </row>
    <row r="4942" spans="3:3">
      <c r="C4942" s="32"/>
    </row>
    <row r="4943" spans="3:3">
      <c r="C4943" s="32"/>
    </row>
    <row r="4944" spans="3:3">
      <c r="C4944" s="32"/>
    </row>
    <row r="4945" spans="3:3">
      <c r="C4945" s="32"/>
    </row>
    <row r="4946" spans="3:3">
      <c r="C4946" s="32"/>
    </row>
    <row r="4947" spans="3:3">
      <c r="C4947" s="32"/>
    </row>
    <row r="4948" spans="3:3">
      <c r="C4948" s="32"/>
    </row>
    <row r="4949" spans="3:3">
      <c r="C4949" s="32"/>
    </row>
    <row r="4950" spans="3:3">
      <c r="C4950" s="32"/>
    </row>
    <row r="4951" spans="3:3">
      <c r="C4951" s="32"/>
    </row>
    <row r="4952" spans="3:3">
      <c r="C4952" s="32"/>
    </row>
    <row r="4953" spans="3:3">
      <c r="C4953" s="32"/>
    </row>
    <row r="4954" spans="3:3">
      <c r="C4954" s="32"/>
    </row>
    <row r="4955" spans="3:3">
      <c r="C4955" s="32"/>
    </row>
    <row r="4956" spans="3:3">
      <c r="C4956" s="32"/>
    </row>
    <row r="4957" spans="3:3">
      <c r="C4957" s="32"/>
    </row>
    <row r="4958" spans="3:3">
      <c r="C4958" s="32"/>
    </row>
    <row r="4959" spans="3:3">
      <c r="C4959" s="32"/>
    </row>
    <row r="4960" spans="3:3">
      <c r="C4960" s="32"/>
    </row>
    <row r="4961" spans="3:3">
      <c r="C4961" s="32"/>
    </row>
  </sheetData>
  <autoFilter ref="B1:B4963" xr:uid="{4A8FA3C5-C2A3-1E43-AE04-A3FD8B928136}"/>
  <sortState xmlns:xlrd2="http://schemas.microsoft.com/office/spreadsheetml/2017/richdata2" ref="A2:J4961">
    <sortCondition ref="B2:B4961"/>
  </sortState>
  <hyperlinks>
    <hyperlink ref="B504" r:id="rId1" display="https://enzyme.expasy.org/EC/3.5.2.7" xr:uid="{716115E4-6C1E-8240-BDF3-DEE2020F88D9}"/>
    <hyperlink ref="B671" r:id="rId2" display="5.4.99.9" xr:uid="{586EF1CC-FC32-814D-A4D8-27217E0EDE76}"/>
    <hyperlink ref="B308" r:id="rId3" display="2.7.10.2" xr:uid="{9D83EA43-21F2-6E4A-8C41-AA1BF4A991EF}"/>
    <hyperlink ref="B541" r:id="rId4" display="4.1.1.15" xr:uid="{938EE897-29A0-4D4C-B49E-871CEFD22DA7}"/>
    <hyperlink ref="B302" r:id="rId5" display="2.7.1.48" xr:uid="{92F21390-4BCA-C445-BBCF-2F13A941F9A9}"/>
    <hyperlink ref="B136" r:id="rId6" display="2.1.2.11" xr:uid="{36940E96-3803-F041-9F48-6739216346C2}"/>
    <hyperlink ref="B621" r:id="rId7" display="4.3.3.7" xr:uid="{EB29F2D8-61E1-B84F-B716-8C206401B3CE}"/>
    <hyperlink ref="B753" r:id="rId8" display="6.5.1.2" xr:uid="{BB43D06A-DA04-4841-92CD-3E20B18EA5A1}"/>
    <hyperlink ref="B354" r:id="rId9" display="2.7.7.4" xr:uid="{08256B51-3E24-C046-8955-58C869B716C1}"/>
    <hyperlink ref="B356" r:id="rId10" display="2.7.7.4" xr:uid="{33D62C60-BB80-064B-AC0F-67D31CBCB115}"/>
    <hyperlink ref="B284" r:id="rId11" display="2.7.1.25" xr:uid="{C0493742-48EB-4448-ADD7-ED453AF94BEB}"/>
    <hyperlink ref="B433" r:id="rId12" display="https://enzyme.expasy.org/EC/3.1.3.7" xr:uid="{70A83DBE-85D1-B44B-AC51-CF67564B5F71}"/>
    <hyperlink ref="B648" r:id="rId13" display="5.3.1.5" xr:uid="{3E075058-CD77-4C43-B3E3-508279929492}"/>
    <hyperlink ref="B200" r:id="rId14" display="2.4.2.29" xr:uid="{00B77E2A-990B-3C47-A010-94698D116707}"/>
    <hyperlink ref="B277" r:id="rId15" display="2.7.1.148" xr:uid="{50586483-F8C6-AA45-836F-F2B1DA4FFED4}"/>
    <hyperlink ref="B280" r:id="rId16" display="2.7.1.21" xr:uid="{230DDCBC-DA35-AD44-A8E6-2B40E1DF6BFB}"/>
    <hyperlink ref="B545" r:id="rId17" display="4.1.1.36" xr:uid="{5AA3DFCA-62BA-7C4A-AF51-DF0C50DFDB45}"/>
    <hyperlink ref="B703" r:id="rId18" display="6.3.2.5" xr:uid="{B1F8F8B3-E46C-EA44-A79C-6B454BA5335B}"/>
    <hyperlink ref="B381" r:id="rId19" display="2.7.7.7" xr:uid="{2E1D3C83-4779-6D48-976D-3CCB0FEEB814}"/>
    <hyperlink ref="B105" r:id="rId20" display="1.8.1.4" xr:uid="{4DE0C4F5-E657-F842-84AC-A08BBFA8B0EE}"/>
    <hyperlink ref="B100" r:id="rId21" display="1.7.2.2" xr:uid="{9328744A-9ECD-4242-AB0B-C43AF2CF426C}"/>
    <hyperlink ref="B692" r:id="rId22" display="6.1.1.3" xr:uid="{67EB0759-05AA-7C4B-8392-FD4F6B0EB11E}"/>
    <hyperlink ref="B502" r:id="rId23" display="3.5.1.88" xr:uid="{A75686E7-6692-8A45-9B01-C7CC8F8222F9}"/>
    <hyperlink ref="B419" r:id="rId24" display="2.7.8.31" xr:uid="{BA845838-086C-A442-9C12-DD59D3C1A2F9}"/>
    <hyperlink ref="B590" r:id="rId25" display="4.2.1.47" xr:uid="{F4BAB9C0-8E64-D748-AFAF-91B5232D4F80}"/>
    <hyperlink ref="B350" r:id="rId26" display="2.7.7.24" xr:uid="{733F9271-836A-AE44-A42B-C665DA879700}"/>
    <hyperlink ref="B429" r:id="rId27" display="3.1.1.31" xr:uid="{425800E6-7898-2C40-8098-F8CC834D881B}"/>
    <hyperlink ref="B31" r:id="rId28" display="1.1.1.44" xr:uid="{FE8A49F8-8B04-994C-8F7B-2B7D45D97594}"/>
    <hyperlink ref="B661" r:id="rId29" display="https://enzyme.expasy.org/EC/5.4.2.11" xr:uid="{55721449-0C72-8A46-B0CA-B81269937A86}"/>
    <hyperlink ref="B177" r:id="rId30" display="2.3.1.245" xr:uid="{D9F84C88-8C38-C541-A036-001DB5D6E010}"/>
    <hyperlink ref="B576" r:id="rId31" display="https://enzyme.expasy.org/EC/4.2.1.20" xr:uid="{3A9F7EBD-C858-884B-A58C-D60E61554554}"/>
    <hyperlink ref="B195" r:id="rId32" display="2.4.2.18" xr:uid="{CF88A5C1-716E-2247-A08B-A58DBFB85A36}"/>
    <hyperlink ref="B546" r:id="rId33" display="4.1.1.48" xr:uid="{D4506E0D-32C4-7C42-9C11-926490E6A8AA}"/>
    <hyperlink ref="B579" r:id="rId34" display="4.2.1.20" xr:uid="{1FF28464-18DD-6148-BFAE-C0705012777F}"/>
    <hyperlink ref="B740" r:id="rId35" display="6.3.5.5" xr:uid="{75665D3E-2DB8-3E4D-9F13-360430E431D6}"/>
    <hyperlink ref="B741" r:id="rId36" display="6.3.5.5" xr:uid="{9D929F89-74C9-3848-9C70-2E18ADC08593}"/>
    <hyperlink ref="B591" r:id="rId37" display="4.2.1.47" xr:uid="{27554D39-E5C1-0547-B21F-FEDFDC492528}"/>
    <hyperlink ref="B629" r:id="rId38" display="5.1.3.14" xr:uid="{A045C918-666A-2142-BF34-6964868C863E}"/>
    <hyperlink ref="B137" r:id="rId39" display="2.1.2.3" xr:uid="{0171B33A-A95F-244D-862D-F0338C7327FA}"/>
    <hyperlink ref="B506" r:id="rId40" display="3.5.4.10" xr:uid="{CB533C9E-3D22-324E-92C9-75C170F4F97A}"/>
    <hyperlink ref="B324" r:id="rId41" display="2.7.4.3" xr:uid="{64A92AF6-858A-ED49-8486-7BE044E60065}"/>
    <hyperlink ref="B206" r:id="rId42" display="2.4.2.8" xr:uid="{B12FD13C-28A4-9C44-B49C-6713E52F4C2C}"/>
    <hyperlink ref="B422" r:id="rId43" display="2.8.1.6" xr:uid="{BFE7E0EF-6B39-F04C-B25E-118F0C3431B9}"/>
    <hyperlink ref="B247" r:id="rId44" display="2.6.1.62" xr:uid="{9B6C5D5F-063C-5C49-BE5C-50A044336D39}"/>
    <hyperlink ref="B122" r:id="rId45" display="2.1.1.197" xr:uid="{BF091D94-F580-944E-9B65-EDBCDCC9808E}"/>
    <hyperlink ref="B710" r:id="rId46" display="6.3.3.3" xr:uid="{1F06CCD9-E827-1341-A0DE-262F281986A6}"/>
    <hyperlink ref="B667" r:id="rId47" display="5.4.99.12" xr:uid="{BD5ED9EE-72ED-FE43-861B-875EA165B359}"/>
    <hyperlink ref="B614" r:id="rId48" display="4.3.1.19" xr:uid="{A4410083-595E-1C47-B5A5-4B0A3AA74D16}"/>
    <hyperlink ref="B704" r:id="rId49" display="6.3.2.6" xr:uid="{09CB39B2-9DB4-E140-AAC2-37F2BE8CF2CF}"/>
    <hyperlink ref="B646" r:id="rId50" display="5.3.1.16" xr:uid="{9EFC8A6F-DFFE-9046-95E1-09A3300E4961}"/>
    <hyperlink ref="B512" r:id="rId51" display="3.5.4.19" xr:uid="{D01D4F20-2B0A-C547-B4CA-C0E5C903CDA7}"/>
    <hyperlink ref="B526" r:id="rId52" display="3.6.1.31" xr:uid="{921AA769-960A-C54F-892B-EA3D35021D62}"/>
    <hyperlink ref="B313" r:id="rId53" display="2.7.2.4" xr:uid="{F0E117B3-7A2C-B64B-A263-8F39241A013E}"/>
    <hyperlink ref="B130" r:id="rId54" display="2.1.1.63" xr:uid="{0F7DAF45-CEC8-2643-B6DC-83413DFB2898}"/>
    <hyperlink ref="B114" r:id="rId55" display="1.8.4.12" xr:uid="{A0E7B1E9-75B7-434C-8C3F-EBEF431CDC55}"/>
    <hyperlink ref="B601" r:id="rId56" display="4.2.3.3" xr:uid="{C77A81A7-5A05-BF4C-9485-ECA2A6D5291B}"/>
    <hyperlink ref="B585" r:id="rId57" display="4.2.1.33" xr:uid="{6E31F248-C538-5E43-AD34-38507EE542C6}"/>
    <hyperlink ref="B588" r:id="rId58" display="4.2.1.33" xr:uid="{172A904A-32A1-314D-959A-5DFA61CB14CD}"/>
    <hyperlink ref="B185" r:id="rId59" display="2.3.3.13" xr:uid="{57611A27-DBE0-CC4F-9F8B-2BB3E440247A}"/>
    <hyperlink ref="B149" r:id="rId60" display="2.2.1.6" xr:uid="{E85EF674-5CE3-0443-8CAA-DB8C987DF1F2}"/>
    <hyperlink ref="B156" r:id="rId61" display="2.2.1.6" xr:uid="{005E9E82-4681-FA45-A039-C3277CAC4501}"/>
    <hyperlink ref="B598" r:id="rId62" display="4.2.1.9" xr:uid="{966F386D-3DF7-EA48-9970-E2F8EFAF8C50}"/>
    <hyperlink ref="B604" r:id="rId63" display="4.2.3.5" xr:uid="{367E3B4A-E3EF-4C47-B48E-226F1CFB864C}"/>
    <hyperlink ref="B196" r:id="rId64" display="2.4.2.19" xr:uid="{97223F0B-24D2-C542-B9D1-B5BA81960797}"/>
    <hyperlink ref="B387" r:id="rId65" display="2.7.7.7" xr:uid="{EAF3C834-B01C-034C-8C5C-FC214D2C35F5}"/>
    <hyperlink ref="B519" r:id="rId66" display="3.5.4.5" xr:uid="{F0F90C55-ED6A-B341-8E24-BD31C69F8994}"/>
    <hyperlink ref="B544" r:id="rId67" display="4.1.1.23" xr:uid="{2BA70EA0-99AC-D64E-B994-DA6221D05995}"/>
    <hyperlink ref="B175" r:id="rId68" display="2.3.1.191" xr:uid="{7D2C8943-9219-2241-9DCA-A11D63CD5D9E}"/>
    <hyperlink ref="B160" r:id="rId69" display="2.3.1.129" xr:uid="{EEF276DD-2447-5D43-AAB5-AE722E1A28DC}"/>
    <hyperlink ref="B225" r:id="rId70" display="2.5.1.75" xr:uid="{E2100CD1-F848-6649-A3A6-CB65FE94EED8}"/>
    <hyperlink ref="B651" r:id="rId71" display="5.3.1.6" xr:uid="{4F2D6412-D005-2E44-806A-F248E7B54E64}"/>
    <hyperlink ref="B131" r:id="rId72" display="2.1.1.72" xr:uid="{4840FDB4-FC21-FC40-8242-20BD98000FD0}"/>
    <hyperlink ref="B317" r:id="rId73" display="2.7.4.1" xr:uid="{02FF8C29-CA65-A04A-A2E9-2A0F6CA0B4C8}"/>
    <hyperlink ref="B426" r:id="rId74" display="2.8.1.8" xr:uid="{703718F3-05A8-2041-9BEB-E27F0798F292}"/>
    <hyperlink ref="B97" r:id="rId75" display="1.5.1.2" xr:uid="{F0921ED2-A388-0A44-B7DC-FBF574FEA7BC}"/>
    <hyperlink ref="B67" r:id="rId76" display="1.2.1.88" xr:uid="{A68AF97C-4B22-4944-B9C3-00C08BF8C305}"/>
    <hyperlink ref="B312" r:id="rId77" display="2.7.2.11" xr:uid="{FEF496FF-B1FF-2D42-A9F7-7EDD95C7CC97}"/>
    <hyperlink ref="B60" r:id="rId78" display="1.2.1.41" xr:uid="{28DA2D9D-A37C-5B46-89B0-5F51D8E025E5}"/>
    <hyperlink ref="B142" r:id="rId79" display="2.1.3.9" xr:uid="{508D5C6B-F415-924C-8474-5A609E317DC5}"/>
    <hyperlink ref="B362" r:id="rId80" display="2.7.7.6" xr:uid="{73C6DC60-3951-DD43-97A6-A8E129626ED0}"/>
    <hyperlink ref="B368" r:id="rId81" display="2.7.7.6" xr:uid="{A449738B-1A1D-9145-AABE-1E1E424DDE4A}"/>
    <hyperlink ref="B647" r:id="rId82" display="5.3.1.23" xr:uid="{305437AC-2176-CF4F-A6EE-9AE1AD20F2CB}"/>
    <hyperlink ref="B686" r:id="rId83" display="6.1.1.17" xr:uid="{8ACB45A5-6CB7-FF4F-A7B5-E4D292B8B03E}"/>
    <hyperlink ref="B289" r:id="rId84" display="2.7.1.33" xr:uid="{FD8334EC-FCBD-CF46-8D76-1D8FF2E197C1}"/>
    <hyperlink ref="B669" r:id="rId85" display="5.4.99.2" xr:uid="{B2A6C373-528E-4E48-912A-04571948D848}"/>
    <hyperlink ref="B670" r:id="rId86" display="5.4.99.2" xr:uid="{C0EC7CE6-D9AF-A748-9F26-3412916DED1B}"/>
    <hyperlink ref="B568" r:id="rId87" display="4.2.1.1" xr:uid="{4D1DA7CF-D9E4-894A-88E0-8FD3D7085A57}"/>
    <hyperlink ref="B374" r:id="rId88" display="2.7.7.6" xr:uid="{483E2C2A-13F1-3448-80BF-1DFE79761516}"/>
    <hyperlink ref="B15" r:id="rId89" display="1.1.1.205" xr:uid="{CDA37974-6EB4-3445-A66B-D401F419CC0F}"/>
    <hyperlink ref="B641" r:id="rId90" display="5.2.1.8" xr:uid="{E2C21435-2FB8-1241-B238-82FE062C7598}"/>
    <hyperlink ref="B222" r:id="rId91" display="2.5.1.6" xr:uid="{67BC8CC5-BFA8-5140-B394-3BC2CD1CB76F}"/>
    <hyperlink ref="B346" r:id="rId92" display="2.7.6.3" xr:uid="{5DC7000B-8EA2-CC4F-8093-C456C5E53FE0}"/>
    <hyperlink ref="B208" r:id="rId93" display="2.4.99.17" xr:uid="{C89B62D6-C98A-324A-A0F0-8D3B535133BF}"/>
    <hyperlink ref="B705" r:id="rId94" display="6.3.2.8" xr:uid="{0D0C43CA-B13D-F64F-86A5-0166203C6C56}"/>
    <hyperlink ref="B191" r:id="rId95" display="2.4.1.227" xr:uid="{68CC6081-CDA9-6849-98AD-A572F4DBB6F2}"/>
    <hyperlink ref="B706" r:id="rId96" display="6.3.2.9" xr:uid="{E9BE8AA4-90FE-2040-8EFD-2546B54EE3EC}"/>
    <hyperlink ref="B417" r:id="rId97" display="2.7.8.13" xr:uid="{E27182D8-312D-094B-B79D-B375825ADEF3}"/>
    <hyperlink ref="B700" r:id="rId98" display="6.3.2.13" xr:uid="{BD7A70A7-7B6B-0243-BD25-36A86FE6350C}"/>
    <hyperlink ref="B13" r:id="rId99" display="1.1.1.133" xr:uid="{E55526ED-D374-204A-8E2E-04982682B936}"/>
    <hyperlink ref="B731" r:id="rId100" display="6.3.5.3" xr:uid="{CE0BC982-49D5-A84D-B916-09BD1CDD6698}"/>
    <hyperlink ref="B603" r:id="rId101" display="4.2.3.4" xr:uid="{8326FA96-4737-EE47-A726-4C5B52690E95}"/>
    <hyperlink ref="B696" r:id="rId102" display="6.1.1.7" xr:uid="{301E1F07-A7EE-5346-93AD-090D2B37B242}"/>
    <hyperlink ref="B716" r:id="rId103" display="6.3.4.15" xr:uid="{6069BA92-FB88-344D-97AC-74CF226012B3}"/>
    <hyperlink ref="B548" r:id="rId104" display="4.1.1.65" xr:uid="{CF37DFC6-8435-5C4C-8364-576CEE6D121D}"/>
    <hyperlink ref="B622" r:id="rId105" display="4.6.1.12" xr:uid="{CDB50CD0-1A16-A549-8446-5B2F53B1B2D2}"/>
    <hyperlink ref="B121" r:id="rId106" display="2.1.1.182" xr:uid="{B1641C87-C0D5-C043-BB46-2BD83730D67C}"/>
    <hyperlink ref="B437" r:id="rId107" display="3.1.6.1" xr:uid="{2B2F5E3F-EA1C-8F48-85F8-986A99E9FF0B}"/>
    <hyperlink ref="B186" r:id="rId108" display="2.4.1.182" xr:uid="{A46F972A-2B31-3C42-8DE4-DDC218C8EA86}"/>
    <hyperlink ref="B664" r:id="rId109" display="5.4.2.12" xr:uid="{75B52D5A-75BF-764A-97F2-F0D072E79564}"/>
    <hyperlink ref="B157" r:id="rId110" display="2.2.1.7" xr:uid="{82638520-7A33-2348-B17F-232732703804}"/>
    <hyperlink ref="B505" r:id="rId111" display="3.5.3.1" xr:uid="{BE8483E0-DB8A-904D-8300-E337892C1D9F}"/>
    <hyperlink ref="B239" r:id="rId112" display="2.6.1.13" xr:uid="{7A6B65A9-29F2-CF41-839B-3FAF2552FCC6}"/>
    <hyperlink ref="B702" r:id="rId113" display="6.3.2.4" xr:uid="{D1137AFF-6D35-7A4D-92E6-D23D3C8FA75B}"/>
    <hyperlink ref="B511" r:id="rId114" display="3.5.4.16" xr:uid="{12E57B0E-64D7-684A-BA12-FA29F67B417D}"/>
    <hyperlink ref="B642" r:id="rId115" display="5.3.1.1" xr:uid="{8B12D367-74CE-9941-9EB2-F1638F631114}"/>
    <hyperlink ref="B375" r:id="rId116" display="2.7.7.60" xr:uid="{8DD9CF4A-7E01-A543-8837-B11D84FD1177}"/>
    <hyperlink ref="B416" r:id="rId117" display="2.7.7.8" xr:uid="{097A7F34-4776-F24C-814A-D69ADCA1D4D2}"/>
    <hyperlink ref="B674" r:id="rId118" display="5.4.99.9" xr:uid="{BE3BE38B-8CDD-6046-A3DE-D9971DBC9945}"/>
    <hyperlink ref="B547" r:id="rId119" display="4.1.1.49" xr:uid="{F68EE556-62F0-2448-8B64-3E95A673FC86}"/>
    <hyperlink ref="B305" r:id="rId120" display="2.7.1.71" xr:uid="{2FC13349-B996-5A4C-BB02-A3E3CD119C78}"/>
    <hyperlink ref="B685" r:id="rId121" display="6.1.1.16" xr:uid="{701C69C7-FBCC-1247-9C40-AFCA8C69EAEE}"/>
    <hyperlink ref="B41" r:id="rId122" display="1.17.1.8" xr:uid="{6312C8F7-65D2-7F40-B385-3FB040A94F18}"/>
    <hyperlink ref="B240" r:id="rId123" display="2.6.1.37" xr:uid="{A08AB8BD-A210-0446-9162-5F707E7E1665}"/>
    <hyperlink ref="B438" r:id="rId124" display="3.11.1.1" xr:uid="{BA9457B3-99EE-1149-B1E0-B955AEEF4603}"/>
    <hyperlink ref="B513" r:id="rId125" display="3.5.4.2" xr:uid="{A1C57C79-69B5-EB4E-946E-86E0FA371B8A}"/>
    <hyperlink ref="B562" r:id="rId126" display="4.1.2.4" xr:uid="{9F7AABE7-4F46-8340-B64C-31820DB09DAD}"/>
    <hyperlink ref="B388" r:id="rId127" display="2.7.7.7" xr:uid="{2E989F30-FE21-FA4C-B887-E6742777CF9C}"/>
    <hyperlink ref="B126" r:id="rId128" display="2.1.1.37" xr:uid="{EC46F34D-80E1-FB4A-BB08-DD7364FA2AD1}"/>
    <hyperlink ref="B693" r:id="rId129" display="6.1.1.4" xr:uid="{D7D3EAE6-BF74-374A-B3C1-0BBEC0816E48}"/>
    <hyperlink ref="B92" r:id="rId130" display="1.4.3.16" xr:uid="{7CC7140B-443E-8646-B543-AB49D49896EC}"/>
    <hyperlink ref="B106" r:id="rId131" display="1.8.1.4" xr:uid="{BBFDB74B-3FB5-3444-8F24-567FD372E5BA}"/>
    <hyperlink ref="B677" r:id="rId132" display="6.1.1.1" xr:uid="{0B080EA8-6AB4-7C44-A9BB-B457A3CA9C9E}"/>
    <hyperlink ref="B458" r:id="rId133" display="3.2.1.21" xr:uid="{442447D2-5371-D34F-A0BB-AD96D0396416}"/>
    <hyperlink ref="B476" r:id="rId134" display="3.2.1.21" xr:uid="{5A524087-0655-2443-977C-0B8C79E29B15}"/>
    <hyperlink ref="B57" r:id="rId135" display="1.17.99.6" xr:uid="{3FA5CE45-35FD-004E-8AFC-22C04541342E}"/>
    <hyperlink ref="B711" r:id="rId136" display="6.3.4.13" xr:uid="{7CCE2198-EF1F-444B-972B-38F92937A1CD}"/>
    <hyperlink ref="B285" r:id="rId137" display="2.7.1.26" xr:uid="{4B0A1AF4-0BD3-8342-B06D-EE907FB77613}"/>
    <hyperlink ref="B349" r:id="rId138" display="2.7.7.2" xr:uid="{C9B5DCD4-74AA-6C47-99CD-96D483E2F83B}"/>
    <hyperlink ref="B498" r:id="rId139" display="3.5.1.25" xr:uid="{F52FC72B-0522-C944-A9B4-42DE49C2EEC4}"/>
    <hyperlink ref="B543" r:id="rId140" display="4.1.1.21" xr:uid="{804A244C-10AA-D549-92B1-550A1C9DEF47}"/>
    <hyperlink ref="B668" r:id="rId141" display="5.4.99.18" xr:uid="{24BB39F8-0EC9-E642-96C8-D30B3568EA1D}"/>
    <hyperlink ref="B525" r:id="rId142" display="3.6.1.23" xr:uid="{086512EA-2DFE-864B-A0BD-470C62211923}"/>
    <hyperlink ref="B644" r:id="rId143" display="5.3.1.12" xr:uid="{EBDEF20C-D25F-844E-9842-39C99F5D500C}"/>
    <hyperlink ref="B683" r:id="rId144" display="6.1.1.14" xr:uid="{5FE9B059-97A5-B645-9890-717F624CF42A}"/>
    <hyperlink ref="B58" r:id="rId145" display="1.2.1.11" xr:uid="{EF31D5DA-3CFA-0044-A3D3-9BACD4DE6D9A}"/>
    <hyperlink ref="B569" r:id="rId146" display="4.2.1.10" xr:uid="{B9BC3C56-3B6F-9946-A61F-6F1630951C1C}"/>
    <hyperlink ref="B300" r:id="rId147" display="2.7.1.40" xr:uid="{2CE3DA67-90E2-3342-8025-D563791D1758}"/>
    <hyperlink ref="B215" r:id="rId148" display="2.5.1.17" xr:uid="{4A15FAC1-D363-F84A-9912-9113A60B308E}"/>
    <hyperlink ref="B351" r:id="rId149" display="2.7.7.3" xr:uid="{3BF3F7D8-3EF6-E945-A486-A2F5E38BC269}"/>
    <hyperlink ref="B210" r:id="rId150" display="2.5.1.15" xr:uid="{8DC0BD80-8799-D840-BCDA-08C3C1458DEE}"/>
    <hyperlink ref="B184" r:id="rId151" display="2.3.1.8" xr:uid="{A58757CA-B95F-7840-87C4-4448DFABB680}"/>
    <hyperlink ref="B319" r:id="rId152" display="2.7.4.22" xr:uid="{8FB81A74-EFB9-4841-8E78-10656D5F51C2}"/>
    <hyperlink ref="B182" r:id="rId153" display="2.3.1.54" xr:uid="{9A73FC87-C366-C14D-9868-1DD3CBBE2E18}"/>
    <hyperlink ref="B115" r:id="rId154" display="1.97.1.4" xr:uid="{D37A6CE8-934C-7942-8FA7-656A84157C8A}"/>
    <hyperlink ref="B571" r:id="rId155" display="4.2.1.11" xr:uid="{FC476B13-5E61-2443-A89B-BE27151ECF3C}"/>
    <hyperlink ref="B38" r:id="rId156" display="1.11.1.24" xr:uid="{35A87D55-C03A-2544-83AF-AC3DDB323BBD}"/>
    <hyperlink ref="B54" r:id="rId157" display="1.17.4.2" xr:uid="{5DF7838B-AD93-1E41-88FD-A5AD35779517}"/>
    <hyperlink ref="B712" r:id="rId158" display="6.3.4.14" xr:uid="{8E426A08-8FD9-F543-8197-4F1F0E037D3B}"/>
    <hyperlink ref="B688" r:id="rId159" display="6.1.1.2" xr:uid="{ECC8BFAA-DB4D-4146-A4D8-C4A5F36ABB79}"/>
    <hyperlink ref="B523" r:id="rId160" display="3.6.1.22" xr:uid="{CEE7AA0E-F081-894A-84CC-79A7BDB2CE86}"/>
    <hyperlink ref="B399" r:id="rId161" display="2.7.7.7" xr:uid="{EFEB2059-9CCD-4441-86EE-8D5ECC9605F2}"/>
    <hyperlink ref="B514" r:id="rId162" display="3.5.4.25" xr:uid="{44650F9F-34DD-EE4A-B5A4-D669FFA4C5CD}"/>
    <hyperlink ref="B565" r:id="rId163" display="4.1.99.12" xr:uid="{93D7CCA5-9286-8949-AD85-C5283BC8FF31}"/>
    <hyperlink ref="B602" r:id="rId164" display="4.2.3.3" xr:uid="{45FCBE46-BD00-614F-BA04-DDF0FB4B9980}"/>
    <hyperlink ref="B265" r:id="rId165" display="2.7.1.11" xr:uid="{16FE9058-4673-3749-868A-8EF4B8859645}"/>
    <hyperlink ref="B663" r:id="rId166" display="5.4.2.11" xr:uid="{1321A765-03C0-4149-8C99-F7D0C9B570AF}"/>
    <hyperlink ref="B554" r:id="rId167" display="4.1.2.13" xr:uid="{DAFA0AF2-DCA8-D941-9A47-67A26DCD9EB7}"/>
    <hyperlink ref="B345" r:id="rId168" display="2.7.6.2" xr:uid="{5687F183-C6CB-5943-808E-1394C1050930}"/>
    <hyperlink ref="B84" r:id="rId169" display="1.4.1.16" xr:uid="{BFA95890-B0EC-B143-BDF1-88EDF4B49B22}"/>
    <hyperlink ref="B520" r:id="rId170" display="3.5.99.6" xr:uid="{9B004708-345D-9540-AD65-025D9FD28C03}"/>
    <hyperlink ref="B687" r:id="rId171" display="6.1.1.19" xr:uid="{4DC74884-0BCD-E640-914E-5B87445D0443}"/>
    <hyperlink ref="B592" r:id="rId172" display="4.2.1.47" xr:uid="{00D31B51-616B-F54F-8227-620ECE3E7E64}"/>
    <hyperlink ref="B594" r:id="rId173" display="4.2.1.49" xr:uid="{2D9F37DD-BF6E-3F44-BB69-5DF2E329141C}"/>
    <hyperlink ref="B139" r:id="rId174" display="2.1.2.5" xr:uid="{D7D640C3-9604-874C-B2E5-FE330113B27C}"/>
    <hyperlink ref="B616" r:id="rId175" display="4.3.1.3" xr:uid="{1C10DAE1-E6A7-4F48-9935-3A6B66E79B4F}"/>
    <hyperlink ref="B124" r:id="rId176" display="2.1.1.33" xr:uid="{AB1A0C6C-D14D-724E-BF9D-92139BCAB4B2}"/>
    <hyperlink ref="B80" r:id="rId177" display="1.4.1.13" xr:uid="{0AEE01D1-3FCC-2D4D-A437-B1ABAC389DDB}"/>
    <hyperlink ref="B617" r:id="rId178" display="4.3.2.1" xr:uid="{0409752C-BEBE-F048-B3FE-D9178C4AD2B8}"/>
    <hyperlink ref="B193" r:id="rId179" display="2.4.2.10" xr:uid="{D0D15953-9138-4B47-A06C-52E7C1ABFD9E}"/>
    <hyperlink ref="B14" r:id="rId180" display="1.1.1.193" xr:uid="{4D9155C6-4D44-9D41-AE0B-3C27E37F15B2}"/>
    <hyperlink ref="B515" r:id="rId181" display="3.5.4.26" xr:uid="{AB141146-527B-5042-8753-67B24FA9E7F3}"/>
    <hyperlink ref="B623" r:id="rId182" display="5.1.1.3" xr:uid="{C7C88305-DC3C-4C4A-8150-CCF97BFC4EB4}"/>
    <hyperlink ref="B698" r:id="rId183" display="6.3.1.1" xr:uid="{4FCCE82F-0D60-594D-B725-7C970D899AA4}"/>
    <hyperlink ref="B620" r:id="rId184" display="4.3.2.2" xr:uid="{A80E0CB3-629B-3D43-89FE-290F4BC08A4A}"/>
    <hyperlink ref="B691" r:id="rId185" display="6.1.1.22" xr:uid="{53BE0443-DB13-BF40-BEDB-5602CDAA07DA}"/>
    <hyperlink ref="B321" r:id="rId186" display="2.7.4.25" xr:uid="{2AE329D0-2C3E-3E40-84C5-DF8F744055FD}"/>
    <hyperlink ref="B56" r:id="rId187" display="1.17.7.4" xr:uid="{124471E9-0E77-7944-B5E9-007803AD86C4}"/>
    <hyperlink ref="B275" r:id="rId188" display="2.7.1.11" xr:uid="{4C2E41A5-8A5B-244C-AD83-C24EB24B58F1}"/>
    <hyperlink ref="B129" r:id="rId189" display="2.1.1.45" xr:uid="{27B0BCAB-6BF5-2640-81A8-0E1B4BB04D7B}"/>
    <hyperlink ref="B522" r:id="rId190" display="3.6.1.1" xr:uid="{AF9DB6C3-0AC0-3942-A8D7-DD62AF51B7F6}"/>
    <hyperlink ref="B421" r:id="rId191" display="2.8.1.13" xr:uid="{7AA7D53E-D1CC-B74F-A6F0-0CCF2ED2AC56}"/>
    <hyperlink ref="B722" r:id="rId192" display="6.3.4.4" xr:uid="{1831725B-A0E9-514F-9499-53FC206515B9}"/>
    <hyperlink ref="B690" r:id="rId193" display="6.1.1.21" xr:uid="{BCD7E979-F2C7-494F-ACF6-2C69DD649B18}"/>
    <hyperlink ref="B537" r:id="rId194" display="3.6.1.9" xr:uid="{F4159DFB-AC1A-3B42-860D-D10DB61D3C79}"/>
    <hyperlink ref="B697" r:id="rId195" display="6.1.1.9" xr:uid="{B50C00B3-E6A1-3D4C-B518-C20F265F9997}"/>
    <hyperlink ref="B87" r:id="rId196" display="1.4.1.4" xr:uid="{716C62C0-9949-9147-8296-2FD5FC363B5B}"/>
    <hyperlink ref="B90" r:id="rId197" display="1.4.1.4" xr:uid="{EC203BB1-118D-6146-93EF-8853BAA9B184}"/>
    <hyperlink ref="B314" r:id="rId198" display="2.7.2.4" xr:uid="{3232D289-4DBC-B544-95E4-0955B3847A8B}"/>
    <hyperlink ref="B318" r:id="rId199" display="2.7.4.16" xr:uid="{3938392C-47E5-D64B-B76D-97925352AE85}"/>
    <hyperlink ref="B276" r:id="rId200" display="2.7.1.130" xr:uid="{0FC719C0-14ED-7E4C-BCC7-329990B1F3E8}"/>
    <hyperlink ref="B197" r:id="rId201" display="2.4.2.21" xr:uid="{B93C983F-583A-7C4A-8DB4-98F1D39A9B58}"/>
    <hyperlink ref="B49" r:id="rId202" display="1.17.4.1" xr:uid="{1CAA9F5D-002C-D54D-A356-C09ADFAC073E}"/>
    <hyperlink ref="B561" r:id="rId203" display="4.1.2.25" xr:uid="{71DCC36B-856C-F348-A368-0B7A92AFA8B4}"/>
    <hyperlink ref="B310" r:id="rId204" display="2.7.10.2" xr:uid="{72775964-5924-244F-A54F-01BF696BC0E2}"/>
    <hyperlink ref="B593" r:id="rId205" display="4.2.1.47" xr:uid="{5546672E-17C4-6949-B1A2-89CC2D6EB8AB}"/>
    <hyperlink ref="B59" r:id="rId206" display="1.2.1.38" xr:uid="{7124A6EB-FD4E-EE4C-A532-9FEF1427C852}"/>
    <hyperlink ref="B713" r:id="rId207" display="6.3.4.14" xr:uid="{1441BA05-5FA8-3D47-BBAB-E14AAF90F274}"/>
    <hyperlink ref="B572" r:id="rId208" display="4.2.1.126" xr:uid="{C7BC6B5F-E764-6441-AB65-13FC318A8BAA}"/>
    <hyperlink ref="B18" r:id="rId209" display="1.1.1.205" xr:uid="{CB3CFB9D-E7BF-BD4F-BB85-B1E1FD1C425C}"/>
    <hyperlink ref="B101" r:id="rId210" display="1.7.2.2" xr:uid="{F21FF5C3-DF34-F34F-A689-5FA57C6E59A0}"/>
    <hyperlink ref="B102" r:id="rId211" display="1.7.2.2" xr:uid="{F5B256D0-74F6-EF46-A963-B6B97A71E11A}"/>
    <hyperlink ref="B658" r:id="rId212" display="5.3.1.9" xr:uid="{6E1802D6-CD95-8F4B-8147-2E65308FF939}"/>
    <hyperlink ref="B37" r:id="rId213" display="1.1.1.94" xr:uid="{95A246C5-D0F7-684F-B13E-31D9A702C5E0}"/>
    <hyperlink ref="B695" r:id="rId214" display="6.1.1.6" xr:uid="{02BC459A-42DD-A44E-93E3-6CF2F7D6D654}"/>
    <hyperlink ref="B348" r:id="rId215" display="2.7.7.18" xr:uid="{CB47F133-BC66-1F4D-B3CA-A9C931581E0D}"/>
    <hyperlink ref="B344" r:id="rId216" display="2.7.4.8" xr:uid="{30965374-A7A4-1D4C-98F2-DC97578E97D5}"/>
    <hyperlink ref="B640" r:id="rId217" display="5.1.99.1" xr:uid="{BC89E40B-A526-DA45-84C5-74546A644E44}"/>
    <hyperlink ref="B24" r:id="rId218" display="1.1.1.262" xr:uid="{7BD82FC5-AEFA-7F49-A849-72E00907C2BE}"/>
    <hyperlink ref="B227" r:id="rId219" display="2.5.1.78" xr:uid="{4F03AD5E-B3D8-EC49-B7D6-E10FF31D91C2}"/>
    <hyperlink ref="B707" r:id="rId220" display="6.3.3.2" xr:uid="{2D1AE328-34E3-9B48-A7C3-14B04D3103AB}"/>
    <hyperlink ref="B538" r:id="rId221" display="4.1.1.11" xr:uid="{EDE9E99F-28C4-7847-9547-D74B02145D39}"/>
    <hyperlink ref="B499" r:id="rId222" display="3.5.1.25" xr:uid="{61881AD7-DDD0-634F-9E95-599422AC2761}"/>
    <hyperlink ref="B500" r:id="rId223" display="3.5.1.25" xr:uid="{C1B48522-7A98-4849-A3FC-96AEBA5F4D85}"/>
    <hyperlink ref="B521" r:id="rId224" display="3.5.99.6" xr:uid="{D723F56E-BBA9-FA43-8F32-8B886CD8A94A}"/>
    <hyperlink ref="B600" r:id="rId225" display="4.2.3.1" xr:uid="{8FA87F66-62D2-F140-BA92-A0508946E262}"/>
    <hyperlink ref="B665" r:id="rId226" display="5.4.2.12" xr:uid="{8199C40E-4090-3447-9E0B-873F5ED0A226}"/>
    <hyperlink ref="B27" r:id="rId227" display="1.1.1.3" xr:uid="{8317357D-3F83-844A-B102-B2EC5DFA4006}"/>
    <hyperlink ref="B315" r:id="rId228" display="2.7.2.4" xr:uid="{B595AD9F-8855-474D-B061-FEB35E647DD8}"/>
    <hyperlink ref="B220" r:id="rId229" display="2.5.1.55" xr:uid="{9C842EA8-17CB-5A42-A7E7-671A20A7A396}"/>
    <hyperlink ref="B226" r:id="rId230" display="2.5.1.75" xr:uid="{75807D9A-6BF7-8E4F-A8EB-8BECEDCF5170}"/>
    <hyperlink ref="B676" r:id="rId231" display="5.4.99.9" xr:uid="{8BE93A73-C5D0-484F-BEB3-297571254B2B}"/>
    <hyperlink ref="B134" r:id="rId232" display="2.1.2.10" xr:uid="{D9037CBD-F087-0B4B-BC53-664D78443B5B}"/>
    <hyperlink ref="B699" r:id="rId233" display="6.3.1.5" xr:uid="{36CC5289-5E7E-F84F-A676-C63D8BCA5F80}"/>
    <hyperlink ref="B248" r:id="rId234" display="2.6.1.83" xr:uid="{F84C36CF-B1D5-8A49-9CF9-1549AC764E06}"/>
    <hyperlink ref="B624" r:id="rId235" display="5.1.1.7" xr:uid="{174BFF89-759C-6B4A-A3B7-A00683CC1B06}"/>
    <hyperlink ref="B734" r:id="rId236" display="6.3.5.4" xr:uid="{A4D2DCE6-7A50-B949-ABE3-6B8D286F818B}"/>
    <hyperlink ref="B83" r:id="rId237" display="1.4.1.13" xr:uid="{6CFDADC9-AF23-3E4A-91A7-3C2A57157F6B}"/>
    <hyperlink ref="B428" r:id="rId238" display="3.1.1.29" xr:uid="{715F4262-E68C-B24B-96B7-26AEA7847906}"/>
    <hyperlink ref="B228" r:id="rId239" display="2.5.1.9" xr:uid="{6D09FFDD-49F0-3A48-9658-654693AB9DA2}"/>
    <hyperlink ref="B99" r:id="rId240" display="1.5.1.20" xr:uid="{5A80C60F-46E7-D640-AF01-35D32308FE8F}"/>
    <hyperlink ref="B244" r:id="rId241" display="2.6.1.42" xr:uid="{50D732E9-A527-5D40-86D1-DF4DA64BF532}"/>
    <hyperlink ref="B179" r:id="rId242" display="2.3.1.39" xr:uid="{7BE837FF-BB20-B642-B7F8-06FE4EFE5872}"/>
    <hyperlink ref="B140" r:id="rId243" display="2.1.2.9" xr:uid="{644B9198-8C9F-5A46-AEB8-A92A7B1DEBA5}"/>
    <hyperlink ref="B292" r:id="rId244" display="2.7.1.35" xr:uid="{FBCF9361-FFA8-FD49-A2AE-432AFE899744}"/>
    <hyperlink ref="B104" r:id="rId245" display="1.7.99.1" xr:uid="{B78234ED-9C53-354E-B15E-31ED6791BC69}"/>
    <hyperlink ref="B128" r:id="rId246" display="2.1.1.37" xr:uid="{00753211-A680-C34F-A903-1DAB6A109EBC}"/>
    <hyperlink ref="B497" r:id="rId247" display="3.5.1.1" xr:uid="{B79EF027-2440-174B-98CC-7CADBEFEC85C}"/>
    <hyperlink ref="B625" r:id="rId248" display="5.1.3.1" xr:uid="{5EEEF71A-88E7-D047-BF05-399F42B2DCEB}"/>
    <hyperlink ref="B659" r:id="rId249" display="5.4.2.10" xr:uid="{64C329D7-DA31-A740-9BC2-39D47263B55A}"/>
    <hyperlink ref="B653" r:id="rId250" display="5.3.1.6" xr:uid="{D1A42593-AB9D-6643-9384-F77C941FB526}"/>
    <hyperlink ref="B304" r:id="rId251" display="2.7.1.6" xr:uid="{FE7FB505-6927-B24A-959C-51D37D706BF5}"/>
    <hyperlink ref="B279" r:id="rId252" display="2.7.1.15" xr:uid="{B3534CD1-ED46-DF44-A012-34D6E355FEEB}"/>
    <hyperlink ref="B574" r:id="rId253" display="4.2.1.2" xr:uid="{BD5ADA84-458A-7245-9C51-F204808ABDB8}"/>
    <hyperlink ref="B282" r:id="rId254" display="2.7.1.24" xr:uid="{0C04AF2C-5EE4-C842-B2F0-52913079A73E}"/>
    <hyperlink ref="B589" r:id="rId255" display="4.2.1.46" xr:uid="{B82F5EE3-74C2-8641-8C59-B85F51AF7193}"/>
    <hyperlink ref="B626" r:id="rId256" display="5.1.3.13" xr:uid="{904BF3C9-BFE6-C74E-B098-B7590ADAFECD}"/>
    <hyperlink ref="B726" r:id="rId257" display="6.3.5.2" xr:uid="{D6063999-8327-3A41-9674-C0B59BAB66EC}"/>
    <hyperlink ref="B730" r:id="rId258" display="6.3.5.2" xr:uid="{5B46982C-0BC5-434D-B643-C43F1B121B1E}"/>
    <hyperlink ref="B286" r:id="rId259" display="2.7.1.30" xr:uid="{C22C3DAC-2980-7F47-ADEC-0DA5092A91BE}"/>
    <hyperlink ref="B494" r:id="rId260" display="3.2.1.21" xr:uid="{21963B73-A40B-7F4C-976A-0B6C867E1B5A}"/>
    <hyperlink ref="B595" r:id="rId261" display="4.2.1.8" xr:uid="{A4B202AE-A724-C54E-A0C1-6A36FE8C3FE0}"/>
    <hyperlink ref="B162" r:id="rId262" display="2.3.1.129" xr:uid="{8F8747AF-8187-B549-B547-AB14A76EB6BF}"/>
    <hyperlink ref="B30" r:id="rId263" display="1.1.1.37" xr:uid="{5B6FF239-78F6-DB41-B0E3-BC482936DDE3}"/>
    <hyperlink ref="B113" r:id="rId264" display="1.8.1.9" xr:uid="{7297D69B-1931-5A4F-A2F3-78805377EA0F}"/>
    <hyperlink ref="B117" r:id="rId265" display="2.1.1.13" xr:uid="{3144F88F-3D22-074B-9B83-E9FDA2262E24}"/>
    <hyperlink ref="B311" r:id="rId266" display="2.7.10.2" xr:uid="{03E008EC-9B99-244F-B627-DDF837E75E94}"/>
    <hyperlink ref="B694" r:id="rId267" display="6.1.1.5" xr:uid="{E7CA927D-872E-5743-A8EB-056C4F7E598E}"/>
    <hyperlink ref="B93" r:id="rId268" display="1.4.4.2" xr:uid="{A6887EB0-564C-A940-9C1B-6B174C9622B2}"/>
    <hyperlink ref="B223" r:id="rId269" display="2.5.1.7" xr:uid="{99A9EE03-E6CB-9C4B-994E-6A4DDF433677}"/>
    <hyperlink ref="B25" r:id="rId270" display="1.1.1.267" xr:uid="{4ECA4AE9-4C11-F344-AC08-0A41EE35EE91}"/>
    <hyperlink ref="B77" r:id="rId271" display="1.4.1.1" xr:uid="{891308F7-E2B9-AA49-95EF-6060D24CFDF7}"/>
    <hyperlink ref="B316" r:id="rId272" display="2.7.2.8" xr:uid="{31241B2F-D467-664A-8311-A5808FAA58F9}"/>
    <hyperlink ref="B246" r:id="rId273" display="2.6.1.52" xr:uid="{5B73D01E-79A3-3940-97A5-1921419493D2}"/>
    <hyperlink ref="B638" r:id="rId274" display="5.1.3.2" xr:uid="{702FBCAF-307A-7C4F-A75E-4DC70C55349C}"/>
    <hyperlink ref="B720" r:id="rId275" display="6.3.4.2" xr:uid="{D5408A66-6A92-3640-B5DD-BD4C2B2F04CC}"/>
    <hyperlink ref="B352" r:id="rId276" display="2.7.7.38" xr:uid="{08E81F79-4F68-434B-821F-B03262250759}"/>
    <hyperlink ref="B176" r:id="rId277" display="2.3.1.234" xr:uid="{676683E4-2364-1D4A-BA72-542DBBA7B745}"/>
    <hyperlink ref="B681" r:id="rId278" display="6.1.1.11" xr:uid="{FFC1E816-9814-4146-9724-F5F5CE310DFF}"/>
    <hyperlink ref="B28" r:id="rId279" display="1.1.1.336" xr:uid="{A37BD9B1-BF12-444E-B2C0-CA896AD3E136}"/>
    <hyperlink ref="B632" r:id="rId280" display="5.1.3.14" xr:uid="{87C87DDA-DEC7-D14E-8362-6521F4608E4B}"/>
    <hyperlink ref="B340" r:id="rId281" display="2.7.4.6" xr:uid="{15B82220-A770-D443-9BF2-356862C1FE3C}"/>
    <hyperlink ref="B405" r:id="rId282" display="2.7.7.7" xr:uid="{1322D90F-5081-014F-A8E5-53F440841E0E}"/>
    <hyperlink ref="B224" r:id="rId283" display="2.5.1.74" xr:uid="{BEA799D7-CB1B-6546-A90A-7BF26ABADEC7}"/>
    <hyperlink ref="B255" r:id="rId284" display="2.6.99.2" xr:uid="{1ACE404D-89AF-6540-9502-4520AB4D0617}"/>
    <hyperlink ref="B281" r:id="rId285" display="2.7.1.23" xr:uid="{287B6CA1-B27B-284B-B98D-522C1587E4C1}"/>
    <hyperlink ref="B307" r:id="rId286" display="2.7.1.90" xr:uid="{4E7B4AE8-2852-374F-895D-D78D2924C9AF}"/>
    <hyperlink ref="B199" r:id="rId287" display="2.4.2.22" xr:uid="{E6570CE7-7F81-E447-8C84-A8EF0DD819AA}"/>
    <hyperlink ref="B180" r:id="rId288" display="2.3.1.46" xr:uid="{6A86FB9A-1CB2-3B46-B36E-244CA5EEAE2D}"/>
    <hyperlink ref="B558" r:id="rId289" display="4.1.2.13" xr:uid="{0406A536-D947-934C-890B-8EA05DD1BE28}"/>
    <hyperlink ref="B635" r:id="rId290" display="5.1.3.14" xr:uid="{36B5F325-3D82-B847-882C-EDB9E41F89F0}"/>
    <hyperlink ref="B39" r:id="rId291" display="1.11.1.24" xr:uid="{D7C83DF7-F26E-AF44-9516-B130AE88259F}"/>
    <hyperlink ref="B682" r:id="rId292" display="6.1.1.12" xr:uid="{61DF3C65-5FC0-EF46-A4B8-70F587D4B167}"/>
    <hyperlink ref="B717" r:id="rId293" display="6.3.4.19" xr:uid="{134A46A1-07EC-AD49-B55D-79C0CBD68282}"/>
    <hyperlink ref="B609" r:id="rId294" display="4.3.1.17" xr:uid="{B8FA66AA-0179-B144-8C45-0EB8F4D972CA}"/>
    <hyperlink ref="B645" r:id="rId295" display="5.3.1.14" xr:uid="{F1372FAA-FCB5-604E-B390-8356B7C80BF3}"/>
    <hyperlink ref="B560" r:id="rId296" display="4.1.2.19" xr:uid="{9B3E4596-24FC-0943-ADE4-E0DD09C3B7FF}"/>
    <hyperlink ref="B503" r:id="rId297" display="3.5.2.3" xr:uid="{CECF6D83-21E8-784E-AAE1-9DC46DBF2890}"/>
    <hyperlink ref="B132" r:id="rId298" display="2.1.1.72" xr:uid="{B4BB6912-CD0D-6C4E-A144-D12D2756AE63}"/>
    <hyperlink ref="B423" r:id="rId299" display="2.8.1.6" xr:uid="{9BC33B74-14EA-DE41-AE61-96489630E206}"/>
    <hyperlink ref="B178" r:id="rId300" display="2.3.1.29" xr:uid="{66319D64-16F4-DC49-8B8E-5F1DE0CD33BD}"/>
    <hyperlink ref="B251" r:id="rId301" display="2.6.1.85" xr:uid="{5F1AF8EE-F1F9-AE43-929D-CC8ADFD5E64B}"/>
    <hyperlink ref="B70" r:id="rId302" display="1.3.1.1" xr:uid="{D9896257-027C-8D40-9006-2E49A31578B3}"/>
    <hyperlink ref="B207" r:id="rId303" display="2.4.2.9" xr:uid="{F90B221E-4608-CA4D-BD8F-ABDD51B67BF4}"/>
    <hyperlink ref="B73" r:id="rId304" display="1.3.1.98" xr:uid="{FFC79C3D-549E-1641-92F2-0FAB4A034B2C}"/>
    <hyperlink ref="B564" r:id="rId305" display="4.1.3.36" xr:uid="{56C1ED1C-1FB8-7846-A618-B2C6C8B8261D}"/>
    <hyperlink ref="B158" r:id="rId306" display="2.2.1.9" xr:uid="{324F1C9E-61FC-8242-BB63-5491C7049E7B}"/>
    <hyperlink ref="B666" r:id="rId307" display="5.4.4.2" xr:uid="{CE52DD2C-4B23-7549-8E02-CDB49E7D0E69}"/>
    <hyperlink ref="B516" r:id="rId308" display="3.5.4.3" xr:uid="{77428098-2116-804F-B7BE-BD5D22114AD6}"/>
    <hyperlink ref="B495" r:id="rId309" display="3.2.2.4" xr:uid="{963E1E5F-3F1D-7C44-B670-01E7F26862B8}"/>
    <hyperlink ref="B411" r:id="rId310" display="2.7.7.7" xr:uid="{04FD35D3-A607-204F-8DEB-F756E7E33C73}"/>
    <hyperlink ref="B71" r:id="rId311" display="1.3.1.14" xr:uid="{E996A7EE-9CA0-3842-B2AB-D1900F7FB892}"/>
    <hyperlink ref="B432" r:id="rId312" display="3.1.3.3" xr:uid="{1B6F98FA-4DFF-CB48-AD4A-9436D3C0D0B8}"/>
    <hyperlink ref="B582" r:id="rId313" display="4.2.1.3" xr:uid="{72DA510A-EC8D-8747-B384-B783517FD74A}"/>
    <hyperlink ref="B236" r:id="rId314" display="2.6.1.1" xr:uid="{CB4768E6-4C2A-764C-9F13-4EE9C61B0AFE}"/>
    <hyperlink ref="B540" r:id="rId315" display="4.1.1.12" xr:uid="{2D611AA6-D322-E94B-AD87-3FFDA87EA4D5}"/>
    <hyperlink ref="B119" r:id="rId316" display="2.1.1.131" xr:uid="{47100F4C-A687-C845-8A51-29F424A3C447}"/>
    <hyperlink ref="B120" r:id="rId317" display="2.1.1.133" xr:uid="{E4728648-6B79-9D43-AE5F-32A48B00DDBE}"/>
    <hyperlink ref="B303" r:id="rId318" display="2.7.1.49" xr:uid="{14384AC8-9C45-6947-80EA-6B96AE5220AB}"/>
    <hyperlink ref="B341" r:id="rId319" display="2.7.4.7" xr:uid="{905A4749-246E-6A4B-9741-631FBC0B3827}"/>
    <hyperlink ref="B566" r:id="rId320" display="4.1.99.17" xr:uid="{F3C48DD7-8B4E-5943-9892-431AADEC0AE8}"/>
    <hyperlink ref="B420" r:id="rId321" display="2.7.9.1" xr:uid="{B5453836-0B09-7C4C-863E-635F3A88E7BE}"/>
    <hyperlink ref="B721" r:id="rId322" display="6.3.4.3" xr:uid="{7375922C-2DE2-D14D-8C9E-E70FE80D03B8}"/>
    <hyperlink ref="B684" r:id="rId323" display="6.1.1.15" xr:uid="{61875E93-5BD8-7845-8299-319ACB97617C}"/>
    <hyperlink ref="B219" r:id="rId324" display="2.5.1.47" xr:uid="{8058B8BD-CF8D-7F41-93E9-61CDA6FEC8D8}"/>
    <hyperlink ref="B430" r:id="rId325" display="3.1.3.15" xr:uid="{3504F447-B40A-AC4A-B73C-4DA2796F6401}"/>
    <hyperlink ref="B573" r:id="rId326" display="4.2.1.19" xr:uid="{E94D5B17-3B73-1949-A721-288583F9CF62}"/>
    <hyperlink ref="B254" r:id="rId327" display="2.6.1.9" xr:uid="{4DC445AE-6FC2-DF44-9E10-70553514E1B2}"/>
    <hyperlink ref="B21" r:id="rId328" display="1.1.1.23" xr:uid="{8D44F0B7-B5A5-5B4C-B316-555866844024}"/>
    <hyperlink ref="B194" r:id="rId329" display="2.4.2.17" xr:uid="{723C4431-811C-1944-9588-1A6E444D524B}"/>
    <hyperlink ref="B427" r:id="rId330" display="2.8.4.4" xr:uid="{BD7FC556-B3BA-5C45-B68C-C68527BA7378}"/>
    <hyperlink ref="B550" r:id="rId331" display="4.1.1.96" xr:uid="{925DC974-8FC0-744F-BA8B-450F03011609}"/>
    <hyperlink ref="B440" r:id="rId332" display="3.2.1.1" xr:uid="{954C481D-FF05-6B4E-BD2D-6E952B857FBD}"/>
    <hyperlink ref="B141" r:id="rId333" display="2.1.3.2" xr:uid="{0E2B3F49-230A-A542-931A-9339AF381F66}"/>
    <hyperlink ref="B689" r:id="rId334" display="6.1.1.20" xr:uid="{88EA34FE-BD98-9843-8D80-CB83C799C8D8}"/>
    <hyperlink ref="B123" r:id="rId335" display="2.1.1.228" xr:uid="{DDDF5CA2-0BB8-B34B-9443-A0FEC6A1D479}"/>
    <hyperlink ref="B672" r:id="rId336" display="5.4.99.9" xr:uid="{3E71A857-7266-ED44-A18F-6B54C63EAB46}"/>
    <hyperlink ref="B542" r:id="rId337" display="4.1.1.15" xr:uid="{96BBED75-1245-0045-A26B-D6485D351028}"/>
    <hyperlink ref="B301" r:id="rId338" display="2.7.1.48" xr:uid="{7FC1EFA4-5570-684D-B350-B15277BCE058}"/>
    <hyperlink ref="B673" r:id="rId339" display="5.4.99.9" xr:uid="{E8542346-EF0F-3C4C-964A-009A3AFB55C3}"/>
    <hyperlink ref="B675" r:id="rId340" display="5.4.99.9" xr:uid="{AB408DB6-8423-9045-9E25-ACBD5E870334}"/>
    <hyperlink ref="B135" r:id="rId341" display="2.1.2.11" xr:uid="{498D0309-D6B0-AD4C-A105-5FE6738F3043}"/>
    <hyperlink ref="B309" r:id="rId342" display="2.7.10.2" xr:uid="{914DA11F-3886-AA41-B04C-59B4974274B6}"/>
    <hyperlink ref="B353" r:id="rId343" display="2.7.7.4" xr:uid="{30EA7914-81EA-B34C-966A-2394A8CAF2A8}"/>
    <hyperlink ref="B355" r:id="rId344" display="2.7.7.4" xr:uid="{9CBBA81D-65EC-DD4F-A947-114AC3201EEB}"/>
    <hyperlink ref="B649" r:id="rId345" display="5.3.1.5" xr:uid="{DC0609C6-5F0D-2C4E-A3EE-6153D3B2AD0E}"/>
    <hyperlink ref="B501" r:id="rId346" display="3.5.1.88" xr:uid="{F15A1010-8C70-7948-B3CB-461B943BB2EA}"/>
    <hyperlink ref="B660" r:id="rId347" display="https://enzyme.expasy.org/EC/5.4.2.11" xr:uid="{778E9D86-0950-4545-8656-19F2F642CA4E}"/>
    <hyperlink ref="B575" r:id="rId348" display="https://enzyme.expasy.org/EC/4.2.1.20" xr:uid="{48A9FFD4-4CE7-B943-AF18-8B6218317264}"/>
    <hyperlink ref="B578" r:id="rId349" display="4.2.1.20" xr:uid="{45092C59-C0B9-6044-95BC-CEBD10EF6A4D}"/>
    <hyperlink ref="B577" r:id="rId350" display="4.2.1.20" xr:uid="{65DD403B-D2A9-BD41-939B-6F3730CEE3CC}"/>
    <hyperlink ref="B739" r:id="rId351" display="6.3.5.5" xr:uid="{B61C2D52-BC9D-414C-A11A-6C92C060F4BF}"/>
    <hyperlink ref="B738" r:id="rId352" display="6.3.5.5" xr:uid="{C43214F2-65FF-BC46-AB4D-C2FF07DBCFF9}"/>
    <hyperlink ref="B737" r:id="rId353" display="6.3.5.5" xr:uid="{1BCB1973-B6F9-714C-A9D8-5376C4E92E06}"/>
    <hyperlink ref="B736" r:id="rId354" display="6.3.5.5" xr:uid="{4680B132-45E0-464B-911B-82E8C69FFB27}"/>
    <hyperlink ref="B735" r:id="rId355" display="6.3.5.5" xr:uid="{448E5709-AC5F-D240-848E-E820ADCF9445}"/>
    <hyperlink ref="B742" r:id="rId356" display="6.3.5.5" xr:uid="{B533071E-D7ED-A543-BC92-8B8255EAD37C}"/>
    <hyperlink ref="B743" r:id="rId357" display="6.3.5.5" xr:uid="{C55089E3-C8F0-E446-AF62-DF4C2C6F3D75}"/>
    <hyperlink ref="B744" r:id="rId358" display="6.3.5.5" xr:uid="{8504BD62-3770-944C-9EE3-169021F8F39B}"/>
    <hyperlink ref="B745" r:id="rId359" display="6.3.5.5" xr:uid="{24368053-9949-7F49-B483-692040136D79}"/>
    <hyperlink ref="B746" r:id="rId360" display="6.3.5.5" xr:uid="{DB67D1AB-1A90-374D-A950-A629335C430D}"/>
    <hyperlink ref="B628" r:id="rId361" display="5.1.3.14" xr:uid="{E6B02E3E-AA2F-4440-9317-DB9B66BF9FE9}"/>
    <hyperlink ref="B627" r:id="rId362" display="5.1.3.14" xr:uid="{73E38AF7-D555-9F40-A68A-B1B6F9D623E8}"/>
    <hyperlink ref="B631" r:id="rId363" display="5.1.3.14" xr:uid="{82143F1B-C7A7-0745-82A4-B362A18F4896}"/>
    <hyperlink ref="B630" r:id="rId364" display="5.1.3.14" xr:uid="{AFD3D4BD-4E9F-7D42-A867-91EBE741E459}"/>
    <hyperlink ref="B633" r:id="rId365" display="5.1.3.14" xr:uid="{9A39E297-67CD-E945-BF76-CAC692B6AEF1}"/>
    <hyperlink ref="B634" r:id="rId366" display="5.1.3.14" xr:uid="{1159AB7F-9E6F-F74B-869B-7F82870B6A1A}"/>
    <hyperlink ref="B322" r:id="rId367" display="2.7.4.3" xr:uid="{D153D67F-4B8A-9C41-BE4E-E640747EE162}"/>
    <hyperlink ref="B323" r:id="rId368" display="2.7.4.3" xr:uid="{A93CA6EC-A302-1C41-9640-6B0B9B8332CF}"/>
    <hyperlink ref="B201" r:id="rId369" display="2.4.2.8" xr:uid="{829FE842-6ABC-B240-98EA-53B6C7547D9A}"/>
    <hyperlink ref="B205" r:id="rId370" display="2.4.2.8" xr:uid="{BE832A34-FF91-884F-85F2-56EEF330676A}"/>
    <hyperlink ref="B204" r:id="rId371" display="2.4.2.8" xr:uid="{F419034A-8B3E-AD40-BA71-8C273B88D5EF}"/>
    <hyperlink ref="B203" r:id="rId372" display="2.4.2.8" xr:uid="{1EED4C91-5AFD-5841-8D3A-A6C17DE13E21}"/>
    <hyperlink ref="B202" r:id="rId373" display="2.4.2.8" xr:uid="{BEB9F8E8-2ECC-C54A-B295-B7B72F4B0F42}"/>
    <hyperlink ref="B708" r:id="rId374" display="6.3.3.3" xr:uid="{01052DF8-0D40-9D4B-9D71-F7B44E2B504F}"/>
    <hyperlink ref="B709" r:id="rId375" display="6.3.3.3" xr:uid="{DE03B915-D162-B44E-8E57-CD4E318C717A}"/>
    <hyperlink ref="B613" r:id="rId376" display="4.3.1.19" xr:uid="{364E6CFC-F174-1848-8E7E-689B9901C191}"/>
    <hyperlink ref="B612" r:id="rId377" display="4.3.1.19" xr:uid="{6CC0F894-151D-704C-8ADC-22A157833116}"/>
    <hyperlink ref="B611" r:id="rId378" display="4.3.1.19" xr:uid="{FE671E06-D4FB-5041-B368-82A600CBED8A}"/>
    <hyperlink ref="B610" r:id="rId379" display="4.3.1.19" xr:uid="{20231461-5B37-814A-B138-1EC421230DE1}"/>
    <hyperlink ref="B35" r:id="rId380" display="1.1.1.85" xr:uid="{0D871B1F-6076-3345-97AE-9C28395C870C}"/>
    <hyperlink ref="B34" r:id="rId381" display="1.1.1.85" xr:uid="{41555C92-12F1-CF47-AF33-A2F4BC58437D}"/>
    <hyperlink ref="B33" r:id="rId382" display="1.1.1.85" xr:uid="{9B34CACD-A8B9-7B48-BD94-027EBA6329A0}"/>
    <hyperlink ref="B32" r:id="rId383" display="1.1.1.85" xr:uid="{A876B6ED-8A0E-D14A-BD6E-86056CA38384}"/>
    <hyperlink ref="B584" r:id="rId384" display="4.2.1.33" xr:uid="{C5B8653A-71C8-4741-95BC-32444A6C70C5}"/>
    <hyperlink ref="B583" r:id="rId385" display="4.2.1.33" xr:uid="{E942D394-1B79-5B4D-80E4-AB5DA31FD1BF}"/>
    <hyperlink ref="B587" r:id="rId386" display="4.2.1.33" xr:uid="{86243F34-5D77-7A47-8B23-86CD4CDBBB83}"/>
    <hyperlink ref="B586" r:id="rId387" display="4.2.1.33" xr:uid="{A7101401-42B5-8F4D-9499-05935AEF708B}"/>
    <hyperlink ref="B148" r:id="rId388" display="2.2.1.6" xr:uid="{6A6D9D4E-3829-A840-80D2-B2BB1D5AEB35}"/>
    <hyperlink ref="B147" r:id="rId389" display="2.2.1.6" xr:uid="{AC2FF5BC-516F-8848-BF9D-C671349C0EB1}"/>
    <hyperlink ref="B146" r:id="rId390" display="2.2.1.6" xr:uid="{4C6594FB-7617-0740-8A5D-29022ED826A4}"/>
    <hyperlink ref="B145" r:id="rId391" display="2.2.1.6" xr:uid="{4CFF7BEA-65DC-9449-A5D8-95E6F9429F4A}"/>
    <hyperlink ref="B144" r:id="rId392" display="2.2.1.6" xr:uid="{DA13F6F6-6A3C-E942-8E83-97200104A11A}"/>
    <hyperlink ref="B143" r:id="rId393" display="2.2.1.6" xr:uid="{E3C4E3BA-3C12-9C4F-A148-3FAFA2B736C2}"/>
    <hyperlink ref="B155" r:id="rId394" display="2.2.1.6" xr:uid="{84E3EE27-837B-9F4F-AE8B-48CE0E2F42C1}"/>
    <hyperlink ref="B154" r:id="rId395" display="2.2.1.6" xr:uid="{66FEBD90-5F2D-014B-B1C0-9DB4FF3B2DBF}"/>
    <hyperlink ref="B153" r:id="rId396" display="2.2.1.6" xr:uid="{8A6F6864-D925-E544-B2D1-6ED0C78E10B4}"/>
    <hyperlink ref="B152" r:id="rId397" display="2.2.1.6" xr:uid="{5F74A105-91D4-BF45-9EA4-FEA29D6E0FA2}"/>
    <hyperlink ref="B151" r:id="rId398" display="2.2.1.6" xr:uid="{375BB523-D287-EB4F-A744-29FF0992369A}"/>
    <hyperlink ref="B150" r:id="rId399" display="2.2.1.6" xr:uid="{153FF53D-8CAC-F140-AD55-C366BF1A7367}"/>
    <hyperlink ref="B597" r:id="rId400" display="4.2.1.9" xr:uid="{F88F677A-551A-F742-B918-D5F7CE0F46C5}"/>
    <hyperlink ref="B596" r:id="rId401" display="4.2.1.9" xr:uid="{34B50F80-289D-9D4E-B524-126087BCD31F}"/>
    <hyperlink ref="B376" r:id="rId402" display="2.7.7.7" xr:uid="{B1B77AF7-417A-B84B-AE50-2FD553FFA040}"/>
    <hyperlink ref="B377" r:id="rId403" display="2.7.7.7" xr:uid="{D200DD78-110D-1347-8120-27CD067A70D4}"/>
    <hyperlink ref="B378" r:id="rId404" display="2.7.7.7" xr:uid="{CFD8AC1A-D5AD-7D4A-8A84-A8D7ED635465}"/>
    <hyperlink ref="B379" r:id="rId405" display="2.7.7.7" xr:uid="{A4057B16-44F5-1B4D-87DF-A8D7C1827572}"/>
    <hyperlink ref="B380" r:id="rId406" display="2.7.7.7" xr:uid="{72B4A9B1-6659-BC4C-AB0C-796F6749B2E9}"/>
    <hyperlink ref="B518" r:id="rId407" display="3.5.4.5" xr:uid="{523A61E2-E90C-4346-8519-1B965F10E7E0}"/>
    <hyperlink ref="B517" r:id="rId408" display="3.5.4.5" xr:uid="{0950CE19-0BE0-5F46-AB83-D130BDD70EA6}"/>
    <hyperlink ref="B174" r:id="rId409" display="2.3.1.191" xr:uid="{D30C12CD-5C2F-FA42-ABE1-ACB087DC428C}"/>
    <hyperlink ref="B159" r:id="rId410" display="2.3.1.129" xr:uid="{1EFEA351-98A7-F44B-A2CB-9C7B49EA0329}"/>
    <hyperlink ref="B650" r:id="rId411" display="5.3.1.6" xr:uid="{A1C71598-25F2-2D47-9D77-D4F29925D520}"/>
    <hyperlink ref="B652" r:id="rId412" display="5.3.1.6" xr:uid="{FE790FF1-5F00-E04D-8525-E8589AC3F070}"/>
    <hyperlink ref="B424" r:id="rId413" display="2.8.1.8" xr:uid="{29047F3F-BB46-D04D-9759-6469F7D2761E}"/>
    <hyperlink ref="B425" r:id="rId414" display="2.8.1.8" xr:uid="{F90F9DAB-8043-B141-80D8-DE2E9CD86244}"/>
    <hyperlink ref="B96" r:id="rId415" display="1.5.1.2" xr:uid="{49D5A16B-BA3B-8F40-BB76-FCF4D6811688}"/>
    <hyperlink ref="B95" r:id="rId416" display="1.5.1.2" xr:uid="{F7642551-F7D8-AC47-8126-ED3E3FB3B94D}"/>
    <hyperlink ref="B94" r:id="rId417" display="1.5.1.2" xr:uid="{1222465B-3D82-DE4E-91AD-A90D64D2D7A7}"/>
    <hyperlink ref="B98" r:id="rId418" display="1.5.1.20" xr:uid="{7DBC004C-6771-E640-8708-4EBE3F217ADD}"/>
    <hyperlink ref="B66" r:id="rId419" display="1.2.1.88" xr:uid="{7BF8A16E-58E8-DB4A-B4C2-631853962FA9}"/>
    <hyperlink ref="B65" r:id="rId420" display="1.2.1.88" xr:uid="{B2E3B423-A313-7744-92D4-2CF443A596EA}"/>
    <hyperlink ref="B64" r:id="rId421" display="1.2.1.88" xr:uid="{B75B776F-1447-6443-A567-344844547DD0}"/>
    <hyperlink ref="B63" r:id="rId422" display="1.2.1.88" xr:uid="{A42F3A10-7A24-6C42-976A-1C8B1C2B3778}"/>
    <hyperlink ref="B62" r:id="rId423" display="1.2.1.88" xr:uid="{238BD1D6-25B5-6242-9C03-0BFAA3FB2064}"/>
    <hyperlink ref="B61" r:id="rId424" display="1.2.1.88" xr:uid="{ABCE4F0E-41EC-B64E-86A5-779F75449032}"/>
    <hyperlink ref="B361" r:id="rId425" display="2.7.7.6" xr:uid="{2E3EBE37-9B2B-8141-B9B2-F1D8C4A4D328}"/>
    <hyperlink ref="B360" r:id="rId426" display="2.7.7.6" xr:uid="{F5480100-E245-084B-A2AC-478FDF5E67D2}"/>
    <hyperlink ref="B359" r:id="rId427" display="2.7.7.6" xr:uid="{A95E48D2-E1F0-B64E-B643-5C98011DD536}"/>
    <hyperlink ref="B358" r:id="rId428" display="2.7.7.6" xr:uid="{6EE7EAB5-3612-FF41-8522-200B21DE49F7}"/>
    <hyperlink ref="B357" r:id="rId429" display="2.7.7.6" xr:uid="{7BAE41D8-3981-AC46-8952-ABE1C1FB537D}"/>
    <hyperlink ref="B367" r:id="rId430" display="2.7.7.6" xr:uid="{85440EC7-1D40-C34A-9F45-BFDAED5D4D87}"/>
    <hyperlink ref="B366" r:id="rId431" display="2.7.7.6" xr:uid="{973EC8D9-0748-5C44-B353-8B557F95B02A}"/>
    <hyperlink ref="B365" r:id="rId432" display="2.7.7.6" xr:uid="{60040216-43D4-5A4B-92DD-24C4B896EA09}"/>
    <hyperlink ref="B364" r:id="rId433" display="2.7.7.6" xr:uid="{FE17BAA2-BA5A-724D-81CA-9E5D3D4E1D25}"/>
    <hyperlink ref="B363" r:id="rId434" display="2.7.7.6" xr:uid="{A323C4C4-C56A-C94D-AB63-8B74727F21FE}"/>
    <hyperlink ref="B288" r:id="rId435" display="2.7.1.33" xr:uid="{A2A0164A-81D9-664F-A5BA-685DA306E144}"/>
    <hyperlink ref="B287" r:id="rId436" display="2.7.1.33" xr:uid="{8E071203-B3E3-DE4F-A411-802F7007F227}"/>
    <hyperlink ref="B567" r:id="rId437" display="4.2.1.1" xr:uid="{50D8A06A-5CE9-9849-AD99-8CA49933B89D}"/>
    <hyperlink ref="B373" r:id="rId438" display="2.7.7.6" xr:uid="{F2871C7B-3648-AF4B-8907-B64F4F5C3D21}"/>
    <hyperlink ref="B372" r:id="rId439" display="2.7.7.6" xr:uid="{B4676874-DCF0-0345-B638-4AACF5998352}"/>
    <hyperlink ref="B371" r:id="rId440" display="2.7.7.6" xr:uid="{C747A771-ED80-7440-8F40-351E4C741133}"/>
    <hyperlink ref="B370" r:id="rId441" display="2.7.7.6" xr:uid="{09BB8876-6520-0A41-B511-B0C47820943C}"/>
    <hyperlink ref="B369" r:id="rId442" display="2.7.7.6" xr:uid="{9281D7BE-5DC2-0341-B673-F1335B9E76B9}"/>
    <hyperlink ref="B16" r:id="rId443" display="1.1.1.205" xr:uid="{1DC7825E-5EFB-E643-992A-B142E34F4E5D}"/>
    <hyperlink ref="B17" r:id="rId444" display="1.1.1.205" xr:uid="{4BFA70CC-6028-BD4B-88D2-A4A3A8E77D48}"/>
    <hyperlink ref="B221" r:id="rId445" display="2.5.1.6" xr:uid="{197F5D9C-0380-2C45-94FE-5A10DC93311A}"/>
    <hyperlink ref="B190" r:id="rId446" display="2.4.1.227" xr:uid="{258AD515-E6D3-9D4D-9332-41EDD0E7FEA1}"/>
    <hyperlink ref="B189" r:id="rId447" display="2.4.1.227" xr:uid="{19FDCF0E-19CC-9047-BF79-7E016577E652}"/>
    <hyperlink ref="B188" r:id="rId448" display="2.4.1.227" xr:uid="{EA2DFCEE-F27D-B44D-8904-BE3261230D45}"/>
    <hyperlink ref="B187" r:id="rId449" display="2.4.1.227" xr:uid="{A375C57A-9FBB-6E47-A2E1-14C6DE89194D}"/>
    <hyperlink ref="B418" r:id="rId450" display="2.7.8.13" xr:uid="{450BDC1A-2B23-954B-9FE1-475D920A6456}"/>
    <hyperlink ref="B715" r:id="rId451" display="6.3.4.15" xr:uid="{BE61C66F-4C2F-A447-8ACA-37245ADCA068}"/>
    <hyperlink ref="B714" r:id="rId452" display="6.3.4.15" xr:uid="{CB25A10C-B4A5-7347-BAFB-F4AC6E4669C5}"/>
    <hyperlink ref="B434" r:id="rId453" display="3.1.6.1" xr:uid="{203CC6B8-7432-6A4D-AB64-C15B44ED3721}"/>
    <hyperlink ref="B436" r:id="rId454" display="3.1.6.1" xr:uid="{295D9A08-620D-6D45-BE65-24181C7C4817}"/>
    <hyperlink ref="B435" r:id="rId455" display="3.1.6.1" xr:uid="{BBA29882-ABAE-3A4A-B620-5ACC2CD90DD8}"/>
    <hyperlink ref="B238" r:id="rId456" display="2.6.1.13" xr:uid="{6333DEDC-D281-8B4D-9E09-4F891F4F3718}"/>
    <hyperlink ref="B237" r:id="rId457" display="2.6.1.13" xr:uid="{61BC0203-5728-2D42-ABCC-2BF18023BB4E}"/>
    <hyperlink ref="B510" r:id="rId458" display="3.5.4.16" xr:uid="{77E117C6-2889-2E4B-BF13-860BA0775639}"/>
    <hyperlink ref="B509" r:id="rId459" display="3.5.4.16" xr:uid="{C2FD4D8B-2865-6648-A526-F54D9623E9B4}"/>
    <hyperlink ref="B508" r:id="rId460" display="3.5.4.16" xr:uid="{6073EC96-64E4-4848-9D2B-1299DC523C23}"/>
    <hyperlink ref="B507" r:id="rId461" display="3.5.4.16" xr:uid="{2D70E185-883C-0F45-88CD-EBDA39817FEA}"/>
    <hyperlink ref="B415" r:id="rId462" display="2.7.7.8" xr:uid="{642CBA4C-0286-5348-B088-BE0490642FDE}"/>
    <hyperlink ref="B414" r:id="rId463" display="2.7.7.8" xr:uid="{AA128989-C7D8-B241-9821-38809EC4DE94}"/>
    <hyperlink ref="B413" r:id="rId464" display="2.7.7.8" xr:uid="{15F04564-8054-B14F-8CC4-C923C286A5E4}"/>
    <hyperlink ref="B412" r:id="rId465" display="2.7.7.8" xr:uid="{447D3A8E-2A5B-2B43-A023-9691FF04D718}"/>
    <hyperlink ref="B679" r:id="rId466" display="6.1.1.10" xr:uid="{0EB06731-7797-8C45-B481-5F48A08F6B6B}"/>
    <hyperlink ref="B678" r:id="rId467" display="6.1.1.10" xr:uid="{1B6E5315-1B9B-FD49-BAF4-1865559DEEE7}"/>
    <hyperlink ref="B173" r:id="rId468" display="2.3.1.179" xr:uid="{1167229E-20E8-764B-A4D3-6E0A2A71E1D2}"/>
    <hyperlink ref="B172" r:id="rId469" display="2.3.1.179" xr:uid="{0D92D2E5-7CB3-474E-8077-BEEB3D5D9C28}"/>
    <hyperlink ref="B171" r:id="rId470" display="2.3.1.179" xr:uid="{AF10DC4B-0B65-774E-92AD-460A0383AFB4}"/>
    <hyperlink ref="B170" r:id="rId471" display="2.3.1.179" xr:uid="{D76DCAE8-BB92-4D4B-9E93-90FFB58F2613}"/>
    <hyperlink ref="B169" r:id="rId472" display="2.3.1.179" xr:uid="{DF3AAC25-B578-1441-A109-B10896F73566}"/>
    <hyperlink ref="B168" r:id="rId473" display="2.3.1.179" xr:uid="{8F29067E-C043-DA48-8C2F-1CBDDB860145}"/>
    <hyperlink ref="B167" r:id="rId474" display="2.3.1.179" xr:uid="{A1F20579-0020-AC4D-B185-7F22E66D92C5}"/>
    <hyperlink ref="B166" r:id="rId475" display="2.3.1.179" xr:uid="{06B4FC36-A7DC-2A41-9F16-77DD8B41BA14}"/>
    <hyperlink ref="B165" r:id="rId476" display="2.3.1.179" xr:uid="{9DC11681-C86E-124F-98E8-09A63D942F8C}"/>
    <hyperlink ref="B164" r:id="rId477" display="2.3.1.179" xr:uid="{F37FBE8D-56AA-1C49-B354-38F3676A2877}"/>
    <hyperlink ref="B163" r:id="rId478" display="2.3.1.179" xr:uid="{A5BE0C94-6EE4-044F-A5E2-68F68D342BF2}"/>
    <hyperlink ref="B40" r:id="rId479" display="1.17.1.8" xr:uid="{8D917FB1-E9FA-E042-8D3F-F0F95B941351}"/>
    <hyperlink ref="B389" r:id="rId480" display="2.7.7.7" xr:uid="{0817E212-4E07-274D-A182-032849D30CB4}"/>
    <hyperlink ref="B390" r:id="rId481" display="2.7.7.7" xr:uid="{357894A8-FBC9-7848-AFF9-003E90434B3D}"/>
    <hyperlink ref="B391" r:id="rId482" display="2.7.7.7" xr:uid="{AE911EC0-6A1D-704E-B0A4-FAFF619397FC}"/>
    <hyperlink ref="B392" r:id="rId483" display="2.7.7.7" xr:uid="{F7F3C22C-185D-7545-98B1-94E9C2F98D0F}"/>
    <hyperlink ref="B393" r:id="rId484" display="2.7.7.7" xr:uid="{24BB8D4D-92A9-3340-8048-BDCCAC210046}"/>
    <hyperlink ref="B125" r:id="rId485" display="2.1.1.37" xr:uid="{F9EBC52B-2D73-AB48-97D0-C03940F8A07B}"/>
    <hyperlink ref="B91" r:id="rId486" display="1.4.3.16" xr:uid="{921C9F58-7559-624A-994D-A41D1F87B500}"/>
    <hyperlink ref="B107" r:id="rId487" display="1.8.1.4" xr:uid="{0FFD5797-DBA7-764B-9A03-B208F3293808}"/>
    <hyperlink ref="B108" r:id="rId488" display="1.8.1.4" xr:uid="{75D18755-D3AB-8745-BF4C-762A57593EBA}"/>
    <hyperlink ref="B109" r:id="rId489" display="1.8.1.4" xr:uid="{8EF8FE99-30B7-7842-B238-78C9897B0B65}"/>
    <hyperlink ref="B441" r:id="rId490" display="3.2.1.21" xr:uid="{CCFFE693-D231-4246-B7DE-DF7AF43F1B95}"/>
    <hyperlink ref="B442" r:id="rId491" display="3.2.1.21" xr:uid="{5415AC03-037D-A64A-8DB2-751EFF874D68}"/>
    <hyperlink ref="B443" r:id="rId492" display="3.2.1.21" xr:uid="{99FCDCE8-8B7E-3142-B943-BBA76B1FD2CD}"/>
    <hyperlink ref="B444" r:id="rId493" display="3.2.1.21" xr:uid="{A451A4B4-C899-984A-9E4B-489A5F564D8B}"/>
    <hyperlink ref="B445" r:id="rId494" display="3.2.1.21" xr:uid="{9E34999F-CB01-7849-8F22-EDF580CCD631}"/>
    <hyperlink ref="B446" r:id="rId495" display="3.2.1.21" xr:uid="{34459FB7-455D-3440-BEC0-EA7A7F5589F9}"/>
    <hyperlink ref="B447" r:id="rId496" display="3.2.1.21" xr:uid="{37C7D767-C1B0-3C47-A0E1-21087063152D}"/>
    <hyperlink ref="B448" r:id="rId497" display="3.2.1.21" xr:uid="{7920090B-8739-6447-B8F4-10EE4E18394B}"/>
    <hyperlink ref="B449" r:id="rId498" display="3.2.1.21" xr:uid="{FF5ED358-D7AF-1842-A9FB-7E620E149198}"/>
    <hyperlink ref="B450" r:id="rId499" display="3.2.1.21" xr:uid="{9CA95BF3-0FE8-7B4A-91A3-C957EC1CE66F}"/>
    <hyperlink ref="B451" r:id="rId500" display="3.2.1.21" xr:uid="{B87F7ECC-ECAF-464E-9B23-492237B9F5D6}"/>
    <hyperlink ref="B452" r:id="rId501" display="3.2.1.21" xr:uid="{7BF5D99B-1712-9D4C-9E65-68523B318FE0}"/>
    <hyperlink ref="B453" r:id="rId502" display="3.2.1.21" xr:uid="{6A9627AD-66CE-E643-A694-30C7A58001A5}"/>
    <hyperlink ref="B454" r:id="rId503" display="3.2.1.21" xr:uid="{66BA8F10-7144-D64B-B9C1-60E8DA878891}"/>
    <hyperlink ref="B455" r:id="rId504" display="3.2.1.21" xr:uid="{2F3B0415-402D-134B-B9DE-7D4123594B03}"/>
    <hyperlink ref="B456" r:id="rId505" display="3.2.1.21" xr:uid="{E3C982B8-0F4A-1146-9EE3-5B10398D1777}"/>
    <hyperlink ref="B457" r:id="rId506" display="3.2.1.21" xr:uid="{2FCCE8E3-2A08-B74C-9301-875520EDB60D}"/>
    <hyperlink ref="B475" r:id="rId507" display="3.2.1.21" xr:uid="{A462D740-570E-F54A-A715-59FED6DE3557}"/>
    <hyperlink ref="B474" r:id="rId508" display="3.2.1.21" xr:uid="{2BB428D1-EAC2-9749-87FC-889F5EA80A0B}"/>
    <hyperlink ref="B473" r:id="rId509" display="3.2.1.21" xr:uid="{6B3089AA-884F-3046-B977-145D04485C9C}"/>
    <hyperlink ref="B472" r:id="rId510" display="3.2.1.21" xr:uid="{BFC58551-8892-1640-AD20-9E5C2094A044}"/>
    <hyperlink ref="B471" r:id="rId511" display="3.2.1.21" xr:uid="{6C5230DE-57AD-5241-A6DA-32E74A530ED8}"/>
    <hyperlink ref="B470" r:id="rId512" display="3.2.1.21" xr:uid="{BF404B41-02E6-724A-A1EC-5EA2D671720B}"/>
    <hyperlink ref="B469" r:id="rId513" display="3.2.1.21" xr:uid="{D66216F3-07A8-554C-A000-4A8FE9EFB4F0}"/>
    <hyperlink ref="B468" r:id="rId514" display="3.2.1.21" xr:uid="{4E1C0C28-B635-ED4D-AFBA-BE0E9C3985B5}"/>
    <hyperlink ref="B467" r:id="rId515" display="3.2.1.21" xr:uid="{30A9E9BC-3BEF-9842-84E5-CC8DAB06057B}"/>
    <hyperlink ref="B466" r:id="rId516" display="3.2.1.21" xr:uid="{F1868D04-2CDB-104C-A51B-BC3B543A171E}"/>
    <hyperlink ref="B465" r:id="rId517" display="3.2.1.21" xr:uid="{C287F8B7-9027-4D42-9AD8-2F5A3377A10D}"/>
    <hyperlink ref="B464" r:id="rId518" display="3.2.1.21" xr:uid="{311BB71D-7506-C943-A35F-95ABA43CCBAD}"/>
    <hyperlink ref="B463" r:id="rId519" display="3.2.1.21" xr:uid="{71FFB639-1A96-5D4F-8D0C-3B71C22D49E5}"/>
    <hyperlink ref="B462" r:id="rId520" display="3.2.1.21" xr:uid="{0668437E-12EA-2C40-993E-3D5F8A170610}"/>
    <hyperlink ref="B461" r:id="rId521" display="3.2.1.21" xr:uid="{5A9D36B8-8134-9F46-91DF-D2077DF0A504}"/>
    <hyperlink ref="B460" r:id="rId522" display="3.2.1.21" xr:uid="{21A5DF41-1A84-754E-A318-220D69430954}"/>
    <hyperlink ref="B459" r:id="rId523" display="3.2.1.21" xr:uid="{42B65FE6-DEC6-4C4A-9A5E-987C70EC30D0}"/>
    <hyperlink ref="B493" r:id="rId524" display="3.2.1.21" xr:uid="{8F599226-6186-1E48-B845-5D6998559144}"/>
    <hyperlink ref="B492" r:id="rId525" display="3.2.1.21" xr:uid="{F3FD3FD9-BD47-3848-9E73-D5A0929D0113}"/>
    <hyperlink ref="B491" r:id="rId526" display="3.2.1.21" xr:uid="{B96A6660-55AE-BC44-866B-7FE99BBF1B9D}"/>
    <hyperlink ref="B490" r:id="rId527" display="3.2.1.21" xr:uid="{099F6167-D1BE-7743-B66E-AE5172A5AA73}"/>
    <hyperlink ref="B489" r:id="rId528" display="3.2.1.21" xr:uid="{73AC0F9B-F596-7F4B-A717-345BAB0F5935}"/>
    <hyperlink ref="B488" r:id="rId529" display="3.2.1.21" xr:uid="{7F76111E-8095-A041-8F33-2A3896401106}"/>
    <hyperlink ref="B487" r:id="rId530" display="3.2.1.21" xr:uid="{222C20AE-D7FA-C94A-85EE-BBA03542EB58}"/>
    <hyperlink ref="B486" r:id="rId531" display="3.2.1.21" xr:uid="{65C2E3F0-4991-EB4B-9188-52E970180634}"/>
    <hyperlink ref="B485" r:id="rId532" display="3.2.1.21" xr:uid="{FCF73540-2FFC-E245-94BC-2CC7E2790A9F}"/>
    <hyperlink ref="B484" r:id="rId533" display="3.2.1.21" xr:uid="{03551C93-B257-9442-A800-EB713CF8CC60}"/>
    <hyperlink ref="B483" r:id="rId534" display="3.2.1.21" xr:uid="{B70EF230-7983-0544-8D1C-1A12AC922FD9}"/>
    <hyperlink ref="B482" r:id="rId535" display="3.2.1.21" xr:uid="{8CE74D06-B11F-4541-8BCC-7F3D8A38FBA1}"/>
    <hyperlink ref="B481" r:id="rId536" display="3.2.1.21" xr:uid="{CD8A8B11-45D0-D74D-8A60-0F4ECC8218B5}"/>
    <hyperlink ref="B480" r:id="rId537" display="3.2.1.21" xr:uid="{161FE253-137F-6740-B8C7-6B66375C689F}"/>
    <hyperlink ref="B479" r:id="rId538" display="3.2.1.21" xr:uid="{F4C59439-3E25-BC4B-9C0B-FBC95565694F}"/>
    <hyperlink ref="B478" r:id="rId539" display="3.2.1.21" xr:uid="{9C2620B2-415C-B148-8170-6ABD63B097F7}"/>
    <hyperlink ref="B477" r:id="rId540" display="3.2.1.21" xr:uid="{6801109D-EEB2-3443-ACE3-55F1DC62E4D2}"/>
    <hyperlink ref="B524" r:id="rId541" display="3.6.1.23" xr:uid="{1C84F159-27B9-6C4F-A8B7-B5EB113B4304}"/>
    <hyperlink ref="B643" r:id="rId542" display="5.3.1.12" xr:uid="{BC47E8B4-D1B7-F743-B70C-D9870D7DBDEA}"/>
    <hyperlink ref="B209" r:id="rId543" display="2.5.1.15" xr:uid="{DC395104-B1A0-9B4E-8510-625A99002E27}"/>
    <hyperlink ref="B183" r:id="rId544" display="2.3.1.8" xr:uid="{B7B66900-8E57-1C46-A98E-70B0E5225191}"/>
    <hyperlink ref="B181" r:id="rId545" display="2.3.1.54" xr:uid="{EABCF429-239B-C74A-8292-D38A6514EAC4}"/>
    <hyperlink ref="B570" r:id="rId546" display="4.2.1.11" xr:uid="{ED7A1454-678F-7D43-BB98-42729E13FD58}"/>
    <hyperlink ref="B752" r:id="rId547" display="https://enzyme.expasy.org/EC/6.3.5.5" xr:uid="{1339BC37-946E-764E-9D1C-B4BD3A45B355}"/>
    <hyperlink ref="B751" r:id="rId548" display="https://enzyme.expasy.org/EC/6.3.5.5" xr:uid="{9BEECC9E-BFBF-0D43-BFF1-7F857870A17E}"/>
    <hyperlink ref="B750" r:id="rId549" display="https://enzyme.expasy.org/EC/6.3.5.5" xr:uid="{7E4E886D-6EFA-224A-863D-FAEF91EF5C4D}"/>
    <hyperlink ref="B749" r:id="rId550" display="https://enzyme.expasy.org/EC/6.3.5.5" xr:uid="{A4CC2D39-C717-864E-846E-9D4547E600F5}"/>
    <hyperlink ref="B748" r:id="rId551" display="https://enzyme.expasy.org/EC/6.3.5.5" xr:uid="{A9BC12B7-FFD1-8A42-93AF-A0845990CE86}"/>
    <hyperlink ref="B747" r:id="rId552" display="https://enzyme.expasy.org/EC/6.3.5.5" xr:uid="{DA3A1181-475E-3C4D-8060-1DDB435D1351}"/>
    <hyperlink ref="B299" r:id="rId553" display="2.7.1.40" xr:uid="{8B7A2F41-7A25-E543-BE6D-D8CC558550CF}"/>
    <hyperlink ref="B298" r:id="rId554" display="2.7.1.40" xr:uid="{2F241F1D-CD2B-AD4A-973B-C216D155754C}"/>
    <hyperlink ref="B297" r:id="rId555" display="2.7.1.40" xr:uid="{B11CA718-986F-F54E-89B0-B8F46C0213A5}"/>
    <hyperlink ref="B296" r:id="rId556" display="2.7.1.40" xr:uid="{D1F158A9-FCDD-724E-A605-FB03BB5054F7}"/>
    <hyperlink ref="B295" r:id="rId557" display="2.7.1.40" xr:uid="{A13C5B5F-1D98-AF4F-9E5D-CB3BBF2B7F37}"/>
    <hyperlink ref="B294" r:id="rId558" display="2.7.1.40" xr:uid="{A1605A91-F74A-0646-A7FB-8A7CA9CCF868}"/>
    <hyperlink ref="B293" r:id="rId559" display="2.7.1.40" xr:uid="{BC3F7450-D02A-9441-A1D8-304D54E83AEA}"/>
    <hyperlink ref="B214" r:id="rId560" display="2.5.1.17" xr:uid="{BECBD51A-7342-1A48-BD64-8D6C4994C452}"/>
    <hyperlink ref="B213" r:id="rId561" display="2.5.1.17" xr:uid="{04FA78C5-6D25-0341-9995-9A1F2E7128DF}"/>
    <hyperlink ref="B212" r:id="rId562" display="2.5.1.17" xr:uid="{B52EFB8A-CDEB-4241-9B19-D08A31FB630F}"/>
    <hyperlink ref="B211" r:id="rId563" display="2.5.1.17" xr:uid="{797C76CA-AA6C-2B40-8001-867CC55E833C}"/>
    <hyperlink ref="B53" r:id="rId564" display="1.17.4.2" xr:uid="{36145C96-9B51-F446-80E8-9B6E4C81B58D}"/>
    <hyperlink ref="B52" r:id="rId565" display="1.17.4.2" xr:uid="{F8FB0BC5-C2D8-2A47-A18B-E0033F05B2E3}"/>
    <hyperlink ref="B51" r:id="rId566" display="1.17.4.2" xr:uid="{FA6D9E9E-681C-374C-9C9D-BE1BF19EBE76}"/>
    <hyperlink ref="B50" r:id="rId567" display="1.17.4.2" xr:uid="{945F34E6-D8F7-974A-A8F4-14E7691FC49C}"/>
    <hyperlink ref="B386" r:id="rId568" display="2.7.7.7" xr:uid="{B9ECDBDD-ED0A-F146-9750-70EF10CC7F0A}"/>
    <hyperlink ref="B385" r:id="rId569" display="2.7.7.7" xr:uid="{587EA550-715F-7144-A593-AB7D0A45BDA3}"/>
    <hyperlink ref="B384" r:id="rId570" display="2.7.7.7" xr:uid="{C7EC0ADA-3E8F-1840-99F6-521AA848BAF2}"/>
    <hyperlink ref="B383" r:id="rId571" display="2.7.7.7" xr:uid="{AFFCC860-BFD7-7945-A55B-2CB0A388AD95}"/>
    <hyperlink ref="B382" r:id="rId572" display="2.7.7.7" xr:uid="{1E9132BE-15D2-604C-9F8A-6E1E386A0428}"/>
    <hyperlink ref="B398" r:id="rId573" display="2.7.7.7" xr:uid="{CBE46F96-0D16-F640-841C-B76EE120AF95}"/>
    <hyperlink ref="B397" r:id="rId574" display="2.7.7.7" xr:uid="{5C513BF6-AC95-2749-B8B6-9DE6CAD5A11A}"/>
    <hyperlink ref="B396" r:id="rId575" display="2.7.7.7" xr:uid="{0751FFBA-957D-354E-A038-87B8FC51601C}"/>
    <hyperlink ref="B395" r:id="rId576" display="2.7.7.7" xr:uid="{A64220A7-8795-2B44-8707-D26D7FA1FE1B}"/>
    <hyperlink ref="B394" r:id="rId577" display="2.7.7.7" xr:uid="{BCF487A8-1736-6244-B46B-4368875FBF20}"/>
    <hyperlink ref="B404" r:id="rId578" display="2.7.7.7" xr:uid="{875D999D-8342-664E-B74B-A71F6EB43F82}"/>
    <hyperlink ref="B403" r:id="rId579" display="2.7.7.7" xr:uid="{7E8D99D4-82CF-534F-8254-C261B621DAE3}"/>
    <hyperlink ref="B402" r:id="rId580" display="2.7.7.7" xr:uid="{A4A5CCC9-93CD-D74C-AE9B-CB15EEA19175}"/>
    <hyperlink ref="B401" r:id="rId581" display="2.7.7.7" xr:uid="{097AE1C6-BD35-6046-B8A2-F8B02ECA899B}"/>
    <hyperlink ref="B400" r:id="rId582" display="2.7.7.7" xr:uid="{75DE7740-AC20-3849-961F-26C40DF22AE3}"/>
    <hyperlink ref="B410" r:id="rId583" display="2.7.7.7" xr:uid="{F165A94C-FBA7-6048-9CB0-E26FA18E90D6}"/>
    <hyperlink ref="B409" r:id="rId584" display="2.7.7.7" xr:uid="{0A62CD62-B0D4-634F-AB07-8C5FCD8B9897}"/>
    <hyperlink ref="B408" r:id="rId585" display="2.7.7.7" xr:uid="{EB262204-D60E-0A4C-9275-5ED16C84DC92}"/>
    <hyperlink ref="B407" r:id="rId586" display="2.7.7.7" xr:uid="{E0BCF7E4-5BD5-794B-8CFF-08C253F9FDF7}"/>
    <hyperlink ref="B406" r:id="rId587" display="2.7.7.7" xr:uid="{9A8CC009-0C9B-FC40-ABDA-84A29FBD660F}"/>
    <hyperlink ref="B264" r:id="rId588" display="2.7.1.11" xr:uid="{89795A0C-7FD2-5D44-AF21-0559FA27C4F3}"/>
    <hyperlink ref="B263" r:id="rId589" display="2.7.1.11" xr:uid="{93255273-895D-2F4E-8547-617B0134BEFA}"/>
    <hyperlink ref="B262" r:id="rId590" display="2.7.1.11" xr:uid="{A6FF21F5-421F-D447-9F20-93D9F4FB08C6}"/>
    <hyperlink ref="B261" r:id="rId591" display="2.7.1.11" xr:uid="{942463A3-269F-1E47-B319-4AC99DE1A39B}"/>
    <hyperlink ref="B260" r:id="rId592" display="2.7.1.11" xr:uid="{14272114-298D-4D4D-9E15-2BA54729D7E5}"/>
    <hyperlink ref="B259" r:id="rId593" display="2.7.1.11" xr:uid="{05A051B3-A545-904B-A196-134D6163233D}"/>
    <hyperlink ref="B258" r:id="rId594" display="2.7.1.11" xr:uid="{13AC3EC7-F733-8946-99A5-1F89D7C60C8F}"/>
    <hyperlink ref="B257" r:id="rId595" display="2.7.1.11" xr:uid="{92BE1CA4-ED76-E04A-B73E-F672D761FEA7}"/>
    <hyperlink ref="B256" r:id="rId596" display="2.7.1.11" xr:uid="{3CF0FFE6-6DEA-F745-9F3D-8444469956D8}"/>
    <hyperlink ref="B274" r:id="rId597" display="2.7.1.11" xr:uid="{58ABAD67-3610-E848-9B79-7C28590E856A}"/>
    <hyperlink ref="B273" r:id="rId598" display="2.7.1.11" xr:uid="{BFE832C9-CFCE-7F41-BC8A-BF3BD0FB2671}"/>
    <hyperlink ref="B272" r:id="rId599" display="2.7.1.11" xr:uid="{DB69DE43-A405-674B-9216-95FF16F9563F}"/>
    <hyperlink ref="B271" r:id="rId600" display="2.7.1.11" xr:uid="{A8DFD9CF-22CF-4D4F-BC6A-60DFBA2D37FA}"/>
    <hyperlink ref="B270" r:id="rId601" display="2.7.1.11" xr:uid="{01C0D76A-1F51-8544-8A5C-A30ED845936B}"/>
    <hyperlink ref="B269" r:id="rId602" display="2.7.1.11" xr:uid="{4283375E-E291-284B-99F9-78FF082BAB6B}"/>
    <hyperlink ref="B268" r:id="rId603" display="2.7.1.11" xr:uid="{18C97617-D1A0-4346-A7E8-EC1C61DCCE8A}"/>
    <hyperlink ref="B267" r:id="rId604" display="2.7.1.11" xr:uid="{D8CEB4B8-8EF1-7042-A701-BEE27E0812A0}"/>
    <hyperlink ref="B266" r:id="rId605" display="2.7.1.11" xr:uid="{87A3FD02-FB00-E146-BF46-5FF573721463}"/>
    <hyperlink ref="B662" r:id="rId606" display="5.4.2.11" xr:uid="{2019C7A0-86D4-D94C-A4AD-D7C4DD9B206F}"/>
    <hyperlink ref="B553" r:id="rId607" display="4.1.2.13" xr:uid="{E3DB4AC4-D13C-8846-B198-D48696369A93}"/>
    <hyperlink ref="B552" r:id="rId608" display="4.1.2.13" xr:uid="{4C21CFFD-1F78-054B-9F98-94D0B20895AF}"/>
    <hyperlink ref="B551" r:id="rId609" display="4.1.2.13" xr:uid="{F1B7ED2D-55B1-9645-98F5-8C2626003873}"/>
    <hyperlink ref="B138" r:id="rId610" display="2.1.2.5" xr:uid="{C93CC19F-33EC-5F4C-A567-BC1286A39A50}"/>
    <hyperlink ref="B615" r:id="rId611" display="4.3.1.3" xr:uid="{5B40429E-8BB0-CC48-99A6-8E9B9EE9B762}"/>
    <hyperlink ref="B79" r:id="rId612" display="1.4.1.13" xr:uid="{38B37E4C-2AA2-1144-A108-0551D34CD174}"/>
    <hyperlink ref="B78" r:id="rId613" display="1.4.1.13" xr:uid="{EBDECB2D-774B-D94A-9AE8-05CDCAFD01FB}"/>
    <hyperlink ref="B82" r:id="rId614" display="1.4.1.13" xr:uid="{84DC4633-49CE-0C44-BE67-1F2C31AD7C31}"/>
    <hyperlink ref="B81" r:id="rId615" display="1.4.1.13" xr:uid="{0261FDA9-657A-F443-BB74-7966BDC647D2}"/>
    <hyperlink ref="B192" r:id="rId616" display="2.4.2.10" xr:uid="{8618A58F-5A94-A24A-9A95-018279D413DA}"/>
    <hyperlink ref="B619" r:id="rId617" display="4.3.2.2" xr:uid="{90105EB6-11A4-CE46-96A6-46B37D8E3BD8}"/>
    <hyperlink ref="B618" r:id="rId618" display="4.3.2.2" xr:uid="{D9F354A8-2F0C-B743-B0AB-89C3821BEB27}"/>
    <hyperlink ref="B320" r:id="rId619" display="2.7.4.25" xr:uid="{14B1B2DA-2F94-DB4E-B6C0-B5E4F8A6DF93}"/>
    <hyperlink ref="B55" r:id="rId620" display="1.17.7.4" xr:uid="{460574BD-6B4D-E84A-B794-850BDFD90B65}"/>
    <hyperlink ref="B536" r:id="rId621" display="3.6.1.9" xr:uid="{C3ABC0A1-E35D-5E46-A956-AB66CDADCB9E}"/>
    <hyperlink ref="B535" r:id="rId622" display="3.6.1.9" xr:uid="{CD077E8C-7A3B-2C47-91D0-10D9A659F0E0}"/>
    <hyperlink ref="B534" r:id="rId623" display="3.6.1.9" xr:uid="{0A79007F-7028-1B4D-AE43-46CBC80E960A}"/>
    <hyperlink ref="B533" r:id="rId624" display="3.6.1.9" xr:uid="{143ACC18-149E-4A4F-BD5E-8C1F25F5F76E}"/>
    <hyperlink ref="B532" r:id="rId625" display="3.6.1.9" xr:uid="{970647DC-26ED-BC48-8B28-1037F9902E63}"/>
    <hyperlink ref="B531" r:id="rId626" display="3.6.1.9" xr:uid="{4B8DBA91-0182-1D48-83EB-7190534458FE}"/>
    <hyperlink ref="B530" r:id="rId627" display="3.6.1.9" xr:uid="{0B705229-E176-FA43-ADDC-45D821D23644}"/>
    <hyperlink ref="B529" r:id="rId628" display="3.6.1.9" xr:uid="{53C068CB-D321-1947-BE58-67A4B46C1E67}"/>
    <hyperlink ref="B528" r:id="rId629" display="3.6.1.9" xr:uid="{FD1B7D57-798D-E04E-98B2-9EEADB521186}"/>
    <hyperlink ref="B527" r:id="rId630" display="3.6.1.9" xr:uid="{13877FDB-1471-2743-A1A3-CF74A275E398}"/>
    <hyperlink ref="B86" r:id="rId631" display="1.4.1.4" xr:uid="{57E0E3D0-EA08-404A-A430-1BC936EA84BF}"/>
    <hyperlink ref="B85" r:id="rId632" display="1.4.1.4" xr:uid="{6175FCCE-BBCA-644D-9775-606EBAC06642}"/>
    <hyperlink ref="B89" r:id="rId633" display="1.4.1.4" xr:uid="{F144801E-735B-4341-8927-FF057941DD42}"/>
    <hyperlink ref="B88" r:id="rId634" display="1.4.1.4" xr:uid="{0ED7B2C6-B262-1B42-8835-5B02C468FC8B}"/>
    <hyperlink ref="B48" r:id="rId635" display="1.17.4.1" xr:uid="{4603CE73-5BCA-F64D-8F78-F33D8A50B615}"/>
    <hyperlink ref="B47" r:id="rId636" display="1.17.4.1" xr:uid="{0315CBA7-830D-E949-B05D-3422B23F6D28}"/>
    <hyperlink ref="B46" r:id="rId637" display="1.17.4.1" xr:uid="{03639BD4-AD10-6942-8C27-B0DA4EC7FC46}"/>
    <hyperlink ref="B45" r:id="rId638" display="1.17.4.1" xr:uid="{5D757EF9-729E-904D-A0DB-CC24F1A76B9E}"/>
    <hyperlink ref="B44" r:id="rId639" display="1.17.4.1" xr:uid="{4FC10C84-A9F9-5342-AC6F-C53038AD9141}"/>
    <hyperlink ref="B43" r:id="rId640" display="1.17.4.1" xr:uid="{42CE2244-C09F-9243-8D72-9199C9B9DA8D}"/>
    <hyperlink ref="B42" r:id="rId641" display="1.17.4.1" xr:uid="{0BE3E071-B4DD-314E-816D-9BC305BD9EC7}"/>
    <hyperlink ref="B657" r:id="rId642" display="5.3.1.9" xr:uid="{F7366592-C076-E745-96CB-BF34284B8288}"/>
    <hyperlink ref="B656" r:id="rId643" display="5.3.1.9" xr:uid="{E606DAD4-8D76-7F4F-8169-EFE852E71E4D}"/>
    <hyperlink ref="B655" r:id="rId644" display="5.3.1.9" xr:uid="{EA6032D8-00C7-9942-B475-DD5AF3B1F547}"/>
    <hyperlink ref="B654" r:id="rId645" display="5.3.1.9" xr:uid="{F6405FA0-0740-8A42-85AB-E4B80B65818E}"/>
    <hyperlink ref="B36" r:id="rId646" display="1.1.1.94" xr:uid="{4DD61163-2BCF-DC4B-B3DE-6A2EBA6F5E43}"/>
    <hyperlink ref="B347" r:id="rId647" display="2.7.7.18" xr:uid="{898366C5-52E5-1F40-B440-C26DBECF7757}"/>
    <hyperlink ref="B343" r:id="rId648" display="2.7.4.8" xr:uid="{3D7E3823-71C8-0B43-A6ED-8DE3BFE47301}"/>
    <hyperlink ref="B342" r:id="rId649" display="2.7.4.8" xr:uid="{7CCEA463-60B6-C64C-A963-DF02A49E6C41}"/>
    <hyperlink ref="B639" r:id="rId650" display="5.1.99.1" xr:uid="{C7568BB9-8DBB-9945-A195-5A30939C9FCF}"/>
    <hyperlink ref="B23" r:id="rId651" display="1.1.1.262" xr:uid="{071318A2-3BAC-374A-9EC3-E2A95059B1CF}"/>
    <hyperlink ref="B22" r:id="rId652" display="1.1.1.262" xr:uid="{68F1259C-5112-E34D-ACE0-A4047813B55C}"/>
    <hyperlink ref="B701" r:id="rId653" display="6.3.2.13" xr:uid="{A447F5E9-F37F-7D4D-947B-70505372A053}"/>
    <hyperlink ref="B599" r:id="rId654" display="4.2.3.1" xr:uid="{72288839-FAAD-F349-9A1F-C9993C733F4E}"/>
    <hyperlink ref="B26" r:id="rId655" display="1.1.1.3" xr:uid="{C4104DBE-229A-CB4F-B5D6-EC8EC2C27140}"/>
    <hyperlink ref="B133" r:id="rId656" display="2.1.2.10" xr:uid="{D8BCD202-9273-E542-9FA4-FEEEC6D3B824}"/>
    <hyperlink ref="B732" r:id="rId657" display="6.3.5.4" xr:uid="{81D5A4C6-BE46-9648-9703-FDF446BD22DD}"/>
    <hyperlink ref="B733" r:id="rId658" display="6.3.5.4" xr:uid="{64B270D4-11DA-8843-9820-4FC2D73B6DB2}"/>
    <hyperlink ref="B243" r:id="rId659" display="2.6.1.42" xr:uid="{E75DF39E-DFDD-2E4C-BE15-FFA893EC578C}"/>
    <hyperlink ref="B242" r:id="rId660" display="2.6.1.42" xr:uid="{8DEA32DC-8346-5A4E-A20D-210A30DE2A39}"/>
    <hyperlink ref="B241" r:id="rId661" display="2.6.1.42" xr:uid="{1E8258BA-B790-3745-9FC6-FEDA7DBB9C14}"/>
    <hyperlink ref="B291" r:id="rId662" display="2.7.1.35" xr:uid="{78621D12-F35E-8041-9953-C5C61FF60EA0}"/>
    <hyperlink ref="B290" r:id="rId663" display="2.7.1.35" xr:uid="{3AF5E5D5-F886-2F47-86D2-6BD448AEA5B5}"/>
    <hyperlink ref="B103" r:id="rId664" display="1.7.99.1" xr:uid="{971CDC9A-5038-9B44-9C75-19B381A48DA8}"/>
    <hyperlink ref="B127" r:id="rId665" display="2.1.1.37" xr:uid="{010C3D46-51C4-4C46-B454-F4CE521B41AB}"/>
    <hyperlink ref="B496" r:id="rId666" display="3.5.1.1" xr:uid="{BD8FEB61-7B63-E945-9B02-DA0D7305219C}"/>
    <hyperlink ref="B278" r:id="rId667" display="2.7.1.15" xr:uid="{4CAC1315-DBB9-D349-B070-A8E766D13CE8}"/>
    <hyperlink ref="B725" r:id="rId668" display="6.3.5.2" xr:uid="{F612D511-3974-AD49-9A70-48E182060215}"/>
    <hyperlink ref="B724" r:id="rId669" display="6.3.5.2" xr:uid="{D2D8465E-93B2-7743-BC28-A58B31AA67DA}"/>
    <hyperlink ref="B723" r:id="rId670" display="6.3.5.2" xr:uid="{158CAC4E-F6FC-FE4D-9774-D426EABE82E3}"/>
    <hyperlink ref="B729" r:id="rId671" display="6.3.5.2" xr:uid="{59FC7EFF-ECE0-534E-A1C8-0B1B19A1D889}"/>
    <hyperlink ref="B728" r:id="rId672" display="6.3.5.2" xr:uid="{5582CD5A-E680-774E-88A1-7F984227CDA1}"/>
    <hyperlink ref="B727" r:id="rId673" display="6.3.5.2" xr:uid="{FEDD6CD7-F6A3-A544-8FFA-D8FC682131AB}"/>
    <hyperlink ref="B161" r:id="rId674" display="2.3.1.129" xr:uid="{824CC51D-A513-7348-89EA-4644F351AF77}"/>
    <hyperlink ref="B29" r:id="rId675" display="1.1.1.37" xr:uid="{1E1CB634-E5C7-A74D-9191-F308B418351B}"/>
    <hyperlink ref="B112" r:id="rId676" display="1.8.1.9" xr:uid="{710A2449-60AE-C74F-983B-9E3C4F7F5D0B}"/>
    <hyperlink ref="B111" r:id="rId677" display="1.8.1.9" xr:uid="{3A69C22E-B41B-BD49-9A1E-3CBEACA48347}"/>
    <hyperlink ref="B110" r:id="rId678" display="1.8.1.9" xr:uid="{46CA5572-C2FF-2440-A81D-0B76BD519440}"/>
    <hyperlink ref="B116" r:id="rId679" display="2.1.1.13" xr:uid="{9F290E72-414C-F247-AB9B-09B4581AEB82}"/>
    <hyperlink ref="B76" r:id="rId680" display="1.4.1.1" xr:uid="{B2A3037B-CD38-1F49-BF30-6CF85ACE3F02}"/>
    <hyperlink ref="B75" r:id="rId681" display="1.4.1.1" xr:uid="{19A5EB9D-7748-5E4F-982A-A216C6306779}"/>
    <hyperlink ref="B74" r:id="rId682" display="1.4.1.1" xr:uid="{B8DD6DED-AD0A-B942-B1F2-3C5E511720B1}"/>
    <hyperlink ref="B245" r:id="rId683" display="2.6.1.52" xr:uid="{14B1DD9C-2739-F048-8F00-F2579070D0CF}"/>
    <hyperlink ref="B637" r:id="rId684" display="5.1.3.2" xr:uid="{F7B657CB-CABC-C049-BB39-9F06B4FEADE2}"/>
    <hyperlink ref="B636" r:id="rId685" display="5.1.3.2" xr:uid="{18D4E4EE-2880-8C4F-9D82-192000F93C85}"/>
    <hyperlink ref="B719" r:id="rId686" display="6.3.4.2" xr:uid="{B4346F0E-1AF6-8042-B4FB-0FB23A89FA94}"/>
    <hyperlink ref="B718" r:id="rId687" display="6.3.4.2" xr:uid="{450C8BDA-AF21-ED4F-A128-960CB3DA0F75}"/>
    <hyperlink ref="B680" r:id="rId688" display="6.1.1.11" xr:uid="{C304F4B3-93E9-634B-8A97-F1A8E48434C7}"/>
    <hyperlink ref="B339" r:id="rId689" display="2.7.4.6" xr:uid="{6DBF6D60-D461-E045-B9B4-DD26C25AA6A3}"/>
    <hyperlink ref="B338" r:id="rId690" display="2.7.4.6" xr:uid="{503214BF-DF09-2343-84E2-81E112A5CECC}"/>
    <hyperlink ref="B337" r:id="rId691" display="2.7.4.6" xr:uid="{0A719E62-CF6C-BB44-81D1-86BA2F088F9E}"/>
    <hyperlink ref="B336" r:id="rId692" display="2.7.4.6" xr:uid="{48ACFB4C-83D8-5240-8382-12961994BE56}"/>
    <hyperlink ref="B329" r:id="rId693" display="2.7.4.6" xr:uid="{DDB554F6-C577-4E4F-A643-1DCA401D9438}"/>
    <hyperlink ref="B328" r:id="rId694" display="2.7.4.6" xr:uid="{A1A14843-53C5-8845-B65E-F14794556F94}"/>
    <hyperlink ref="B327" r:id="rId695" display="2.7.4.6" xr:uid="{91BEF8A1-08E3-184A-95DD-E5BFFF57DBC2}"/>
    <hyperlink ref="B326" r:id="rId696" display="2.7.4.6" xr:uid="{8D528B1C-DE7F-6442-9482-401A2F925593}"/>
    <hyperlink ref="B325" r:id="rId697" display="2.7.4.6" xr:uid="{D94DFBA7-DB46-1446-A1B4-E1F7F35BEE84}"/>
    <hyperlink ref="B334" r:id="rId698" display="2.7.4.6" xr:uid="{117905E8-DAB1-6442-A292-F88F3F6756C9}"/>
    <hyperlink ref="B333" r:id="rId699" display="2.7.4.6" xr:uid="{763CEC06-FCA7-BB46-A208-5A73225DA09B}"/>
    <hyperlink ref="B332" r:id="rId700" display="2.7.4.6" xr:uid="{B14379D6-6BB7-CE41-A12D-7114A452E3F5}"/>
    <hyperlink ref="B331" r:id="rId701" display="2.7.4.6" xr:uid="{109461EA-9675-A74E-AEAF-C9CDBE463F4C}"/>
    <hyperlink ref="B330" r:id="rId702" display="2.7.4.6" xr:uid="{0E7B8B3C-94A5-BC48-9794-80071496950F}"/>
    <hyperlink ref="B335" r:id="rId703" display="2.7.4.6" xr:uid="{E4CAFA8E-1A65-394D-98E9-ECE1E3E412D2}"/>
    <hyperlink ref="B306" r:id="rId704" display="2.7.1.90" xr:uid="{9E052799-AE7A-C744-984B-9ECBD1C00F5A}"/>
    <hyperlink ref="B198" r:id="rId705" display="2.4.2.22" xr:uid="{6FD99DC5-6EF5-1B40-985A-744DC13612E5}"/>
    <hyperlink ref="B12" r:id="rId706" display="1.1.1.100" xr:uid="{FDCD73E6-C275-C24C-A78B-243BA12E2C47}"/>
    <hyperlink ref="B11" r:id="rId707" display="1.1.1.100" xr:uid="{547124E3-128A-9644-81E9-5A728BF11F21}"/>
    <hyperlink ref="B10" r:id="rId708" display="1.1.1.100" xr:uid="{6D8C4936-1E7A-D143-9BCF-7C9D83F9F104}"/>
    <hyperlink ref="B9" r:id="rId709" display="1.1.1.100" xr:uid="{BAC314D3-156A-3344-87BD-594F4C530A23}"/>
    <hyperlink ref="B8" r:id="rId710" display="https://enzyme.expasy.org/EC/1.1.1.100" xr:uid="{237A08EA-8AF1-2246-8D43-BEFD5E0801E6}"/>
    <hyperlink ref="B7" r:id="rId711" display="https://enzyme.expasy.org/EC/1.1.1.100" xr:uid="{641208FA-9C37-0B46-BAE5-008C3860AABC}"/>
    <hyperlink ref="B6" r:id="rId712" display="https://enzyme.expasy.org/EC/1.1.1.100" xr:uid="{1E92405D-2677-B54E-BEA9-45F4AAF36AC6}"/>
    <hyperlink ref="B5" r:id="rId713" display="https://enzyme.expasy.org/EC/1.1.1.100" xr:uid="{130086B4-C8E5-B940-B7FB-B3C81C9FEA32}"/>
    <hyperlink ref="B4" r:id="rId714" display="https://enzyme.expasy.org/EC/1.1.1.100" xr:uid="{D4D5D870-115F-1746-B162-20C80511960A}"/>
    <hyperlink ref="B3" r:id="rId715" display="https://enzyme.expasy.org/EC/1.1.1.100" xr:uid="{CDB270C4-BC90-6C46-9FFE-1A4ADCA4C714}"/>
    <hyperlink ref="B2" r:id="rId716" display="https://enzyme.expasy.org/EC/1.1.1.100" xr:uid="{D84A2A3A-987A-5445-8C44-E652A76EC75E}"/>
    <hyperlink ref="B557" r:id="rId717" display="4.1.2.13" xr:uid="{A2C132C0-8EFF-8D40-A29B-CB6478A441AE}"/>
    <hyperlink ref="B556" r:id="rId718" display="4.1.2.13" xr:uid="{4F2E8365-D256-8442-9F65-FB19E857150D}"/>
    <hyperlink ref="B555" r:id="rId719" display="4.1.2.13" xr:uid="{D6376335-FDB2-4B41-B3EE-FCFA3312D65C}"/>
    <hyperlink ref="B608" r:id="rId720" display="4.3.1.17" xr:uid="{82F0CF8D-5317-4E40-8B17-05DA853A2875}"/>
    <hyperlink ref="B607" r:id="rId721" display="4.3.1.17" xr:uid="{B693C4ED-AE6B-8342-88C3-17197E6506D5}"/>
    <hyperlink ref="B606" r:id="rId722" display="4.3.1.17" xr:uid="{36779E95-CE00-FC4A-9DDC-77D4A1F7EDF9}"/>
    <hyperlink ref="B605" r:id="rId723" display="4.3.1.17" xr:uid="{67A3B787-2BB6-9D40-A963-95FCAD3DC041}"/>
    <hyperlink ref="B559" r:id="rId724" display="4.1.2.19" xr:uid="{7EA22889-8B77-D044-8042-B74D7D5D17E8}"/>
    <hyperlink ref="B250" r:id="rId725" display="2.6.1.85" xr:uid="{C4ED8173-636D-FA49-A32A-71BF673193D9}"/>
    <hyperlink ref="B249" r:id="rId726" display="2.6.1.85" xr:uid="{7646A4BE-4A7D-9D45-B5DE-F7944A768B58}"/>
    <hyperlink ref="B69" r:id="rId727" display="1.3.1.1" xr:uid="{2C9F8663-F386-3442-A49D-30BA3B92AC98}"/>
    <hyperlink ref="B68" r:id="rId728" display="1.3.1.1" xr:uid="{CD5E9EA9-E6F8-9D4A-93CD-468213EF690D}"/>
    <hyperlink ref="B72" r:id="rId729" display="1.3.1.98" xr:uid="{4ED21E18-F127-C949-B004-2544C3D46457}"/>
    <hyperlink ref="B563" r:id="rId730" display="4.1.3.36" xr:uid="{A90C3BB7-BE3A-1A45-88F2-85AF9E9D173A}"/>
    <hyperlink ref="B431" r:id="rId731" display="3.1.3.3" xr:uid="{1C26CD64-2CF0-8942-A004-745D7E5902FA}"/>
    <hyperlink ref="B581" r:id="rId732" display="4.2.1.3" xr:uid="{EBB933C3-E748-5A46-B4BD-8BBC028E46EF}"/>
    <hyperlink ref="B580" r:id="rId733" display="4.2.1.3" xr:uid="{7172C044-4788-1F4E-9943-7EBDF120CC54}"/>
    <hyperlink ref="B235" r:id="rId734" display="2.6.1.1" xr:uid="{5A328FDC-4B99-E844-A405-18C824A6FFA1}"/>
    <hyperlink ref="B234" r:id="rId735" display="2.6.1.1" xr:uid="{8E24C8FE-D679-6448-9787-39D2AB8C9F95}"/>
    <hyperlink ref="B233" r:id="rId736" display="2.6.1.1" xr:uid="{D32B31A3-E3F8-D54E-A5C6-F77C3CD97852}"/>
    <hyperlink ref="B232" r:id="rId737" display="2.6.1.1" xr:uid="{03E64C85-A801-9A48-AB73-93A76ECE47A7}"/>
    <hyperlink ref="B231" r:id="rId738" display="2.6.1.1" xr:uid="{3A569901-EA52-A445-AF7D-EFCA25E1196A}"/>
    <hyperlink ref="B230" r:id="rId739" display="2.6.1.1" xr:uid="{2CB4EC67-A518-284F-8DFA-803843A26FEA}"/>
    <hyperlink ref="B229" r:id="rId740" display="2.6.1.1" xr:uid="{2E5245C3-C7BA-A647-B650-BC89D77C83F8}"/>
    <hyperlink ref="B539" r:id="rId741" display="4.1.1.12" xr:uid="{E920D081-BB7D-8C4C-83B6-DB2CB4FAC71D}"/>
    <hyperlink ref="B118" r:id="rId742" display="2.1.1.131" xr:uid="{12795DB4-2817-9E48-A6A0-83E7ECA8BF0A}"/>
    <hyperlink ref="B218" r:id="rId743" display="2.5.1.47" xr:uid="{FF466195-A2AA-994B-8D9C-C1FE1488F4A4}"/>
    <hyperlink ref="B217" r:id="rId744" display="2.5.1.47" xr:uid="{CA91526E-2665-5641-964D-3BAFACE5F1BC}"/>
    <hyperlink ref="B216" r:id="rId745" display="2.5.1.47" xr:uid="{69CEB0DB-6344-3B42-80C0-A50BC6A65289}"/>
    <hyperlink ref="B253" r:id="rId746" display="2.6.1.9" xr:uid="{DFDDFACC-3E2F-1243-AAB0-8EF2C525A23E}"/>
    <hyperlink ref="B252" r:id="rId747" display="2.6.1.9" xr:uid="{590163A7-1D5E-DB48-B576-8596A1655451}"/>
    <hyperlink ref="B20" r:id="rId748" display="1.1.1.23" xr:uid="{5F3FFE66-9C4C-6548-91E0-81029FD232FE}"/>
    <hyperlink ref="B19" r:id="rId749" display="1.1.1.23" xr:uid="{21762FA9-3DC1-DD4D-B151-CDE74AD7874D}"/>
    <hyperlink ref="B549" r:id="rId750" display="4.1.1.96" xr:uid="{144B23E5-92A7-1D47-B348-2E1B8B37FC3E}"/>
    <hyperlink ref="B439" r:id="rId751" display="3.2.1.1" xr:uid="{D2BCF52E-BE82-2247-A4BA-0E0D0164DA59}"/>
    <hyperlink ref="E671" r:id="rId752" display="https://www.genome.jp/entry/C00052" xr:uid="{78E91C5F-2955-B940-97CF-75CCECBE0D1E}"/>
    <hyperlink ref="E672" r:id="rId753" display="https://www.genome.jp/entry/C00935" xr:uid="{7FDEDEFC-25F0-B044-8B7F-1E7C1ACCCDC7}"/>
    <hyperlink ref="E541" r:id="rId754" display="https://www.kegg.jp/entry/C00025" xr:uid="{D5FA5D2D-62B8-3144-AF5D-DB50AD3A1EB0}"/>
    <hyperlink ref="E542" r:id="rId755" display="https://www.kegg.jp/entry/C00049" xr:uid="{DD25AA89-59B1-954C-B259-31EF4EC6F072}"/>
    <hyperlink ref="E136" r:id="rId756" display="https://www.kegg.jp/entry/C00966" xr:uid="{D112F5F7-EC6A-5E43-B26C-40463FBC444D}"/>
    <hyperlink ref="E545" r:id="rId757" display="https://www.kegg.jp/entry/C04352" xr:uid="{C92844E2-EFFD-0949-891F-6746B4A4420D}"/>
    <hyperlink ref="E590" r:id="rId758" display="https://www.kegg.jp/entry/C00096" xr:uid="{CA232E4A-4804-8043-A7B2-679669C25179}"/>
    <hyperlink ref="E591" r:id="rId759" display="https://www.kegg.jp/entry/C00096" xr:uid="{AA13B2FE-8D8B-BE4D-99A3-7622C6DF874B}"/>
    <hyperlink ref="E667" r:id="rId760" display="https://www.kegg.jp/entry/C00868" xr:uid="{78D04730-678A-124B-A7A9-A5B720B8E395}"/>
    <hyperlink ref="E614" r:id="rId761" display="https://www.kegg.jp/entry/C05167" xr:uid="{E1E40394-1DF9-7E46-90A9-7BDBC708031F}"/>
    <hyperlink ref="E601" r:id="rId762" display="https://www.kegg.jp/entry/C00111" xr:uid="{CC6080C4-5723-0140-A30A-228A87ADB020}"/>
    <hyperlink ref="E544" r:id="rId763" display="https://www.kegg.jp/entry/C01103" xr:uid="{ACDB4928-3A19-8B44-944F-91CABD585168}"/>
    <hyperlink ref="E647" r:id="rId764" display="https://www.kegg.jp/entry/C04188" xr:uid="{DD8CAC6A-512E-7E4C-B3FC-B1875614FDB5}"/>
    <hyperlink ref="E664" r:id="rId765" display="https://www.kegg.jp/entry/C00631" xr:uid="{41FCE0FC-66E3-5846-8606-F5F65518BF13}"/>
    <hyperlink ref="E594" r:id="rId766" display="https://www.kegg.jp/entry/C03680" xr:uid="{10F8363C-1890-5244-92D6-7E93F7F0B426}"/>
    <hyperlink ref="E617" r:id="rId767" display="https://www.kegg.jp/entry/C03406" xr:uid="{ADA449AE-8BB7-454E-A6D1-6A2BF4E4162D}"/>
    <hyperlink ref="E657" r:id="rId768" display="https://www.kegg.jp/entry/C01172" xr:uid="{F472F4E2-2ACF-D74F-A964-DBA6585A6306}"/>
    <hyperlink ref="E549" r:id="rId769" display="https://www.kegg.jp/entry/C18172" xr:uid="{65102D8E-CC31-5D45-9017-D2D28A875800}"/>
    <hyperlink ref="G671" r:id="rId770" display="https://www.genome.jp/entry/C03733" xr:uid="{88031D2F-B04F-6F4F-8A0C-7C6AE30A8436}"/>
    <hyperlink ref="G672" r:id="rId771" display="https://www.genome.jp/entry/C18094" xr:uid="{83CA500A-F357-2847-8D27-FF15E6F7B05C}"/>
    <hyperlink ref="G673" r:id="rId772" display="https://www.genome.jp/entry/C00052" xr:uid="{C4695F33-98CF-3840-9F40-2D72E9028B37}"/>
    <hyperlink ref="G674" r:id="rId773" display="https://www.genome.jp/entry/C00935" xr:uid="{500501C7-C49A-C54E-B724-C0B50AEE877A}"/>
    <hyperlink ref="G675" r:id="rId774" display="https://www.genome.jp/entry/C00052" xr:uid="{08D228AC-919A-FA4D-8724-EDFEC7913B03}"/>
    <hyperlink ref="G676" r:id="rId775" display="https://www.genome.jp/entry/C00935" xr:uid="{63FE6468-D3B9-CE4C-93B2-55AD197B7935}"/>
    <hyperlink ref="G31" r:id="rId776" display="https://www.kegg.jp/entry/C00345" xr:uid="{AAFB0F90-E9FB-F04E-A608-81611DA48DAA}"/>
    <hyperlink ref="G627" r:id="rId777" display="https://www.kegg.jp/entry/C01170" xr:uid="{31C4AE2E-4E89-FD4B-B749-A93A8717EB45}"/>
    <hyperlink ref="G630" r:id="rId778" display="https://www.kegg.jp/entry/C01170" xr:uid="{B69012C5-0C0C-5F42-908F-0B2306091B68}"/>
    <hyperlink ref="G633" r:id="rId779" display="https://www.kegg.jp/entry/C01170" xr:uid="{6926DEFE-31A6-8941-97AE-FEAD005F4170}"/>
    <hyperlink ref="G667" r:id="rId780" display="https://www.kegg.jp/entry/C02764" xr:uid="{AB5BA139-30DF-4F4F-9552-2AE691A48AA8}"/>
    <hyperlink ref="G612" r:id="rId781" display="https://www.kegg.jp/entry/C20905" xr:uid="{3801C86F-DD26-4B4E-A72E-621549BDD3F0}"/>
    <hyperlink ref="G512" r:id="rId782" display="https://www.kegg.jp/entry/C04896" xr:uid="{27BFA560-82AE-4942-AB74-383749B63B80}"/>
    <hyperlink ref="G642" r:id="rId783" display="https://www.kegg.jp/entry/C00111" xr:uid="{06B0232B-6C7B-1542-9C96-77B31E7E637B}"/>
    <hyperlink ref="G451" r:id="rId784" display="https://www.kegg.jp/entry/C00031" xr:uid="{DDEC77A6-7676-6B4D-9FEB-3FDD49365A90}"/>
    <hyperlink ref="G469" r:id="rId785" display="https://www.kegg.jp/entry/C00031" xr:uid="{8BD83DB7-1AC4-E248-A148-BC5957F7DEAD}"/>
    <hyperlink ref="G487" r:id="rId786" display="https://www.kegg.jp/entry/C00031" xr:uid="{7BE8B643-1FAC-7449-894B-1B3B55BF1001}"/>
    <hyperlink ref="G644" r:id="rId787" display="https://www.kegg.jp/entry/C00905" xr:uid="{B9F910AF-10F2-AB4E-81A1-DC99107D0B91}"/>
    <hyperlink ref="G656" r:id="rId788" display="https://www.kegg.jp/entry/C01172" xr:uid="{E7DC2B42-6911-1C42-956B-58D7861661CE}"/>
    <hyperlink ref="F671" r:id="rId789" display="https://www.genome.jp/entry/C00052" xr:uid="{B72CA2AB-1794-3649-86A7-6476BAB6B23B}"/>
    <hyperlink ref="F672" r:id="rId790" display="https://www.genome.jp/entry/C00935" xr:uid="{E997D6D1-BF22-9544-B685-29595C38E5C6}"/>
    <hyperlink ref="F541" r:id="rId791" display="https://www.kegg.jp/entry/C00025" xr:uid="{70D942CA-BCEB-5040-984D-465A8F827FD4}"/>
    <hyperlink ref="F542" r:id="rId792" display="https://www.kegg.jp/entry/C00049" xr:uid="{22CF6BD6-582C-AE49-9848-A487D635F310}"/>
    <hyperlink ref="F136" r:id="rId793" display="https://www.kegg.jp/entry/C00966" xr:uid="{AF9972C2-A391-CA41-B8DF-865466DD3FBA}"/>
    <hyperlink ref="F545" r:id="rId794" display="https://www.kegg.jp/entry/C04352" xr:uid="{866CEC2E-B3D6-2D4C-A0FF-3D7FC62244DF}"/>
    <hyperlink ref="F590" r:id="rId795" display="https://www.kegg.jp/entry/C00096" xr:uid="{95115D4A-4516-A449-AD9B-E656A55550A8}"/>
    <hyperlink ref="F591" r:id="rId796" display="https://www.kegg.jp/entry/C00096" xr:uid="{69362AA2-DE8E-0E4E-8686-C94613AB48CE}"/>
    <hyperlink ref="F667" r:id="rId797" display="https://www.kegg.jp/entry/C00868" xr:uid="{0D9B66AB-F493-1B40-9CFF-0B015EEFC3F0}"/>
    <hyperlink ref="F614" r:id="rId798" display="https://www.kegg.jp/entry/C05167" xr:uid="{A24E94BE-AC20-E841-AD0A-686DC6D731B0}"/>
    <hyperlink ref="F601" r:id="rId799" display="https://www.kegg.jp/entry/C00111" xr:uid="{5C6615E0-1976-A549-B7A1-B0EEF2AEBBE2}"/>
    <hyperlink ref="F544" r:id="rId800" display="https://www.kegg.jp/entry/C01103" xr:uid="{B907F3F3-64DE-B448-B77F-93088B51AEC4}"/>
    <hyperlink ref="F647" r:id="rId801" display="https://www.kegg.jp/entry/C04188" xr:uid="{7AF423C5-C69D-044C-971D-3FDEEA2108CD}"/>
    <hyperlink ref="F664" r:id="rId802" display="https://www.kegg.jp/entry/C00631" xr:uid="{1B8CA0DB-863A-E34D-A865-85622222CF33}"/>
    <hyperlink ref="F594" r:id="rId803" display="https://www.kegg.jp/entry/C03680" xr:uid="{82996616-B6D5-F04C-B0C1-C877E657C016}"/>
    <hyperlink ref="F617" r:id="rId804" display="https://www.kegg.jp/entry/C03406" xr:uid="{F74860B1-4029-264B-AD66-67902D752E5B}"/>
    <hyperlink ref="F657" r:id="rId805" display="https://www.kegg.jp/entry/C01172" xr:uid="{3318BA2E-F149-2549-95D2-EA6FF7A80DA6}"/>
    <hyperlink ref="F549" r:id="rId806" display="https://www.kegg.jp/entry/C18172" xr:uid="{18A58C64-1A2A-B249-AD0C-2E5576FB5673}"/>
    <hyperlink ref="H671" r:id="rId807" display="https://www.genome.jp/entry/C03733" xr:uid="{14FC644E-F422-AD47-B9C3-008357DD0BB8}"/>
    <hyperlink ref="H672" r:id="rId808" display="https://www.genome.jp/entry/C18094" xr:uid="{690F26EA-8B64-5B4B-8F50-45DBF5C4F4E7}"/>
    <hyperlink ref="H673" r:id="rId809" display="https://www.genome.jp/entry/C00052" xr:uid="{1D9AFB5C-8683-504C-9775-8F86E45AF27E}"/>
    <hyperlink ref="H674" r:id="rId810" display="https://www.genome.jp/entry/C00935" xr:uid="{B9049FB5-44B6-E641-91DE-9BE37E7F1AF8}"/>
    <hyperlink ref="H675" r:id="rId811" display="https://www.genome.jp/entry/C00052" xr:uid="{77391EB8-8DEC-334C-8D4B-E4DFED8534DC}"/>
    <hyperlink ref="H676" r:id="rId812" display="https://www.genome.jp/entry/C00935" xr:uid="{0B554EC9-2EE5-2D41-9B2F-B9E2BEE0C05C}"/>
    <hyperlink ref="H31" r:id="rId813" display="https://www.kegg.jp/entry/C00345" xr:uid="{84A585C8-9995-3A47-8E15-2A6E605C84C5}"/>
    <hyperlink ref="H627" r:id="rId814" display="https://www.kegg.jp/entry/C01170" xr:uid="{E9EC6EB9-66D1-A749-B99E-AADA23727324}"/>
    <hyperlink ref="H630" r:id="rId815" display="https://www.kegg.jp/entry/C01170" xr:uid="{B296187B-F955-BF47-9DE3-AA33E41C0E29}"/>
    <hyperlink ref="H633" r:id="rId816" display="https://www.kegg.jp/entry/C01170" xr:uid="{F253F60F-59A6-2541-A277-BFCEE5AA2179}"/>
    <hyperlink ref="H667" r:id="rId817" display="https://www.kegg.jp/entry/C02764" xr:uid="{4D910FDA-DBA4-2B4C-9275-E743E3EEEA80}"/>
    <hyperlink ref="H612" r:id="rId818" display="https://www.kegg.jp/entry/C20905" xr:uid="{84BD21FB-F3C6-294E-AD42-CF936C8B9586}"/>
    <hyperlink ref="H512" r:id="rId819" display="https://www.kegg.jp/entry/C04896" xr:uid="{5CD2D597-56AF-7543-8420-804A8943CE94}"/>
    <hyperlink ref="H642" r:id="rId820" display="https://www.kegg.jp/entry/C00111" xr:uid="{93FEEE1C-DC56-2B49-A45E-4CC3CC11C10B}"/>
    <hyperlink ref="H451" r:id="rId821" display="https://www.kegg.jp/entry/C00031" xr:uid="{73C7C508-5B5E-7849-AEE9-C21ABA575ED1}"/>
    <hyperlink ref="H469" r:id="rId822" display="https://www.kegg.jp/entry/C00031" xr:uid="{9CE8F73F-F659-5C42-9406-4281ADD0721F}"/>
    <hyperlink ref="H487" r:id="rId823" display="https://www.kegg.jp/entry/C00031" xr:uid="{47CB93DF-3628-BF43-88EB-E4017CABD316}"/>
    <hyperlink ref="H644" r:id="rId824" display="https://www.kegg.jp/entry/C00905" xr:uid="{BF9E4ACE-BCB9-B445-83A8-074A3966C135}"/>
    <hyperlink ref="H656" r:id="rId825" display="https://www.kegg.jp/entry/C01172" xr:uid="{BD7B9AB9-2683-5246-BC51-DE094F4A0956}"/>
    <hyperlink ref="B283" r:id="rId826" display="2.7.1.25" xr:uid="{5AA9D81F-3C85-C542-9597-85DD1C65F97A}"/>
    <hyperlink ref="E673" r:id="rId827" display="https://www.genome.jp/entry/C03733" xr:uid="{7AED1C48-4312-464C-879E-0E362EF9C7DB}"/>
    <hyperlink ref="E674" r:id="rId828" display="5.4.99.9" xr:uid="{D1ABC71D-C24D-D149-BA07-554B9C305227}"/>
    <hyperlink ref="E675" r:id="rId829" display="https://www.genome.jp/entry/C03733" xr:uid="{8FEA8F89-7217-774B-9C80-BB56350619FE}"/>
    <hyperlink ref="E676" r:id="rId830" display="5.4.99.9" xr:uid="{2C32308F-1EA8-3742-9BC5-0E2DB7398E1C}"/>
    <hyperlink ref="F673" r:id="rId831" display="https://www.genome.jp/entry/C18094" xr:uid="{6646AB86-5064-2249-9B4A-D5DC837DC483}"/>
    <hyperlink ref="F674" r:id="rId832" display="https://www.genome.jp/entry/C00052" xr:uid="{04A78629-6172-3341-B371-EE23B488B555}"/>
    <hyperlink ref="F675" r:id="rId833" display="https://www.genome.jp/entry/C18094" xr:uid="{DB00150B-ED7F-674B-8759-56C57D37E5CD}"/>
    <hyperlink ref="F676" r:id="rId834" display="https://www.genome.jp/entry/C00052" xr:uid="{0090F8B2-1F8D-904C-93B4-D7A5B5D8EE2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d2115b-a55e-46b6-9df7-b03388ecfc60}" enabled="0" method="" siteId="{43d2115b-a55e-46b6-9df7-b03388ecfc6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peptides</vt:lpstr>
      <vt:lpstr>EC number</vt:lpstr>
      <vt:lpstr>enzymes</vt:lpstr>
      <vt:lpstr>metabolites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DHINAKARAN, MAGAA LAKSHMI (Student)</dc:creator>
  <cp:lastModifiedBy>Maurice Ling</cp:lastModifiedBy>
  <dcterms:created xsi:type="dcterms:W3CDTF">2025-06-17T06:42:32Z</dcterms:created>
  <dcterms:modified xsi:type="dcterms:W3CDTF">2025-12-12T11:03:51Z</dcterms:modified>
</cp:coreProperties>
</file>